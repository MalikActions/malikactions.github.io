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899C9086-67A9-5B14-2C2D-5A8001700F7D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Gamle vagtplaner/"/>
    </mc:Choice>
  </mc:AlternateContent>
  <xr:revisionPtr revIDLastSave="2686" documentId="120_{B5979504-F4D6-4BFE-975A-06D7F090E716}" xr6:coauthVersionLast="47" xr6:coauthVersionMax="47" xr10:uidLastSave="{C2287A25-DB28-4DB0-96E1-FB1303A4A74E}"/>
  <bookViews>
    <workbookView xWindow="28680" yWindow="-120" windowWidth="29040" windowHeight="15720" tabRatio="618" firstSheet="7" activeTab="14" xr2:uid="{00000000-000D-0000-FFFF-FFFF00000000}"/>
  </bookViews>
  <sheets>
    <sheet name="Ark8" sheetId="141" state="hidden" r:id="rId1"/>
    <sheet name="Ark9" sheetId="142" state="hidden" r:id="rId2"/>
    <sheet name="Ark4" sheetId="137" state="hidden" r:id="rId3"/>
    <sheet name="Maj 2024" sheetId="167" r:id="rId4"/>
    <sheet name="Juni 2024" sheetId="189" r:id="rId5"/>
    <sheet name="Juli 2024" sheetId="190" r:id="rId6"/>
    <sheet name="August 2024" sheetId="191" r:id="rId7"/>
    <sheet name="September 2024" sheetId="192" r:id="rId8"/>
    <sheet name="Oktober 2024" sheetId="193" r:id="rId9"/>
    <sheet name="November 2024" sheetId="194" r:id="rId10"/>
    <sheet name="December 2024" sheetId="195" r:id="rId11"/>
    <sheet name="Januar 2025" sheetId="196" r:id="rId12"/>
    <sheet name="Februar 2025" sheetId="197" r:id="rId13"/>
    <sheet name="Marts 2025" sheetId="198" r:id="rId14"/>
    <sheet name="April 2025" sheetId="199" r:id="rId15"/>
    <sheet name="Prisliste 2024(kostægte)" sheetId="187" r:id="rId16"/>
    <sheet name="Prisliste 2024" sheetId="162" r:id="rId17"/>
    <sheet name="GRUSMUS 2024" sheetId="17" r:id="rId18"/>
    <sheet name="Nøgler GL" sheetId="1" r:id="rId19"/>
    <sheet name="Nøgler januar 2000" sheetId="3" r:id="rId20"/>
    <sheet name="Nøgler m. lønkode" sheetId="2" r:id="rId21"/>
    <sheet name="Balanced 2010" sheetId="22" r:id="rId22"/>
    <sheet name="_56F9DC9755BA473782653E2940F9" sheetId="122" state="veryHidden" r:id="rId23"/>
  </sheets>
  <definedNames>
    <definedName name="NormTid">'Maj 2024'!$AJ$12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78" i="199" l="1"/>
  <c r="AL78" i="199" s="1"/>
  <c r="AM78" i="199" s="1"/>
  <c r="AN78" i="199" s="1"/>
  <c r="AJ79" i="199"/>
  <c r="AL79" i="199" s="1"/>
  <c r="AJ80" i="199"/>
  <c r="AL80" i="199" s="1"/>
  <c r="AM80" i="199" s="1"/>
  <c r="AN80" i="199" s="1"/>
  <c r="AJ81" i="199"/>
  <c r="AL81" i="199" s="1"/>
  <c r="AM81" i="199" s="1"/>
  <c r="AN81" i="199" s="1"/>
  <c r="AJ82" i="199"/>
  <c r="AL82" i="199" s="1"/>
  <c r="AN80" i="198"/>
  <c r="AM82" i="199" l="1"/>
  <c r="AN82" i="199" s="1"/>
  <c r="AM79" i="199"/>
  <c r="AN79" i="199" s="1"/>
  <c r="AJ78" i="198"/>
  <c r="AL78" i="198" l="1"/>
  <c r="AM78" i="198" s="1"/>
  <c r="AN90" i="195"/>
  <c r="AM90" i="194" l="1"/>
  <c r="AJ79" i="197"/>
  <c r="AL79" i="197" s="1"/>
  <c r="AM79" i="197" s="1"/>
  <c r="AJ75" i="199"/>
  <c r="AL75" i="199" s="1"/>
  <c r="AJ76" i="199"/>
  <c r="AL76" i="199" s="1"/>
  <c r="AJ78" i="197"/>
  <c r="AJ75" i="198"/>
  <c r="AL75" i="198" s="1"/>
  <c r="AM75" i="198" s="1"/>
  <c r="AJ76" i="198"/>
  <c r="AL76" i="198" s="1"/>
  <c r="AJ79" i="196"/>
  <c r="AL79" i="196" s="1"/>
  <c r="AJ80" i="196"/>
  <c r="AL80" i="196" s="1"/>
  <c r="AM80" i="196" s="1"/>
  <c r="AN80" i="196" s="1"/>
  <c r="AJ77" i="196"/>
  <c r="AM75" i="199" l="1"/>
  <c r="AM76" i="199"/>
  <c r="AL78" i="197"/>
  <c r="AM78" i="197" s="1"/>
  <c r="AM79" i="196"/>
  <c r="AN79" i="196" s="1"/>
  <c r="AN79" i="197" s="1"/>
  <c r="AL77" i="196"/>
  <c r="AM77" i="196" s="1"/>
  <c r="AN77" i="196" s="1"/>
  <c r="AJ90" i="193"/>
  <c r="AN85" i="192" l="1"/>
  <c r="AL90" i="193" l="1"/>
  <c r="AM90" i="193" s="1"/>
  <c r="AN90" i="193" s="1"/>
  <c r="AJ89" i="199"/>
  <c r="AL89" i="199" s="1"/>
  <c r="AM89" i="199" s="1"/>
  <c r="AJ90" i="199"/>
  <c r="AL90" i="199" s="1"/>
  <c r="AJ84" i="198"/>
  <c r="AL84" i="198" s="1"/>
  <c r="AJ85" i="198"/>
  <c r="AL85" i="198" s="1"/>
  <c r="AJ85" i="197"/>
  <c r="AL85" i="197" s="1"/>
  <c r="AJ86" i="197"/>
  <c r="AL86" i="197" s="1"/>
  <c r="AJ85" i="196"/>
  <c r="AL85" i="196" s="1"/>
  <c r="AJ86" i="196"/>
  <c r="AL86" i="196" s="1"/>
  <c r="AJ97" i="195"/>
  <c r="AL97" i="195" s="1"/>
  <c r="AJ98" i="195"/>
  <c r="AL98" i="195" s="1"/>
  <c r="AJ97" i="194"/>
  <c r="AL97" i="194" s="1"/>
  <c r="AJ98" i="194"/>
  <c r="AL98" i="194" s="1"/>
  <c r="AL84" i="193"/>
  <c r="AL85" i="193"/>
  <c r="AL86" i="193"/>
  <c r="AL87" i="193"/>
  <c r="AL88" i="193"/>
  <c r="AM88" i="193" s="1"/>
  <c r="AL89" i="193"/>
  <c r="AJ82" i="195"/>
  <c r="AL82" i="195" s="1"/>
  <c r="AL83" i="195"/>
  <c r="AL84" i="195"/>
  <c r="AL85" i="195"/>
  <c r="AL86" i="195"/>
  <c r="AM86" i="195" s="1"/>
  <c r="AL87" i="195"/>
  <c r="AL88" i="195"/>
  <c r="AL89" i="195"/>
  <c r="AM89" i="195" s="1"/>
  <c r="AL90" i="195"/>
  <c r="AM90" i="195" s="1"/>
  <c r="AL91" i="195"/>
  <c r="AL92" i="195"/>
  <c r="AM92" i="195" s="1"/>
  <c r="AJ73" i="196"/>
  <c r="AL73" i="196" s="1"/>
  <c r="AJ74" i="196"/>
  <c r="AL74" i="196" s="1"/>
  <c r="AM74" i="196" s="1"/>
  <c r="AN74" i="196" s="1"/>
  <c r="AJ75" i="196"/>
  <c r="AL75" i="196" s="1"/>
  <c r="AM75" i="196" s="1"/>
  <c r="AN75" i="196" s="1"/>
  <c r="AJ76" i="196"/>
  <c r="AL76" i="196" s="1"/>
  <c r="AM76" i="196" s="1"/>
  <c r="AN76" i="196" s="1"/>
  <c r="AJ78" i="196"/>
  <c r="AL78" i="196" s="1"/>
  <c r="AM78" i="196" s="1"/>
  <c r="AN78" i="196" s="1"/>
  <c r="AN78" i="197" s="1"/>
  <c r="AN78" i="198" s="1"/>
  <c r="AJ73" i="197"/>
  <c r="AL73" i="197" s="1"/>
  <c r="AM73" i="197" s="1"/>
  <c r="AJ74" i="197"/>
  <c r="AL74" i="197" s="1"/>
  <c r="AM74" i="197" s="1"/>
  <c r="AJ75" i="197"/>
  <c r="AL75" i="197" s="1"/>
  <c r="AM75" i="197" s="1"/>
  <c r="AJ76" i="197"/>
  <c r="AL76" i="197" s="1"/>
  <c r="AJ77" i="197"/>
  <c r="AJ80" i="197"/>
  <c r="AL80" i="197" s="1"/>
  <c r="AM80" i="197" s="1"/>
  <c r="AN80" i="197" s="1"/>
  <c r="AJ73" i="198"/>
  <c r="AL73" i="198" s="1"/>
  <c r="AM73" i="198" s="1"/>
  <c r="AJ74" i="198"/>
  <c r="AL74" i="198" s="1"/>
  <c r="AM74" i="198" s="1"/>
  <c r="AJ77" i="198"/>
  <c r="AL77" i="198" s="1"/>
  <c r="AM77" i="198" s="1"/>
  <c r="AJ79" i="198"/>
  <c r="AL79" i="198" s="1"/>
  <c r="AM79" i="198" s="1"/>
  <c r="AN79" i="198" s="1"/>
  <c r="AJ73" i="199"/>
  <c r="AL73" i="199" s="1"/>
  <c r="AJ74" i="199"/>
  <c r="AL74" i="199" s="1"/>
  <c r="AM74" i="199" s="1"/>
  <c r="AJ77" i="199"/>
  <c r="AL77" i="199" s="1"/>
  <c r="AM77" i="199" s="1"/>
  <c r="AN77" i="199" s="1"/>
  <c r="AJ84" i="199"/>
  <c r="AL84" i="199" s="1"/>
  <c r="AJ82" i="194"/>
  <c r="AL82" i="194" s="1"/>
  <c r="AM82" i="194" s="1"/>
  <c r="AL84" i="194"/>
  <c r="AM84" i="194" s="1"/>
  <c r="AL85" i="194"/>
  <c r="AM85" i="194" s="1"/>
  <c r="AL86" i="194"/>
  <c r="AL87" i="194"/>
  <c r="AM87" i="194" s="1"/>
  <c r="AL88" i="194"/>
  <c r="AM88" i="194" s="1"/>
  <c r="AL89" i="194"/>
  <c r="AM89" i="194" s="1"/>
  <c r="AN89" i="194" s="1"/>
  <c r="AL90" i="194"/>
  <c r="AL77" i="197" l="1"/>
  <c r="AM77" i="197" s="1"/>
  <c r="AN77" i="197" s="1"/>
  <c r="AN77" i="198" s="1"/>
  <c r="AN76" i="199" s="1"/>
  <c r="AN75" i="197"/>
  <c r="AN75" i="198" s="1"/>
  <c r="AM85" i="198"/>
  <c r="AM98" i="195"/>
  <c r="AM85" i="196"/>
  <c r="AN85" i="196" s="1"/>
  <c r="AM97" i="195"/>
  <c r="AM84" i="198"/>
  <c r="AM98" i="194"/>
  <c r="AN98" i="194" s="1"/>
  <c r="AM86" i="197"/>
  <c r="AN74" i="197"/>
  <c r="AN74" i="198" s="1"/>
  <c r="AN74" i="199" s="1"/>
  <c r="AM97" i="194"/>
  <c r="AN97" i="194" s="1"/>
  <c r="AM86" i="196"/>
  <c r="AN86" i="196" s="1"/>
  <c r="AM85" i="197"/>
  <c r="AM90" i="199"/>
  <c r="AM76" i="197"/>
  <c r="AN76" i="197" s="1"/>
  <c r="AN76" i="198" s="1"/>
  <c r="AN75" i="199" s="1"/>
  <c r="AM88" i="195"/>
  <c r="AM84" i="199"/>
  <c r="AM73" i="196"/>
  <c r="AN73" i="196" s="1"/>
  <c r="AN73" i="197" s="1"/>
  <c r="AN73" i="198" s="1"/>
  <c r="AM82" i="195"/>
  <c r="AM83" i="195"/>
  <c r="AM85" i="193"/>
  <c r="AM73" i="199"/>
  <c r="AM84" i="193"/>
  <c r="AN90" i="194"/>
  <c r="AM91" i="195"/>
  <c r="AN91" i="195" s="1"/>
  <c r="AM85" i="195"/>
  <c r="AM87" i="193"/>
  <c r="AM86" i="194"/>
  <c r="AM89" i="193"/>
  <c r="AN89" i="193" s="1"/>
  <c r="AN88" i="194" s="1"/>
  <c r="AM86" i="193"/>
  <c r="AN92" i="195"/>
  <c r="AM87" i="195"/>
  <c r="AM84" i="195"/>
  <c r="AL83" i="194"/>
  <c r="AM83" i="194" s="1"/>
  <c r="AL86" i="192"/>
  <c r="AM86" i="192" s="1"/>
  <c r="AN86" i="192" s="1"/>
  <c r="AL87" i="192"/>
  <c r="AJ86" i="191"/>
  <c r="AL86" i="191" s="1"/>
  <c r="AJ92" i="190"/>
  <c r="AL92" i="190" s="1"/>
  <c r="AJ87" i="190"/>
  <c r="AN93" i="191"/>
  <c r="AN94" i="191"/>
  <c r="AN95" i="191"/>
  <c r="AL83" i="167"/>
  <c r="AL84" i="167"/>
  <c r="AL85" i="167"/>
  <c r="AL86" i="167"/>
  <c r="AL87" i="167"/>
  <c r="AL82" i="167"/>
  <c r="AM84" i="167"/>
  <c r="AN84" i="167" s="1"/>
  <c r="AM85" i="167"/>
  <c r="AN85" i="167" s="1"/>
  <c r="AM86" i="167"/>
  <c r="AN86" i="167" s="1"/>
  <c r="AM87" i="167"/>
  <c r="AN87" i="167" s="1"/>
  <c r="AL83" i="189"/>
  <c r="AM83" i="189" s="1"/>
  <c r="AN83" i="189" s="1"/>
  <c r="AJ27" i="199"/>
  <c r="AL27" i="199" s="1"/>
  <c r="AJ27" i="198"/>
  <c r="AL27" i="198" s="1"/>
  <c r="AJ26" i="197"/>
  <c r="AL26" i="197" s="1"/>
  <c r="AJ26" i="196"/>
  <c r="AL26" i="196" s="1"/>
  <c r="AL25" i="195"/>
  <c r="AL25" i="194"/>
  <c r="AM25" i="194" s="1"/>
  <c r="AL25" i="193"/>
  <c r="AM25" i="193" s="1"/>
  <c r="AL25" i="190"/>
  <c r="AL25" i="189"/>
  <c r="AN73" i="199" l="1"/>
  <c r="AN86" i="197"/>
  <c r="AN85" i="198" s="1"/>
  <c r="AN90" i="199" s="1"/>
  <c r="AN97" i="195"/>
  <c r="AN85" i="197"/>
  <c r="AN98" i="195"/>
  <c r="AM26" i="197"/>
  <c r="AN84" i="199"/>
  <c r="AN88" i="195"/>
  <c r="AM27" i="199"/>
  <c r="AM26" i="196"/>
  <c r="AN26" i="196" s="1"/>
  <c r="AM27" i="198"/>
  <c r="AM25" i="195"/>
  <c r="AN87" i="193"/>
  <c r="AN86" i="194" s="1"/>
  <c r="AN86" i="195" s="1"/>
  <c r="AM86" i="191"/>
  <c r="AN86" i="191" s="1"/>
  <c r="AM92" i="190"/>
  <c r="AN92" i="190" s="1"/>
  <c r="AM87" i="192"/>
  <c r="AN87" i="192" s="1"/>
  <c r="AL25" i="192"/>
  <c r="AM25" i="192" s="1"/>
  <c r="AL25" i="191"/>
  <c r="AM25" i="191" s="1"/>
  <c r="AM25" i="190"/>
  <c r="AM25" i="189"/>
  <c r="AL83" i="190"/>
  <c r="I293" i="2"/>
  <c r="I292" i="2"/>
  <c r="I294" i="2" s="1"/>
  <c r="I291" i="2"/>
  <c r="G287" i="2"/>
  <c r="G288" i="2" s="1"/>
  <c r="H277" i="2"/>
  <c r="G277" i="2"/>
  <c r="F277" i="2"/>
  <c r="E277" i="2"/>
  <c r="D277" i="2"/>
  <c r="C277" i="2"/>
  <c r="B277" i="2"/>
  <c r="I275" i="2"/>
  <c r="I272" i="2"/>
  <c r="I269" i="2"/>
  <c r="I266" i="2"/>
  <c r="I263" i="2"/>
  <c r="I260" i="2"/>
  <c r="I257" i="2"/>
  <c r="I249" i="2"/>
  <c r="G249" i="2"/>
  <c r="H249" i="2" s="1"/>
  <c r="H247" i="2"/>
  <c r="G247" i="2"/>
  <c r="F247" i="2"/>
  <c r="E247" i="2"/>
  <c r="D247" i="2"/>
  <c r="C247" i="2"/>
  <c r="B247" i="2"/>
  <c r="H238" i="2"/>
  <c r="G238" i="2"/>
  <c r="F238" i="2"/>
  <c r="E238" i="2"/>
  <c r="D238" i="2"/>
  <c r="C238" i="2"/>
  <c r="B238" i="2"/>
  <c r="I236" i="2"/>
  <c r="I233" i="2"/>
  <c r="I230" i="2"/>
  <c r="I227" i="2"/>
  <c r="I224" i="2"/>
  <c r="I221" i="2"/>
  <c r="H204" i="2"/>
  <c r="G204" i="2"/>
  <c r="F204" i="2"/>
  <c r="E204" i="2"/>
  <c r="D204" i="2"/>
  <c r="C204" i="2"/>
  <c r="B204" i="2"/>
  <c r="I202" i="2"/>
  <c r="I204" i="2" s="1"/>
  <c r="G206" i="2" s="1"/>
  <c r="H206" i="2" s="1"/>
  <c r="I206" i="2" s="1"/>
  <c r="I199" i="2"/>
  <c r="I196" i="2"/>
  <c r="I189" i="2"/>
  <c r="G191" i="2" s="1"/>
  <c r="H191" i="2" s="1"/>
  <c r="I191" i="2" s="1"/>
  <c r="H189" i="2"/>
  <c r="G189" i="2"/>
  <c r="F189" i="2"/>
  <c r="E189" i="2"/>
  <c r="E287" i="2" s="1"/>
  <c r="E288" i="2" s="1"/>
  <c r="D189" i="2"/>
  <c r="C189" i="2"/>
  <c r="B189" i="2"/>
  <c r="I187" i="2"/>
  <c r="I184" i="2"/>
  <c r="G172" i="2"/>
  <c r="H172" i="2" s="1"/>
  <c r="I172" i="2" s="1"/>
  <c r="I169" i="2"/>
  <c r="F163" i="2"/>
  <c r="E163" i="2"/>
  <c r="D163" i="2"/>
  <c r="C163" i="2"/>
  <c r="B163" i="2"/>
  <c r="I163" i="2" s="1"/>
  <c r="G165" i="2" s="1"/>
  <c r="H165" i="2" s="1"/>
  <c r="I165" i="2" s="1"/>
  <c r="I162" i="2"/>
  <c r="I157" i="2"/>
  <c r="H116" i="2"/>
  <c r="G116" i="2"/>
  <c r="F116" i="2"/>
  <c r="E116" i="2"/>
  <c r="D116" i="2"/>
  <c r="C116" i="2"/>
  <c r="B116" i="2"/>
  <c r="I115" i="2"/>
  <c r="I112" i="2"/>
  <c r="I109" i="2"/>
  <c r="I106" i="2"/>
  <c r="I103" i="2"/>
  <c r="I100" i="2"/>
  <c r="I97" i="2"/>
  <c r="I94" i="2"/>
  <c r="I91" i="2"/>
  <c r="I88" i="2"/>
  <c r="I85" i="2"/>
  <c r="I82" i="2"/>
  <c r="I79" i="2"/>
  <c r="I76" i="2"/>
  <c r="I73" i="2"/>
  <c r="H65" i="2"/>
  <c r="G65" i="2"/>
  <c r="F65" i="2"/>
  <c r="E65" i="2"/>
  <c r="D65" i="2"/>
  <c r="C65" i="2"/>
  <c r="B65" i="2"/>
  <c r="I63" i="2"/>
  <c r="I60" i="2"/>
  <c r="I57" i="2"/>
  <c r="H53" i="2"/>
  <c r="G53" i="2"/>
  <c r="F53" i="2"/>
  <c r="E53" i="2"/>
  <c r="D53" i="2"/>
  <c r="D287" i="2" s="1"/>
  <c r="D288" i="2" s="1"/>
  <c r="C53" i="2"/>
  <c r="B53" i="2"/>
  <c r="B287" i="2" s="1"/>
  <c r="B288" i="2" s="1"/>
  <c r="I51" i="2"/>
  <c r="I48" i="2"/>
  <c r="I45" i="2"/>
  <c r="I42" i="2"/>
  <c r="I39" i="2"/>
  <c r="I36" i="2"/>
  <c r="I11" i="2"/>
  <c r="G14" i="2" s="1"/>
  <c r="H14" i="2" s="1"/>
  <c r="I14" i="2" s="1"/>
  <c r="I4" i="2"/>
  <c r="G7" i="2" s="1"/>
  <c r="H7" i="2" s="1"/>
  <c r="I7" i="2" s="1"/>
  <c r="H265" i="3"/>
  <c r="G265" i="3"/>
  <c r="F265" i="3"/>
  <c r="E265" i="3"/>
  <c r="D265" i="3"/>
  <c r="C265" i="3"/>
  <c r="B265" i="3"/>
  <c r="I264" i="3"/>
  <c r="I262" i="3"/>
  <c r="I260" i="3"/>
  <c r="I258" i="3"/>
  <c r="I256" i="3"/>
  <c r="I254" i="3"/>
  <c r="I252" i="3"/>
  <c r="I250" i="3"/>
  <c r="I248" i="3"/>
  <c r="I246" i="3"/>
  <c r="I244" i="3"/>
  <c r="I242" i="3"/>
  <c r="I240" i="3"/>
  <c r="I238" i="3"/>
  <c r="I236" i="3"/>
  <c r="I265" i="3" s="1"/>
  <c r="G267" i="3" s="1"/>
  <c r="H267" i="3" s="1"/>
  <c r="I267" i="3" s="1"/>
  <c r="I226" i="3"/>
  <c r="I225" i="3"/>
  <c r="I224" i="3"/>
  <c r="I223" i="3"/>
  <c r="I214" i="3"/>
  <c r="G216" i="3" s="1"/>
  <c r="H216" i="3" s="1"/>
  <c r="I216" i="3" s="1"/>
  <c r="H214" i="3"/>
  <c r="G214" i="3"/>
  <c r="F214" i="3"/>
  <c r="E214" i="3"/>
  <c r="D214" i="3"/>
  <c r="C214" i="3"/>
  <c r="B214" i="3"/>
  <c r="I213" i="3"/>
  <c r="I211" i="3"/>
  <c r="I209" i="3"/>
  <c r="I203" i="3"/>
  <c r="G205" i="3" s="1"/>
  <c r="H205" i="3" s="1"/>
  <c r="I205" i="3" s="1"/>
  <c r="H203" i="3"/>
  <c r="G203" i="3"/>
  <c r="F203" i="3"/>
  <c r="E203" i="3"/>
  <c r="D203" i="3"/>
  <c r="C203" i="3"/>
  <c r="B203" i="3"/>
  <c r="I202" i="3"/>
  <c r="I200" i="3"/>
  <c r="I198" i="3"/>
  <c r="I196" i="3"/>
  <c r="N195" i="3"/>
  <c r="Q189" i="3" s="1"/>
  <c r="O191" i="3" s="1"/>
  <c r="Q191" i="3" s="1"/>
  <c r="O193" i="3" s="1"/>
  <c r="I194" i="3"/>
  <c r="S193" i="3"/>
  <c r="N192" i="3"/>
  <c r="I192" i="3"/>
  <c r="N191" i="3"/>
  <c r="I190" i="3"/>
  <c r="N190" i="3" s="1"/>
  <c r="S187" i="3"/>
  <c r="H182" i="3"/>
  <c r="G182" i="3"/>
  <c r="F182" i="3"/>
  <c r="E182" i="3"/>
  <c r="D182" i="3"/>
  <c r="C182" i="3"/>
  <c r="B182" i="3"/>
  <c r="I181" i="3"/>
  <c r="N173" i="3"/>
  <c r="I173" i="3"/>
  <c r="N171" i="3"/>
  <c r="I171" i="3"/>
  <c r="I182" i="3" s="1"/>
  <c r="S166" i="3"/>
  <c r="H162" i="3"/>
  <c r="G162" i="3"/>
  <c r="F162" i="3"/>
  <c r="E162" i="3"/>
  <c r="D162" i="3"/>
  <c r="C162" i="3"/>
  <c r="B162" i="3"/>
  <c r="I161" i="3"/>
  <c r="I159" i="3"/>
  <c r="I157" i="3"/>
  <c r="I155" i="3"/>
  <c r="I153" i="3"/>
  <c r="I151" i="3"/>
  <c r="I144" i="3"/>
  <c r="G146" i="3" s="1"/>
  <c r="H146" i="3" s="1"/>
  <c r="I146" i="3" s="1"/>
  <c r="H144" i="3"/>
  <c r="G144" i="3"/>
  <c r="F144" i="3"/>
  <c r="E144" i="3"/>
  <c r="D144" i="3"/>
  <c r="C144" i="3"/>
  <c r="B144" i="3"/>
  <c r="I143" i="3"/>
  <c r="N142" i="3"/>
  <c r="I141" i="3"/>
  <c r="I139" i="3"/>
  <c r="H132" i="3"/>
  <c r="G132" i="3"/>
  <c r="F132" i="3"/>
  <c r="E132" i="3"/>
  <c r="D132" i="3"/>
  <c r="C132" i="3"/>
  <c r="B132" i="3"/>
  <c r="O131" i="3"/>
  <c r="Q131" i="3" s="1"/>
  <c r="I131" i="3"/>
  <c r="N130" i="3"/>
  <c r="Q129" i="3"/>
  <c r="I129" i="3"/>
  <c r="I132" i="3" s="1"/>
  <c r="G134" i="3" s="1"/>
  <c r="H134" i="3" s="1"/>
  <c r="I134" i="3" s="1"/>
  <c r="S127" i="3"/>
  <c r="G125" i="3"/>
  <c r="H125" i="3" s="1"/>
  <c r="I125" i="3" s="1"/>
  <c r="I123" i="3"/>
  <c r="H119" i="3"/>
  <c r="I119" i="3" s="1"/>
  <c r="I117" i="3"/>
  <c r="I114" i="3"/>
  <c r="G119" i="3" s="1"/>
  <c r="H107" i="3"/>
  <c r="G107" i="3"/>
  <c r="F107" i="3"/>
  <c r="E107" i="3"/>
  <c r="D107" i="3"/>
  <c r="C107" i="3"/>
  <c r="B107" i="3"/>
  <c r="I106" i="3"/>
  <c r="I104" i="3"/>
  <c r="I102" i="3"/>
  <c r="I100" i="3"/>
  <c r="I98" i="3"/>
  <c r="I96" i="3"/>
  <c r="I94" i="3"/>
  <c r="I92" i="3"/>
  <c r="I90" i="3"/>
  <c r="I88" i="3"/>
  <c r="I86" i="3"/>
  <c r="I84" i="3"/>
  <c r="I82" i="3"/>
  <c r="I80" i="3"/>
  <c r="I78" i="3"/>
  <c r="H70" i="3"/>
  <c r="G70" i="3"/>
  <c r="F70" i="3"/>
  <c r="E70" i="3"/>
  <c r="D70" i="3"/>
  <c r="C70" i="3"/>
  <c r="B70" i="3"/>
  <c r="I69" i="3"/>
  <c r="M66" i="3"/>
  <c r="I65" i="3"/>
  <c r="I63" i="3"/>
  <c r="I61" i="3"/>
  <c r="N49" i="3" s="1"/>
  <c r="I59" i="3"/>
  <c r="N44" i="3" s="1"/>
  <c r="I57" i="3"/>
  <c r="I55" i="3"/>
  <c r="N54" i="3"/>
  <c r="N53" i="3"/>
  <c r="I53" i="3"/>
  <c r="N43" i="3" s="1"/>
  <c r="N51" i="3"/>
  <c r="I51" i="3"/>
  <c r="N52" i="3" s="1"/>
  <c r="I49" i="3"/>
  <c r="N48" i="3"/>
  <c r="N47" i="3"/>
  <c r="I47" i="3"/>
  <c r="I45" i="3"/>
  <c r="I43" i="3"/>
  <c r="N46" i="3" s="1"/>
  <c r="N42" i="3"/>
  <c r="I41" i="3"/>
  <c r="H34" i="3"/>
  <c r="H220" i="3" s="1"/>
  <c r="H221" i="3" s="1"/>
  <c r="G34" i="3"/>
  <c r="F34" i="3"/>
  <c r="E34" i="3"/>
  <c r="E220" i="3" s="1"/>
  <c r="E221" i="3" s="1"/>
  <c r="D34" i="3"/>
  <c r="C34" i="3"/>
  <c r="B34" i="3"/>
  <c r="B220" i="3" s="1"/>
  <c r="B221" i="3" s="1"/>
  <c r="M33" i="3"/>
  <c r="I33" i="3"/>
  <c r="I31" i="3"/>
  <c r="I29" i="3"/>
  <c r="H25" i="3"/>
  <c r="G25" i="3"/>
  <c r="F25" i="3"/>
  <c r="E25" i="3"/>
  <c r="D25" i="3"/>
  <c r="C25" i="3"/>
  <c r="C220" i="3" s="1"/>
  <c r="C221" i="3" s="1"/>
  <c r="B25" i="3"/>
  <c r="I24" i="3"/>
  <c r="I25" i="3" s="1"/>
  <c r="I22" i="3"/>
  <c r="I20" i="3"/>
  <c r="N18" i="3"/>
  <c r="N21" i="3" s="1"/>
  <c r="I18" i="3"/>
  <c r="N16" i="3"/>
  <c r="I16" i="3"/>
  <c r="I14" i="3"/>
  <c r="N15" i="3" s="1"/>
  <c r="I8" i="3"/>
  <c r="I4" i="3"/>
  <c r="I156" i="1"/>
  <c r="I155" i="1"/>
  <c r="I154" i="1"/>
  <c r="I153" i="1"/>
  <c r="H148" i="1"/>
  <c r="E148" i="1"/>
  <c r="H144" i="1"/>
  <c r="G144" i="1"/>
  <c r="F144" i="1"/>
  <c r="E144" i="1"/>
  <c r="D144" i="1"/>
  <c r="C144" i="1"/>
  <c r="B144" i="1"/>
  <c r="I143" i="1"/>
  <c r="I141" i="1"/>
  <c r="I139" i="1"/>
  <c r="I137" i="1"/>
  <c r="I135" i="1"/>
  <c r="I144" i="1" s="1"/>
  <c r="I127" i="1"/>
  <c r="I122" i="1"/>
  <c r="H117" i="1"/>
  <c r="G117" i="1"/>
  <c r="F117" i="1"/>
  <c r="E117" i="1"/>
  <c r="D117" i="1"/>
  <c r="C117" i="1"/>
  <c r="B117" i="1"/>
  <c r="I116" i="1"/>
  <c r="I114" i="1"/>
  <c r="I112" i="1"/>
  <c r="I117" i="1" s="1"/>
  <c r="I107" i="1"/>
  <c r="I102" i="1"/>
  <c r="H98" i="1"/>
  <c r="G98" i="1"/>
  <c r="F98" i="1"/>
  <c r="E98" i="1"/>
  <c r="D98" i="1"/>
  <c r="C98" i="1"/>
  <c r="B98" i="1"/>
  <c r="I97" i="1"/>
  <c r="I95" i="1"/>
  <c r="I93" i="1"/>
  <c r="I98" i="1" s="1"/>
  <c r="H89" i="1"/>
  <c r="G89" i="1"/>
  <c r="F89" i="1"/>
  <c r="E89" i="1"/>
  <c r="D89" i="1"/>
  <c r="C89" i="1"/>
  <c r="B89" i="1"/>
  <c r="I88" i="1"/>
  <c r="I86" i="1"/>
  <c r="I84" i="1"/>
  <c r="I82" i="1"/>
  <c r="I80" i="1"/>
  <c r="I78" i="1"/>
  <c r="H74" i="1"/>
  <c r="G74" i="1"/>
  <c r="F74" i="1"/>
  <c r="E74" i="1"/>
  <c r="D74" i="1"/>
  <c r="C74" i="1"/>
  <c r="B74" i="1"/>
  <c r="I73" i="1"/>
  <c r="I71" i="1"/>
  <c r="I74" i="1" s="1"/>
  <c r="I69" i="1"/>
  <c r="H65" i="1"/>
  <c r="G65" i="1"/>
  <c r="F65" i="1"/>
  <c r="E65" i="1"/>
  <c r="D65" i="1"/>
  <c r="C65" i="1"/>
  <c r="B65" i="1"/>
  <c r="I64" i="1"/>
  <c r="I62" i="1"/>
  <c r="I60" i="1"/>
  <c r="I58" i="1"/>
  <c r="I56" i="1"/>
  <c r="I54" i="1"/>
  <c r="I52" i="1"/>
  <c r="I50" i="1"/>
  <c r="I48" i="1"/>
  <c r="I46" i="1"/>
  <c r="I44" i="1"/>
  <c r="I42" i="1"/>
  <c r="I40" i="1"/>
  <c r="I38" i="1"/>
  <c r="I36" i="1"/>
  <c r="H30" i="1"/>
  <c r="G30" i="1"/>
  <c r="F30" i="1"/>
  <c r="E30" i="1"/>
  <c r="D30" i="1"/>
  <c r="D148" i="1" s="1"/>
  <c r="C30" i="1"/>
  <c r="B30" i="1"/>
  <c r="I29" i="1"/>
  <c r="I27" i="1"/>
  <c r="I25" i="1"/>
  <c r="I30" i="1" s="1"/>
  <c r="H20" i="1"/>
  <c r="G20" i="1"/>
  <c r="G148" i="1" s="1"/>
  <c r="F20" i="1"/>
  <c r="E20" i="1"/>
  <c r="D20" i="1"/>
  <c r="C20" i="1"/>
  <c r="C148" i="1" s="1"/>
  <c r="B20" i="1"/>
  <c r="B148" i="1" s="1"/>
  <c r="I19" i="1"/>
  <c r="I17" i="1"/>
  <c r="I15" i="1"/>
  <c r="I13" i="1"/>
  <c r="I11" i="1"/>
  <c r="I20" i="1" s="1"/>
  <c r="I9" i="1"/>
  <c r="I4" i="1"/>
  <c r="C20" i="187"/>
  <c r="C19" i="187"/>
  <c r="C15" i="187"/>
  <c r="C14" i="187"/>
  <c r="F10" i="187"/>
  <c r="E10" i="187"/>
  <c r="D10" i="187"/>
  <c r="C10" i="187"/>
  <c r="F9" i="187"/>
  <c r="E9" i="187"/>
  <c r="D9" i="187"/>
  <c r="C9" i="187"/>
  <c r="F8" i="187"/>
  <c r="E8" i="187"/>
  <c r="D8" i="187"/>
  <c r="C8" i="187"/>
  <c r="AJ138" i="199"/>
  <c r="AL138" i="199" s="1"/>
  <c r="AM138" i="199" s="1"/>
  <c r="AJ137" i="199"/>
  <c r="AL137" i="199" s="1"/>
  <c r="AJ130" i="199"/>
  <c r="AL130" i="199" s="1"/>
  <c r="AJ129" i="199"/>
  <c r="AL129" i="199" s="1"/>
  <c r="AJ122" i="199"/>
  <c r="AL122" i="199" s="1"/>
  <c r="AJ121" i="199"/>
  <c r="AL121" i="199" s="1"/>
  <c r="AJ88" i="199"/>
  <c r="AL88" i="199" s="1"/>
  <c r="AJ87" i="199"/>
  <c r="AL87" i="199" s="1"/>
  <c r="AJ86" i="199"/>
  <c r="AL86" i="199" s="1"/>
  <c r="AJ72" i="199"/>
  <c r="AJ71" i="199"/>
  <c r="AL71" i="199" s="1"/>
  <c r="AJ70" i="199"/>
  <c r="AL70" i="199" s="1"/>
  <c r="AM70" i="199" s="1"/>
  <c r="AJ69" i="199"/>
  <c r="AL69" i="199" s="1"/>
  <c r="AM69" i="199" s="1"/>
  <c r="AJ68" i="199"/>
  <c r="AJ67" i="199"/>
  <c r="AL67" i="199" s="1"/>
  <c r="AJ66" i="199"/>
  <c r="AJ65" i="199"/>
  <c r="AL65" i="199" s="1"/>
  <c r="AJ134" i="198"/>
  <c r="AL134" i="198" s="1"/>
  <c r="AM134" i="198" s="1"/>
  <c r="AJ133" i="198"/>
  <c r="AL133" i="198" s="1"/>
  <c r="AJ126" i="198"/>
  <c r="AL126" i="198" s="1"/>
  <c r="AJ125" i="198"/>
  <c r="AL125" i="198" s="1"/>
  <c r="AJ118" i="198"/>
  <c r="AL118" i="198" s="1"/>
  <c r="AJ117" i="198"/>
  <c r="AL117" i="198" s="1"/>
  <c r="AJ83" i="198"/>
  <c r="AL83" i="198" s="1"/>
  <c r="AJ82" i="198"/>
  <c r="AL82" i="198" s="1"/>
  <c r="AJ81" i="198"/>
  <c r="AL81" i="198" s="1"/>
  <c r="AJ72" i="198"/>
  <c r="AJ71" i="198"/>
  <c r="AL71" i="198" s="1"/>
  <c r="AM71" i="198" s="1"/>
  <c r="AJ70" i="198"/>
  <c r="AL70" i="198" s="1"/>
  <c r="AM70" i="198" s="1"/>
  <c r="AJ69" i="198"/>
  <c r="AL69" i="198" s="1"/>
  <c r="AJ68" i="198"/>
  <c r="AJ67" i="198"/>
  <c r="AL67" i="198" s="1"/>
  <c r="AJ66" i="198"/>
  <c r="AJ65" i="198"/>
  <c r="AL65" i="198" s="1"/>
  <c r="AJ131" i="197"/>
  <c r="AL131" i="197" s="1"/>
  <c r="AJ130" i="197"/>
  <c r="AL130" i="197" s="1"/>
  <c r="AJ123" i="197"/>
  <c r="AL123" i="197" s="1"/>
  <c r="AJ122" i="197"/>
  <c r="AL122" i="197" s="1"/>
  <c r="AJ115" i="197"/>
  <c r="AL115" i="197" s="1"/>
  <c r="AJ114" i="197"/>
  <c r="AL114" i="197" s="1"/>
  <c r="AJ84" i="197"/>
  <c r="AL84" i="197" s="1"/>
  <c r="AJ83" i="197"/>
  <c r="AL83" i="197" s="1"/>
  <c r="AJ82" i="197"/>
  <c r="AL82" i="197" s="1"/>
  <c r="AJ72" i="197"/>
  <c r="AJ71" i="197"/>
  <c r="AL71" i="197" s="1"/>
  <c r="AJ70" i="197"/>
  <c r="AJ69" i="197"/>
  <c r="AJ68" i="197"/>
  <c r="AL68" i="197" s="1"/>
  <c r="AJ67" i="197"/>
  <c r="AJ66" i="197"/>
  <c r="AL66" i="197" s="1"/>
  <c r="AJ65" i="197"/>
  <c r="AJ64" i="197"/>
  <c r="AL64" i="197" s="1"/>
  <c r="AJ130" i="196"/>
  <c r="AL130" i="196" s="1"/>
  <c r="AJ129" i="196"/>
  <c r="AL129" i="196" s="1"/>
  <c r="AJ122" i="196"/>
  <c r="AL122" i="196" s="1"/>
  <c r="AJ121" i="196"/>
  <c r="AL121" i="196" s="1"/>
  <c r="AJ114" i="196"/>
  <c r="AL114" i="196" s="1"/>
  <c r="AJ113" i="196"/>
  <c r="AL113" i="196" s="1"/>
  <c r="AJ84" i="196"/>
  <c r="AL84" i="196" s="1"/>
  <c r="AJ83" i="196"/>
  <c r="AL83" i="196" s="1"/>
  <c r="AJ82" i="196"/>
  <c r="AL82" i="196" s="1"/>
  <c r="AM82" i="196" s="1"/>
  <c r="AN82" i="196" s="1"/>
  <c r="AJ72" i="196"/>
  <c r="AJ71" i="196"/>
  <c r="AL71" i="196" s="1"/>
  <c r="AM71" i="196" s="1"/>
  <c r="AN71" i="196" s="1"/>
  <c r="AJ70" i="196"/>
  <c r="AJ69" i="196"/>
  <c r="AJ68" i="196"/>
  <c r="AL68" i="196" s="1"/>
  <c r="AJ67" i="196"/>
  <c r="AJ66" i="196"/>
  <c r="AL66" i="196" s="1"/>
  <c r="AJ65" i="196"/>
  <c r="AJ64" i="196"/>
  <c r="AL64" i="196" s="1"/>
  <c r="AJ140" i="195"/>
  <c r="AL140" i="195" s="1"/>
  <c r="AJ139" i="195"/>
  <c r="AL139" i="195" s="1"/>
  <c r="AJ129" i="195"/>
  <c r="AL129" i="195" s="1"/>
  <c r="AJ128" i="195"/>
  <c r="AL128" i="195" s="1"/>
  <c r="AJ118" i="195"/>
  <c r="AL118" i="195" s="1"/>
  <c r="AJ117" i="195"/>
  <c r="AL117" i="195" s="1"/>
  <c r="AJ96" i="195"/>
  <c r="AL96" i="195" s="1"/>
  <c r="AL95" i="195"/>
  <c r="AL94" i="195"/>
  <c r="AL80" i="195"/>
  <c r="AL79" i="195"/>
  <c r="AL78" i="195"/>
  <c r="AL77" i="195"/>
  <c r="AL75" i="195"/>
  <c r="AL74" i="195"/>
  <c r="AL71" i="195"/>
  <c r="AL69" i="195"/>
  <c r="AL67" i="195"/>
  <c r="AL66" i="195"/>
  <c r="AJ138" i="194"/>
  <c r="AL138" i="194" s="1"/>
  <c r="AJ137" i="194"/>
  <c r="AJ127" i="194"/>
  <c r="AJ126" i="194"/>
  <c r="AL126" i="194" s="1"/>
  <c r="AJ116" i="194"/>
  <c r="AL116" i="194" s="1"/>
  <c r="AJ115" i="194"/>
  <c r="AL115" i="194" s="1"/>
  <c r="AJ96" i="194"/>
  <c r="AL95" i="194"/>
  <c r="AL80" i="194"/>
  <c r="AL79" i="194"/>
  <c r="AM79" i="194" s="1"/>
  <c r="AL78" i="194"/>
  <c r="AM78" i="194" s="1"/>
  <c r="AL76" i="194"/>
  <c r="AM76" i="194" s="1"/>
  <c r="AL73" i="194"/>
  <c r="AL72" i="194"/>
  <c r="AM72" i="194" s="1"/>
  <c r="AL70" i="194"/>
  <c r="AL67" i="194"/>
  <c r="AL66" i="194"/>
  <c r="AJ142" i="193"/>
  <c r="AJ141" i="193"/>
  <c r="AJ131" i="193"/>
  <c r="AL131" i="193" s="1"/>
  <c r="AM131" i="193" s="1"/>
  <c r="AJ130" i="193"/>
  <c r="AJ120" i="193"/>
  <c r="AL120" i="193" s="1"/>
  <c r="AM120" i="193" s="1"/>
  <c r="AJ119" i="193"/>
  <c r="AL119" i="193" s="1"/>
  <c r="AM119" i="193" s="1"/>
  <c r="AJ93" i="193"/>
  <c r="AL93" i="193" s="1"/>
  <c r="AM93" i="193" s="1"/>
  <c r="AJ91" i="193"/>
  <c r="AJ83" i="193"/>
  <c r="AL83" i="193" s="1"/>
  <c r="AM83" i="193" s="1"/>
  <c r="AL82" i="193"/>
  <c r="AL80" i="193"/>
  <c r="AM80" i="193" s="1"/>
  <c r="AJ79" i="193"/>
  <c r="AL78" i="193"/>
  <c r="AM78" i="193" s="1"/>
  <c r="AJ68" i="193"/>
  <c r="AL67" i="193"/>
  <c r="AM67" i="193" s="1"/>
  <c r="AJ139" i="192"/>
  <c r="AJ138" i="192"/>
  <c r="AJ128" i="192"/>
  <c r="AL128" i="192" s="1"/>
  <c r="AM128" i="192" s="1"/>
  <c r="AJ127" i="192"/>
  <c r="AJ117" i="192"/>
  <c r="AL117" i="192" s="1"/>
  <c r="AM117" i="192" s="1"/>
  <c r="AL116" i="192"/>
  <c r="AJ97" i="192"/>
  <c r="AJ96" i="192"/>
  <c r="AL96" i="192" s="1"/>
  <c r="AM96" i="192" s="1"/>
  <c r="AJ95" i="192"/>
  <c r="AJ94" i="192"/>
  <c r="AL93" i="192"/>
  <c r="AL92" i="192"/>
  <c r="AM92" i="192" s="1"/>
  <c r="AL85" i="192"/>
  <c r="AM85" i="192" s="1"/>
  <c r="AL83" i="192"/>
  <c r="AM83" i="192" s="1"/>
  <c r="AL79" i="192"/>
  <c r="AM79" i="192" s="1"/>
  <c r="AL75" i="192"/>
  <c r="AM75" i="192" s="1"/>
  <c r="AL72" i="192"/>
  <c r="AL71" i="192"/>
  <c r="AM71" i="192" s="1"/>
  <c r="AL66" i="192"/>
  <c r="AJ138" i="191"/>
  <c r="AL138" i="191" s="1"/>
  <c r="AL137" i="191"/>
  <c r="AL127" i="191"/>
  <c r="AL126" i="191"/>
  <c r="AL115" i="191"/>
  <c r="AJ96" i="191"/>
  <c r="AL96" i="191" s="1"/>
  <c r="AJ95" i="191"/>
  <c r="AL95" i="191" s="1"/>
  <c r="AJ94" i="191"/>
  <c r="AL94" i="191" s="1"/>
  <c r="AJ93" i="191"/>
  <c r="AL93" i="191" s="1"/>
  <c r="AL92" i="191"/>
  <c r="AM92" i="191" s="1"/>
  <c r="AL91" i="191"/>
  <c r="AL90" i="191"/>
  <c r="AL85" i="191"/>
  <c r="AL84" i="191"/>
  <c r="AJ83" i="191"/>
  <c r="AL82" i="191"/>
  <c r="AL81" i="191"/>
  <c r="AL80" i="191"/>
  <c r="AL79" i="191"/>
  <c r="AL78" i="191"/>
  <c r="AL77" i="191"/>
  <c r="AL76" i="191"/>
  <c r="AL74" i="191"/>
  <c r="AL73" i="191"/>
  <c r="AL72" i="191"/>
  <c r="AM72" i="191" s="1"/>
  <c r="AL71" i="191"/>
  <c r="AL70" i="191"/>
  <c r="AL69" i="191"/>
  <c r="AL68" i="191"/>
  <c r="AL67" i="191"/>
  <c r="AL66" i="191"/>
  <c r="AM66" i="191" s="1"/>
  <c r="AL135" i="190"/>
  <c r="AJ135" i="190"/>
  <c r="AL134" i="190"/>
  <c r="AL123" i="190"/>
  <c r="AL113" i="190"/>
  <c r="AL112" i="190"/>
  <c r="AM112" i="190" s="1"/>
  <c r="AJ93" i="190"/>
  <c r="AL93" i="190" s="1"/>
  <c r="AL91" i="190"/>
  <c r="AL90" i="190"/>
  <c r="AM90" i="190" s="1"/>
  <c r="AL87" i="190"/>
  <c r="AJ86" i="190"/>
  <c r="AL86" i="190" s="1"/>
  <c r="AJ85" i="190"/>
  <c r="AL85" i="190" s="1"/>
  <c r="AJ84" i="190"/>
  <c r="AL84" i="190" s="1"/>
  <c r="AL82" i="190"/>
  <c r="AM82" i="190" s="1"/>
  <c r="AL81" i="190"/>
  <c r="AL80" i="190"/>
  <c r="AL79" i="190"/>
  <c r="AL78" i="190"/>
  <c r="AL76" i="190"/>
  <c r="AL73" i="190"/>
  <c r="AM73" i="190" s="1"/>
  <c r="AL72" i="190"/>
  <c r="AM72" i="190" s="1"/>
  <c r="AL70" i="190"/>
  <c r="AL69" i="190"/>
  <c r="AM69" i="190" s="1"/>
  <c r="AL68" i="190"/>
  <c r="AL67" i="190"/>
  <c r="AL66" i="190"/>
  <c r="AJ137" i="189"/>
  <c r="AL137" i="189" s="1"/>
  <c r="AL126" i="189"/>
  <c r="AL115" i="189"/>
  <c r="AM115" i="189" s="1"/>
  <c r="AL114" i="189"/>
  <c r="AJ95" i="189"/>
  <c r="AJ94" i="189"/>
  <c r="AJ91" i="189"/>
  <c r="AL91" i="189" s="1"/>
  <c r="AM91" i="189" s="1"/>
  <c r="AL90" i="189"/>
  <c r="AL89" i="189"/>
  <c r="AJ87" i="189"/>
  <c r="AJ86" i="189"/>
  <c r="AL86" i="189" s="1"/>
  <c r="AJ85" i="189"/>
  <c r="AL85" i="189" s="1"/>
  <c r="AL84" i="189"/>
  <c r="AL82" i="189"/>
  <c r="AL78" i="189"/>
  <c r="AM78" i="189" s="1"/>
  <c r="AL77" i="189"/>
  <c r="AL76" i="189"/>
  <c r="AL72" i="189"/>
  <c r="AL71" i="189"/>
  <c r="AM71" i="189" s="1"/>
  <c r="AL67" i="189"/>
  <c r="AL66" i="189"/>
  <c r="AJ138" i="167"/>
  <c r="AL138" i="167" s="1"/>
  <c r="AL137" i="167"/>
  <c r="AJ137" i="167"/>
  <c r="AJ127" i="167"/>
  <c r="AJ126" i="167"/>
  <c r="AJ116" i="167"/>
  <c r="AL115" i="167"/>
  <c r="AM115" i="167" s="1"/>
  <c r="AN115" i="167" s="1"/>
  <c r="AJ115" i="167"/>
  <c r="AL96" i="167"/>
  <c r="AL95" i="167"/>
  <c r="AM94" i="167"/>
  <c r="AN94" i="167" s="1"/>
  <c r="AL94" i="167"/>
  <c r="AL91" i="167"/>
  <c r="AL90" i="167"/>
  <c r="AM90" i="167" s="1"/>
  <c r="AN90" i="167" s="1"/>
  <c r="AL80" i="167"/>
  <c r="AM80" i="167" s="1"/>
  <c r="AN80" i="167" s="1"/>
  <c r="AL77" i="167"/>
  <c r="AM77" i="167" s="1"/>
  <c r="AN77" i="167" s="1"/>
  <c r="AL76" i="167"/>
  <c r="AM76" i="167" s="1"/>
  <c r="AN76" i="167" s="1"/>
  <c r="AL74" i="167"/>
  <c r="AM74" i="167" s="1"/>
  <c r="AN74" i="167" s="1"/>
  <c r="AL73" i="167"/>
  <c r="AM73" i="167" s="1"/>
  <c r="AN73" i="167" s="1"/>
  <c r="AL71" i="167"/>
  <c r="AM71" i="167" s="1"/>
  <c r="AN71" i="167" s="1"/>
  <c r="AL70" i="167"/>
  <c r="AM70" i="167" s="1"/>
  <c r="AN70" i="167" s="1"/>
  <c r="AL68" i="167"/>
  <c r="AL67" i="167"/>
  <c r="AM67" i="167" s="1"/>
  <c r="AN67" i="167" s="1"/>
  <c r="AL25" i="167"/>
  <c r="AM25" i="167" s="1"/>
  <c r="AN25" i="167" s="1"/>
  <c r="AN26" i="197" l="1"/>
  <c r="AN27" i="198" s="1"/>
  <c r="AN27" i="199" s="1"/>
  <c r="AM80" i="195"/>
  <c r="AM129" i="195"/>
  <c r="AM66" i="195"/>
  <c r="AM128" i="195"/>
  <c r="AM69" i="195"/>
  <c r="AM95" i="195"/>
  <c r="AM122" i="196"/>
  <c r="AN122" i="196" s="1"/>
  <c r="AM64" i="196"/>
  <c r="AN64" i="196" s="1"/>
  <c r="AM66" i="196"/>
  <c r="AN66" i="196" s="1"/>
  <c r="AM113" i="196"/>
  <c r="AN113" i="196" s="1"/>
  <c r="AM130" i="196"/>
  <c r="AN130" i="196" s="1"/>
  <c r="AM83" i="196"/>
  <c r="AN83" i="196" s="1"/>
  <c r="AM121" i="196"/>
  <c r="AN121" i="196" s="1"/>
  <c r="AM83" i="197"/>
  <c r="AM115" i="197"/>
  <c r="AM122" i="197"/>
  <c r="AM71" i="197"/>
  <c r="AN71" i="197" s="1"/>
  <c r="AN71" i="198" s="1"/>
  <c r="AM131" i="197"/>
  <c r="AM82" i="197"/>
  <c r="AN82" i="197" s="1"/>
  <c r="AM114" i="197"/>
  <c r="AM67" i="198"/>
  <c r="AM125" i="198"/>
  <c r="AM82" i="198"/>
  <c r="AM67" i="199"/>
  <c r="AM122" i="199"/>
  <c r="AM87" i="199"/>
  <c r="AM129" i="199"/>
  <c r="AM86" i="199"/>
  <c r="AM71" i="199"/>
  <c r="AM130" i="199"/>
  <c r="AM121" i="199"/>
  <c r="AM65" i="199"/>
  <c r="AN92" i="191"/>
  <c r="AM116" i="194"/>
  <c r="AM70" i="194"/>
  <c r="AM138" i="194"/>
  <c r="AL96" i="194"/>
  <c r="AM96" i="194" s="1"/>
  <c r="AL72" i="193"/>
  <c r="AM72" i="193" s="1"/>
  <c r="AL70" i="193"/>
  <c r="AM70" i="193" s="1"/>
  <c r="AM96" i="191"/>
  <c r="AM90" i="191"/>
  <c r="AL69" i="192"/>
  <c r="AM69" i="192" s="1"/>
  <c r="AL90" i="192"/>
  <c r="AM90" i="192" s="1"/>
  <c r="AL77" i="192"/>
  <c r="AM77" i="192" s="1"/>
  <c r="AM116" i="192"/>
  <c r="AM76" i="191"/>
  <c r="AM81" i="191"/>
  <c r="AL89" i="191"/>
  <c r="AM89" i="191" s="1"/>
  <c r="AN25" i="189"/>
  <c r="AN25" i="190" s="1"/>
  <c r="AN25" i="191" s="1"/>
  <c r="AN25" i="192" s="1"/>
  <c r="AN25" i="193" s="1"/>
  <c r="AN25" i="194" s="1"/>
  <c r="AN25" i="195" s="1"/>
  <c r="AL83" i="191"/>
  <c r="AM83" i="191" s="1"/>
  <c r="AM126" i="191"/>
  <c r="AM85" i="190"/>
  <c r="AL116" i="191"/>
  <c r="AM116" i="191" s="1"/>
  <c r="AM76" i="190"/>
  <c r="AM93" i="191"/>
  <c r="AL75" i="191"/>
  <c r="AM75" i="191" s="1"/>
  <c r="AM70" i="191"/>
  <c r="AM81" i="190"/>
  <c r="AM67" i="191"/>
  <c r="AM73" i="191"/>
  <c r="AM78" i="191"/>
  <c r="AM84" i="191"/>
  <c r="AL124" i="190"/>
  <c r="AM124" i="190" s="1"/>
  <c r="AM79" i="190"/>
  <c r="AM66" i="190"/>
  <c r="AL89" i="190"/>
  <c r="AM89" i="190" s="1"/>
  <c r="AM113" i="190"/>
  <c r="AM83" i="190"/>
  <c r="AN83" i="190" s="1"/>
  <c r="AL75" i="189"/>
  <c r="AM75" i="189" s="1"/>
  <c r="AL68" i="189"/>
  <c r="AM68" i="189" s="1"/>
  <c r="AL94" i="189"/>
  <c r="AM94" i="189" s="1"/>
  <c r="AL87" i="189"/>
  <c r="AM87" i="189" s="1"/>
  <c r="AL76" i="193"/>
  <c r="AM76" i="193" s="1"/>
  <c r="AN71" i="189"/>
  <c r="AL78" i="167"/>
  <c r="AM78" i="167" s="1"/>
  <c r="AN78" i="167" s="1"/>
  <c r="AN78" i="189" s="1"/>
  <c r="AM68" i="167"/>
  <c r="AN68" i="167" s="1"/>
  <c r="AL81" i="167"/>
  <c r="AM81" i="167" s="1"/>
  <c r="AN81" i="167" s="1"/>
  <c r="AM95" i="167"/>
  <c r="AN95" i="167" s="1"/>
  <c r="AM138" i="167"/>
  <c r="AN138" i="167" s="1"/>
  <c r="AM126" i="189"/>
  <c r="AL66" i="167"/>
  <c r="AM66" i="167" s="1"/>
  <c r="AN66" i="167" s="1"/>
  <c r="AM86" i="190"/>
  <c r="AM126" i="167"/>
  <c r="AN126" i="167" s="1"/>
  <c r="AL72" i="167"/>
  <c r="AM72" i="167" s="1"/>
  <c r="AN72" i="167" s="1"/>
  <c r="AL69" i="189"/>
  <c r="AM69" i="189" s="1"/>
  <c r="AM76" i="189"/>
  <c r="AN76" i="189" s="1"/>
  <c r="AM84" i="189"/>
  <c r="AN84" i="189" s="1"/>
  <c r="AL75" i="167"/>
  <c r="AM75" i="167" s="1"/>
  <c r="AN75" i="167" s="1"/>
  <c r="AM72" i="189"/>
  <c r="AL79" i="189"/>
  <c r="AM79" i="189" s="1"/>
  <c r="AM70" i="190"/>
  <c r="G36" i="3"/>
  <c r="H36" i="3" s="1"/>
  <c r="I36" i="3" s="1"/>
  <c r="M35" i="3"/>
  <c r="AL69" i="167"/>
  <c r="AM69" i="167" s="1"/>
  <c r="AN69" i="167" s="1"/>
  <c r="AM91" i="167"/>
  <c r="AN91" i="167" s="1"/>
  <c r="AN91" i="189" s="1"/>
  <c r="AL80" i="189"/>
  <c r="AM80" i="189" s="1"/>
  <c r="AN80" i="189" s="1"/>
  <c r="AL77" i="190"/>
  <c r="AM77" i="190" s="1"/>
  <c r="AL116" i="167"/>
  <c r="AM116" i="167" s="1"/>
  <c r="AN116" i="167" s="1"/>
  <c r="AN115" i="189" s="1"/>
  <c r="AM89" i="189"/>
  <c r="AL92" i="167"/>
  <c r="AM92" i="167" s="1"/>
  <c r="AN92" i="167" s="1"/>
  <c r="AL126" i="167"/>
  <c r="AL95" i="189"/>
  <c r="AM95" i="189" s="1"/>
  <c r="AL125" i="189"/>
  <c r="AM125" i="189" s="1"/>
  <c r="AN125" i="189" s="1"/>
  <c r="AM134" i="190"/>
  <c r="O25" i="3"/>
  <c r="M27" i="3" s="1"/>
  <c r="P27" i="3"/>
  <c r="AL138" i="192"/>
  <c r="AM138" i="192" s="1"/>
  <c r="AL81" i="194"/>
  <c r="AM81" i="194" s="1"/>
  <c r="AL73" i="195"/>
  <c r="AM73" i="195" s="1"/>
  <c r="AM117" i="195"/>
  <c r="AM66" i="189"/>
  <c r="AM77" i="189"/>
  <c r="AN77" i="189" s="1"/>
  <c r="AM85" i="189"/>
  <c r="AM114" i="189"/>
  <c r="AN114" i="189" s="1"/>
  <c r="AN112" i="190" s="1"/>
  <c r="AM67" i="190"/>
  <c r="AM78" i="190"/>
  <c r="AM91" i="190"/>
  <c r="AM69" i="191"/>
  <c r="AM80" i="191"/>
  <c r="AM95" i="191"/>
  <c r="AM66" i="192"/>
  <c r="AL78" i="192"/>
  <c r="AM78" i="192" s="1"/>
  <c r="AL95" i="192"/>
  <c r="AM95" i="192" s="1"/>
  <c r="AM67" i="194"/>
  <c r="AM95" i="194"/>
  <c r="AM126" i="194"/>
  <c r="AL66" i="198"/>
  <c r="AM66" i="198" s="1"/>
  <c r="I107" i="3"/>
  <c r="G109" i="3" s="1"/>
  <c r="H109" i="3" s="1"/>
  <c r="I109" i="3" s="1"/>
  <c r="AL130" i="193"/>
  <c r="AM130" i="193" s="1"/>
  <c r="AL75" i="194"/>
  <c r="AM75" i="194" s="1"/>
  <c r="AL66" i="199"/>
  <c r="AM66" i="199" s="1"/>
  <c r="AL93" i="167"/>
  <c r="AM93" i="167" s="1"/>
  <c r="AN93" i="167" s="1"/>
  <c r="AL127" i="167"/>
  <c r="AM127" i="167" s="1"/>
  <c r="AN127" i="167" s="1"/>
  <c r="AL70" i="189"/>
  <c r="AM70" i="189" s="1"/>
  <c r="AN70" i="189" s="1"/>
  <c r="AL74" i="189"/>
  <c r="AM74" i="189" s="1"/>
  <c r="AN74" i="189" s="1"/>
  <c r="AL81" i="189"/>
  <c r="AM81" i="189" s="1"/>
  <c r="AL93" i="189"/>
  <c r="AM93" i="189" s="1"/>
  <c r="AL136" i="189"/>
  <c r="AM136" i="189" s="1"/>
  <c r="AL71" i="190"/>
  <c r="AM71" i="190" s="1"/>
  <c r="AL75" i="190"/>
  <c r="AM75" i="190" s="1"/>
  <c r="AL74" i="193"/>
  <c r="AM74" i="193" s="1"/>
  <c r="AL91" i="193"/>
  <c r="AM91" i="193" s="1"/>
  <c r="AN91" i="193" s="1"/>
  <c r="AN89" i="195" s="1"/>
  <c r="AM74" i="195"/>
  <c r="AM78" i="195"/>
  <c r="AM118" i="195"/>
  <c r="AM64" i="197"/>
  <c r="AM123" i="197"/>
  <c r="AM81" i="198"/>
  <c r="AN81" i="198" s="1"/>
  <c r="AL72" i="199"/>
  <c r="AM72" i="199" s="1"/>
  <c r="AL74" i="192"/>
  <c r="AM74" i="192" s="1"/>
  <c r="AL69" i="193"/>
  <c r="AM69" i="193" s="1"/>
  <c r="B149" i="1"/>
  <c r="I149" i="1" s="1"/>
  <c r="H149" i="1"/>
  <c r="H150" i="1" s="1"/>
  <c r="G149" i="1"/>
  <c r="G150" i="1" s="1"/>
  <c r="F149" i="1"/>
  <c r="E149" i="1"/>
  <c r="D149" i="1"/>
  <c r="AM96" i="167"/>
  <c r="AN96" i="167" s="1"/>
  <c r="AM90" i="189"/>
  <c r="AN90" i="189" s="1"/>
  <c r="AN90" i="190" s="1"/>
  <c r="AM82" i="167"/>
  <c r="AN82" i="167" s="1"/>
  <c r="AL79" i="167"/>
  <c r="AM79" i="167" s="1"/>
  <c r="AN79" i="167" s="1"/>
  <c r="AM67" i="189"/>
  <c r="AN67" i="189" s="1"/>
  <c r="AM86" i="189"/>
  <c r="AN86" i="189" s="1"/>
  <c r="AM68" i="190"/>
  <c r="AM84" i="190"/>
  <c r="AM123" i="190"/>
  <c r="AM74" i="191"/>
  <c r="AM85" i="191"/>
  <c r="AM127" i="191"/>
  <c r="AL91" i="192"/>
  <c r="AM91" i="192" s="1"/>
  <c r="AL66" i="193"/>
  <c r="AM66" i="193" s="1"/>
  <c r="AL81" i="193"/>
  <c r="AM81" i="193" s="1"/>
  <c r="AL127" i="194"/>
  <c r="AM127" i="194" s="1"/>
  <c r="AL65" i="197"/>
  <c r="AM65" i="197" s="1"/>
  <c r="I34" i="3"/>
  <c r="I220" i="3" s="1"/>
  <c r="I221" i="3" s="1"/>
  <c r="I70" i="3"/>
  <c r="G72" i="3" s="1"/>
  <c r="H72" i="3" s="1"/>
  <c r="I72" i="3" s="1"/>
  <c r="AL127" i="192"/>
  <c r="AM127" i="192" s="1"/>
  <c r="AL75" i="193"/>
  <c r="AM75" i="193" s="1"/>
  <c r="AL68" i="199"/>
  <c r="AM68" i="199" s="1"/>
  <c r="AM83" i="167"/>
  <c r="AN83" i="167" s="1"/>
  <c r="AM137" i="167"/>
  <c r="AN137" i="167" s="1"/>
  <c r="AM82" i="189"/>
  <c r="AM137" i="189"/>
  <c r="AM137" i="191"/>
  <c r="AL68" i="192"/>
  <c r="AM68" i="192" s="1"/>
  <c r="AM72" i="192"/>
  <c r="AM82" i="193"/>
  <c r="AL69" i="194"/>
  <c r="AM69" i="194" s="1"/>
  <c r="AM73" i="194"/>
  <c r="AL137" i="194"/>
  <c r="AM137" i="194" s="1"/>
  <c r="AM79" i="195"/>
  <c r="AL65" i="196"/>
  <c r="AM65" i="196" s="1"/>
  <c r="AN65" i="196" s="1"/>
  <c r="AM66" i="197"/>
  <c r="AM117" i="198"/>
  <c r="N41" i="3"/>
  <c r="N56" i="3" s="1"/>
  <c r="O60" i="3" s="1"/>
  <c r="M62" i="3" s="1"/>
  <c r="P62" i="3" s="1"/>
  <c r="AL141" i="193"/>
  <c r="AM141" i="193" s="1"/>
  <c r="AM80" i="190"/>
  <c r="AM93" i="190"/>
  <c r="AM71" i="191"/>
  <c r="AM82" i="191"/>
  <c r="AM115" i="191"/>
  <c r="AL71" i="193"/>
  <c r="AM71" i="193" s="1"/>
  <c r="AL142" i="193"/>
  <c r="AM142" i="193" s="1"/>
  <c r="AL70" i="195"/>
  <c r="AM70" i="195" s="1"/>
  <c r="AL76" i="195"/>
  <c r="AM76" i="195" s="1"/>
  <c r="AL69" i="197"/>
  <c r="AM69" i="197" s="1"/>
  <c r="AL68" i="198"/>
  <c r="AM68" i="198" s="1"/>
  <c r="AL72" i="198"/>
  <c r="AM72" i="198" s="1"/>
  <c r="AL80" i="192"/>
  <c r="AM80" i="192" s="1"/>
  <c r="AL79" i="193"/>
  <c r="AM79" i="193" s="1"/>
  <c r="D150" i="1"/>
  <c r="AM138" i="191"/>
  <c r="AL73" i="192"/>
  <c r="AM73" i="192" s="1"/>
  <c r="AM93" i="192"/>
  <c r="AM66" i="194"/>
  <c r="AL74" i="194"/>
  <c r="AM74" i="194" s="1"/>
  <c r="AM80" i="194"/>
  <c r="AM115" i="194"/>
  <c r="AM71" i="195"/>
  <c r="AM77" i="195"/>
  <c r="AM94" i="195"/>
  <c r="AL69" i="196"/>
  <c r="AM69" i="196" s="1"/>
  <c r="AN69" i="196" s="1"/>
  <c r="AL67" i="197"/>
  <c r="AM67" i="197" s="1"/>
  <c r="AL72" i="197"/>
  <c r="AM72" i="197" s="1"/>
  <c r="AM118" i="198"/>
  <c r="G10" i="3"/>
  <c r="H10" i="3" s="1"/>
  <c r="I10" i="3" s="1"/>
  <c r="C287" i="2"/>
  <c r="C288" i="2" s="1"/>
  <c r="AM68" i="191"/>
  <c r="AM79" i="191"/>
  <c r="AM94" i="191"/>
  <c r="AL81" i="192"/>
  <c r="AM81" i="192" s="1"/>
  <c r="AL94" i="193"/>
  <c r="AM94" i="193" s="1"/>
  <c r="AN94" i="193" s="1"/>
  <c r="AL94" i="194"/>
  <c r="AM94" i="194" s="1"/>
  <c r="AN94" i="194" s="1"/>
  <c r="E150" i="1"/>
  <c r="AL72" i="195"/>
  <c r="AM72" i="195" s="1"/>
  <c r="AL67" i="196"/>
  <c r="AM67" i="196" s="1"/>
  <c r="AN67" i="196" s="1"/>
  <c r="AL72" i="196"/>
  <c r="AM72" i="196" s="1"/>
  <c r="AN72" i="196" s="1"/>
  <c r="AL94" i="192"/>
  <c r="AM94" i="192" s="1"/>
  <c r="AM140" i="195"/>
  <c r="AL70" i="197"/>
  <c r="AM70" i="197" s="1"/>
  <c r="P182" i="3"/>
  <c r="G184" i="3"/>
  <c r="H184" i="3" s="1"/>
  <c r="I184" i="3" s="1"/>
  <c r="AL89" i="167"/>
  <c r="AM89" i="167" s="1"/>
  <c r="AN89" i="167" s="1"/>
  <c r="AL73" i="189"/>
  <c r="AM73" i="189" s="1"/>
  <c r="AN73" i="189" s="1"/>
  <c r="AN73" i="190" s="1"/>
  <c r="AL92" i="189"/>
  <c r="AM92" i="189" s="1"/>
  <c r="AL74" i="190"/>
  <c r="AM74" i="190" s="1"/>
  <c r="AM87" i="190"/>
  <c r="AM135" i="190"/>
  <c r="AM77" i="191"/>
  <c r="AM91" i="191"/>
  <c r="AL70" i="192"/>
  <c r="AM70" i="192" s="1"/>
  <c r="AL82" i="192"/>
  <c r="AM82" i="192" s="1"/>
  <c r="AL139" i="192"/>
  <c r="AM139" i="192" s="1"/>
  <c r="AL73" i="193"/>
  <c r="AM73" i="193" s="1"/>
  <c r="AL71" i="194"/>
  <c r="AM71" i="194" s="1"/>
  <c r="AM67" i="195"/>
  <c r="AL81" i="195"/>
  <c r="AM81" i="195" s="1"/>
  <c r="AL70" i="196"/>
  <c r="AM70" i="196" s="1"/>
  <c r="AN70" i="196" s="1"/>
  <c r="AM114" i="196"/>
  <c r="AN114" i="196" s="1"/>
  <c r="AM65" i="198"/>
  <c r="AM126" i="198"/>
  <c r="I65" i="1"/>
  <c r="I148" i="1" s="1"/>
  <c r="C149" i="1"/>
  <c r="C150" i="1" s="1"/>
  <c r="F220" i="3"/>
  <c r="F221" i="3" s="1"/>
  <c r="I65" i="2"/>
  <c r="AL67" i="192"/>
  <c r="AM67" i="192" s="1"/>
  <c r="AL84" i="192"/>
  <c r="AM84" i="192" s="1"/>
  <c r="AL68" i="193"/>
  <c r="AM68" i="193" s="1"/>
  <c r="AL68" i="194"/>
  <c r="AM68" i="194" s="1"/>
  <c r="AM75" i="195"/>
  <c r="AM96" i="195"/>
  <c r="AM139" i="195"/>
  <c r="AM68" i="196"/>
  <c r="AN68" i="196" s="1"/>
  <c r="AM84" i="196"/>
  <c r="AN84" i="196" s="1"/>
  <c r="AM129" i="196"/>
  <c r="AN129" i="196" s="1"/>
  <c r="AM68" i="197"/>
  <c r="AM84" i="197"/>
  <c r="AM130" i="197"/>
  <c r="AM69" i="198"/>
  <c r="AM83" i="198"/>
  <c r="AM133" i="198"/>
  <c r="AM88" i="199"/>
  <c r="AM137" i="199"/>
  <c r="S195" i="3"/>
  <c r="S203" i="3" s="1"/>
  <c r="AL76" i="192"/>
  <c r="AM76" i="192" s="1"/>
  <c r="AL97" i="192"/>
  <c r="AM97" i="192" s="1"/>
  <c r="AL77" i="193"/>
  <c r="AM77" i="193" s="1"/>
  <c r="AL77" i="194"/>
  <c r="AM77" i="194" s="1"/>
  <c r="AL68" i="195"/>
  <c r="AM68" i="195" s="1"/>
  <c r="D220" i="3"/>
  <c r="D221" i="3" s="1"/>
  <c r="N174" i="3"/>
  <c r="Q168" i="3" s="1"/>
  <c r="O170" i="3" s="1"/>
  <c r="Q170" i="3" s="1"/>
  <c r="O172" i="3" s="1"/>
  <c r="S172" i="3" s="1"/>
  <c r="S174" i="3" s="1"/>
  <c r="S182" i="3" s="1"/>
  <c r="I53" i="2"/>
  <c r="H287" i="2"/>
  <c r="H288" i="2" s="1"/>
  <c r="I116" i="2"/>
  <c r="G118" i="2" s="1"/>
  <c r="H118" i="2" s="1"/>
  <c r="I118" i="2" s="1"/>
  <c r="I162" i="3"/>
  <c r="G164" i="3" s="1"/>
  <c r="H164" i="3" s="1"/>
  <c r="I164" i="3" s="1"/>
  <c r="F287" i="2"/>
  <c r="F288" i="2" s="1"/>
  <c r="F148" i="1"/>
  <c r="F150" i="1" s="1"/>
  <c r="I89" i="1"/>
  <c r="G220" i="3"/>
  <c r="G221" i="3" s="1"/>
  <c r="I238" i="2"/>
  <c r="G240" i="2" s="1"/>
  <c r="H240" i="2" s="1"/>
  <c r="I240" i="2" s="1"/>
  <c r="I277" i="2"/>
  <c r="G279" i="2" s="1"/>
  <c r="H279" i="2" s="1"/>
  <c r="I279" i="2" s="1"/>
  <c r="P203" i="3"/>
  <c r="U203" i="3" s="1"/>
  <c r="AN71" i="199" l="1"/>
  <c r="AN82" i="198"/>
  <c r="AN123" i="197"/>
  <c r="AN126" i="198" s="1"/>
  <c r="AN130" i="199" s="1"/>
  <c r="AN122" i="197"/>
  <c r="AN125" i="198" s="1"/>
  <c r="AN129" i="199" s="1"/>
  <c r="AN66" i="197"/>
  <c r="AN67" i="198" s="1"/>
  <c r="AN67" i="199" s="1"/>
  <c r="AN83" i="197"/>
  <c r="AN86" i="199"/>
  <c r="AN70" i="197"/>
  <c r="AN84" i="197"/>
  <c r="AN115" i="197"/>
  <c r="AN118" i="198" s="1"/>
  <c r="AN122" i="199" s="1"/>
  <c r="AN67" i="197"/>
  <c r="AN68" i="198" s="1"/>
  <c r="AN68" i="199" s="1"/>
  <c r="AN131" i="197"/>
  <c r="AN134" i="198" s="1"/>
  <c r="AN138" i="199" s="1"/>
  <c r="AN64" i="197"/>
  <c r="AN65" i="198" s="1"/>
  <c r="AN65" i="199" s="1"/>
  <c r="AN130" i="197"/>
  <c r="AN133" i="198" s="1"/>
  <c r="AN137" i="199" s="1"/>
  <c r="AN72" i="197"/>
  <c r="AN72" i="198" s="1"/>
  <c r="AN72" i="199" s="1"/>
  <c r="AN69" i="197"/>
  <c r="AN70" i="198" s="1"/>
  <c r="AN70" i="199" s="1"/>
  <c r="AN114" i="197"/>
  <c r="AN117" i="198" s="1"/>
  <c r="AN121" i="199" s="1"/>
  <c r="AN90" i="191"/>
  <c r="AN91" i="192" s="1"/>
  <c r="AN95" i="194" s="1"/>
  <c r="AN95" i="195" s="1"/>
  <c r="AN66" i="189"/>
  <c r="AN66" i="190" s="1"/>
  <c r="AN66" i="191" s="1"/>
  <c r="AN66" i="192" s="1"/>
  <c r="AN66" i="193" s="1"/>
  <c r="AN66" i="194" s="1"/>
  <c r="AN66" i="195" s="1"/>
  <c r="AN79" i="189"/>
  <c r="AN79" i="190" s="1"/>
  <c r="AN78" i="191" s="1"/>
  <c r="AN78" i="192" s="1"/>
  <c r="AN78" i="193" s="1"/>
  <c r="AN78" i="194" s="1"/>
  <c r="AN78" i="195" s="1"/>
  <c r="AN82" i="189"/>
  <c r="AN82" i="190" s="1"/>
  <c r="AN81" i="191" s="1"/>
  <c r="AN81" i="192" s="1"/>
  <c r="AN81" i="193" s="1"/>
  <c r="AN80" i="194" s="1"/>
  <c r="AN80" i="195" s="1"/>
  <c r="AN73" i="191"/>
  <c r="AN73" i="192" s="1"/>
  <c r="AN73" i="193" s="1"/>
  <c r="AN73" i="194" s="1"/>
  <c r="AN73" i="195" s="1"/>
  <c r="AN113" i="190"/>
  <c r="AN116" i="191" s="1"/>
  <c r="AN117" i="192" s="1"/>
  <c r="AN120" i="193" s="1"/>
  <c r="AN116" i="194" s="1"/>
  <c r="AN118" i="195" s="1"/>
  <c r="AN76" i="190"/>
  <c r="AN76" i="191" s="1"/>
  <c r="AN76" i="192" s="1"/>
  <c r="AN76" i="193" s="1"/>
  <c r="AN76" i="194" s="1"/>
  <c r="AN76" i="195" s="1"/>
  <c r="AN69" i="189"/>
  <c r="AN69" i="190" s="1"/>
  <c r="AN69" i="191" s="1"/>
  <c r="AN69" i="192" s="1"/>
  <c r="AN69" i="193" s="1"/>
  <c r="AN69" i="194" s="1"/>
  <c r="AN69" i="195" s="1"/>
  <c r="AN92" i="189"/>
  <c r="AN91" i="190" s="1"/>
  <c r="AN72" i="189"/>
  <c r="AN72" i="190" s="1"/>
  <c r="AN72" i="191" s="1"/>
  <c r="AN72" i="192" s="1"/>
  <c r="AN72" i="193" s="1"/>
  <c r="AN72" i="194" s="1"/>
  <c r="AN72" i="195" s="1"/>
  <c r="AN94" i="192"/>
  <c r="AN71" i="190"/>
  <c r="AN71" i="191" s="1"/>
  <c r="AN71" i="192" s="1"/>
  <c r="AN71" i="193" s="1"/>
  <c r="AN71" i="194" s="1"/>
  <c r="AN71" i="195" s="1"/>
  <c r="AN68" i="189"/>
  <c r="AN68" i="190" s="1"/>
  <c r="AN68" i="191" s="1"/>
  <c r="AN68" i="192" s="1"/>
  <c r="AN68" i="193" s="1"/>
  <c r="AN68" i="194" s="1"/>
  <c r="AN68" i="195" s="1"/>
  <c r="AN81" i="189"/>
  <c r="AN81" i="190" s="1"/>
  <c r="AN80" i="191" s="1"/>
  <c r="AN80" i="192" s="1"/>
  <c r="AN80" i="193" s="1"/>
  <c r="AN79" i="194" s="1"/>
  <c r="AN79" i="195" s="1"/>
  <c r="AN84" i="190"/>
  <c r="AN82" i="191" s="1"/>
  <c r="AN82" i="192" s="1"/>
  <c r="AN82" i="193" s="1"/>
  <c r="AN81" i="194" s="1"/>
  <c r="AN81" i="195" s="1"/>
  <c r="AN75" i="189"/>
  <c r="AN75" i="190" s="1"/>
  <c r="AN75" i="191" s="1"/>
  <c r="AN75" i="192" s="1"/>
  <c r="AN75" i="193" s="1"/>
  <c r="AN75" i="194" s="1"/>
  <c r="AN75" i="195" s="1"/>
  <c r="AN87" i="189"/>
  <c r="AN87" i="190" s="1"/>
  <c r="AN85" i="191" s="1"/>
  <c r="AN86" i="193" s="1"/>
  <c r="AN85" i="194" s="1"/>
  <c r="AN85" i="195" s="1"/>
  <c r="AN68" i="197"/>
  <c r="AN69" i="198" s="1"/>
  <c r="AN69" i="199" s="1"/>
  <c r="AN93" i="190"/>
  <c r="AN78" i="190"/>
  <c r="AN74" i="190"/>
  <c r="AN74" i="191" s="1"/>
  <c r="AN74" i="192" s="1"/>
  <c r="AN74" i="193" s="1"/>
  <c r="AN74" i="194" s="1"/>
  <c r="AN74" i="195" s="1"/>
  <c r="AN80" i="190"/>
  <c r="AN79" i="191" s="1"/>
  <c r="AN79" i="192" s="1"/>
  <c r="AN79" i="193" s="1"/>
  <c r="AN67" i="190"/>
  <c r="AN67" i="191" s="1"/>
  <c r="AN67" i="192" s="1"/>
  <c r="AN67" i="193" s="1"/>
  <c r="AN67" i="194" s="1"/>
  <c r="AN67" i="195" s="1"/>
  <c r="AN126" i="189"/>
  <c r="AN124" i="190" s="1"/>
  <c r="AN127" i="191" s="1"/>
  <c r="AN128" i="192" s="1"/>
  <c r="AN131" i="193" s="1"/>
  <c r="AN127" i="194" s="1"/>
  <c r="AN129" i="195" s="1"/>
  <c r="AN136" i="189"/>
  <c r="AN134" i="190" s="1"/>
  <c r="AN137" i="191" s="1"/>
  <c r="AN138" i="192" s="1"/>
  <c r="AN141" i="193" s="1"/>
  <c r="AN137" i="194" s="1"/>
  <c r="AN139" i="195" s="1"/>
  <c r="AN77" i="190"/>
  <c r="AN77" i="191" s="1"/>
  <c r="AN77" i="192" s="1"/>
  <c r="AN77" i="193" s="1"/>
  <c r="AN77" i="194" s="1"/>
  <c r="AN77" i="195" s="1"/>
  <c r="AN86" i="190"/>
  <c r="AN84" i="191" s="1"/>
  <c r="AN84" i="192" s="1"/>
  <c r="AN85" i="193" s="1"/>
  <c r="AN84" i="194" s="1"/>
  <c r="AN84" i="195" s="1"/>
  <c r="AN137" i="189"/>
  <c r="AN135" i="190" s="1"/>
  <c r="AN138" i="191" s="1"/>
  <c r="AN139" i="192" s="1"/>
  <c r="AN142" i="193" s="1"/>
  <c r="AN138" i="194" s="1"/>
  <c r="AN140" i="195" s="1"/>
  <c r="AN65" i="197"/>
  <c r="AN66" i="198" s="1"/>
  <c r="AN66" i="199" s="1"/>
  <c r="AN85" i="189"/>
  <c r="AN85" i="190" s="1"/>
  <c r="AN83" i="191" s="1"/>
  <c r="AN83" i="192" s="1"/>
  <c r="AN83" i="193" s="1"/>
  <c r="AN82" i="194" s="1"/>
  <c r="AN82" i="195" s="1"/>
  <c r="AN89" i="189"/>
  <c r="AN89" i="190" s="1"/>
  <c r="AN89" i="191" s="1"/>
  <c r="AN70" i="190"/>
  <c r="AN70" i="191" s="1"/>
  <c r="AN70" i="192" s="1"/>
  <c r="AN70" i="193" s="1"/>
  <c r="AN70" i="194" s="1"/>
  <c r="AN70" i="195" s="1"/>
  <c r="I229" i="3"/>
  <c r="J222" i="3"/>
  <c r="B150" i="1"/>
  <c r="I150" i="1" s="1"/>
  <c r="I159" i="1" s="1"/>
  <c r="AN123" i="190"/>
  <c r="AN126" i="191" s="1"/>
  <c r="AN127" i="192" s="1"/>
  <c r="AN130" i="193" s="1"/>
  <c r="AN126" i="194" s="1"/>
  <c r="AN128" i="195" s="1"/>
  <c r="U182" i="3"/>
  <c r="M29" i="3"/>
  <c r="P29" i="3"/>
  <c r="P33" i="3" s="1"/>
  <c r="R33" i="3" s="1"/>
  <c r="O35" i="3" s="1"/>
  <c r="P35" i="3"/>
  <c r="G67" i="2"/>
  <c r="H67" i="2" s="1"/>
  <c r="I67" i="2" s="1"/>
  <c r="I287" i="2"/>
  <c r="I288" i="2" s="1"/>
  <c r="I297" i="2" s="1"/>
  <c r="AN115" i="191"/>
  <c r="AN116" i="192" s="1"/>
  <c r="AN119" i="193" s="1"/>
  <c r="AN115" i="194" s="1"/>
  <c r="AN117" i="195" s="1"/>
  <c r="P64" i="3"/>
  <c r="P66" i="3" s="1"/>
  <c r="R66" i="3" s="1"/>
  <c r="O68" i="3" s="1"/>
  <c r="P68" i="3" s="1"/>
  <c r="M64" i="3"/>
  <c r="AN84" i="198" l="1"/>
  <c r="AN89" i="199" s="1"/>
  <c r="AN87" i="199"/>
  <c r="AN83" i="198"/>
  <c r="AN88" i="199" s="1"/>
  <c r="AN90" i="192"/>
  <c r="AN88" i="193"/>
  <c r="AN87" i="194" s="1"/>
  <c r="AN87" i="195" s="1"/>
  <c r="AN93" i="192"/>
  <c r="AN91" i="191"/>
  <c r="AN92" i="192" s="1"/>
  <c r="AN96" i="194" s="1"/>
  <c r="AN96" i="195" s="1"/>
  <c r="AN96" i="192"/>
  <c r="AN96" i="191"/>
  <c r="AN97" i="192" s="1"/>
  <c r="AN95" i="192"/>
  <c r="AN93" i="193" l="1"/>
  <c r="AN94" i="195" s="1"/>
  <c r="AN84" i="193"/>
  <c r="AN83" i="194" s="1"/>
  <c r="AN83" i="19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 BT. Pedersen</author>
    <author>Mathias Nielsen</author>
    <author>Kim Holm Aabroe</author>
    <author>Steen Hertin-Sandkær</author>
    <author>Steen Hertin</author>
    <author>Thomas Holm</author>
    <author>Jesper Larsen</author>
    <author>Mathias Hartvig Morell Nielsen</author>
  </authors>
  <commentList>
    <comment ref="D17" authorId="0" shapeId="0" xr:uid="{8B7F0889-A3FA-4758-86D8-4C37B62BCBA0}">
      <text>
        <r>
          <rPr>
            <sz val="9"/>
            <color indexed="81"/>
            <rFont val="Tahoma"/>
            <family val="2"/>
          </rPr>
          <t>Kim Holm Aabroe:
grus 14.00
Afspadsering fra 15:45</t>
        </r>
      </text>
    </comment>
    <comment ref="V18" authorId="0" shapeId="0" xr:uid="{9709A21E-35B7-4056-9A4F-658DEE1A701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Lars Crone:
Afsp fra 14:00-16:30</t>
        </r>
      </text>
    </comment>
    <comment ref="W18" authorId="0" shapeId="0" xr:uid="{B726C825-ABEC-474C-9958-DD56088B5A2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Trivselsudvalg 14:30-15:50</t>
        </r>
      </text>
    </comment>
    <comment ref="Y21" authorId="0" shapeId="0" xr:uid="{F8A9EBA2-0D76-42A8-9C0E-F8356717B64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Z21" authorId="0" shapeId="0" xr:uid="{7329279C-1C5D-4FD6-B764-27E1345959C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V2</t>
        </r>
      </text>
    </comment>
    <comment ref="AF21" authorId="0" shapeId="0" xr:uid="{A875B473-4078-42C8-8B96-8593920AF03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FES</t>
        </r>
      </text>
    </comment>
    <comment ref="Y22" authorId="0" shapeId="0" xr:uid="{14824434-0745-4ED3-9778-A3C1E604C6E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FOA
</t>
        </r>
      </text>
    </comment>
    <comment ref="Z22" authorId="0" shapeId="0" xr:uid="{CCE06E7B-1BFB-4AFE-9735-D207F4CA4DD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FOA
</t>
        </r>
      </text>
    </comment>
    <comment ref="AE22" authorId="0" shapeId="0" xr:uid="{C62513B1-3051-45B5-98E5-22E79D1952B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Modtagelse 11.00 - 14.00</t>
        </r>
      </text>
    </comment>
    <comment ref="AF22" authorId="0" shapeId="0" xr:uid="{165814A1-7EDA-4F60-BABA-7F9CD17AD03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V1
</t>
        </r>
      </text>
    </comment>
    <comment ref="D24" authorId="0" shapeId="0" xr:uid="{DB3B8792-909E-42F8-9AD5-57860FF0568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I24" authorId="0" shapeId="0" xr:uid="{346B47B6-DD8E-4BC5-96D4-C0F10D1738D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Kagens dag
</t>
        </r>
      </text>
    </comment>
    <comment ref="J24" authorId="0" shapeId="0" xr:uid="{B24A64CF-A29B-489B-9CF2-7D09BC5EBC9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AHF
</t>
        </r>
      </text>
    </comment>
    <comment ref="P24" authorId="0" shapeId="0" xr:uid="{8E5F62F9-51B2-468D-A514-FF31643201B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Kagens dag
</t>
        </r>
      </text>
    </comment>
    <comment ref="S24" authorId="0" shapeId="0" xr:uid="{AC0A7498-D638-4698-A690-A36FB3CEA75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AHF
</t>
        </r>
      </text>
    </comment>
    <comment ref="X24" authorId="0" shapeId="0" xr:uid="{09CC1246-F814-4EAD-89CE-65F50A3A7F4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Modtagelser </t>
        </r>
      </text>
    </comment>
    <comment ref="AE24" authorId="0" shapeId="0" xr:uid="{48F0F0D7-E661-491C-AF9B-0DAD29F5381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Arbejder på Fuglebakken</t>
        </r>
      </text>
    </comment>
    <comment ref="H25" authorId="0" shapeId="0" xr:uid="{4E5A85FF-27BB-4050-AEB4-949C1915BA2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Jesper Larsen:
AFSP. En time 
</t>
        </r>
      </text>
    </comment>
    <comment ref="I25" authorId="0" shapeId="0" xr:uid="{D7B7D90A-26D9-4E6B-A98D-EE59F043DA3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Møder kl. 13.00 - 20.15</t>
        </r>
      </text>
    </comment>
    <comment ref="J25" authorId="0" shapeId="0" xr:uid="{D97F6141-ED3C-4098-BD42-F134DC6CD41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afspadsering fra 12:30</t>
        </r>
      </text>
    </comment>
    <comment ref="P25" authorId="0" shapeId="0" xr:uid="{55D1CEC0-400C-42A5-9BB7-A50838B8E39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Kagensdag 12.30 - 16.30</t>
        </r>
      </text>
    </comment>
    <comment ref="R25" authorId="0" shapeId="0" xr:uid="{283CA35F-4D1E-439B-88A1-D3D79951DF3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Jesper Larsen:
gik kl. 12:30
</t>
        </r>
      </text>
    </comment>
    <comment ref="V25" authorId="0" shapeId="0" xr:uid="{A8A7ADDB-5549-4833-892C-63AB8847141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Møder kl. 17.30.
17.30 - 20.30 er på oa.</t>
        </r>
      </text>
    </comment>
    <comment ref="AE25" authorId="0" shapeId="0" xr:uid="{0E86674A-2C0E-4240-B3D7-5977EE05166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Modtagelse kl. 10.30 - 14.30</t>
        </r>
      </text>
    </comment>
    <comment ref="W26" authorId="0" shapeId="0" xr:uid="{EC4B8AAF-AAD0-4F2A-88BD-C176CAAB505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6" authorId="0" shapeId="0" xr:uid="{0E9092EE-4F57-4826-A614-1338B08B215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Z26" authorId="0" shapeId="0" xr:uid="{064305AC-3C7B-4C12-9C3E-7B5A48B7C00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FOA
</t>
        </r>
      </text>
    </comment>
    <comment ref="AC26" authorId="0" shapeId="0" xr:uid="{0072DD66-70F8-482B-9B1A-3A20395BD07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Møde kl. 14.30 - 15.45</t>
        </r>
      </text>
    </comment>
    <comment ref="AE26" authorId="0" shapeId="0" xr:uid="{2902809C-6E26-4562-970E-16D1E8AFA1F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Fuglebakken hele dagen</t>
        </r>
      </text>
    </comment>
    <comment ref="AF26" authorId="0" shapeId="0" xr:uid="{CDCD7742-B88B-4BF4-92B8-96EF8A0F5CB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TR opgaver</t>
        </r>
      </text>
    </comment>
    <comment ref="AG26" authorId="1" shapeId="0" xr:uid="{1DB07B7D-F0D7-4807-9412-71672E70EB9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Gasværksvej 25-27 hele dagen</t>
        </r>
      </text>
    </comment>
    <comment ref="AF27" authorId="2" shapeId="0" xr:uid="{1F4C7736-6228-4A53-A289-DB556AAD089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arr. 11.00</t>
        </r>
      </text>
    </comment>
    <comment ref="AF30" authorId="3" shapeId="0" xr:uid="{CE3E40EB-8AD3-49CA-BF3D-09ACF53418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mangler 1-vagt fra kl. 12.00</t>
        </r>
      </text>
    </comment>
    <comment ref="P42" authorId="0" shapeId="0" xr:uid="{AF9FB950-E55A-4C91-AC65-7D09C918D6B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8-12
</t>
        </r>
      </text>
    </comment>
    <comment ref="D43" authorId="0" shapeId="0" xr:uid="{AC8EED2D-3B4F-4938-9159-17C1AC7FA7D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grus 14.00 Gå bag Daniel
</t>
        </r>
      </text>
    </comment>
    <comment ref="E43" authorId="0" shapeId="0" xr:uid="{C60828CD-9B29-4AC5-8453-5405D9A8D7C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Gå bag Daniel</t>
        </r>
      </text>
    </comment>
    <comment ref="D44" authorId="0" shapeId="0" xr:uid="{9F0033B9-658C-4B9C-8D86-5041ED1951E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grus 14.00</t>
        </r>
      </text>
    </comment>
    <comment ref="Q44" authorId="0" shapeId="0" xr:uid="{C78425B9-D16D-4887-8858-946396509DD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9-vagt oat</t>
        </r>
      </text>
    </comment>
    <comment ref="V44" authorId="0" shapeId="0" xr:uid="{99682DFC-F68E-412E-A70D-2FF9138DA88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Går bag Christian</t>
        </r>
      </text>
    </comment>
    <comment ref="W44" authorId="0" shapeId="0" xr:uid="{C1649A2A-9094-43BC-8539-90ED65632A0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Går bag Christian</t>
        </r>
      </text>
    </comment>
    <comment ref="X44" authorId="0" shapeId="0" xr:uid="{FAE6174A-BDC9-43A1-95D1-1C03D09211E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Går bag Christian</t>
        </r>
      </text>
    </comment>
    <comment ref="Y44" authorId="0" shapeId="0" xr:uid="{5F270FB7-EFDB-4FFA-896E-F9C980DB4A0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Går bag Christian
</t>
        </r>
      </text>
    </comment>
    <comment ref="Z44" authorId="0" shapeId="0" xr:uid="{C0A5428A-8254-4AC2-893A-AD3A7B5BACA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Går bag Christian
21 vagt på OA</t>
        </r>
      </text>
    </comment>
    <comment ref="AE44" authorId="4" shapeId="0" xr:uid="{B43775C3-306A-4FA8-B2A9-F6487B04C9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AF44" authorId="4" shapeId="0" xr:uid="{DED6D110-CF2A-41CB-BF29-95EB872E63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N45" authorId="0" shapeId="0" xr:uid="{426076E4-EEB1-4FB2-8990-5A5D113836D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N46" authorId="0" shapeId="0" xr:uid="{D1555254-A6EA-4AF9-95A0-1BF9C0F05CC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S46" authorId="0" shapeId="0" xr:uid="{60FCF65A-14CF-4D56-A50F-21E8CC73333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Thomas Holm:
VH. fra kl. 15.15</t>
        </r>
      </text>
    </comment>
    <comment ref="V46" authorId="0" shapeId="0" xr:uid="{AF411C78-9BA5-4398-896D-438DF21F84A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Lars Crone:
VH fra kl 14:00-16:30
Møder kl 08:30</t>
        </r>
      </text>
    </comment>
    <comment ref="N47" authorId="0" shapeId="0" xr:uid="{A5D1DF2F-FA7F-472C-9A98-60E8FE6D2FB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O47" authorId="0" shapeId="0" xr:uid="{5769C5DC-2D2A-428C-8503-D63F2CF762E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W47" authorId="0" shapeId="0" xr:uid="{63703559-65D5-4123-9594-1328A047D2B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Trivselsudvalg 14:30-15:50</t>
        </r>
      </text>
    </comment>
    <comment ref="AC47" authorId="0" shapeId="0" xr:uid="{075CF6F8-F8A0-4214-80FB-66853A20D12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AG47" authorId="5" shapeId="0" xr:uid="{08E20BE4-4502-484B-89A6-1D6610492C92}">
      <text>
        <r>
          <rPr>
            <b/>
            <sz val="9"/>
            <color indexed="81"/>
            <rFont val="Tahoma"/>
            <family val="2"/>
          </rPr>
          <t>Thomas Holm:
OA til kl. 16.00</t>
        </r>
      </text>
    </comment>
    <comment ref="N48" authorId="0" shapeId="0" xr:uid="{B1DB3810-9885-45B9-AA15-AD16DDAD416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22 på OA.</t>
        </r>
      </text>
    </comment>
    <comment ref="Y50" authorId="0" shapeId="0" xr:uid="{F9F3F518-A9DE-490A-A710-85A79F0E571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Dækker lyongade til kl. 18.00 OA fra kl. 14.00</t>
        </r>
      </text>
    </comment>
    <comment ref="P51" authorId="0" shapeId="0" xr:uid="{2940C5FB-3FD4-4AA6-BFE3-648BD7CC672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89-vagt på oa.</t>
        </r>
      </text>
    </comment>
    <comment ref="AC54" authorId="0" shapeId="0" xr:uid="{58E797ED-57AF-4A9E-A48A-875D7AB6D5C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Jesper Larsen:
oplære i 6-vagten</t>
        </r>
      </text>
    </comment>
    <comment ref="AD54" authorId="0" shapeId="0" xr:uid="{A7363DA9-3CC8-44A4-999C-729FC5090FD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Jesper Larsen:
oplære i 6-vagten</t>
        </r>
      </text>
    </comment>
    <comment ref="AE54" authorId="0" shapeId="0" xr:uid="{78702D70-890B-4FB9-8530-F9D3F8F56D5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Jesper Larsen:
oplære i 6-vagten</t>
        </r>
      </text>
    </comment>
    <comment ref="AF54" authorId="0" shapeId="0" xr:uid="{27832A82-19A5-4450-B69D-CBE16487B1B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Jesper Larsen:
oplære i 6-vagten</t>
        </r>
      </text>
    </comment>
    <comment ref="AG54" authorId="0" shapeId="0" xr:uid="{9E419927-1CC0-4946-B194-0468643C262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Jesper Larsen:
oplære i 6-vagten</t>
        </r>
      </text>
    </comment>
    <comment ref="AG55" authorId="2" shapeId="0" xr:uid="{FD126017-422D-4F7C-B231-6E0B344A3AD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møder kl. 14.00
OA 14.00-16.00</t>
        </r>
      </text>
    </comment>
    <comment ref="D66" authorId="0" shapeId="0" xr:uid="{E27E3872-F07D-4672-8984-0855B3C480D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grus 14.00</t>
        </r>
      </text>
    </comment>
    <comment ref="U66" authorId="0" shapeId="0" xr:uid="{B5A36E32-6B19-435F-A2B7-1590F0BA1B4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afsp.1.5 time</t>
        </r>
      </text>
    </comment>
    <comment ref="W67" authorId="0" shapeId="0" xr:uid="{83D006D0-307D-40A9-9579-B8B16FE5348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Trivselsudvalg 14:30-15:50</t>
        </r>
      </text>
    </comment>
    <comment ref="X67" authorId="0" shapeId="0" xr:uid="{4BE3E17C-DC19-4E68-B03B-F1393232CC7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S-vagt OA</t>
        </r>
      </text>
    </comment>
    <comment ref="AA67" authorId="0" shapeId="0" xr:uid="{5717DF3B-D843-4C3B-87E4-3D5DF93E291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Blågården bibliotek kl. 12.00 - 16.00</t>
        </r>
      </text>
    </comment>
    <comment ref="AB67" authorId="0" shapeId="0" xr:uid="{37C6FF42-58E7-42BB-ABBC-987672D4BED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Blågården bibliotek kl. 12.00 - 16.00</t>
        </r>
      </text>
    </comment>
    <comment ref="AE67" authorId="0" shapeId="0" xr:uid="{B5A4AFF3-C79A-47AD-9605-60DD4BEE791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21 på OA</t>
        </r>
      </text>
    </comment>
    <comment ref="AF67" authorId="0" shapeId="0" xr:uid="{F3465433-66B4-47C8-B115-9FFD951FFF1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21 på OA</t>
        </r>
      </text>
    </comment>
    <comment ref="R68" authorId="0" shapeId="0" xr:uid="{390BA3AB-E9BF-47AE-9092-75819604FAC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TVO ude i byen.</t>
        </r>
      </text>
    </comment>
    <comment ref="D71" authorId="0" shapeId="0" xr:uid="{B91270EB-F859-4477-80EC-1B97B87B88F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grus 14.00</t>
        </r>
      </text>
    </comment>
    <comment ref="I71" authorId="0" shapeId="0" xr:uid="{EA7B58AE-ED8C-4D0D-AA98-EE343D69DAD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Modtagelse på OA</t>
        </r>
      </text>
    </comment>
    <comment ref="D72" authorId="0" shapeId="0" xr:uid="{EE8440EF-4D29-4B84-AC65-EBAD3926F41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grus 14.00</t>
        </r>
      </text>
    </comment>
    <comment ref="X72" authorId="0" shapeId="0" xr:uid="{FA6B69B1-838C-44CB-AFC2-93B38CF32E0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Lyongade kl. 08.15 - 12.00 Går hjem kl. 12.00</t>
        </r>
      </text>
    </comment>
    <comment ref="E74" authorId="0" shapeId="0" xr:uid="{F2C583EF-4471-45BB-ACA2-3944477BD24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K74" authorId="0" shapeId="0" xr:uid="{9C7906DD-9383-4929-9CDA-711BE60DF2B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Bliver til 10.30 torsdag morgen og møder kl. 17.30 torsdag aften. Alt udover O1-vagt er på OA</t>
        </r>
      </text>
    </comment>
    <comment ref="W74" authorId="0" shapeId="0" xr:uid="{8374F2D4-57B3-4D7C-A838-3099E20358B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X74" authorId="0" shapeId="0" xr:uid="{0C89771C-F9DB-4A99-9A9F-7DB7E8A5AAF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Y74" authorId="0" shapeId="0" xr:uid="{2129A9B5-A8E1-4FC9-9C92-088B9BA8B0E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Z74" authorId="0" shapeId="0" xr:uid="{153942B5-5862-4AF6-9ECA-83F988A0A31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P75" authorId="0" shapeId="0" xr:uid="{3BA12EFB-3C1B-4E56-BAB7-D9B1784DB0D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Kagensdag 12.30 - 16.30</t>
        </r>
      </text>
    </comment>
    <comment ref="X75" authorId="0" shapeId="0" xr:uid="{95098909-60E0-4C7F-9847-2388089FB5B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Lars Crone:
Dækker 79 vagt</t>
        </r>
      </text>
    </comment>
    <comment ref="Y75" authorId="0" shapeId="0" xr:uid="{991E0C0D-023F-4CB3-9FC6-7F934E7BE5F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dækker 4-vagt til 16:00</t>
        </r>
      </text>
    </comment>
    <comment ref="G76" authorId="0" shapeId="0" xr:uid="{DA19805E-8716-4C82-B772-3FF03E45464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Michael Bo Pedersen:
Tingbjerg 1345-1845</t>
        </r>
      </text>
    </comment>
    <comment ref="N76" authorId="0" shapeId="0" xr:uid="{25121A1A-94DC-45F5-87F2-7444533FA91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Michael Bo Pedersen:
Tingbjerg 1345-1845</t>
        </r>
      </text>
    </comment>
    <comment ref="AB76" authorId="0" shapeId="0" xr:uid="{80D9A32C-B771-46BE-8525-5EE02B73FE2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Michael Bo Pedersen:
Tingbjerg 1345-1845</t>
        </r>
      </text>
    </comment>
    <comment ref="I78" authorId="0" shapeId="0" xr:uid="{EF1A513B-E0D8-4DAB-86A7-4E5AD9F0769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Dagvagt + modtagelse på OA fra. 16.00</t>
        </r>
      </text>
    </comment>
    <comment ref="M78" authorId="0" shapeId="0" xr:uid="{16B53D7A-77CF-45AF-BD70-7D941876BA7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På OA</t>
        </r>
      </text>
    </comment>
    <comment ref="O78" authorId="0" shapeId="0" xr:uid="{61D11881-6203-4EF8-BCC2-EB9ED2DC133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afsp. 1 time</t>
        </r>
      </text>
    </comment>
    <comment ref="P78" authorId="0" shapeId="0" xr:uid="{38ACACEC-EAE4-4181-B346-6880C999697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afsp. 1 time</t>
        </r>
      </text>
    </comment>
    <comment ref="Q78" authorId="0" shapeId="0" xr:uid="{6AC1D5E2-85BD-4D6C-BA5A-0E584B5347F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afsp. 1 time</t>
        </r>
      </text>
    </comment>
    <comment ref="R78" authorId="0" shapeId="0" xr:uid="{CA907027-E64A-4656-9414-D9722734F3A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Kim Holm Aabroe:
afsp. 1 time</t>
        </r>
      </text>
    </comment>
    <comment ref="AE78" authorId="3" shapeId="0" xr:uid="{25570D7B-DEE9-4A1F-BE5A-737577CAA9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P-vagt på OA</t>
        </r>
      </text>
    </comment>
    <comment ref="AG78" authorId="1" shapeId="0" xr:uid="{946C606F-8A89-4AEF-B656-A2549FAF8F9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I80" authorId="0" shapeId="0" xr:uid="{119FC0D8-8194-4AAA-8783-9D829D16663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Møder til modtagelse kl. 13.00 - 20.15 OA fra 20.15</t>
        </r>
      </text>
    </comment>
    <comment ref="J80" authorId="0" shapeId="0" xr:uid="{1FCE0C02-FA70-4917-BECF-EB41AD27D34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V80" authorId="0" shapeId="0" xr:uid="{D9124C57-6FF6-476A-A50B-F396E682822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Lars Crone:
Mødt kl 15:30</t>
        </r>
      </text>
    </comment>
    <comment ref="H82" authorId="0" shapeId="0" xr:uid="{1E9E5722-A2BE-459D-8852-3D3D21B6EF4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21-07</t>
        </r>
      </text>
    </comment>
    <comment ref="I82" authorId="0" shapeId="0" xr:uid="{09B3C0A1-2AD0-4638-915B-2795B79FD1C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21-07</t>
        </r>
      </text>
    </comment>
    <comment ref="J82" authorId="0" shapeId="0" xr:uid="{6ED169A9-B355-44FC-BC4B-AE1169E1C8A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21-07</t>
        </r>
      </text>
    </comment>
    <comment ref="K82" authorId="0" shapeId="0" xr:uid="{4F64E50B-FFD2-450D-8242-FFBEE1CFE23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21-07</t>
        </r>
      </text>
    </comment>
    <comment ref="L82" authorId="0" shapeId="0" xr:uid="{6DAE92BF-E7F4-4ED6-BE10-586A9A83952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21-07</t>
        </r>
      </text>
    </comment>
    <comment ref="M82" authorId="0" shapeId="0" xr:uid="{6BBC6084-C515-4315-9615-4F1183055F5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21.30-06.30</t>
        </r>
      </text>
    </comment>
    <comment ref="N82" authorId="0" shapeId="0" xr:uid="{A9923FC5-4528-470F-997A-504DE64A159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21.30-06.30</t>
        </r>
      </text>
    </comment>
    <comment ref="V82" authorId="0" shapeId="0" xr:uid="{A0A4FC87-EE63-4109-90F2-16E97ED6EB4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21-07</t>
        </r>
      </text>
    </comment>
    <comment ref="W82" authorId="0" shapeId="0" xr:uid="{05370C41-B2B4-4AD5-A403-9FB22A9B531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21-07</t>
        </r>
      </text>
    </comment>
    <comment ref="X82" authorId="0" shapeId="0" xr:uid="{A2434C99-59D8-47B2-B8D2-4127822CEDC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21-07</t>
        </r>
      </text>
    </comment>
    <comment ref="Y82" authorId="0" shapeId="0" xr:uid="{F58505AA-2CAF-4704-86D3-7EB5E0EE70B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23-07</t>
        </r>
      </text>
    </comment>
    <comment ref="Z82" authorId="0" shapeId="0" xr:uid="{905F92EC-B0A6-407E-901F-E2D70BF83D0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19-07</t>
        </r>
      </text>
    </comment>
    <comment ref="AA82" authorId="0" shapeId="0" xr:uid="{AC72C654-4A70-486A-A3E3-773F7E9C1C0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82" authorId="0" shapeId="0" xr:uid="{EB987BCD-5D5A-4AE2-9A55-28A5F74406C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22-07</t>
        </r>
      </text>
    </comment>
    <comment ref="V83" authorId="1" shapeId="0" xr:uid="{4021A305-CAD9-4182-8DD7-16C7D256D57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Ottiliavej</t>
        </r>
      </text>
    </comment>
    <comment ref="W83" authorId="1" shapeId="0" xr:uid="{6D4470E0-39F7-4F48-BEAC-C5FABBAE9BB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Ottiliavej</t>
        </r>
      </text>
    </comment>
    <comment ref="X83" authorId="1" shapeId="0" xr:uid="{2448BB99-54A7-4A5F-9BE3-FD57E9CEC1C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Ottiliavej</t>
        </r>
      </text>
    </comment>
    <comment ref="Y83" authorId="1" shapeId="0" xr:uid="{57A15634-B81E-4EFC-9927-BE5198724FD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Ottiliavej</t>
        </r>
      </text>
    </comment>
    <comment ref="Z83" authorId="1" shapeId="0" xr:uid="{1BC9DDEF-1F79-40A9-8B14-A7958663B84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Ottiliavej</t>
        </r>
      </text>
    </comment>
    <comment ref="AA83" authorId="1" shapeId="0" xr:uid="{52697F57-69F2-48A4-8788-75EB6F683C3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21.30-06.30 Ottiliavej</t>
        </r>
      </text>
    </comment>
    <comment ref="AB83" authorId="1" shapeId="0" xr:uid="{121F0F93-06D0-4D28-8B2E-6954FCCF308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21.30-06.30 Ottiliavej</t>
        </r>
      </text>
    </comment>
    <comment ref="J89" authorId="0" shapeId="0" xr:uid="{8D7FE07E-7473-45A5-8F19-4D7A7EABDAA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</t>
        </r>
      </text>
    </comment>
    <comment ref="L89" authorId="0" shapeId="0" xr:uid="{DF64D1E6-62C1-4C69-97EE-5384E18BD0B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</t>
        </r>
      </text>
    </comment>
    <comment ref="O89" authorId="0" shapeId="0" xr:uid="{47B5C232-5B65-4B23-8792-8C8A699CBEA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</t>
        </r>
      </text>
    </comment>
    <comment ref="P89" authorId="0" shapeId="0" xr:uid="{21AD9E7C-DBAD-42D9-8A30-DF3F4A0A788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</t>
        </r>
      </text>
    </comment>
    <comment ref="Z89" authorId="0" shapeId="0" xr:uid="{9994911E-5484-4819-92A0-B084B31899B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Holde hovedport åben til alle er gået fra hovedkassen.</t>
        </r>
      </text>
    </comment>
    <comment ref="Q91" authorId="6" shapeId="0" xr:uid="{8DD87D31-C71C-4516-8E8D-3FC760016CCF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møder kl. 9</t>
        </r>
      </text>
    </comment>
    <comment ref="R91" authorId="6" shapeId="0" xr:uid="{A44D29A0-0777-443C-A5E3-548B1BB31480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møder kl. 9</t>
        </r>
      </text>
    </comment>
    <comment ref="S91" authorId="6" shapeId="0" xr:uid="{BE734077-2351-4BE2-8057-951E8D96472A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møder kl. 9</t>
        </r>
      </text>
    </comment>
    <comment ref="D92" authorId="0" shapeId="0" xr:uid="{54511A67-543E-483A-82E0-0F57F1F9D19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Gå foran Frederik</t>
        </r>
      </text>
    </comment>
    <comment ref="E92" authorId="0" shapeId="0" xr:uid="{D4BFA7CD-23EB-49DD-A68B-1F82D093A7A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Hertin-Sandkær:
Gå foran Frederik</t>
        </r>
      </text>
    </comment>
    <comment ref="V93" authorId="0" shapeId="0" xr:uid="{0C2B0AF7-3D11-4592-895E-CCB358D13E4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 foran Thomas</t>
        </r>
      </text>
    </comment>
    <comment ref="W93" authorId="0" shapeId="0" xr:uid="{58BA1AD4-B104-4EBF-99D9-4862DFE9C21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 foran Thomas</t>
        </r>
      </text>
    </comment>
    <comment ref="X93" authorId="0" shapeId="0" xr:uid="{4E038A5E-286C-4A5B-8A8C-2E43F32848F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 foran Thomas</t>
        </r>
      </text>
    </comment>
    <comment ref="Y93" authorId="0" shapeId="0" xr:uid="{75372958-3AAB-4BC8-8EEB-2F5D8FAE56F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 foran Thomas</t>
        </r>
      </text>
    </comment>
    <comment ref="Z93" authorId="0" shapeId="0" xr:uid="{79F74D52-2790-4B39-A8EE-86557E4D70D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Nick Lorentzen:
Gå foran Thomas</t>
        </r>
      </text>
    </comment>
    <comment ref="D98" authorId="0" shapeId="0" xr:uid="{1901633B-6B33-4892-BBE3-E6D8F97DF0F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Skole</t>
        </r>
      </text>
    </comment>
    <comment ref="R98" authorId="0" shapeId="0" xr:uid="{A709C111-6B8F-47CF-83A5-B53371760BE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Skole</t>
        </r>
      </text>
    </comment>
    <comment ref="AE98" authorId="1" shapeId="0" xr:uid="{1E35B9A4-128A-4638-B4C3-87FE8022FEB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Til læge 10:20 - kommer tilbage</t>
        </r>
      </text>
    </comment>
    <comment ref="AF98" authorId="0" shapeId="0" xr:uid="{531741D5-6459-4D37-8F7B-DB1EE6A499A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Skole</t>
        </r>
      </text>
    </comment>
    <comment ref="D99" authorId="0" shapeId="0" xr:uid="{995FCB81-1ABC-48E2-BB75-6BB6C4EF706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Skole</t>
        </r>
      </text>
    </comment>
    <comment ref="P99" authorId="0" shapeId="0" xr:uid="{3CA71079-285B-4228-B5C1-B10C064376C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R99" authorId="0" shapeId="0" xr:uid="{595D23F4-5D7E-4D2C-9E8C-A5E6E626EEB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Skole</t>
        </r>
      </text>
    </comment>
    <comment ref="S99" authorId="0" shapeId="0" xr:uid="{3F0163F7-0717-468C-A3F8-CFC05D0AC17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Y99" authorId="0" shapeId="0" xr:uid="{49EDBB10-DCE1-4449-93F4-DEBA25A723C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Skole</t>
        </r>
      </text>
    </comment>
    <comment ref="AC99" authorId="0" shapeId="0" xr:uid="{D962D034-3FA9-4B9C-ACCE-7316B5D55AA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AD99" authorId="0" shapeId="0" xr:uid="{B9676554-6B3E-40F3-B7CA-213C95A4011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AF99" authorId="0" shapeId="0" xr:uid="{4B20B1A3-10B3-4250-853B-76A6E213861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Hartvig Morell Nielsen:
Skole</t>
        </r>
      </text>
    </comment>
    <comment ref="AG99" authorId="0" shapeId="0" xr:uid="{7DBB2BCA-A8C0-4031-9842-7D0381CAE8B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Steen Hertin:
Ekstra vagt 16.00 - 23.00 lære bygninger/huset</t>
        </r>
      </text>
    </comment>
    <comment ref="H100" authorId="0" shapeId="0" xr:uid="{5F37C2E2-9036-446E-9B15-A1DA7EE9FE9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I100" authorId="0" shapeId="0" xr:uid="{3A2B6C0A-61F0-4101-9130-A74B4DB3447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J100" authorId="0" shapeId="0" xr:uid="{DE4C4D12-79C7-4A8E-8272-CF1FE35975C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K100" authorId="0" shapeId="0" xr:uid="{3324A639-8B74-469F-A08A-54240FF26C3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L100" authorId="0" shapeId="0" xr:uid="{9B9BB0B1-16DD-4C10-ACA9-1FBAF929F59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O100" authorId="0" shapeId="0" xr:uid="{BC84257F-A1C8-4757-A1EC-FEE44FA5F7C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P100" authorId="0" shapeId="0" xr:uid="{FD178158-4128-45C3-AD06-D0F44E32B81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Q100" authorId="0" shapeId="0" xr:uid="{AADC0D20-646E-4B4F-9507-D03474D15BF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R100" authorId="0" shapeId="0" xr:uid="{2B83908C-42EA-4F1E-88F1-74C76B3AE6E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S100" authorId="0" shapeId="0" xr:uid="{A769483F-B0BE-43EB-AB77-3A0086791CB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W100" authorId="0" shapeId="0" xr:uid="{CF38364B-0E50-47E5-83A7-6DE46857322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X100" authorId="0" shapeId="0" xr:uid="{AA69E184-1616-4F7B-8C3E-1B9C2B2B688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Y100" authorId="0" shapeId="0" xr:uid="{3B0DF47C-8EF4-468C-A71E-A01D4B41786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Z100" authorId="0" shapeId="0" xr:uid="{37BF9B99-EA8C-4AAB-A568-B56114EA0C1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C100" authorId="0" shapeId="0" xr:uid="{9FC87568-BC6A-4D11-9C3E-EE519AE784B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D100" authorId="0" shapeId="0" xr:uid="{E6D1F696-5504-4077-8BAE-F8B22827E0E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E100" authorId="0" shapeId="0" xr:uid="{2A1E22F3-0F11-4505-A227-8F51DBADE40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F100" authorId="0" shapeId="0" xr:uid="{E30285BB-E6CF-41D5-AAC2-F644C9EEA19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G100" authorId="0" shapeId="0" xr:uid="{E53972EC-B552-4A66-A6A2-36B6DB459D1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O104" authorId="0" shapeId="0" xr:uid="{30C262C2-F03F-45E1-949D-39D52F8D316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Møder kl. 09:00 og går med rundvisningen</t>
        </r>
      </text>
    </comment>
    <comment ref="P104" authorId="0" shapeId="0" xr:uid="{61BF906A-524E-4F12-8572-8E27825A2AB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vagten</t>
        </r>
      </text>
    </comment>
    <comment ref="Q104" authorId="0" shapeId="0" xr:uid="{1CC29E8C-BE56-46C1-9818-AC48342B244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vagten</t>
        </r>
      </text>
    </comment>
    <comment ref="R104" authorId="0" shapeId="0" xr:uid="{39B41895-F163-481E-8B1B-D0F9308DEB3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Arrangementsservice</t>
        </r>
      </text>
    </comment>
    <comment ref="S104" authorId="0" shapeId="0" xr:uid="{541996A4-B68E-472E-8FF0-9C6891978A5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Arrangementsservice</t>
        </r>
      </text>
    </comment>
    <comment ref="K115" authorId="3" shapeId="0" xr:uid="{CBDF9F81-79FF-4CFB-909C-852CC300EFD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Bliver til 10.30 torsdag morgen og møder kl. 17.30 torsdag aften. Alt udover O1-vagt er på OA</t>
        </r>
      </text>
    </comment>
    <comment ref="W127" authorId="7" shapeId="0" xr:uid="{2947EAB8-1814-43C0-9215-AEBD60C1970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Trivselsudvalg 14:30-15:50</t>
        </r>
      </text>
    </comment>
    <comment ref="K137" authorId="3" shapeId="0" xr:uid="{718EEA48-D3C6-45D7-9EEB-BFB7E21FD70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Bliver til 10.30 torsdag morgen og møder kl. 17.30 torsdag aften. Alt udover O1-vagt er på OA</t>
        </r>
      </text>
    </comment>
    <comment ref="S137" authorId="3" shapeId="0" xr:uid="{724F0683-7076-4CEB-84AD-32E0D69156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OA.</t>
        </r>
      </text>
    </comment>
    <comment ref="T137" authorId="3" shapeId="0" xr:uid="{BCA6DDB8-EFD6-4C86-8C96-F51FFFE053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V137" authorId="3" shapeId="0" xr:uid="{40EC31F7-9218-4FFD-9AD7-1647A57DC3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17.30 oa fra 17.30 - 20.30</t>
        </r>
      </text>
    </comment>
    <comment ref="AG137" authorId="4" shapeId="0" xr:uid="{1950E32F-F5A2-4586-96AF-368C0AF01F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D158" authorId="3" shapeId="0" xr:uid="{50E7635B-722D-483D-8A40-A607FF1A88B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I158" authorId="3" shapeId="0" xr:uid="{B2353213-9047-4182-B340-A1A6C16C79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F158" authorId="4" shapeId="0" xr:uid="{07674C6E-E16B-4228-9124-DD800FDBB7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D171" authorId="3" shapeId="0" xr:uid="{3F0D0A28-1103-4AB5-B0E3-80F8FA27692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E171" authorId="1" shapeId="0" xr:uid="{E6C8A5FF-A4A7-4957-A7CB-2844AFE543A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Læge 10:30</t>
        </r>
      </text>
    </comment>
    <comment ref="I171" authorId="3" shapeId="0" xr:uid="{6EA220A1-291B-428A-8CE8-FE904781590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X171" authorId="3" shapeId="0" xr:uid="{785B2F2E-1776-4B0B-8A40-6AAD2EABE8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17.00</t>
        </r>
      </text>
    </comment>
    <comment ref="AD171" authorId="3" shapeId="0" xr:uid="{73077ACB-4427-4891-889A-00E42FFFFA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18.00</t>
        </r>
      </text>
    </comment>
    <comment ref="AF171" authorId="4" shapeId="0" xr:uid="{CA33BD48-ADA5-4CC7-B19C-C17F0A33B9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D172" authorId="3" shapeId="0" xr:uid="{99DD72E8-7AC5-4E20-9CCA-5272D22308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I172" authorId="3" shapeId="0" xr:uid="{9922BCEB-96AF-4F75-B0B1-B6456C0B6A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J172" authorId="4" shapeId="0" xr:uid="{F7DA9C8B-AFC0-4C27-8B83-EEDF8E2BA0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kl. 15.00</t>
        </r>
      </text>
    </comment>
    <comment ref="X172" authorId="3" shapeId="0" xr:uid="{D5F91385-FB4C-4271-A2CD-959E7D943B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10.00 - 14.00</t>
        </r>
      </text>
    </comment>
    <comment ref="Y172" authorId="1" shapeId="0" xr:uid="{ABE924AD-1934-46E9-B6EF-D0993FA0AB9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Z172" authorId="1" shapeId="0" xr:uid="{0E7ABFCB-1646-4A55-A3C4-9543637946C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172" authorId="4" shapeId="0" xr:uid="{F4A2B3EF-2126-4161-A95C-35AD6792C1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D173" authorId="3" shapeId="0" xr:uid="{E27ADCF0-67E7-4AA5-BD2C-4E94858A29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I173" authorId="3" shapeId="0" xr:uid="{1B135B3F-8240-4C9A-8182-216F7C0AF20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F173" authorId="4" shapeId="0" xr:uid="{4C95EB56-B0A0-4FED-AE05-DFDBDE753C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D174" authorId="3" shapeId="0" xr:uid="{00E73958-D548-4309-85CC-85984494B3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F174" authorId="2" shapeId="0" xr:uid="{364434CE-BE3C-4BC2-9AA0-B83F57F5094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I174" authorId="3" shapeId="0" xr:uid="{EC0C8010-29E1-4018-B14B-81C315FD9A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W174" authorId="7" shapeId="0" xr:uid="{D5730C0C-B0B5-4CB5-AFFD-47194758BB0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AMR 09:00-10:30
+ Trivselsudvalg 14:30-15:50</t>
        </r>
      </text>
    </comment>
    <comment ref="X174" authorId="3" shapeId="0" xr:uid="{B6FF55A4-C549-4513-8AF9-D802B579C8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17.00</t>
        </r>
      </text>
    </comment>
    <comment ref="Z174" authorId="7" shapeId="0" xr:uid="{4B5F25AD-DB06-4599-84AA-D5631DE11B8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11:00-12:00 møde i arrangmentsservice</t>
        </r>
      </text>
    </comment>
    <comment ref="AD174" authorId="3" shapeId="0" xr:uid="{C736079C-C762-4498-8D8A-54F4E612E9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18.00</t>
        </r>
      </text>
    </comment>
    <comment ref="AE174" authorId="2" shapeId="0" xr:uid="{12533B47-6054-4308-8057-398F20EFAF6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enhedsmøde 15.00</t>
        </r>
      </text>
    </comment>
    <comment ref="AF174" authorId="4" shapeId="0" xr:uid="{CF5831D5-BB8E-4E99-9170-21716D3EC8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V190" authorId="4" shapeId="0" xr:uid="{F644CE55-C331-44CA-AAB2-8F733815EA4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W190" authorId="4" shapeId="0" xr:uid="{FC886DC7-169F-4064-8508-9C44AAE22C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X190" authorId="4" shapeId="0" xr:uid="{938925A4-C7D5-4AE4-8F8A-E09DE138D6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Y190" authorId="4" shapeId="0" xr:uid="{AD52615E-B416-4E08-8BC5-C9C44628C4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H191" authorId="3" shapeId="0" xr:uid="{FF72A2C0-5E34-4E22-8016-C6DC5BE1F2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I191" authorId="3" shapeId="0" xr:uid="{E9F4EE8E-B196-4184-B615-6731D0A08A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J191" authorId="3" shapeId="0" xr:uid="{3E85D27F-E1C0-438B-96B3-959800F1F7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K191" authorId="3" shapeId="0" xr:uid="{392C13C9-CCD4-42B0-90A4-3A3E1B0B0CB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L191" authorId="3" shapeId="0" xr:uid="{2C3871F4-CB05-4030-8F16-9230D9A329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Z191" authorId="4" shapeId="0" xr:uid="{4B9A7EAA-3E3E-48F2-9432-4346B00346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AA191" authorId="4" shapeId="0" xr:uid="{325E3DC6-AFD3-4E99-B1D5-962D72F8AC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AB191" authorId="4" shapeId="0" xr:uid="{917CF220-1DFC-4D6F-BD96-0E79829722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AF208" authorId="4" shapeId="0" xr:uid="{E4031F9C-5D6F-4CF1-938B-E81658368F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X237" authorId="3" shapeId="0" xr:uid="{3A115623-80FF-4705-981C-7846743A1D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12.00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 BT. Pedersen</author>
    <author>Steen Hertin-Sandkær</author>
    <author>Mathias Hartvig Morell Nielsen</author>
    <author>Thomas Holm</author>
    <author>Nick Lorentzen</author>
    <author>Mathias Nielsen</author>
    <author>Steen Hertin</author>
    <author>Lars Crone</author>
    <author>Michael Bo Pedersen</author>
    <author>Jesper Larsen</author>
    <author>Kim Holm Aabroe</author>
    <author>Mathias Søndergaard</author>
    <author>Nikolaj Langtin Pamhede</author>
  </authors>
  <commentList>
    <comment ref="K14" authorId="0" shapeId="0" xr:uid="{A04117F5-E521-42AE-A7C6-C2CA677260C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Vlg til EU</t>
        </r>
      </text>
    </comment>
    <comment ref="K15" authorId="1" shapeId="0" xr:uid="{FD9E62BA-183F-4EDC-88DC-3FD0C1A156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Svanemøllehallen</t>
        </r>
      </text>
    </comment>
    <comment ref="L15" authorId="1" shapeId="0" xr:uid="{31E6584D-5495-4097-B930-AEAAB5B683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Svanemøllehallen</t>
        </r>
      </text>
    </comment>
    <comment ref="AA15" authorId="2" shapeId="0" xr:uid="{3B010BED-1264-4B5E-BF92-08C0A0B1269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BR 06:30</t>
        </r>
      </text>
    </comment>
    <comment ref="P18" authorId="3" shapeId="0" xr:uid="{8175E80E-77C0-446E-B524-B1DBEB6FD56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kl. 07.30-11.30</t>
        </r>
      </text>
    </comment>
    <comment ref="AB18" authorId="2" shapeId="0" xr:uid="{7CDCC0D5-9A30-4158-9E3D-20C93D05C46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S-vagt OA</t>
        </r>
      </text>
    </comment>
    <comment ref="H19" authorId="4" shapeId="0" xr:uid="{FBA81B2C-47CF-4D75-B154-016E0029DAE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GRUS kl 15:00 i Nyrups hjørne</t>
        </r>
      </text>
    </comment>
    <comment ref="P19" authorId="3" shapeId="0" xr:uid="{7E9CE172-86AC-48E6-BBD4-D3C211BD85E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fra kl. 08.30</t>
        </r>
      </text>
    </comment>
    <comment ref="Z19" authorId="2" shapeId="0" xr:uid="{22D0E656-FCA8-4C7E-9FB4-ED1D7866D0E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Bliver til BR-mødet slutter tirsdag morgen</t>
        </r>
      </text>
    </comment>
    <comment ref="K21" authorId="1" shapeId="0" xr:uid="{9D50BA03-5474-49CC-B19C-D512C09FDD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Svanemøllehallen</t>
        </r>
      </text>
    </comment>
    <comment ref="L21" authorId="1" shapeId="0" xr:uid="{E01E5123-0CEF-463A-B8B5-59D7F643DCF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Svanemøllehallen</t>
        </r>
      </text>
    </comment>
    <comment ref="S21" authorId="1" shapeId="0" xr:uid="{65F732C8-5E5C-4AD8-8780-C97F21DA668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=9.00 - 13.00 møder</t>
        </r>
      </text>
    </comment>
    <comment ref="V21" authorId="1" shapeId="0" xr:uid="{42BE09FF-6B44-465D-838B-674B91836F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K22" authorId="1" shapeId="0" xr:uid="{F91637F5-2CEE-49CF-AF24-13C2DA22DD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Valg Rådhuset 08.30 - 20.30</t>
        </r>
      </text>
    </comment>
    <comment ref="M22" authorId="2" shapeId="0" xr:uid="{63BCAB6F-0AEA-4C57-A1B2-3E09D2D5D29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 18.00-20.30</t>
        </r>
      </text>
    </comment>
    <comment ref="N22" authorId="2" shapeId="0" xr:uid="{28480979-1064-44B0-A0D7-3082A3266F5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 kl. 15:30</t>
        </r>
      </text>
    </comment>
    <comment ref="S22" authorId="1" shapeId="0" xr:uid="{D08FD8C2-5620-473F-A5CE-744D5171FC4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09.00</t>
        </r>
      </text>
    </comment>
    <comment ref="Z22" authorId="5" shapeId="0" xr:uid="{D9FB16E9-9F93-4161-B7D4-7FAEAF09276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
Modtagelse</t>
        </r>
      </text>
    </comment>
    <comment ref="AA22" authorId="5" shapeId="0" xr:uid="{D93D7902-DDAC-49D9-95D9-A84A81E27D0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
Modtagelse + BR møde 06:30</t>
        </r>
      </text>
    </comment>
    <comment ref="AB22" authorId="5" shapeId="0" xr:uid="{90E30E98-CB8D-4BFC-8E27-6517FCE1EDD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
Modtagelse</t>
        </r>
      </text>
    </comment>
    <comment ref="AC22" authorId="5" shapeId="0" xr:uid="{A2FFA448-B0F3-47B2-8681-76486FC6DD1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D22" authorId="5" shapeId="0" xr:uid="{063D9D03-A965-49D5-8484-8F29F1F7F25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K24" authorId="1" shapeId="0" xr:uid="{2FE517F6-2753-4633-AFF3-9319A6134A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Valg Rådhuset 08.30 - 20.30</t>
        </r>
      </text>
    </comment>
    <comment ref="L24" authorId="1" shapeId="0" xr:uid="{463F4E71-4F4E-41A2-8A12-C4521AE73B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C25" authorId="6" shapeId="0" xr:uid="{B346B326-A952-470A-BAB5-B8DEF6F080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Holde hovedporten åben fra kl. 08.30 - 16.30
Alt udover 89-vagt er oa</t>
        </r>
      </text>
    </comment>
    <comment ref="H25" authorId="6" shapeId="0" xr:uid="{B3255729-524F-46B0-9A28-4CE05CA9F6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fra kl. 14.00</t>
        </r>
      </text>
    </comment>
    <comment ref="I25" authorId="6" shapeId="0" xr:uid="{118FA1CF-C163-46A3-B4C3-96728B371D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Svanemøllehallen kl. 18.00 - 07.00 oa.</t>
        </r>
      </text>
    </comment>
    <comment ref="E26" authorId="5" shapeId="0" xr:uid="{E703FD3C-D773-4B8D-B6B1-432A711D938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FTR</t>
        </r>
      </text>
    </comment>
    <comment ref="F26" authorId="5" shapeId="0" xr:uid="{F2385B6B-BCCA-4D31-AF77-A6B3779E84A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FTR</t>
        </r>
      </text>
    </comment>
    <comment ref="H26" authorId="6" shapeId="0" xr:uid="{00395394-1B5B-4C02-B31B-58A961C011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 hele dagen</t>
        </r>
      </text>
    </comment>
    <comment ref="L26" authorId="1" shapeId="0" xr:uid="{23ADA9E5-8143-463A-AE73-F73C18EBEEA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N26" authorId="2" shapeId="0" xr:uid="{D1DB9965-6D9F-44B7-AC76-B6CF62E8071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Hoved-MED</t>
        </r>
      </text>
    </comment>
    <comment ref="S26" authorId="2" shapeId="0" xr:uid="{BE31D3A6-B261-4445-A808-0A05030FC05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Forhandlinger med valg sek.</t>
        </r>
      </text>
    </comment>
    <comment ref="U26" authorId="2" shapeId="0" xr:uid="{C8201C5A-F5BC-4FEA-904F-F3E89F6AF8B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 med Astrid</t>
        </r>
      </text>
    </comment>
    <comment ref="H27" authorId="5" shapeId="0" xr:uid="{6CFCB860-EBCF-4411-96EE-EBDDC404495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Går 12:45 - afspadsering</t>
        </r>
      </text>
    </comment>
    <comment ref="K27" authorId="1" shapeId="0" xr:uid="{C1B89591-42FE-445F-BF83-57D90BEB30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Svanemøllehallen</t>
        </r>
      </text>
    </comment>
    <comment ref="L27" authorId="1" shapeId="0" xr:uid="{B4F9A305-2B85-4ACB-9F74-7D21ECC17B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N27" authorId="6" shapeId="0" xr:uid="{3007F9DB-9679-4987-BB17-28BC340AAA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kl. 15:30</t>
        </r>
      </text>
    </comment>
    <comment ref="S27" authorId="1" shapeId="0" xr:uid="{E3B5E8AF-F5D1-4512-87B0-BFA11095D0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09.30</t>
        </r>
      </text>
    </comment>
    <comment ref="D28" authorId="1" shapeId="0" xr:uid="{DCBE01B7-3A91-4F44-A7C5-4AE29478B8B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opsætning</t>
        </r>
      </text>
    </comment>
    <comment ref="H28" authorId="1" shapeId="0" xr:uid="{F24DA3A4-249C-4A89-8F9B-1D3E2869E4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opsætning</t>
        </r>
      </text>
    </comment>
    <comment ref="Z28" authorId="2" shapeId="0" xr:uid="{E24A3B8C-203A-45D1-9386-0F983CA571F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OBS - Natholdet skal tage en tur ved balustraden grundet BR tirsdag</t>
        </r>
      </text>
    </comment>
    <comment ref="AA29" authorId="2" shapeId="0" xr:uid="{4EBBBEB3-F92A-4220-AFDC-F329662DDB4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Martin Holse hjælper fra 11:30-15:30</t>
        </r>
      </text>
    </comment>
    <comment ref="S30" authorId="2" shapeId="0" xr:uid="{5D089C64-CE4D-4579-9A2C-0A4E2427F5A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Dækkes af natholdet</t>
        </r>
      </text>
    </comment>
    <comment ref="Z30" authorId="2" shapeId="0" xr:uid="{1B9E369F-B387-42AB-A010-DAD924E3797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Dækkes af Martin Holse fra kl. 08:00</t>
        </r>
      </text>
    </comment>
    <comment ref="S31" authorId="1" shapeId="0" xr:uid="{9D1AC30F-6EA9-4110-8089-7E8BE7C41A0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Fra kl. 09.30 - 12.30</t>
        </r>
      </text>
    </comment>
    <comment ref="T43" authorId="7" shapeId="0" xr:uid="{27EE0914-5D8D-49E4-913D-9C0DFD26152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7 vagt på OA</t>
        </r>
      </text>
    </comment>
    <comment ref="U43" authorId="7" shapeId="0" xr:uid="{225CF5D5-1EF0-4F37-A068-00F7204155F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7 Vagt på OA</t>
        </r>
      </text>
    </comment>
    <comment ref="V43" authorId="7" shapeId="0" xr:uid="{9787F49A-C980-4257-966A-45FB68D935AF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7 vagt på OA</t>
        </r>
      </text>
    </comment>
    <comment ref="W43" authorId="7" shapeId="0" xr:uid="{725F400F-E4D3-490E-9B23-E432D30702B2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7 vagt på OA</t>
        </r>
      </text>
    </comment>
    <comment ref="I44" authorId="2" shapeId="0" xr:uid="{24D7B588-E28B-4669-9ADA-2276A93CA08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Hjælpe med valgkasser</t>
        </r>
      </text>
    </comment>
    <comment ref="J44" authorId="1" shapeId="0" xr:uid="{A4FF2663-E85A-4DD9-8BF7-6CD0D2AABC6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Svanemøllehallen kl. 23.00 - Per og Thomas kommer søndag ved 15.00 tiden.</t>
        </r>
      </text>
    </comment>
    <comment ref="T46" authorId="0" shapeId="0" xr:uid="{4DF79BE1-FE09-4A12-A153-415460EB71E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5-vagt fro Bo I</t>
        </r>
      </text>
    </comment>
    <comment ref="V46" authorId="0" shapeId="0" xr:uid="{88250F3F-132A-42FE-B716-88AA3E4F219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5-vagt fro Bo I
</t>
        </r>
      </text>
    </comment>
    <comment ref="G47" authorId="1" shapeId="0" xr:uid="{2BC678E5-5E31-4686-9FBC-25BB15DAD0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onsdag kl. 24.00 - 08.30 på Sjællandsgade alt udenfor 9-vagt er på oa.</t>
        </r>
      </text>
    </comment>
    <comment ref="H47" authorId="1" shapeId="0" xr:uid="{938E7668-1751-4370-AF02-95A634BA94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20.30 - 08.30 som O1. alt uden for 9-vagt er oa.</t>
        </r>
      </text>
    </comment>
    <comment ref="J47" authorId="1" shapeId="0" xr:uid="{FDE32F58-9D4C-4E84-B5F7-38F221F005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23-vagt. Alt udenfor B1 er OA</t>
        </r>
      </text>
    </comment>
    <comment ref="AB47" authorId="2" shapeId="0" xr:uid="{BC18ECAF-93D5-4C39-AEED-5FB365D9435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AD47" authorId="2" shapeId="0" xr:uid="{AEB302B9-FCBC-4B0C-8903-D34F0D46E7B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7-vagt OA
</t>
        </r>
      </text>
    </comment>
    <comment ref="H48" authorId="4" shapeId="0" xr:uid="{45B0BADC-EC97-4953-B908-C6E2EC80A7A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GRUS kl 15:00 i Nyrups hjørne</t>
        </r>
      </text>
    </comment>
    <comment ref="G49" authorId="6" shapeId="0" xr:uid="{09066869-E607-4AAB-BA2C-6F206D6701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Hovedporten åben til brevstemmer. Møder o7.30 - 12.30 på OA</t>
        </r>
      </text>
    </comment>
    <comment ref="H49" authorId="4" shapeId="0" xr:uid="{2D0477F1-7FDD-428D-ACA6-864AAD48DD3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GRUS kl 15:00 i Nyrups hjørne</t>
        </r>
      </text>
    </comment>
    <comment ref="H50" authorId="4" shapeId="0" xr:uid="{0653744A-45B0-4B63-93A8-463C46EF340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GRUS kl 15:00 i Nyrups hjørne</t>
        </r>
      </text>
    </comment>
    <comment ref="F53" authorId="8" shapeId="0" xr:uid="{E0DED834-03F1-406E-9253-5774537A2A8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21-vagt på oa fra kl 23.00</t>
        </r>
      </text>
    </comment>
    <comment ref="J53" authorId="8" shapeId="0" xr:uid="{6EEF6572-4D50-452B-9C82-AB8C42B3E6B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L53" authorId="1" shapeId="0" xr:uid="{9E0F14F5-A4E6-4C19-8B7D-F685FC192A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Fintælling.</t>
        </r>
      </text>
    </comment>
    <comment ref="T53" authorId="2" shapeId="0" xr:uid="{F5D4E385-D3B0-4851-B8C4-82225A9D178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23-vagt OA
8-vagt for Kim BT
</t>
        </r>
      </text>
    </comment>
    <comment ref="V53" authorId="7" shapeId="0" xr:uid="{916B67E5-0C4D-4D46-AF33-86DB9164787B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23 vagt på OA
8-vagt for Kim BT
</t>
        </r>
      </text>
    </comment>
    <comment ref="W53" authorId="7" shapeId="0" xr:uid="{384FEE8B-F59C-464B-A625-8E526E6E31BA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23 Vagt på OA</t>
        </r>
      </text>
    </comment>
    <comment ref="Z53" authorId="2" shapeId="0" xr:uid="{6FDEC224-9CFD-454A-850A-C11F6F2A7D1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Bliver til BR-mødet er slut</t>
        </r>
      </text>
    </comment>
    <comment ref="Q66" authorId="7" shapeId="0" xr:uid="{117119C6-99F5-4617-9FDA-4AAE1F04F777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Havde byttet med Dimitrios men han mødte ikke</t>
        </r>
      </text>
    </comment>
    <comment ref="E67" authorId="1" shapeId="0" xr:uid="{E3E26AB8-8773-4A26-B4BE-56DFBA1C69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F67" authorId="1" shapeId="0" xr:uid="{84952EF8-3415-4CFA-8CC0-6169A503158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 til 10.30</t>
        </r>
      </text>
    </comment>
    <comment ref="K67" authorId="1" shapeId="0" xr:uid="{F931CA64-1730-4E6D-AD97-841867BDA3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Svanemøllehallen</t>
        </r>
      </text>
    </comment>
    <comment ref="L67" authorId="1" shapeId="0" xr:uid="{FFD58070-86BB-4AFF-85DB-D8A99FD60C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N67" authorId="6" shapeId="0" xr:uid="{C0B772AC-E470-4EAA-B776-C6DB7AE0A1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kl. 15:30</t>
        </r>
      </text>
    </comment>
    <comment ref="P67" authorId="4" shapeId="0" xr:uid="{81FE98E9-B022-4D80-A3A4-225BA678319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11:30
</t>
        </r>
      </text>
    </comment>
    <comment ref="Q67" authorId="7" shapeId="0" xr:uid="{38DBE110-C653-4ADC-988E-3757842CF4E2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da der ikke mødte nogen på KA vagt</t>
        </r>
      </text>
    </comment>
    <comment ref="AA67" authorId="7" shapeId="0" xr:uid="{FE40D40C-0D10-4CDF-827C-1AAF87CEACB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 vagt på OA</t>
        </r>
      </text>
    </comment>
    <comment ref="AB67" authorId="7" shapeId="0" xr:uid="{940EB3DF-CD1D-464D-A480-FA9B738DD5E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 vagt på OA</t>
        </r>
      </text>
    </comment>
    <comment ref="AC67" authorId="7" shapeId="0" xr:uid="{86081DA1-B388-4093-95A3-CD90E595AED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 vagt på OA</t>
        </r>
      </text>
    </comment>
    <comment ref="AD67" authorId="7" shapeId="0" xr:uid="{29DF925B-CA19-40B6-9F86-51E733FDD05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 vagt på OA</t>
        </r>
      </text>
    </comment>
    <comment ref="I68" authorId="1" shapeId="0" xr:uid="{7AF98A93-61DA-4BE8-B4D4-A8ECA373FB0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18.00-01.00</t>
        </r>
      </text>
    </comment>
    <comment ref="E70" authorId="2" shapeId="0" xr:uid="{A0A0E654-6D9F-419D-9DB9-3511E1C0099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F70" authorId="2" shapeId="0" xr:uid="{01828E69-CB97-4CA5-BB9E-86ACB63A53A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H70" authorId="2" shapeId="0" xr:uid="{1FF93DAD-7172-48F8-8D17-9AFA4F707E2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I70" authorId="2" shapeId="0" xr:uid="{77F81D88-6F44-4C6F-90FE-93D7C178FF7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L70" authorId="2" shapeId="0" xr:uid="{7FCE7C84-EF90-4BBF-89ED-1A85FF12E29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M70" authorId="2" shapeId="0" xr:uid="{0F26440B-2F2A-46B5-AA74-F1ECD2BC26A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N70" authorId="2" shapeId="0" xr:uid="{4BBB1C10-9F4E-4FC7-99BB-63E39943DA9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O70" authorId="2" shapeId="0" xr:uid="{8B86232F-3719-4581-8710-877763153B5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P70" authorId="2" shapeId="0" xr:uid="{29AA1550-E40F-470E-9B57-0BC2653240A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G71" authorId="7" shapeId="0" xr:uid="{1689A568-4AEC-4FE6-BEE5-AF55938FC80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23:30-00:30</t>
        </r>
      </text>
    </comment>
    <comment ref="J71" authorId="7" shapeId="0" xr:uid="{2799E847-9FC1-4496-8F30-BF4BF88AF61C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fra kl 23:30-00:30</t>
        </r>
      </text>
    </comment>
    <comment ref="S71" authorId="9" shapeId="0" xr:uid="{2F434E41-A222-45D5-B0F0-E5A4318B308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23:30 1 time Afsp.
</t>
        </r>
      </text>
    </comment>
    <comment ref="AA71" authorId="2" shapeId="0" xr:uid="{567B0649-6B4D-451E-A710-5BC9CCEAD1E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AD71" authorId="10" shapeId="0" xr:uid="{367F684B-D34C-4C86-A59F-A32DA9CB4A6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S-vagt OA</t>
        </r>
      </text>
    </comment>
    <comment ref="H72" authorId="2" shapeId="0" xr:uid="{DF6B3FD7-B2FF-4C5D-ACDE-0F0C961B2C3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AB72" authorId="1" shapeId="0" xr:uid="{483FCE2B-9575-48D7-B0FD-E8B2AC7B32C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
Møder 10.00-16.00 Dækker 3'er vagten</t>
        </r>
      </text>
    </comment>
    <comment ref="I75" authorId="1" shapeId="0" xr:uid="{F7EC2F94-FB6A-4C26-92F4-E85EB86C78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valgkasser.
Møder 07.30</t>
        </r>
      </text>
    </comment>
    <comment ref="K75" authorId="1" shapeId="0" xr:uid="{0458D16D-AC7C-4537-AD10-2B43D911BB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Valg Rådhuset møder kl. 10.00 til 00:30</t>
        </r>
      </text>
    </comment>
    <comment ref="D76" authorId="8" shapeId="0" xr:uid="{C003A24C-D05E-4C3C-8AEB-92E10553C15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J76" authorId="8" shapeId="0" xr:uid="{42DBF4B4-EDB8-4CED-A53E-32807DE9BA0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fra kl. 18.00-23.00</t>
        </r>
      </text>
    </comment>
    <comment ref="K76" authorId="8" shapeId="0" xr:uid="{57A78560-94C5-4A90-AD77-70A5F75AC43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E77" authorId="5" shapeId="0" xr:uid="{C88C490C-766B-43F6-B648-B5407F70E92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F77" authorId="5" shapeId="0" xr:uid="{81BBED31-DD82-41BE-8A9E-499B658BAD8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H77" authorId="5" shapeId="0" xr:uid="{CA4C00F1-9EE1-4DFF-B849-97F78BE8CD4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I77" authorId="5" shapeId="0" xr:uid="{E77F6F35-62EC-4496-BE28-284BD4D4164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R77" authorId="8" shapeId="0" xr:uid="{0EDF1111-9CFE-4453-91D2-0812948C7DC2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H78" authorId="2" shapeId="0" xr:uid="{3FE5DC01-1FD7-4D17-959E-6D5B2541C81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12:30 på matthæusgade OA inden da. Afsp 23:00-00:30</t>
        </r>
      </text>
    </comment>
    <comment ref="N78" authorId="2" shapeId="0" xr:uid="{8A75244A-D169-44C6-B489-6A56C06B53A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 kl. 15:30</t>
        </r>
      </text>
    </comment>
    <comment ref="U78" authorId="2" shapeId="0" xr:uid="{88859C57-416D-4E17-BF9F-9CBED2B2DBB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D-vagt OA</t>
        </r>
      </text>
    </comment>
    <comment ref="V78" authorId="7" shapeId="0" xr:uid="{614BB7C9-AAAA-4472-A715-BED656151755}">
      <text>
        <r>
          <rPr>
            <b/>
            <sz val="9"/>
            <color indexed="81"/>
            <rFont val="Tahoma"/>
            <family val="2"/>
          </rPr>
          <t xml:space="preserve">Lars Crone:
</t>
        </r>
        <r>
          <rPr>
            <sz val="9"/>
            <color indexed="81"/>
            <rFont val="Tahoma"/>
            <family val="2"/>
          </rPr>
          <t xml:space="preserve"> kl 1530 på Brønshøjvej møder kl 1500 på Rådhus og henter bil samt nøgler til 26 vagt</t>
        </r>
      </text>
    </comment>
    <comment ref="W78" authorId="7" shapeId="0" xr:uid="{3B60D5AD-41BF-4D99-BB43-EC802632825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Går når han er færdig med tilsyn</t>
        </r>
      </text>
    </comment>
    <comment ref="X78" authorId="7" shapeId="0" xr:uid="{F97A57B6-986A-4470-821F-770777594FF8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23 vagt på OA</t>
        </r>
      </text>
    </comment>
    <comment ref="Y78" authorId="9" shapeId="0" xr:uid="{871168CC-2761-42B4-8104-5B283EC9DFF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A2 
 </t>
        </r>
      </text>
    </comment>
    <comment ref="AA78" authorId="5" shapeId="0" xr:uid="{C000F48B-677E-4A79-977D-30E39B98059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I1 OA + E-vagt OA</t>
        </r>
      </text>
    </comment>
    <comment ref="AB78" authorId="5" shapeId="0" xr:uid="{3D404BDC-6D3E-4FB7-9C70-B68159621DB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AC78" authorId="2" shapeId="0" xr:uid="{06C00492-2244-4149-A9C7-F8D85BC7342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S-vagt OA</t>
        </r>
      </text>
    </comment>
    <comment ref="S79" authorId="6" shapeId="0" xr:uid="{96A0D73A-2284-4027-B47C-F3A1977B33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Må kun vagtplaceres af Mathias og Steen</t>
        </r>
      </text>
    </comment>
    <comment ref="T79" authorId="6" shapeId="0" xr:uid="{7BCE593D-011E-4EDD-BC73-BA02B18BD3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Må kun vagtplaceres af Mathias og Steen</t>
        </r>
      </text>
    </comment>
    <comment ref="U79" authorId="6" shapeId="0" xr:uid="{CF62537C-36A1-4876-A6CB-3AD8AF561E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Må kun vagtplaceres af Mathias og Steen</t>
        </r>
      </text>
    </comment>
    <comment ref="V79" authorId="6" shapeId="0" xr:uid="{6D245BEA-6744-48A0-B374-63A4D425CB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Må kun vagtplaceres af Mathias og Steen</t>
        </r>
      </text>
    </comment>
    <comment ref="W79" authorId="6" shapeId="0" xr:uid="{1340F4DF-1602-4F40-83DF-E473556E76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Må kun vagtplaceres af Mathias og Steen</t>
        </r>
      </text>
    </comment>
    <comment ref="Z79" authorId="2" shapeId="0" xr:uid="{2AC675A1-E112-4AE7-9CC0-4BA6B27B387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G-vagt på OA</t>
        </r>
      </text>
    </comment>
    <comment ref="AB79" authorId="10" shapeId="0" xr:uid="{62DAF05E-01AE-4ED7-B498-0CC29A1EB42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griffen OA</t>
        </r>
      </text>
    </comment>
    <comment ref="AC79" authorId="10" shapeId="0" xr:uid="{70F44459-1593-4ED6-85FE-114C7E8BD83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griffen OA</t>
        </r>
      </text>
    </comment>
    <comment ref="AD79" authorId="10" shapeId="0" xr:uid="{5CF1B9DE-3198-4A1C-9F36-2FA76EAB633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griffen OA</t>
        </r>
      </text>
    </comment>
    <comment ref="I80" authorId="7" shapeId="0" xr:uid="{ED07F7DB-AB86-4414-930C-D87133A870AF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Kører på Rentemestervej kl 17:00 til 21:00</t>
        </r>
      </text>
    </comment>
    <comment ref="E82" authorId="5" shapeId="0" xr:uid="{773C4E13-9557-4B12-AD4B-FCA4F33F5C0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F82" authorId="5" shapeId="0" xr:uid="{D85DB0C9-33D5-4031-8504-90E92A97F24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G82" authorId="5" shapeId="0" xr:uid="{8F4DE400-DFC4-4831-A683-0C1A13207E8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H82" authorId="5" shapeId="0" xr:uid="{F6CEFC68-859F-4E92-AD19-DC384F9A885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I82" authorId="5" shapeId="0" xr:uid="{C72ED709-58A8-4620-B686-986A58EAC2C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J82" authorId="5" shapeId="0" xr:uid="{378F0DE7-8DAB-4E57-A1FB-AD9682D738C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21.30-06.30</t>
        </r>
      </text>
    </comment>
    <comment ref="K82" authorId="5" shapeId="0" xr:uid="{7F48C6D6-94DC-4C4B-972B-BD70578CDCE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21.30-06.30</t>
        </r>
      </text>
    </comment>
    <comment ref="S82" authorId="5" shapeId="0" xr:uid="{DD0D9E60-91E5-44EC-AE06-D0E295DFADD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JL 
gik syg hjem
</t>
        </r>
      </text>
    </comment>
    <comment ref="T82" authorId="5" shapeId="0" xr:uid="{C95E568D-8BD2-4CF0-BA17-85105681635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U82" authorId="5" shapeId="0" xr:uid="{21FD14C5-7538-4DD4-9C7E-05EB173D4C5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V82" authorId="5" shapeId="0" xr:uid="{1CE9D043-5B9B-458B-A67C-C322CD9210B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W82" authorId="5" shapeId="0" xr:uid="{A9C9E7F8-2DF4-4853-8172-ECB57EBBCFE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X82" authorId="5" shapeId="0" xr:uid="{ED546804-DCCF-416A-96BC-6DFE05F5BCA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21.30-06.30</t>
        </r>
      </text>
    </comment>
    <comment ref="Y82" authorId="5" shapeId="0" xr:uid="{248773C0-735D-41C4-976F-1ACEE28E80D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21.30-06.30</t>
        </r>
      </text>
    </comment>
    <comment ref="E83" authorId="5" shapeId="0" xr:uid="{1BFAC8A6-5E42-43A2-BB1A-CB856BDF64D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oplæring Speditørvej</t>
        </r>
      </text>
    </comment>
    <comment ref="F83" authorId="5" shapeId="0" xr:uid="{0AF1810F-77F2-4E74-8DD7-1A5C062954A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oplæring Speditørvej</t>
        </r>
      </text>
    </comment>
    <comment ref="G83" authorId="5" shapeId="0" xr:uid="{2A59198C-26F0-4D0D-BDC3-75E65F1BCA9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oplæring Speditørvej</t>
        </r>
      </text>
    </comment>
    <comment ref="H83" authorId="5" shapeId="0" xr:uid="{5BC11510-9C3E-4138-9165-357D401258E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 oplæring Speditørvej</t>
        </r>
      </text>
    </comment>
    <comment ref="I83" authorId="5" shapeId="0" xr:uid="{BD37A3E7-F72E-48DB-B753-6E533070A0D8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19-07Oplæring Sjællandsgade. Møder kl 19:00 på Rentemestervej</t>
        </r>
      </text>
    </comment>
    <comment ref="J83" authorId="5" shapeId="0" xr:uid="{7BCCC2A7-13ED-4AA6-8EC7-E8B92FF2722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19-07Oplæring Sjællandsgade</t>
        </r>
      </text>
    </comment>
    <comment ref="K83" authorId="5" shapeId="0" xr:uid="{8D084F06-2DF4-4CE3-8C86-3D62B7D54A4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19-07Oplæring Sjællandsgade</t>
        </r>
      </text>
    </comment>
    <comment ref="S83" authorId="5" shapeId="0" xr:uid="{B9DE440A-908D-4C24-B406-3057E680F5B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E84" authorId="11" shapeId="0" xr:uid="{5D2C53C3-BBA4-492C-B40F-FEEFDAD64C1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F84" authorId="11" shapeId="0" xr:uid="{EA9F8624-2FCA-4768-9577-C083F343BCA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H84" authorId="11" shapeId="0" xr:uid="{3AC5F82B-5B7F-4484-89F6-5CBAA40E617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I84" authorId="11" shapeId="0" xr:uid="{C99AD77B-67CC-41E9-812A-3BC673456BA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L84" authorId="11" shapeId="0" xr:uid="{363B2521-C193-43CD-B332-E31FF57C3A2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M84" authorId="11" shapeId="0" xr:uid="{C5DB98C0-2F98-4D7A-B4F5-E1E44CF01EE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O84" authorId="11" shapeId="0" xr:uid="{D4DFF583-D02C-4A65-889E-3D13854EA21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Til lægen</t>
        </r>
      </text>
    </comment>
    <comment ref="P84" authorId="11" shapeId="0" xr:uid="{D4C5AB59-5C6B-4A25-B85C-3EC71E226C2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S84" authorId="11" shapeId="0" xr:uid="{58A70985-0B77-4A84-BAD8-0FBEFE5E403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T84" authorId="11" shapeId="0" xr:uid="{058CADBA-413C-4376-ABBF-2FF3A7F925F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
79- vagt fra kl. 11.00</t>
        </r>
      </text>
    </comment>
    <comment ref="V84" authorId="11" shapeId="0" xr:uid="{344076BD-8739-4276-95CD-39169B684CA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W84" authorId="11" shapeId="0" xr:uid="{67630A5B-E96A-4303-93CF-5CDDF30DBE7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Z84" authorId="11" shapeId="0" xr:uid="{53ACBA55-6428-451F-8D93-6E092717AFD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AA84" authorId="11" shapeId="0" xr:uid="{94D53D3E-194D-45B3-81EF-A5FD8CFB9C5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AC84" authorId="11" shapeId="0" xr:uid="{4268E690-68DC-40FC-81D4-9C74CD75F62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AD84" authorId="11" shapeId="0" xr:uid="{F4C28212-B8B3-4D62-AE90-4B171C374F1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Z89" authorId="6" shapeId="0" xr:uid="{7173977C-79FC-44B2-B872-10F211B566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
Modtagelse</t>
        </r>
      </text>
    </comment>
    <comment ref="AA89" authorId="6" shapeId="0" xr:uid="{61128D0A-2B25-4B60-9B90-1B5136A30B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
Modtagelse</t>
        </r>
      </text>
    </comment>
    <comment ref="AB89" authorId="6" shapeId="0" xr:uid="{E56045F4-4FF1-4744-A1A9-4801B0F4DF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
Modtagelse</t>
        </r>
      </text>
    </comment>
    <comment ref="AC89" authorId="6" shapeId="0" xr:uid="{0918F01A-0F1A-44A9-9E56-B7806A1C54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</t>
        </r>
      </text>
    </comment>
    <comment ref="AD89" authorId="6" shapeId="0" xr:uid="{CC51F693-4158-41F5-8423-542C50C93F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
25 vagt OA</t>
        </r>
      </text>
    </comment>
    <comment ref="E92" authorId="6" shapeId="0" xr:uid="{A7B1B4A6-03C2-49B8-B920-9E0FEB75FB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13.00 - 20-30
Hovedport fra kl. 16.30 til 20.30</t>
        </r>
      </text>
    </comment>
    <comment ref="F92" authorId="6" shapeId="0" xr:uid="{BED5CCFD-64DB-4DFF-8192-EAB26CD7BD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13.00 - 20-30
Hovedport fra kl. 16.30 til 20.30</t>
        </r>
      </text>
    </comment>
    <comment ref="H92" authorId="6" shapeId="0" xr:uid="{19468208-CD89-4AE7-A5A0-F508CF8DE0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13.00 - 20-30
Hovedport fra kl. 16.30 til 20.30</t>
        </r>
      </text>
    </comment>
    <comment ref="K92" authorId="1" shapeId="0" xr:uid="{9EEED485-C1B9-4BE4-ABD3-50A7844080E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Valg Rådhuset 08.30 - 20.30</t>
        </r>
      </text>
    </comment>
    <comment ref="L92" authorId="6" shapeId="0" xr:uid="{614B29F4-2905-42C1-9CF4-1C973930AD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 Svanemøllehallen.</t>
        </r>
      </text>
    </comment>
    <comment ref="N92" authorId="5" shapeId="0" xr:uid="{CB1E3893-2BCA-454A-B8B2-981F1E009F9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kl. 17:00</t>
        </r>
      </text>
    </comment>
    <comment ref="E93" authorId="1" shapeId="0" xr:uid="{1698C84B-755E-430C-B46A-856C9B011B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V93" authorId="1" shapeId="0" xr:uid="{04650BCC-A7E0-4A74-9AA4-520EB1DA7EF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OA.</t>
        </r>
      </text>
    </comment>
    <comment ref="H97" authorId="2" shapeId="0" xr:uid="{F6213D87-7257-42A5-B7EB-55FFE8FC292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97" authorId="2" shapeId="0" xr:uid="{E6CF2EFF-AD67-4AD6-94DF-AFD86C768B2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97" authorId="2" shapeId="0" xr:uid="{19496431-27C7-4CB7-AF09-30D483EF7A7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97" authorId="2" shapeId="0" xr:uid="{BD49715E-A616-4A3A-A21C-CE1A0D5A54A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98" authorId="2" shapeId="0" xr:uid="{02B9EE15-ABAB-406C-916A-E2D461A50C5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98" authorId="3" shapeId="0" xr:uid="{EB2A09EC-551C-40FC-97C6-156CB82A3D7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Praktik på loftet
Møde kl. 09.00</t>
        </r>
      </text>
    </comment>
    <comment ref="L98" authorId="3" shapeId="0" xr:uid="{880B3424-F77F-426E-8068-3559620A118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Praktik på loftet
Møde kl. 09.00</t>
        </r>
      </text>
    </comment>
    <comment ref="O98" authorId="2" shapeId="0" xr:uid="{71243F33-1CAA-437D-91BA-8ED5313DADB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98" authorId="2" shapeId="0" xr:uid="{C7DB8E21-4472-4AE2-9B35-149399AF5E3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98" authorId="2" shapeId="0" xr:uid="{BD6EC4E6-C6C2-4B86-BA17-74A64EBBE5C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C99" authorId="1" shapeId="0" xr:uid="{4B174505-07BC-45CB-8C8C-5039852111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99" authorId="1" shapeId="0" xr:uid="{8CC579EC-0558-47D2-B851-6F13BA47DDF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99" authorId="1" shapeId="0" xr:uid="{FD2A1AB2-5BB6-4F71-870E-E33B6FFEF0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99" authorId="1" shapeId="0" xr:uid="{691BCCFE-FDDE-4756-8D1F-749E650D16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99" authorId="1" shapeId="0" xr:uid="{033CAD76-C965-4327-83CA-D720B7B705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99" authorId="1" shapeId="0" xr:uid="{CD35E91A-8DD0-4E4D-9582-E5AE1D0F00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99" authorId="1" shapeId="0" xr:uid="{55E36ADC-8C72-4AB2-B791-5CD16A0F445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99" authorId="1" shapeId="0" xr:uid="{1C52C1A1-80CF-486A-85AF-B5214D1B73C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99" authorId="1" shapeId="0" xr:uid="{5BD88971-CA00-4F48-931C-136074BAB19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99" authorId="1" shapeId="0" xr:uid="{748C5E1F-A076-4656-A86C-B447E3BC11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99" authorId="1" shapeId="0" xr:uid="{4529D868-94DF-484C-AD18-CD514EF946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99" authorId="1" shapeId="0" xr:uid="{90C20F12-9927-4558-93FA-28EADDEDC5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99" authorId="1" shapeId="0" xr:uid="{24C011D8-A692-4F3D-A184-5D8043D93F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99" authorId="1" shapeId="0" xr:uid="{219859F2-EEEE-4347-A091-95E125C7DE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99" authorId="1" shapeId="0" xr:uid="{3B59627C-D61E-4C26-83ED-7D1429F749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99" authorId="1" shapeId="0" xr:uid="{49B269CF-36B9-4C11-96BF-D5141282F4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99" authorId="1" shapeId="0" xr:uid="{10F1C3FC-F881-47AD-8746-FF64199317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99" authorId="1" shapeId="0" xr:uid="{B436C39D-231E-4070-B3AF-1E1388B336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99" authorId="1" shapeId="0" xr:uid="{F8E9F896-754D-47DA-8980-BED46C9E0DD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99" authorId="1" shapeId="0" xr:uid="{811E8976-78D1-4A0A-99D0-CF59D88869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99" authorId="1" shapeId="0" xr:uid="{F8922C1E-2778-4BAB-B66D-48DF872539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99" authorId="1" shapeId="0" xr:uid="{C74FE965-60F7-4B4D-9D25-D5E1471705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99" authorId="1" shapeId="0" xr:uid="{5A988E42-16B1-4367-A0CE-63A5481EF1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99" authorId="1" shapeId="0" xr:uid="{682AF986-6A9B-4494-A81A-CF4C61C5DA8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99" authorId="1" shapeId="0" xr:uid="{B298EA1F-3B13-448E-B6DA-AFE4AD8B75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99" authorId="1" shapeId="0" xr:uid="{41C509B8-4131-4BCE-97E8-A6BDB08758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99" authorId="1" shapeId="0" xr:uid="{4CA162EC-5FE9-46AC-BB90-2C17C0DE68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99" authorId="1" shapeId="0" xr:uid="{CE5AADF9-EE30-4FAF-AA9C-C4B24674403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99" authorId="1" shapeId="0" xr:uid="{FA7F199E-2143-4F65-BF6A-3221C9CFAC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99" authorId="1" shapeId="0" xr:uid="{9979AEAD-D082-4FB9-B4F7-01A62B6177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G99" authorId="1" shapeId="0" xr:uid="{892FEBA9-4699-4300-802D-0D17461F991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114" authorId="1" shapeId="0" xr:uid="{3D875427-BB25-4A13-8892-A402311E855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17.30 - 00.30</t>
        </r>
      </text>
    </comment>
    <comment ref="H114" authorId="1" shapeId="0" xr:uid="{EDBDAFA0-C3D6-4D5C-8724-C01DAA0DDF9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på Sjællandsgade kl. 13.00</t>
        </r>
      </text>
    </comment>
    <comment ref="H115" authorId="1" shapeId="0" xr:uid="{E30DA527-589A-427A-9473-62E086E18A9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på Sjællandsgade kl. 13.00</t>
        </r>
      </text>
    </comment>
    <comment ref="I115" authorId="1" shapeId="0" xr:uid="{16E43B53-F678-4E36-9783-B28C52AB508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J115" authorId="1" shapeId="0" xr:uid="{C98E066C-00D4-4DEE-B948-2BC5483A08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K115" authorId="1" shapeId="0" xr:uid="{C34B1DDD-7202-4896-A61C-3666A3B6518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G126" authorId="2" shapeId="0" xr:uid="{7F3E4B61-A720-4953-8B7B-D86313F3E78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O1 OA</t>
        </r>
      </text>
    </comment>
    <comment ref="C136" authorId="6" shapeId="0" xr:uid="{CB57C8C1-AC9F-4A2C-B71D-0BA44F1D50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D136" authorId="6" shapeId="0" xr:uid="{BCC6E918-F803-42C7-9B71-3EBA1778D7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G136" authorId="6" shapeId="0" xr:uid="{EA5B3739-E09E-402A-A163-794E175AEA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blive til 10.30 og møde 17.30</t>
        </r>
      </text>
    </comment>
    <comment ref="V169" authorId="1" shapeId="0" xr:uid="{E63677B2-EAB5-4477-8C80-91CFC5A568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A169" authorId="2" shapeId="0" xr:uid="{92BAD803-B4F5-404F-808D-BA61FAAF73F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BR 06:30</t>
        </r>
      </text>
    </comment>
    <comment ref="T170" authorId="3" shapeId="0" xr:uid="{C589F2EB-192D-47B0-8BE3-FABDBF07807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Røgdykkerøvelse på Diamanten 11.00-14.30</t>
        </r>
      </text>
    </comment>
    <comment ref="V170" authorId="1" shapeId="0" xr:uid="{BD0C9824-6E58-4030-814A-79C08F0A27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Z170" authorId="2" shapeId="0" xr:uid="{20F1208E-672F-4C20-96D3-57ABDC94B93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A170" authorId="2" shapeId="0" xr:uid="{6A6A70B3-F12D-44E2-8C29-04FE1B5C769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 + BR 06:30</t>
        </r>
      </text>
    </comment>
    <comment ref="AB170" authorId="2" shapeId="0" xr:uid="{BDAC4426-5F41-40D4-8858-BBE7958B259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H171" authorId="2" shapeId="0" xr:uid="{CC82A23F-2F81-4305-9317-30427B812C4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Repræsentantskabet - FOA hele dagen</t>
        </r>
      </text>
    </comment>
    <comment ref="J171" authorId="6" shapeId="0" xr:uid="{A9F023D8-8EDF-43C0-AEA9-B8CB9B9CC3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Svanemøllehallen kl. 15.00 - 23.00</t>
        </r>
      </text>
    </comment>
    <comment ref="S171" authorId="1" shapeId="0" xr:uid="{E88497CB-8822-42E3-8475-F93D12A732F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09.30 - 12.30
7'er vagt på OA</t>
        </r>
      </text>
    </comment>
    <comment ref="U171" authorId="2" shapeId="0" xr:uid="{04B4E6D3-AC06-40CB-A4D3-B29530181FD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Repræsentantskabet - FOA 12-14</t>
        </r>
      </text>
    </comment>
    <comment ref="M172" authorId="2" shapeId="0" xr:uid="{144C626D-0302-4FEB-854C-5790913985D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 18.00-20.00</t>
        </r>
      </text>
    </comment>
    <comment ref="S172" authorId="1" shapeId="0" xr:uid="{6FD4DDAC-789A-4AD8-A8EB-36FDD86BE2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Står i uniform fin i hovedporten indefor kl. 09.30 - 12.00 og henviser gæster til festsalen.</t>
        </r>
      </text>
    </comment>
    <comment ref="V172" authorId="1" shapeId="0" xr:uid="{8E35FC6C-5E8D-4447-BFE2-1E0199EC66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W172" authorId="9" shapeId="0" xr:uid="{5C6808E7-ADC9-485C-8F7C-A680AE10930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89-vagt</t>
        </r>
      </text>
    </comment>
    <comment ref="X172" authorId="9" shapeId="0" xr:uid="{C4875946-7C05-4371-B8AF-3920461943E6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89 vagt på OA</t>
        </r>
      </text>
    </comment>
    <comment ref="AA172" authorId="2" shapeId="0" xr:uid="{7C64BE14-D7F5-4ACB-B5D8-28D4FB63E70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BR 06:30</t>
        </r>
      </text>
    </comment>
    <comment ref="AB172" authorId="2" shapeId="0" xr:uid="{D61434F8-08E4-4407-A325-FC4F990B8FA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E173" authorId="10" shapeId="0" xr:uid="{160CB8BA-48C3-4EA3-9EF7-C6576087B0C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amr kl. 09.30-14.00
Afspadsering fra 13:45</t>
        </r>
      </text>
    </comment>
    <comment ref="K173" authorId="1" shapeId="0" xr:uid="{B42B98F5-1CF2-42C8-B093-32D98B85BC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Valg Rådhuset 08.30 - 21.00</t>
        </r>
      </text>
    </comment>
    <comment ref="N173" authorId="2" shapeId="0" xr:uid="{076A9E52-2455-43D2-88EC-3EB2C5D2703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Rundvisning fra kl. 15:00</t>
        </r>
      </text>
    </comment>
    <comment ref="S173" authorId="1" shapeId="0" xr:uid="{0FF9A9D0-A56F-41A3-A82F-9441536C10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fra kl. 09.30 - 12.30</t>
        </r>
      </text>
    </comment>
    <comment ref="U173" authorId="7" shapeId="0" xr:uid="{5E62A46E-8D08-4D20-9ED7-416DFBC1922B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 med Astrid. 14:00-14:45</t>
        </r>
      </text>
    </comment>
    <comment ref="V173" authorId="1" shapeId="0" xr:uid="{BC422938-2E24-463D-8744-914E69205B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Z173" authorId="2" shapeId="0" xr:uid="{09572C45-0BB0-4A85-997E-C3B7B8CBF48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A173" authorId="2" shapeId="0" xr:uid="{95EB3EDA-A760-4D7E-9DBF-CC21BD61100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 + BR 06:30</t>
        </r>
      </text>
    </comment>
    <comment ref="AB173" authorId="2" shapeId="0" xr:uid="{E43AA62B-3C32-4374-98D5-6DBFEFB3BB4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G189" authorId="1" shapeId="0" xr:uid="{2FDECF60-AF4A-487E-9BA6-D35F4FE459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H189" authorId="1" shapeId="0" xr:uid="{00436AC7-9EA7-4C8A-8BBA-813556BD659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I189" authorId="1" shapeId="0" xr:uid="{0C0F7493-95E9-4A65-B491-8C6F15EE97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J189" authorId="1" shapeId="0" xr:uid="{1B64A486-9041-4515-9677-CD2E698841B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K189" authorId="1" shapeId="0" xr:uid="{11DFF1F3-2DC5-4355-A6C4-B974855FF5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U189" authorId="7" shapeId="0" xr:uid="{6DDBB757-8D88-43C7-A8DA-3901413C4138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23 vagt på OA</t>
        </r>
      </text>
    </comment>
    <comment ref="Y189" authorId="7" shapeId="0" xr:uid="{CC8B0602-4E3E-412E-914B-B432AC928D5C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23 vagt på OA</t>
        </r>
      </text>
    </comment>
    <comment ref="AA207" authorId="2" shapeId="0" xr:uid="{98FA6925-4314-471B-A62B-49F9A43A905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BR 06:30</t>
        </r>
      </text>
    </comment>
    <comment ref="U235" authorId="2" shapeId="0" xr:uid="{F0976167-692D-42BA-857B-159794CD4DF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Til lægen</t>
        </r>
      </text>
    </comment>
    <comment ref="T260" authorId="12" shapeId="0" xr:uid="{9373CAF8-7B11-454D-8A6F-52419D93850D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T268" authorId="12" shapeId="0" xr:uid="{92BA059F-EB73-4D1E-8A92-420D6902DD3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Øvelse møder 7:15-1500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Lars Crone</author>
    <author>Thomas Holm</author>
    <author>Mathias Nielsen</author>
    <author>Steen Hertin-Sandkær</author>
    <author>Mathias Hartvig Morell Nielsen</author>
    <author>Mathias Søndergaard</author>
    <author>Steen Hertin</author>
    <author>Kim Holm Aabroe</author>
    <author>Jesper Larsen</author>
    <author>Nick Lorentzen</author>
    <author>Michael Bo Pedersen</author>
  </authors>
  <commentList>
    <comment ref="K18" authorId="0" shapeId="0" xr:uid="{9CBF8C62-EBB0-4F45-8DA9-7F649B57216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I2 OA</t>
        </r>
      </text>
    </comment>
    <comment ref="M18" authorId="0" shapeId="0" xr:uid="{1238F6B9-C653-494C-95D1-F90DB6C48FB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I2 OA</t>
        </r>
      </text>
    </comment>
    <comment ref="Y18" authorId="0" shapeId="0" xr:uid="{79FF1096-D6A2-456E-A2E0-BF0C2072DEE8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Jobsamtaler 08:30-16:30</t>
        </r>
      </text>
    </comment>
    <comment ref="Z18" authorId="0" shapeId="0" xr:uid="{9422312A-827C-4281-8F95-38E8D32430C2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Jobsamtaler 07:30-15:00</t>
        </r>
      </text>
    </comment>
    <comment ref="Q21" authorId="1" shapeId="0" xr:uid="{08765075-2AAD-400B-893E-593DA9B639E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R21" authorId="1" shapeId="0" xr:uid="{B419C407-B054-443D-8F2F-FC07C9DD94A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S21" authorId="1" shapeId="0" xr:uid="{95D988FD-A478-4E03-BCDA-E20724D3873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T21" authorId="1" shapeId="0" xr:uid="{67653F2D-C7B7-403E-9331-53B7624AE25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U21" authorId="1" shapeId="0" xr:uid="{6DC139C1-9442-461C-97BA-55EBB0345F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E21" authorId="1" shapeId="0" xr:uid="{F966484B-D6C8-4A1A-8FB0-5DBB75C5E44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F21" authorId="1" shapeId="0" xr:uid="{38CB5F90-7D8C-41A2-BA4A-8A751C981FB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G21" authorId="1" shapeId="0" xr:uid="{CF7CC5DE-FCE9-48C3-9A44-2E54FF22C7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J22" authorId="2" shapeId="0" xr:uid="{DDB7DE0B-92C8-46DE-967B-E8D3D4F7A56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K22" authorId="2" shapeId="0" xr:uid="{1396AFD1-0BBC-46AF-82FD-34B68B966D8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L22" authorId="2" shapeId="0" xr:uid="{E7AEAC11-1A3C-4914-BF36-131DE0760AE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M22" authorId="2" shapeId="0" xr:uid="{BB6A3D08-2705-4322-972E-54E7D0DED82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N22" authorId="2" shapeId="0" xr:uid="{4CBC684C-1DC4-4995-A34C-19C482D8755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J24" authorId="3" shapeId="0" xr:uid="{DE2413BF-9185-45B2-A51A-4EDBDE3639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08.00 - 11.00</t>
        </r>
      </text>
    </comment>
    <comment ref="L24" authorId="3" shapeId="0" xr:uid="{F284EFFF-72DB-4C09-AC2D-0CF943DED6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09.00 - 11.00</t>
        </r>
      </text>
    </comment>
    <comment ref="Q24" authorId="3" shapeId="0" xr:uid="{B13F8871-F63A-460A-A4BD-2C4C2D718E0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06.45</t>
        </r>
      </text>
    </comment>
    <comment ref="C26" authorId="4" shapeId="0" xr:uid="{B38D4263-6617-43BB-8844-067996868D8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Rådhuset 9-12</t>
        </r>
      </text>
    </comment>
    <comment ref="AE26" authorId="2" shapeId="0" xr:uid="{B5F1C755-00C4-4FA9-A512-B224A9C6986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Jobcenter Gammel køge landevej</t>
        </r>
      </text>
    </comment>
    <comment ref="C28" authorId="4" shapeId="0" xr:uid="{D150DDFD-FE5D-4E6C-BD1F-1E3447F6CA9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D28" authorId="4" shapeId="0" xr:uid="{6F584B27-9C06-4719-8587-5E9037F4102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E28" authorId="4" shapeId="0" xr:uid="{AF8A9758-F231-40E8-BD55-056280C4CC9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F28" authorId="4" shapeId="0" xr:uid="{DC8A073E-F890-4F56-98A7-03EEAF4BE51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G28" authorId="4" shapeId="0" xr:uid="{E2A8F548-8891-47E8-A14B-FEAFEED0911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J28" authorId="4" shapeId="0" xr:uid="{B77006A1-3A8B-4590-B71A-FD6183AA340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K28" authorId="4" shapeId="0" xr:uid="{19075D3F-F555-4FBC-8288-7A696D1EA7F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L28" authorId="4" shapeId="0" xr:uid="{38F22B82-FD60-44F8-A73C-89F37333A92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M28" authorId="4" shapeId="0" xr:uid="{39853A3D-5263-4817-B241-66335316A74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N28" authorId="4" shapeId="0" xr:uid="{0999B132-9526-42A0-A5CD-F28B69DCB77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Q28" authorId="4" shapeId="0" xr:uid="{91929CB0-479B-4552-9E15-FA3E4A6A523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R28" authorId="4" shapeId="0" xr:uid="{6066E77B-5492-4FB7-80CA-C3F37D66547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S28" authorId="4" shapeId="0" xr:uid="{EC5F35FB-AF84-48FA-9B43-E5A35C7942B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T28" authorId="4" shapeId="0" xr:uid="{22656A11-FAE7-4B6F-A3D6-445EF0A3C3F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U28" authorId="4" shapeId="0" xr:uid="{46B73902-0F6F-4356-A038-44991B2FF75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Natholdet går en tur om rådhuset, mens Johnny har ferie</t>
        </r>
      </text>
    </comment>
    <comment ref="Q29" authorId="4" shapeId="0" xr:uid="{389ADBBA-6220-469D-BA67-816C96A16A5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R29" authorId="4" shapeId="0" xr:uid="{5382C59D-61C4-4228-9ADC-64B985A8525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S29" authorId="4" shapeId="0" xr:uid="{7A226C03-4447-4111-89D6-38882C92608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T29" authorId="4" shapeId="0" xr:uid="{7F74E77A-4831-49D9-8189-7D85234C4D5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U29" authorId="4" shapeId="0" xr:uid="{BCF62DE1-9B5E-4772-A514-8C7E7B2ED49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X29" authorId="5" shapeId="0" xr:uid="{1C4B596D-DD86-4C7C-A67E-5C0ACA8272B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Y29" authorId="5" shapeId="0" xr:uid="{C6AFCD7D-1377-4704-8D6E-41E03643C5F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Z29" authorId="5" shapeId="0" xr:uid="{490B146C-783F-47EF-A83B-2337D47424B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AA29" authorId="5" shapeId="0" xr:uid="{F0E40A05-D3A8-475D-800C-101B0E668BD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AB29" authorId="5" shapeId="0" xr:uid="{84484B77-93BB-4081-9C48-CDDA6B1E1D6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Karina fra arrangement til og med d. 26/7.
Kun dagvagter</t>
        </r>
      </text>
    </comment>
    <comment ref="AE29" authorId="6" shapeId="0" xr:uid="{5D69D91B-307C-4453-B5F8-2800265347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afløses fra kl. 09.00 - 12.00</t>
        </r>
      </text>
    </comment>
    <comment ref="T30" authorId="3" shapeId="0" xr:uid="{7DDA7173-E70A-4983-8EED-2AE270B420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Aftenholdet dækker 26-vagten. Tobias er der kl. 15.00 - 23.30</t>
        </r>
      </text>
    </comment>
    <comment ref="U30" authorId="3" shapeId="0" xr:uid="{EBFB7C1A-F343-44C1-A456-2EEB08A9B0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Aftenholdet dækker 26-vagten. Tobias er der kl. 15.00 - 23.30</t>
        </r>
      </text>
    </comment>
    <comment ref="N31" authorId="4" shapeId="0" xr:uid="{2D64034D-1727-4D6A-B399-5CB676E73BA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fra 13.00</t>
        </r>
      </text>
    </comment>
    <comment ref="R31" authorId="2" shapeId="0" xr:uid="{FA133535-8077-4FE8-82AA-A6BB26C992E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Afløses kl. 12:00
Erik dækker den.</t>
        </r>
      </text>
    </comment>
    <comment ref="C43" authorId="7" shapeId="0" xr:uid="{6C86AC1C-9DF7-4FD1-BF46-228F65851CD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lyongade 25 OA</t>
        </r>
      </text>
    </comment>
    <comment ref="D43" authorId="7" shapeId="0" xr:uid="{BA0D1DA2-31F5-40B7-9361-40633046C68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lyongade 25 OA</t>
        </r>
      </text>
    </comment>
    <comment ref="E43" authorId="7" shapeId="0" xr:uid="{7CF8489A-B182-49A0-A3C9-6BF6077346D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lyongade 25 OA</t>
        </r>
      </text>
    </comment>
    <comment ref="F43" authorId="7" shapeId="0" xr:uid="{A0699A5B-55EE-4CC9-8804-2F9251C98BA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lyongade 25 OA</t>
        </r>
      </text>
    </comment>
    <comment ref="G43" authorId="7" shapeId="0" xr:uid="{1D521948-5D95-4E4C-A4FF-84E4E5028B4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lyongade 25 OA</t>
        </r>
      </text>
    </comment>
    <comment ref="AF43" authorId="8" shapeId="0" xr:uid="{E4F4803D-FD19-452B-8BAB-7F9DBAEB38B7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3-vagt
</t>
        </r>
      </text>
    </comment>
    <comment ref="AG43" authorId="8" shapeId="0" xr:uid="{9EF4D964-C59F-42AD-A99C-8D3A1F8458DF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3-vagt
</t>
        </r>
      </text>
    </comment>
    <comment ref="AE44" authorId="1" shapeId="0" xr:uid="{4C31E3F1-4170-4467-B720-B767CE288F6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3-vagt</t>
        </r>
      </text>
    </comment>
    <comment ref="AA46" authorId="2" shapeId="0" xr:uid="{5FCEAA38-59A8-42AC-8BAA-8F2C07B2231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V3</t>
        </r>
      </text>
    </comment>
    <comment ref="AB46" authorId="2" shapeId="0" xr:uid="{BB4C2EA6-C83A-4B0A-9A24-66D53068139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V3</t>
        </r>
      </text>
    </comment>
    <comment ref="C47" authorId="4" shapeId="0" xr:uid="{38EF9CFA-8C14-4653-93A2-4C2DBC544DF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3-vagt OA</t>
        </r>
      </text>
    </comment>
    <comment ref="D47" authorId="8" shapeId="0" xr:uid="{C0C5E60C-B62F-476C-8674-D8170366537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3-Vagt</t>
        </r>
      </text>
    </comment>
    <comment ref="X48" authorId="3" shapeId="0" xr:uid="{CD3DBAB4-9F56-4DF0-B2B1-4D0F348110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G-vagt på OA 09-15</t>
        </r>
      </text>
    </comment>
    <comment ref="Y48" authorId="3" shapeId="0" xr:uid="{E9482B34-350C-4B32-86CE-DFA52AE04F2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G-vagt på OA 09-15</t>
        </r>
      </text>
    </comment>
    <comment ref="Z48" authorId="3" shapeId="0" xr:uid="{5F3920CC-4D5B-4A02-9B11-80985105E0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G-vagt på OA 09-15</t>
        </r>
      </text>
    </comment>
    <comment ref="AA48" authorId="3" shapeId="0" xr:uid="{C0CB0C03-360C-45AA-9B19-1946C9C423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G-vagt på OA 12.00 - 18.00</t>
        </r>
      </text>
    </comment>
    <comment ref="AB48" authorId="3" shapeId="0" xr:uid="{4A9F747F-FC0C-4AEE-9DE7-3879C44A53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G-vagt på OA 08.15 - 14.00. 8-vagt også på OA 16:00-22:30</t>
        </r>
      </text>
    </comment>
    <comment ref="AE50" authorId="3" shapeId="0" xr:uid="{1A9E0C9C-F21F-4DFC-BD81-6C11FA30432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Lyongade</t>
        </r>
      </text>
    </comment>
    <comment ref="AF50" authorId="3" shapeId="0" xr:uid="{9B6B6EC0-6039-4589-AEDD-05EA466188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Lyongade</t>
        </r>
      </text>
    </comment>
    <comment ref="AG50" authorId="3" shapeId="0" xr:uid="{49E15766-CAF7-48AE-AA08-C37F6291C4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Lyongade</t>
        </r>
      </text>
    </comment>
    <comment ref="H51" authorId="2" shapeId="0" xr:uid="{2065CE4B-1181-434E-8586-56F17ED4542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Dækker R3</t>
        </r>
      </text>
    </comment>
    <comment ref="X53" authorId="0" shapeId="0" xr:uid="{E0002AFB-F7E0-4A31-AD2C-55DF3D1E2B38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8 vagt på OA</t>
        </r>
      </text>
    </comment>
    <comment ref="Y53" authorId="0" shapeId="0" xr:uid="{56C3B693-9A64-4133-888E-47C5A2EF10AF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8 vagt på OA</t>
        </r>
      </text>
    </comment>
    <comment ref="Z53" authorId="0" shapeId="0" xr:uid="{0F021479-CDCB-47B4-BBEB-3E9843175EA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8 vagt på OA</t>
        </r>
      </text>
    </comment>
    <comment ref="AA53" authorId="0" shapeId="0" xr:uid="{69780BE5-71BC-4BD2-92F7-F12C9CB37E7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8 vagt på OA</t>
        </r>
      </text>
    </comment>
    <comment ref="K55" authorId="8" shapeId="0" xr:uid="{3C84080F-065C-4E51-B6F4-0912A0789A8C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G-Vagten</t>
        </r>
      </text>
    </comment>
    <comment ref="L55" authorId="8" shapeId="0" xr:uid="{9133B97B-57B7-4196-BBF6-6EDFC5217739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G-Vagten</t>
        </r>
      </text>
    </comment>
    <comment ref="K66" authorId="8" shapeId="0" xr:uid="{D0015224-FEDD-4598-A928-289D5A804D5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23:30</t>
        </r>
      </text>
    </comment>
    <comment ref="L66" authorId="8" shapeId="0" xr:uid="{1CA88464-8143-4936-87A3-9479A4E7DC6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23:30</t>
        </r>
      </text>
    </comment>
    <comment ref="M66" authorId="8" shapeId="0" xr:uid="{60ACB1F0-1BCE-4C7F-A649-B4367ED0C98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Gik 22:30</t>
        </r>
      </text>
    </comment>
    <comment ref="C67" authorId="4" shapeId="0" xr:uid="{AB253D2E-04FD-4A16-BAC7-A3475D2C9D7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O-vagt på OA
Afsp fra 1 time</t>
        </r>
      </text>
    </comment>
    <comment ref="D67" authorId="4" shapeId="0" xr:uid="{E9CB79F9-B69D-4EFA-A53F-891401C0C51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O-vagt på OA
Afsp 1 time</t>
        </r>
      </text>
    </comment>
    <comment ref="E67" authorId="4" shapeId="0" xr:uid="{BD128747-547E-407C-840A-11C6C0F8AA4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O-vagt på OA
Afsp 1 time</t>
        </r>
      </text>
    </comment>
    <comment ref="F67" authorId="0" shapeId="0" xr:uid="{AB57C978-A9D1-4B78-8661-B201DCAAA06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G67" authorId="0" shapeId="0" xr:uid="{4EB8186E-5AB8-4AD0-B685-B3D5213438F2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H67" authorId="0" shapeId="0" xr:uid="{BEE4114F-1B28-4678-B2F1-37A48C69956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J67" authorId="8" shapeId="0" xr:uid="{DF1F43EA-B83C-4641-BED6-B22B6145B0D6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E-Vagten 
men forbehold for fødsel</t>
        </r>
      </text>
    </comment>
    <comment ref="K67" authorId="8" shapeId="0" xr:uid="{3BFF8623-F29D-4D86-8FA8-6DE4D38DDC21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E-Vagten 
men forbehold for fødsel</t>
        </r>
      </text>
    </comment>
    <comment ref="L67" authorId="8" shapeId="0" xr:uid="{27F0110A-F6D1-4C4D-94EA-3D1E2B605DFA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E-Vagten 
men forbehold for fødsel</t>
        </r>
      </text>
    </comment>
    <comment ref="M67" authorId="8" shapeId="0" xr:uid="{8AD92870-177C-426A-929B-9830ADA33131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E-Vagten 
men forbehold for fødsel</t>
        </r>
      </text>
    </comment>
    <comment ref="N67" authorId="8" shapeId="0" xr:uid="{02327C2E-7BC6-4D84-BBDA-64B578BCFF7F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E-Vagten 
men forbehold for fødsel</t>
        </r>
      </text>
    </comment>
    <comment ref="S68" authorId="3" shapeId="0" xr:uid="{ECCAA78C-E9A6-46D3-8F8F-48D9B5FEF8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 fra kl. 09.00 + OA som 26-vagt</t>
        </r>
      </text>
    </comment>
    <comment ref="AB70" authorId="9" shapeId="0" xr:uid="{4F3B58C6-24CE-44B9-B93B-3BFF3D40127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til kl. 01:30</t>
        </r>
      </text>
    </comment>
    <comment ref="E71" authorId="8" shapeId="0" xr:uid="{52CF9F4E-9C40-4888-B745-98126012FD99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79-vagten 
</t>
        </r>
      </text>
    </comment>
    <comment ref="F71" authorId="4" shapeId="0" xr:uid="{7D6E7F60-4D83-4DC2-82FB-D49D0F04B12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79-vagt OA</t>
        </r>
      </text>
    </comment>
    <comment ref="G72" authorId="0" shapeId="0" xr:uid="{13152459-1FFA-4C70-9DA0-EDBBE267A1F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G73" authorId="4" shapeId="0" xr:uid="{5412D0A2-3C71-42E4-A32A-DF6B042DF45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P73" authorId="4" shapeId="0" xr:uid="{140314B0-81AB-487C-BB16-D83BA1847DA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SP5 OA</t>
        </r>
      </text>
    </comment>
    <comment ref="L74" authorId="8" shapeId="0" xr:uid="{411F6EA5-604E-4173-A9FB-524BDE0F960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23:30</t>
        </r>
      </text>
    </comment>
    <comment ref="M74" authorId="8" shapeId="0" xr:uid="{8B3F7F67-76B9-4F71-8F40-0949EBA4B4C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Gik 22:30</t>
        </r>
      </text>
    </comment>
    <comment ref="F76" authorId="8" shapeId="0" xr:uid="{565C9E84-AD8C-4163-8923-E1195A65001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have ferie fridag </t>
        </r>
      </text>
    </comment>
    <comment ref="G76" authorId="8" shapeId="0" xr:uid="{D94A9FBC-D450-41B4-A717-F10629774FE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have ferie fridag </t>
        </r>
      </text>
    </comment>
    <comment ref="AA76" authorId="6" shapeId="0" xr:uid="{B264AC16-83A6-4F0F-88E7-651EFFE2C0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aftenvagt kl.18.30 for at dække den manglende 25-vagt</t>
        </r>
      </text>
    </comment>
    <comment ref="H79" authorId="2" shapeId="0" xr:uid="{610533FE-A9BA-42F9-BE74-2F047AACE6C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Dækker til Flemming er færdig med rundvisninger</t>
        </r>
      </text>
    </comment>
    <comment ref="S79" authorId="0" shapeId="0" xr:uid="{47ED9EE3-5F17-4D73-8D54-4FA4840257A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21 OA</t>
        </r>
      </text>
    </comment>
    <comment ref="J81" authorId="9" shapeId="0" xr:uid="{75859988-8DB6-47B9-B148-319FE3B578B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7 vagt på OA</t>
        </r>
      </text>
    </comment>
    <comment ref="AE81" authorId="8" shapeId="0" xr:uid="{BAFAF8A0-6E07-40A4-AB44-41A27E4651A2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griffen 9-12
møde på Sundholmsvej 26A
</t>
        </r>
      </text>
    </comment>
    <comment ref="C82" authorId="2" shapeId="0" xr:uid="{AF37D640-D6CA-4CB4-BA08-2E8D2397B45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D82" authorId="2" shapeId="0" xr:uid="{76461996-77EF-40D2-9EF2-E7363040BE4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E82" authorId="2" shapeId="0" xr:uid="{D3E5A9B6-AC7E-4244-B763-856AD590416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F82" authorId="2" shapeId="0" xr:uid="{9E6A2668-42D4-47D3-BB18-42BEC5A9328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23-07</t>
        </r>
      </text>
    </comment>
    <comment ref="G82" authorId="2" shapeId="0" xr:uid="{78D1CAE8-1A04-4E48-AAAA-41582848D25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H82" authorId="2" shapeId="0" xr:uid="{161A782A-353E-4692-897E-7E49EBCD787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22-07</t>
        </r>
      </text>
    </comment>
    <comment ref="I82" authorId="2" shapeId="0" xr:uid="{49AB45A7-3B58-41F9-82C8-EDB58145DE8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22-07</t>
        </r>
      </text>
    </comment>
    <comment ref="Q82" authorId="2" shapeId="0" xr:uid="{D80D6782-B1EC-4159-AAFA-4F8434A0C80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23-07</t>
        </r>
      </text>
    </comment>
    <comment ref="R82" authorId="2" shapeId="0" xr:uid="{6183A6F0-058C-4A01-B0F6-768E7EBF3AA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23-07</t>
        </r>
      </text>
    </comment>
    <comment ref="S82" authorId="2" shapeId="0" xr:uid="{D9FDA384-5772-4CF9-89D2-61AA20C43FB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23-07</t>
        </r>
      </text>
    </comment>
    <comment ref="T82" authorId="2" shapeId="0" xr:uid="{F80A7221-7888-4629-A4AC-CC0991B6F88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U82" authorId="2" shapeId="0" xr:uid="{4F59FBCD-B1C3-4811-B23F-960732DC5B2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</t>
        </r>
      </text>
    </comment>
    <comment ref="V82" authorId="2" shapeId="0" xr:uid="{46204C2E-5CA7-4ED2-9918-1C8290DD0C4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W82" authorId="2" shapeId="0" xr:uid="{966130E4-8036-4278-BB41-7E9D101BDFF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E82" authorId="2" shapeId="0" xr:uid="{FD54CA35-D3CA-4221-85C2-A6D9E1FADA8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11-vagt</t>
        </r>
      </text>
    </comment>
    <comment ref="AF82" authorId="2" shapeId="0" xr:uid="{3A2DDDB8-7992-4BCC-A619-5A31A3F8BE2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11-vagt</t>
        </r>
      </text>
    </comment>
    <comment ref="AG82" authorId="2" shapeId="0" xr:uid="{5AD7472C-DF3C-4AEF-B2BD-D76FA3388EC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11-vagt</t>
        </r>
      </text>
    </comment>
    <comment ref="Q83" authorId="2" shapeId="0" xr:uid="{373B6791-5B21-4C7B-9DD5-4152B885608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Oplæring på huset</t>
        </r>
      </text>
    </comment>
    <comment ref="R83" authorId="2" shapeId="0" xr:uid="{AD7458A5-19A0-4603-97E7-241670F484E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Oplæring på huset</t>
        </r>
      </text>
    </comment>
    <comment ref="S83" authorId="2" shapeId="0" xr:uid="{DBE56E6F-057C-4EB4-86A1-205E8207D64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Oplæring på huset</t>
        </r>
      </text>
    </comment>
    <comment ref="T83" authorId="2" shapeId="0" xr:uid="{BA905514-850B-43ED-93A8-375EE1B82A6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Oplæring på huset</t>
        </r>
      </text>
    </comment>
    <comment ref="AE83" authorId="2" shapeId="0" xr:uid="{9139E67C-745F-4105-AABB-D10617CF154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AF83" authorId="2" shapeId="0" xr:uid="{986F222B-36EF-4A76-82A3-08DA18B3CBD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AG83" authorId="2" shapeId="0" xr:uid="{DADF1D7D-3862-462C-B00D-437D95FD4C5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C84" authorId="5" shapeId="0" xr:uid="{88591025-BC42-4507-9545-CF2C8E6D341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D84" authorId="5" shapeId="0" xr:uid="{771D2C9C-21F0-48CE-A1E9-0D3798598E7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F84" authorId="5" shapeId="0" xr:uid="{AF01D6E9-B304-45EB-A6C9-9C76C52F7A1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G84" authorId="5" shapeId="0" xr:uid="{F7A6D091-39BB-4086-8DA7-D7D395AA591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J84" authorId="5" shapeId="0" xr:uid="{55D83EFD-C17B-4CA9-98F1-AA6B8BBF96F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K84" authorId="5" shapeId="0" xr:uid="{8D0F659F-DDD1-42B2-98E5-00406A7AEB3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M84" authorId="5" shapeId="0" xr:uid="{729AF1A3-45FC-4BFD-9DCB-C373F62A73D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N84" authorId="5" shapeId="0" xr:uid="{4A345F9C-76A5-4BD4-AB41-15516063DF3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Q84" authorId="5" shapeId="0" xr:uid="{6265E572-0479-4121-AA65-A66A1F799CA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R84" authorId="5" shapeId="0" xr:uid="{97582A39-FA20-499A-B080-19725577A8A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T84" authorId="5" shapeId="0" xr:uid="{CF98D99D-B9EB-4B78-B8AA-3F153629D29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U84" authorId="5" shapeId="0" xr:uid="{1DBE5B9F-5006-47DE-99CF-05A48364A45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X84" authorId="5" shapeId="0" xr:uid="{E5C4B9AA-8118-4325-AA43-C55479E8D95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Y84" authorId="5" shapeId="0" xr:uid="{5BE08483-BFC1-4E6E-A938-A146860A0DF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AA84" authorId="5" shapeId="0" xr:uid="{6ACFD7E2-5F1E-4D5F-BCDC-3A14AAF21AC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AB84" authorId="5" shapeId="0" xr:uid="{3566A533-835E-48C8-BD79-2E5004CF2AD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AE84" authorId="5" shapeId="0" xr:uid="{55FC25F9-5013-45E9-9F2D-2D36C97E214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AF84" authorId="5" shapeId="0" xr:uid="{339102CA-3C2A-4CF3-ADF7-704FD19F3D7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Q89" authorId="6" shapeId="0" xr:uid="{9BEC9449-146C-46B0-86DD-D08115BE68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</t>
        </r>
      </text>
    </comment>
    <comment ref="R89" authorId="6" shapeId="0" xr:uid="{32487BF9-BEEA-4A1D-8832-3D1F6B8C07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</t>
        </r>
      </text>
    </comment>
    <comment ref="S89" authorId="6" shapeId="0" xr:uid="{B2444404-568D-40F0-AEDA-C76E71FF4C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</t>
        </r>
      </text>
    </comment>
    <comment ref="T89" authorId="6" shapeId="0" xr:uid="{FAD9777A-B172-456E-9BB7-04C548AC96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</t>
        </r>
      </text>
    </comment>
    <comment ref="U89" authorId="6" shapeId="0" xr:uid="{DAB3C63F-8AC4-4E55-AFD9-6EB8346A50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Ikke nat</t>
        </r>
      </text>
    </comment>
    <comment ref="K90" authorId="9" shapeId="0" xr:uid="{2F80B5A6-E255-4B34-8283-51E41FC83E2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P-vagt på OA</t>
        </r>
      </text>
    </comment>
    <comment ref="L90" authorId="4" shapeId="0" xr:uid="{9C64326D-0592-4E43-A04C-238C1FB652E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D-vagt OA</t>
        </r>
      </text>
    </comment>
    <comment ref="T95" authorId="3" shapeId="0" xr:uid="{4B827863-A006-4174-8D4C-C0D022B9AA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
Køre 5 vagt</t>
        </r>
      </text>
    </comment>
    <comment ref="U95" authorId="3" shapeId="0" xr:uid="{694F463A-E72D-43A5-BAB6-AEEED103F3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14.00 - 22.30
Kører 5 vagt og kører hjem når han er færdig</t>
        </r>
      </text>
    </comment>
    <comment ref="AG95" authorId="3" shapeId="0" xr:uid="{C3E271DB-2E3D-46CE-910B-7A88999E79B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Sidste dag.</t>
        </r>
      </text>
    </comment>
    <comment ref="X96" authorId="4" shapeId="0" xr:uid="{425B6E57-197F-400E-9E79-5B0AD5D0977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Fejer for Johnny rundt om rådhuset</t>
        </r>
      </text>
    </comment>
    <comment ref="Y96" authorId="4" shapeId="0" xr:uid="{E0E49C76-E713-45A7-8BCA-9491D0BF485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Fejer for Johnny rundt om rådhuset</t>
        </r>
      </text>
    </comment>
    <comment ref="Z96" authorId="4" shapeId="0" xr:uid="{51F3882B-4A5A-450C-84FA-DFC05480AE5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Fejer for Johnny rundt om rådhuset</t>
        </r>
      </text>
    </comment>
    <comment ref="AA96" authorId="4" shapeId="0" xr:uid="{F7D610C9-2973-4058-9046-010D5BC880E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Fejer for Johnny rundt om rådhuset</t>
        </r>
      </text>
    </comment>
    <comment ref="AB96" authorId="4" shapeId="0" xr:uid="{8E8A217D-FDDF-4CF8-9798-A39A566CF08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Fejer for Johnny rundt om rådhuset</t>
        </r>
      </text>
    </comment>
    <comment ref="AG96" authorId="3" shapeId="0" xr:uid="{74B86C3A-6ADC-4AFB-9F29-6D262A506C5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Sidste dag.</t>
        </r>
      </text>
    </comment>
    <comment ref="C97" authorId="4" shapeId="0" xr:uid="{43E400C2-28A4-41CC-9AB7-824C703358B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97" authorId="4" shapeId="0" xr:uid="{C0BEC2F7-D14C-4D99-B293-948138FBA49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97" authorId="4" shapeId="0" xr:uid="{A63BF691-1D63-4616-BD2E-4D359DDA608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134" authorId="4" shapeId="0" xr:uid="{8A40CF8B-A76F-41A9-9A33-594C2A02CA1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SP6 OA</t>
        </r>
      </text>
    </comment>
    <comment ref="H134" authorId="4" shapeId="0" xr:uid="{D2BAD348-3940-4874-A640-85150DC4E6B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SP3 OA</t>
        </r>
      </text>
    </comment>
    <comment ref="N134" authorId="4" shapeId="0" xr:uid="{D40F0A5E-7B43-40ED-88E3-62F76A5F621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SP6 OA</t>
        </r>
      </text>
    </comment>
    <comment ref="V134" authorId="10" shapeId="0" xr:uid="{2C7300E5-0674-4382-9FED-1E82CF616D8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OA til kl. 03.00 pga. uro på centret</t>
        </r>
      </text>
    </comment>
    <comment ref="X167" authorId="3" shapeId="0" xr:uid="{E6E21E09-2E9B-4111-B9E8-056CE521C6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ca. kl. 11.00</t>
        </r>
      </text>
    </comment>
    <comment ref="J169" authorId="9" shapeId="0" xr:uid="{A10804F2-14EE-40EA-A1BD-7ADEF2448E8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7-vagt på OA</t>
        </r>
      </text>
    </comment>
    <comment ref="AC169" authorId="2" shapeId="0" xr:uid="{AF972D38-E534-496C-9966-7CC81FA7545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Rundviser R3</t>
        </r>
      </text>
    </comment>
    <comment ref="N170" authorId="4" shapeId="0" xr:uid="{A1136E72-1F85-42AD-A918-A33275D1328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Går 15:30 afspadsering 30 min</t>
        </r>
      </text>
    </comment>
    <comment ref="O170" authorId="0" shapeId="0" xr:uid="{BFCBB614-0435-412E-88EB-F5AE5B452145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Kommer som portner</t>
        </r>
      </text>
    </comment>
    <comment ref="O171" authorId="2" shapeId="0" xr:uid="{89682E61-2369-4362-ABE3-A060294F502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Rundviser R3</t>
        </r>
      </text>
    </comment>
    <comment ref="Q171" authorId="4" shapeId="0" xr:uid="{49C30CA1-5ABD-4091-AE42-8C0EDFB233C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som portner
Møder ind lidt senere, er på hospitalet først</t>
        </r>
      </text>
    </comment>
    <comment ref="R171" authorId="4" shapeId="0" xr:uid="{9AA251DF-BB33-4C37-8EF6-E7F03D982A8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som portner</t>
        </r>
      </text>
    </comment>
    <comment ref="S171" authorId="4" shapeId="0" xr:uid="{60FDAE17-5423-4002-99D7-990C71AF58C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som portner
Johnny skal til genoptræning i Glostrup og kører med Martin Holse kl 13:15</t>
        </r>
      </text>
    </comment>
    <comment ref="T171" authorId="4" shapeId="0" xr:uid="{938FE586-B85F-4C41-98D0-5D1957523A3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som portner</t>
        </r>
      </text>
    </comment>
    <comment ref="AA187" authorId="9" shapeId="0" xr:uid="{07DD0461-52BF-449A-9A30-FF9DF003314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04:00</t>
        </r>
      </text>
    </comment>
    <comment ref="V188" authorId="9" shapeId="0" xr:uid="{1F0581F7-E304-4093-8314-963A6F183C1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21 vagt på OA</t>
        </r>
      </text>
    </comment>
    <comment ref="W188" authorId="9" shapeId="0" xr:uid="{1CF610C8-3444-4689-A176-C96CC12DBCE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21 vagt på OA</t>
        </r>
      </text>
    </comment>
    <comment ref="Q189" authorId="9" shapeId="0" xr:uid="{973AA105-E99D-428D-9DBA-5CFE45D053C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21 vagt OA</t>
        </r>
      </text>
    </comment>
    <comment ref="R189" authorId="9" shapeId="0" xr:uid="{6B5E6791-C750-4475-92BC-B069793CF3A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21 vagt OA</t>
        </r>
      </text>
    </comment>
    <comment ref="G201" authorId="4" shapeId="0" xr:uid="{D77FE243-AB4B-46C5-8228-7A89CFE5D39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R2 OA</t>
        </r>
      </text>
    </comment>
    <comment ref="R233" authorId="2" shapeId="0" xr:uid="{932DDF66-B6C2-4DD8-B007-08A66DFC6CF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Afløses kl. 12:00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Kim Holm Aabroe</author>
    <author>Jesper Larsen</author>
    <author>Thomas Holm</author>
    <author>Steen Hertin</author>
    <author>Kim BT. Pedersen</author>
    <author>Mathias Hartvig Morell Nielsen</author>
    <author>Mathias Nielsen</author>
    <author>Mathias Søndergaard</author>
    <author>Nick Lorentzen</author>
    <author>Lars Crone</author>
    <author>Rasmus Sørensen</author>
  </authors>
  <commentList>
    <comment ref="D15" authorId="0" shapeId="0" xr:uid="{DA37FF67-A5B4-4082-9231-E10F3BFB6FD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</t>
        </r>
      </text>
    </comment>
    <comment ref="X15" authorId="0" shapeId="0" xr:uid="{BECA58F0-99AE-4DA7-9ACF-2A95220B759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E15" authorId="0" shapeId="0" xr:uid="{8F3A86B5-9A56-432A-ADB9-E6AF679859C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N17" authorId="1" shapeId="0" xr:uid="{E81CB326-463C-4BB2-AF04-5FE7DAE5859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E18" authorId="2" shapeId="0" xr:uid="{0997CDC8-C94C-4E9B-9B49-2D31C9FA948C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jeg tager den </t>
        </r>
      </text>
    </comment>
    <comment ref="C21" authorId="3" shapeId="0" xr:uid="{542B1CC8-2139-47EC-B0B1-97B0ACB2CF4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D21" authorId="3" shapeId="0" xr:uid="{C044F981-E44A-455C-895E-44A6190E37D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N21" authorId="3" shapeId="0" xr:uid="{1E97E50B-1D15-4D39-9B19-CC4A435C924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O21" authorId="3" shapeId="0" xr:uid="{F3AFC7F4-6EEE-4D8A-AA3D-5978C9C03FE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P21" authorId="3" shapeId="0" xr:uid="{89086FA5-F6FA-4218-8355-0E86812489B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Q21" authorId="3" shapeId="0" xr:uid="{5C7527C8-8194-4765-BD95-E92B223FC26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R21" authorId="3" shapeId="0" xr:uid="{AC10A394-E9A1-4993-93A6-2A7E5DB50C1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W21" authorId="0" shapeId="0" xr:uid="{A69A9C55-1AA6-4D51-944D-1350D020FB5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18.15</t>
        </r>
      </text>
    </comment>
    <comment ref="AB21" authorId="3" shapeId="0" xr:uid="{C2F845E3-0DAF-4390-A6AB-4D642A67507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C21" authorId="3" shapeId="0" xr:uid="{F6BF8CB5-7CFE-4ADC-B5E2-8BA85B08900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 + modtagelse aften</t>
        </r>
      </text>
    </comment>
    <comment ref="AD21" authorId="3" shapeId="0" xr:uid="{7666CA65-8389-4F67-A727-1E9A376C8CD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E21" authorId="3" shapeId="0" xr:uid="{083477ED-54C1-42D4-8624-9D03156F841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Kursus
BR-møde OA</t>
        </r>
      </text>
    </comment>
    <comment ref="AF21" authorId="3" shapeId="0" xr:uid="{EB56C9DD-5ECA-430C-B503-16F0039AA4D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D24" authorId="0" shapeId="0" xr:uid="{71D2C805-1B06-4FBC-B437-E421BF8DB1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</t>
        </r>
      </text>
    </comment>
    <comment ref="J24" authorId="0" shapeId="0" xr:uid="{FEEE04DA-65C1-4187-8198-3E0713665E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Lyongade 15.00 - 18.30</t>
        </r>
      </text>
    </comment>
    <comment ref="N24" authorId="4" shapeId="0" xr:uid="{A0DBC56F-5ED0-4081-AB63-8E0DAC98D1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Brønshøjvej 12.30</t>
        </r>
      </text>
    </comment>
    <comment ref="R24" authorId="0" shapeId="0" xr:uid="{07AD4B32-3C48-43B8-A716-7ECDD4DAB52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24" authorId="0" shapeId="0" xr:uid="{7109F46B-009B-4604-B987-71DD7CE79A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E25" authorId="2" shapeId="0" xr:uid="{C22DC960-DF28-4ED1-AC60-E5C0B6EDE96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jeg tag B</t>
        </r>
      </text>
    </comment>
    <comment ref="AB26" authorId="0" shapeId="0" xr:uid="{2410BFC6-7651-4B90-A411-554678EFC3E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 kl. 11.15</t>
        </r>
      </text>
    </comment>
    <comment ref="I27" authorId="0" shapeId="0" xr:uid="{ED789137-9605-4F74-8271-81BAB8B2F5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3-vagt kl. 08.30 - 11.30</t>
        </r>
      </text>
    </comment>
    <comment ref="G28" authorId="0" shapeId="0" xr:uid="{A638FC2D-C989-4F0D-91CC-2F50706F52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vagterne på Rådhuset. Bo M. møder 16.00 - 23.30 og hjælper Rådhuset.</t>
        </r>
      </text>
    </comment>
    <comment ref="L28" authorId="0" shapeId="0" xr:uid="{89F9A2CA-BCE6-4084-91D6-6DB049FD6B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Børne Pride 2 vagter kl. 08.30 - 16.30</t>
        </r>
      </text>
    </comment>
    <comment ref="M28" authorId="0" shapeId="0" xr:uid="{7C292417-B9C7-4990-A928-C4384446F14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Børne Pride 2 vagter kl. 08.30 - 16.30</t>
        </r>
      </text>
    </comment>
    <comment ref="N28" authorId="0" shapeId="0" xr:uid="{427768A2-9BB4-491D-A043-2DA9A48683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Børne Pride 1 ekstra vagt i haven kl. 08.30 - 12.30 Dækkes af Anders H.
</t>
        </r>
      </text>
    </comment>
    <comment ref="O28" authorId="0" shapeId="0" xr:uid="{290F63B6-ABD7-4307-846F-5CFE64ACC98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Børne Pride 1 ekstra vagt i haven kl. 08.30 - 12.30 Dækkes af Anders H.
</t>
        </r>
      </text>
    </comment>
    <comment ref="P28" authorId="0" shapeId="0" xr:uid="{AB2E400B-A89F-4E2E-88FF-4306A07A54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Børne Pride 1 ekstra vagt i haven kl. 08.30 - 12.30. Vagten i tivoliporten og Grå mand.
</t>
        </r>
      </text>
    </comment>
    <comment ref="Y28" authorId="0" shapeId="0" xr:uid="{E2120F7F-08AD-4C8B-9044-98B8CAE2141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vagten til koncert Ali kl. 18.00-  23,15 + den normal vagt.</t>
        </r>
      </text>
    </comment>
    <comment ref="AE29" authorId="3" shapeId="0" xr:uid="{0661CDEA-F3EF-471A-9E98-07B0F701E7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Hintze + Johnny H. til kl. 14.00.</t>
        </r>
      </text>
    </comment>
    <comment ref="O30" authorId="3" shapeId="0" xr:uid="{817F0019-5917-478B-B1B7-4DA3704668D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Sundholm 10.00-11.00 + 13.00-14.00</t>
        </r>
      </text>
    </comment>
    <comment ref="Q30" authorId="0" shapeId="0" xr:uid="{61B1F9A6-BB7A-4059-B726-1F00FF8A36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Hovedporten holdes åben til kl. 17.15 pga arrangement i festsalen. Gæsterne er inde senest 17.15</t>
        </r>
      </text>
    </comment>
    <comment ref="V30" authorId="3" shapeId="0" xr:uid="{4937DDD1-A750-4C71-A6A0-3EB8B90622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Sundholm 10.00-11.00 +  12.30-13.30.</t>
        </r>
      </text>
    </comment>
    <comment ref="W30" authorId="0" shapeId="0" xr:uid="{248C2C60-4B7D-4494-81BB-B198FA2C49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Lyongade 09.00 - 11.00</t>
        </r>
      </text>
    </comment>
    <comment ref="D31" authorId="0" shapeId="0" xr:uid="{D37500BC-B19C-43BD-B581-874A8990891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Mangler indtil kl. 11.00</t>
        </r>
      </text>
    </comment>
    <comment ref="D43" authorId="0" shapeId="0" xr:uid="{33D66CE5-53EB-479E-B734-39E11364BC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</t>
        </r>
      </text>
    </comment>
    <comment ref="D44" authorId="0" shapeId="0" xr:uid="{9E124F45-13DC-4E6C-86B5-7C8730F8A9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</t>
        </r>
      </text>
    </comment>
    <comment ref="K44" authorId="5" shapeId="0" xr:uid="{89DAD81E-A2E2-427B-9BB9-9C832A665D4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1½ time</t>
        </r>
      </text>
    </comment>
    <comment ref="N44" authorId="6" shapeId="0" xr:uid="{845AC6C3-B603-47C4-B4C4-590D86A2DBD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lyongade 9-11 tilbage på rådhuset efterfølgende. </t>
        </r>
      </text>
    </comment>
    <comment ref="O44" authorId="6" shapeId="0" xr:uid="{260CC19B-CDAB-48CB-844F-E422B4FDCBA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lyongade 9-11 tilbage på rådhuset efterfølgende. 5-vagt på OA</t>
        </r>
      </text>
    </comment>
    <comment ref="P44" authorId="6" shapeId="0" xr:uid="{190EDAD7-B375-4496-A132-5386141C921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lyongade 9-11 tilbage på rådhuset efterfølgende. 5-vagt på OA</t>
        </r>
      </text>
    </comment>
    <comment ref="Q44" authorId="0" shapeId="0" xr:uid="{5CB6A9FE-98E0-4D99-B0E1-C569912892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Lyongade kl. 15.00 - 18.00</t>
        </r>
      </text>
    </comment>
    <comment ref="R44" authorId="6" shapeId="0" xr:uid="{70457D15-2868-44A2-A592-9B0360E70EE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lyongade 9-11 tilbage på rådhuset efterfølgende. 
9-vagt OA</t>
        </r>
      </text>
    </comment>
    <comment ref="N46" authorId="7" shapeId="0" xr:uid="{01EE0E28-3054-4D7C-B6A3-CEC9EF4CE66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O46" authorId="7" shapeId="0" xr:uid="{A9C8B2F3-4D9F-444F-BC06-E67CF4D27AB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P46" authorId="7" shapeId="0" xr:uid="{FBAEEC86-18FB-4EAD-ABE9-05BB65BA491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Q46" authorId="7" shapeId="0" xr:uid="{DA19A730-E63D-43A0-AE0C-D89383CD59C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R46" authorId="7" shapeId="0" xr:uid="{04280B9E-5E37-4ADC-8665-77CACF5F2CC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S46" authorId="7" shapeId="0" xr:uid="{880FE71D-F9C5-4359-B732-C63F26C8BD9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B</t>
        </r>
      </text>
    </comment>
    <comment ref="T46" authorId="7" shapeId="0" xr:uid="{58A9029E-FDA4-4EC5-8D2E-1C0A15A12EE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B</t>
        </r>
      </text>
    </comment>
    <comment ref="D47" authorId="0" shapeId="0" xr:uid="{9A7F0AFB-ECB7-4C8A-82C3-B1D0376A188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18.30- 10.30 SJG på OA</t>
        </r>
      </text>
    </comment>
    <comment ref="I47" authorId="0" shapeId="0" xr:uid="{EA678BF2-618B-4B39-9088-A75D15DBBF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Lyongade kl. 09.00 - 11.30</t>
        </r>
      </text>
    </comment>
    <comment ref="J47" authorId="3" shapeId="0" xr:uid="{F89A5300-C25B-4B89-8608-72180B3B8F7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Lyongade OA fra kl. 15.30</t>
        </r>
      </text>
    </comment>
    <comment ref="U48" authorId="0" shapeId="0" xr:uid="{EDF83347-A3C5-4551-B493-F19688AD54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i2 på OA</t>
        </r>
      </text>
    </comment>
    <comment ref="W48" authorId="0" shapeId="0" xr:uid="{CE6BB3C1-2E2B-4D2A-83AB-9048FBCB3B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i2 på OA</t>
        </r>
      </text>
    </comment>
    <comment ref="AD49" authorId="3" shapeId="0" xr:uid="{B14CB027-E261-4DB2-98B8-23A4A28E62C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7 vagt OA</t>
        </r>
      </text>
    </comment>
    <comment ref="AE49" authorId="0" shapeId="0" xr:uid="{28E4C395-95B6-44D1-BF2B-B2311FC81E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C50" authorId="0" shapeId="0" xr:uid="{8262E526-2E8D-449D-9FF6-F4B278FBED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Lyongade</t>
        </r>
      </text>
    </comment>
    <comment ref="D50" authorId="0" shapeId="0" xr:uid="{C9916912-EC09-4563-9A06-98A036F8C9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Lyongade</t>
        </r>
      </text>
    </comment>
    <comment ref="V52" authorId="3" shapeId="0" xr:uid="{49AA1194-435A-4E81-A46A-A62801E2F0E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Sundholm 09.45 - 13.30</t>
        </r>
      </text>
    </comment>
    <comment ref="X52" authorId="0" shapeId="0" xr:uid="{453EC7EC-B494-497E-8917-B6424B1D5A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Q55" authorId="0" shapeId="0" xr:uid="{74202DC3-9CD7-47AE-B7B9-DF965960F6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8-vagt på oa</t>
        </r>
      </text>
    </comment>
    <comment ref="R55" authorId="0" shapeId="0" xr:uid="{8CF2C796-D6AF-4162-AFD3-C4D9C27811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8-vagt på oa</t>
        </r>
      </text>
    </comment>
    <comment ref="AB55" authorId="0" shapeId="0" xr:uid="{5518C1AF-059D-40F5-A426-4D56CF6C235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15.15</t>
        </r>
      </text>
    </comment>
    <comment ref="N66" authorId="3" shapeId="0" xr:uid="{4FCB6B8A-7572-49C8-9E0B-760FBB4DA59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V67" authorId="0" shapeId="0" xr:uid="{9A11B567-8EFA-4E94-95E4-7956441D5F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I2 på OA</t>
        </r>
      </text>
    </comment>
    <comment ref="X67" authorId="0" shapeId="0" xr:uid="{74838928-A5BA-4C9A-A957-9F33E55738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Brønshøjvej 3 åbning af kulturhus. 13.30 - 17.00</t>
        </r>
      </text>
    </comment>
    <comment ref="AD67" authorId="2" shapeId="0" xr:uid="{E1B44328-4CF6-4149-8CA7-6BAFEC336B02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kl 23:30 AFSP
</t>
        </r>
      </text>
    </comment>
    <comment ref="AE67" authorId="2" shapeId="0" xr:uid="{3A4D2849-B0D8-491A-B32F-C72B3913767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23:30</t>
        </r>
      </text>
    </comment>
    <comment ref="AA70" authorId="5" shapeId="0" xr:uid="{AC7E79A6-6A8A-488F-ACC5-F476F30E91C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O5 vagt på OA</t>
        </r>
      </text>
    </comment>
    <comment ref="O71" authorId="5" shapeId="0" xr:uid="{A4676D87-F292-4240-B097-B0D9CFF8D46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1 time</t>
        </r>
      </text>
    </comment>
    <comment ref="P71" authorId="5" shapeId="0" xr:uid="{70429EC1-C2A5-4408-BF2B-229D4C1BD0DA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1 time</t>
        </r>
      </text>
    </comment>
    <comment ref="Q71" authorId="5" shapeId="0" xr:uid="{4C2C3F74-23B7-42CD-99E8-82B91093BC7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½ time</t>
        </r>
      </text>
    </comment>
    <comment ref="J75" authorId="6" shapeId="0" xr:uid="{977EA66B-A995-4932-A1F6-AB8AACE7F77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 retten</t>
        </r>
      </text>
    </comment>
    <comment ref="Y76" authorId="0" shapeId="0" xr:uid="{484E2436-6F1D-4017-922B-2798073D7D4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koncert kl. 17.00 - 23.15. Kommer på Rådhuset efter Svbendborggade.</t>
        </r>
      </text>
    </comment>
    <comment ref="U77" authorId="2" shapeId="0" xr:uid="{EB6B476D-3912-4E4A-979D-FA97E686F274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skal lukke vagten ind på SP omkrin 20:30 så husk urkarine nølgen </t>
        </r>
      </text>
    </comment>
    <comment ref="P79" authorId="5" shapeId="0" xr:uid="{16F66179-B0C5-4BCE-AC3C-C2263353FED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½ time</t>
        </r>
      </text>
    </comment>
    <comment ref="C80" authorId="2" shapeId="0" xr:uid="{74F7C80F-8CF6-4E90-BC9D-2ED02E193A7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3-vagt
</t>
        </r>
      </text>
    </comment>
    <comment ref="D80" authorId="2" shapeId="0" xr:uid="{B8552BFB-BEC7-49D2-83B5-BE988EE1E7F8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3-vagt
</t>
        </r>
      </text>
    </comment>
    <comment ref="G80" authorId="0" shapeId="0" xr:uid="{6025306E-B668-4FE1-8579-2031DBBF93C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OA kl. 16.00 - 23.30 og hjælper til med huset, da en vagt skal dække 5-vagten</t>
        </r>
      </text>
    </comment>
    <comment ref="Q80" authorId="3" shapeId="0" xr:uid="{50DD7462-109A-49CF-B0DC-3D3393AA905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Lyongade 
15.00 -18.30</t>
        </r>
      </text>
    </comment>
    <comment ref="C81" authorId="7" shapeId="0" xr:uid="{7F5C3F3C-F340-4B39-9DB2-804BEFC7724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11-vagt</t>
        </r>
      </text>
    </comment>
    <comment ref="D81" authorId="7" shapeId="0" xr:uid="{099508AD-6400-402E-8EED-B9C71D187AE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11-vagt</t>
        </r>
      </text>
    </comment>
    <comment ref="E81" authorId="7" shapeId="0" xr:uid="{61112ACD-69ED-4945-8337-0C0D1EBA13E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21.30-06.30
Dækker B3</t>
        </r>
      </text>
    </comment>
    <comment ref="F81" authorId="7" shapeId="0" xr:uid="{B29706F1-D78E-4C0E-A7B5-883B59D41F7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21.30-06.30
Dækker B3</t>
        </r>
      </text>
    </comment>
    <comment ref="N81" authorId="7" shapeId="0" xr:uid="{DEB474A6-7046-477E-A94C-7B413343A14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10-vagten</t>
        </r>
      </text>
    </comment>
    <comment ref="O81" authorId="7" shapeId="0" xr:uid="{65C9F2A1-042B-4BD7-9FED-FCA20D8B6B1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10-vagten</t>
        </r>
      </text>
    </comment>
    <comment ref="P81" authorId="7" shapeId="0" xr:uid="{A462E9DE-5097-4D0C-B04B-C3A32397BA5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10-vagten</t>
        </r>
      </text>
    </comment>
    <comment ref="Q81" authorId="7" shapeId="0" xr:uid="{C9146912-0F64-4FDB-BAD7-FE63DDDF1E4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10-vagten</t>
        </r>
      </text>
    </comment>
    <comment ref="R81" authorId="7" shapeId="0" xr:uid="{C978A8FC-DAEE-438B-A055-CCBFA68AA38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21-07
Dækker 10-vagten</t>
        </r>
      </text>
    </comment>
    <comment ref="S81" authorId="7" shapeId="0" xr:uid="{79830D0E-8656-4DD1-8EF5-E98EDCEE72C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22-07
Dækker B2</t>
        </r>
      </text>
    </comment>
    <comment ref="T81" authorId="7" shapeId="0" xr:uid="{D5FC2399-FC7E-4F12-891A-26901C3EC32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22-07
Dækker B2</t>
        </r>
      </text>
    </comment>
    <comment ref="C82" authorId="7" shapeId="0" xr:uid="{20C5EB2F-5675-4C62-8EAF-5AD8904AA81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D82" authorId="7" shapeId="0" xr:uid="{92271829-1897-4119-89EB-CE31C9FDE8C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E82" authorId="7" shapeId="0" xr:uid="{C0B79BF6-7E5A-4CE1-8179-E913577CD9A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F82" authorId="7" shapeId="0" xr:uid="{57807F15-80FC-40FC-A058-B853CE6960C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N82" authorId="7" shapeId="0" xr:uid="{1DBBFBAD-7888-4A3C-9CD2-47578C7F670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O82" authorId="7" shapeId="0" xr:uid="{494412B6-5211-4226-B1DD-DCB318DC419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P82" authorId="7" shapeId="0" xr:uid="{C20C78CE-338C-405E-AA28-9D46033C81B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Q82" authorId="7" shapeId="0" xr:uid="{22419ADC-4032-42FE-8F6D-B16D1C3914A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R82" authorId="7" shapeId="0" xr:uid="{90B3CA4E-4F27-49ED-9304-E7B01D71EB7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S82" authorId="7" shapeId="0" xr:uid="{5B22137D-3669-4212-9977-42F6A48F605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T82" authorId="7" shapeId="0" xr:uid="{7187FCA3-662E-482C-B430-0F8D562CD4A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AB82" authorId="7" shapeId="0" xr:uid="{A8927FDE-349C-4B64-B003-D78C075C418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Dækker 10-vagten</t>
        </r>
      </text>
    </comment>
    <comment ref="AC82" authorId="7" shapeId="0" xr:uid="{A2818BFE-AEAC-49EC-B1EE-240744FA673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Dækker 10-vagten</t>
        </r>
      </text>
    </comment>
    <comment ref="AD82" authorId="7" shapeId="0" xr:uid="{4622F8CB-0F02-4DA4-A06F-9FCC063BD72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Dækker 10-vagten</t>
        </r>
      </text>
    </comment>
    <comment ref="AE82" authorId="7" shapeId="0" xr:uid="{8DFA58A5-43EC-46E6-A667-0B61F8651B5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Dækker 10-vagten</t>
        </r>
      </text>
    </comment>
    <comment ref="AF82" authorId="7" shapeId="0" xr:uid="{C65302FD-A16E-4C24-9E22-62306544511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Dækker 10-vagten</t>
        </r>
      </text>
    </comment>
    <comment ref="AG82" authorId="7" shapeId="0" xr:uid="{B8F34414-60B0-493B-AB2F-F030B468DAC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Dækker B2</t>
        </r>
      </text>
    </comment>
    <comment ref="C83" authorId="8" shapeId="0" xr:uid="{F01BCC42-54E1-47D9-843F-569A6B4EC12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D83" authorId="8" shapeId="0" xr:uid="{FE461020-A404-414D-A6D1-0BB9B4A951A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G83" authorId="8" shapeId="0" xr:uid="{DC055E04-4F6B-435E-94ED-BB8119BD755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08-13. Lyongade 09 - 11</t>
        </r>
      </text>
    </comment>
    <comment ref="H83" authorId="8" shapeId="0" xr:uid="{3F14CE51-5335-4685-BF27-80D3C356D2F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08-13. Lyongade 09 - 11</t>
        </r>
      </text>
    </comment>
    <comment ref="J83" authorId="8" shapeId="0" xr:uid="{9F7B68F6-9372-4240-B3D1-4363580849A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K83" authorId="8" shapeId="0" xr:uid="{B719FCF1-4B18-4A2D-86D9-A3A87498FF0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08-13. Lyongade 09 - 11</t>
        </r>
      </text>
    </comment>
    <comment ref="N83" authorId="8" shapeId="0" xr:uid="{0C157EB9-9723-4E9A-8F55-93719B6CF8B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 =8.30 - 12.30 pride i haven</t>
        </r>
      </text>
    </comment>
    <comment ref="O83" authorId="8" shapeId="0" xr:uid="{7E0D62DF-C3EE-4D8A-9334-4D744695203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 =8.30 - 12.30 pride i haven</t>
        </r>
      </text>
    </comment>
    <comment ref="Q83" authorId="8" shapeId="0" xr:uid="{1763D215-B963-4690-A922-3A865642B07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R83" authorId="8" shapeId="0" xr:uid="{4A7E5A75-F097-4521-88F6-67FC748E08F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U83" authorId="8" shapeId="0" xr:uid="{64C3C3B6-E22C-42DE-A0D5-DD7B8B8D090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V83" authorId="8" shapeId="0" xr:uid="{EB643BA8-4CCC-4E17-BCFB-9B7C2009A81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 Lyongade 09.00 - 11.00</t>
        </r>
      </text>
    </comment>
    <comment ref="X83" authorId="8" shapeId="0" xr:uid="{38FF8B45-3AF6-4FC0-963E-03854E3BB40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 Lyongade 09.00 - 11.00</t>
        </r>
      </text>
    </comment>
    <comment ref="Y83" authorId="8" shapeId="0" xr:uid="{65A2B9AE-ADC8-43A6-A363-59BDEB61B0E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 Lyongade 09.00 - 11.00</t>
        </r>
      </text>
    </comment>
    <comment ref="AB83" authorId="8" shapeId="0" xr:uid="{BEA975F4-816A-40EC-8196-821CC8D4851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 D-vagt til kl. 11.30</t>
        </r>
      </text>
    </comment>
    <comment ref="AC83" authorId="8" shapeId="0" xr:uid="{5091D577-228D-4449-965C-AFDA99C8225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AE83" authorId="8" shapeId="0" xr:uid="{2B2111D7-9F14-43D4-AFEB-73D92E82D16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AF83" authorId="8" shapeId="0" xr:uid="{4C8E3BB3-DED7-42EE-B2DB-6969147C705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C84" authorId="6" shapeId="0" xr:uid="{1962FF59-614E-42A1-9589-1722B3DEEE0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Første dag møder kl. 09.00</t>
        </r>
      </text>
    </comment>
    <comment ref="W84" authorId="0" shapeId="0" xr:uid="{A367D914-A65A-4D85-A416-2D230DB299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18.15</t>
        </r>
      </text>
    </comment>
    <comment ref="X84" authorId="0" shapeId="0" xr:uid="{A00CE963-37F6-40AB-B909-ED8E89114D7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B84" authorId="4" shapeId="0" xr:uid="{62D2FC9C-FEB3-41C8-AA3F-C6E46FA5A1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kl. 17.15 </t>
        </r>
      </text>
    </comment>
    <comment ref="C85" authorId="6" shapeId="0" xr:uid="{1643E040-8E73-4D8D-B677-C01E28E19CA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Første dag møder kl. 09.00</t>
        </r>
      </text>
    </comment>
    <comment ref="N86" authorId="0" shapeId="0" xr:uid="{7DBAC043-5616-4573-A07D-5C866BF57C6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U86" authorId="2" shapeId="0" xr:uid="{41BD75D6-5E95-4FD9-A7D8-8A5BE62EE69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går med Alexander Henriksen på 8 vagt hele uge</t>
        </r>
      </text>
    </comment>
    <comment ref="Z90" authorId="9" shapeId="0" xr:uid="{1BDBEE1B-D970-44B8-9578-2A5DF3E1403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Mødte ind 00:30</t>
        </r>
      </text>
    </comment>
    <comment ref="G99" authorId="6" shapeId="0" xr:uid="{61DDA2C3-DB46-479A-BD92-1CA98A6B55A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99" authorId="6" shapeId="0" xr:uid="{9CA17757-B61B-4F7C-A43A-295CA600C88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99" authorId="6" shapeId="0" xr:uid="{91AEA769-9386-4724-8309-07C431F3DED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99" authorId="6" shapeId="0" xr:uid="{7D85637C-95C8-42F8-BEA3-83837C2BF8E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99" authorId="6" shapeId="0" xr:uid="{2292EBA1-E85C-4E83-9362-53F5EC968F3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99" authorId="6" shapeId="0" xr:uid="{EF79E574-5A72-4DF6-9600-D31C415134D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99" authorId="6" shapeId="0" xr:uid="{DF5475D4-D1F5-4EA8-AE75-913ABCF6827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99" authorId="6" shapeId="0" xr:uid="{22489D40-7DE2-4847-992F-14E21952559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99" authorId="6" shapeId="0" xr:uid="{654CE357-33EE-49F5-85CB-260DE546776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99" authorId="6" shapeId="0" xr:uid="{8731EEB3-614E-417F-A843-DC037A85F38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99" authorId="6" shapeId="0" xr:uid="{CBBC9990-96C1-4309-9D05-E0527277027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99" authorId="6" shapeId="0" xr:uid="{BBF0453F-0741-4421-A590-5D13C8E1FEF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99" authorId="6" shapeId="0" xr:uid="{DF65DFAE-0D36-4057-802C-C5F866C4205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99" authorId="6" shapeId="0" xr:uid="{ED171739-F710-4349-9310-E58EA9C2277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99" authorId="6" shapeId="0" xr:uid="{E3A477E2-9E4F-43C5-808C-74922835C61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99" authorId="6" shapeId="0" xr:uid="{A4533956-EC2E-49E0-BD18-3CB6182476C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99" authorId="6" shapeId="0" xr:uid="{B6EA7D67-177D-4B39-83FE-DEAC8E01F66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99" authorId="6" shapeId="0" xr:uid="{66D872CA-E1B2-4717-8B6D-39C49E2731D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99" authorId="6" shapeId="0" xr:uid="{4486102D-9CCC-44E7-AFEA-7622076282D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99" authorId="6" shapeId="0" xr:uid="{A335AE7E-3CBA-4237-B654-23F9C8865F8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100" authorId="6" shapeId="0" xr:uid="{88D425C8-717B-4488-A916-C947D85A948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100" authorId="6" shapeId="0" xr:uid="{66F54956-E679-4D50-BCB3-D59686BD81E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100" authorId="6" shapeId="0" xr:uid="{91E3D5B9-3391-4086-B6D1-D32E6F2A3A4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100" authorId="6" shapeId="0" xr:uid="{F6E4F851-5C23-4103-8C9F-8EADA8075D2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100" authorId="6" shapeId="0" xr:uid="{90B598FC-78B6-4F65-8815-5E0ED56F241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100" authorId="6" shapeId="0" xr:uid="{DAA431E5-EEF7-4E45-876E-BBEE8CA01A5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100" authorId="6" shapeId="0" xr:uid="{62DDECD6-73A9-4408-ACAB-D10091FAED7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100" authorId="6" shapeId="0" xr:uid="{F08989EE-356B-410C-96B7-C040C5F9345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100" authorId="6" shapeId="0" xr:uid="{12C84094-2915-452D-A1CF-EA5E5B34421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100" authorId="6" shapeId="0" xr:uid="{F54C23CB-F757-42E2-B9E4-C7A8386FBA8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100" authorId="6" shapeId="0" xr:uid="{99413084-45DD-4066-A095-1D5496EAC44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100" authorId="6" shapeId="0" xr:uid="{41FA8DED-37FC-4086-824B-90D75D14ACE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100" authorId="6" shapeId="0" xr:uid="{9C220482-3FA5-4DA6-AF46-6AD4595A1B3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100" authorId="6" shapeId="0" xr:uid="{945A599A-43A0-4693-A16E-5CA9EFFAF18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100" authorId="6" shapeId="0" xr:uid="{1057923D-BDFF-4411-A6FB-C126BBEC4EE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100" authorId="6" shapeId="0" xr:uid="{D3873403-5FF0-4484-9969-1CEC8835C32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100" authorId="6" shapeId="0" xr:uid="{160B0085-7E31-408D-81E2-90A55AADD82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100" authorId="6" shapeId="0" xr:uid="{433A19E9-E6EB-4842-83DA-029BE509DAE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100" authorId="6" shapeId="0" xr:uid="{5B1E42F5-4D78-4298-940A-5C5D69F7932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100" authorId="6" shapeId="0" xr:uid="{A079B3C7-379D-480D-9B57-FBCEA40CF62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104" authorId="0" shapeId="0" xr:uid="{AEB7DD6A-DD1B-46D0-BFD6-E66147B23A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Q104" authorId="3" shapeId="0" xr:uid="{91BD1F3E-B045-40DD-B6DF-BABAD7BBED2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Rundviser
Klokken 09.30-16.00</t>
        </r>
      </text>
    </comment>
    <comment ref="R104" authorId="3" shapeId="0" xr:uid="{A16A31AC-4D20-4433-8DE6-D5332C1DF69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09.00</t>
        </r>
      </text>
    </comment>
    <comment ref="X104" authorId="3" shapeId="0" xr:uid="{563F3236-980A-45DA-B4A9-B35E39094FE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BR-møde
Klokken 
15.00-22.30
Emilie fra 13.00-15.00</t>
        </r>
      </text>
    </comment>
    <comment ref="Y104" authorId="3" shapeId="0" xr:uid="{CF960B4B-F8D3-4690-9E38-B137649B39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Kredsvagt </t>
        </r>
      </text>
    </comment>
    <comment ref="AB104" authorId="3" shapeId="0" xr:uid="{95671DD8-7324-4FB9-99B3-4258244B79F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Arrangementsservice
Klokken
07.30-14.30</t>
        </r>
      </text>
    </comment>
    <comment ref="AC104" authorId="3" shapeId="0" xr:uid="{1498CDA9-63AE-485B-A1BA-8E24D15B8FD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Arrangementsservice
Klokken
15.00-23.00</t>
        </r>
      </text>
    </comment>
    <comment ref="AD104" authorId="3" shapeId="0" xr:uid="{550808AE-596E-4019-8A63-388C8B5E297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Arrangementsservice
Klokken 
11.00-17.45</t>
        </r>
      </text>
    </comment>
    <comment ref="N105" authorId="0" shapeId="0" xr:uid="{BE687497-FA47-40A6-9551-BE84694BF8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O105" authorId="0" shapeId="0" xr:uid="{9DB9B759-5C38-49F1-8641-707535FB5A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Følger Thomas Bay der har byttet til 1-vagt</t>
        </r>
      </text>
    </comment>
    <comment ref="P105" authorId="0" shapeId="0" xr:uid="{04E36DA9-CB0F-45C1-AAAA-34EC2BFE29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Følger Thomas Bay der har byttet til 1-vagt</t>
        </r>
      </text>
    </comment>
    <comment ref="Q105" authorId="0" shapeId="0" xr:uid="{EC26B52A-728E-4BEB-834D-DC7379A061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Følger Thomas Bay der har byttet til 1-vagt</t>
        </r>
      </text>
    </comment>
    <comment ref="R105" authorId="0" shapeId="0" xr:uid="{491B327C-8D31-4B9F-8218-DB49AB24B2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Følger Thomas Bay der har byttet til 1-vagt</t>
        </r>
      </text>
    </comment>
    <comment ref="F116" authorId="0" shapeId="0" xr:uid="{DB217590-708B-43D5-848D-91C5D6EF98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Sjællandsgade 17.30 - 08.30</t>
        </r>
      </text>
    </comment>
    <comment ref="W137" authorId="0" shapeId="0" xr:uid="{E23420C9-772A-42E4-844E-3E54F32BF40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Brandvagt Edith Rohdesvej 2 kl. 11.00 - 16.00</t>
        </r>
      </text>
    </comment>
    <comment ref="X137" authorId="0" shapeId="0" xr:uid="{AEE9296E-A9F5-4984-8826-B34D09F1E3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Brandvagt Edith Rohdesvej 2 kl. 07.00 - 13.30</t>
        </r>
      </text>
    </comment>
    <comment ref="X158" authorId="0" shapeId="0" xr:uid="{68B98BFA-D1CF-4967-BF79-19149087B7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E158" authorId="0" shapeId="0" xr:uid="{24471E97-C7FD-4A9A-A555-F437E8C5E1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D170" authorId="0" shapeId="0" xr:uid="{7302C036-CA34-4823-872B-D59C51B1BE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ca. kl. 11.00</t>
        </r>
      </text>
    </comment>
    <comment ref="W171" authorId="0" shapeId="0" xr:uid="{5FC9F166-3487-4D28-B100-83EB36F1E6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18.15</t>
        </r>
      </text>
    </comment>
    <comment ref="X171" authorId="0" shapeId="0" xr:uid="{8BE9E986-026D-4205-88D7-4C887E222DB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Y171" authorId="3" shapeId="0" xr:uid="{ED5AD958-2AEF-4D2D-A0F7-90528819CFF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ca. 09.30</t>
        </r>
      </text>
    </comment>
    <comment ref="AB171" authorId="4" shapeId="0" xr:uid="{780DBFCC-12E5-412E-B90D-9E55EFB731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aften</t>
        </r>
      </text>
    </comment>
    <comment ref="AC171" authorId="3" shapeId="0" xr:uid="{790C87FE-6EBC-4F18-B279-21837CFC6C8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10.00-11.30</t>
        </r>
      </text>
    </comment>
    <comment ref="AE171" authorId="0" shapeId="0" xr:uid="{DB67FEF8-0D7A-4A64-A30A-0C9A74B48B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I172" authorId="6" shapeId="0" xr:uid="{FBEE06CD-A30A-4D36-A05E-72A71D4EE6E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11:00 afspadsering inden da</t>
        </r>
      </text>
    </comment>
    <comment ref="K172" authorId="0" shapeId="0" xr:uid="{C72D464C-5477-4550-865B-7E51A8EC55F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R2</t>
        </r>
      </text>
    </comment>
    <comment ref="L172" authorId="4" shapeId="0" xr:uid="{7AE17686-9111-48F3-A74F-75EED78278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Hjælpe til pride kl. 08.30 - 16.30</t>
        </r>
      </text>
    </comment>
    <comment ref="X173" authorId="0" shapeId="0" xr:uid="{EF0F947A-5518-4821-B0BB-035B049A3E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B173" authorId="4" shapeId="0" xr:uid="{DD2CDAB7-61ED-4808-B320-5146567BB0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aften</t>
        </r>
      </text>
    </comment>
    <comment ref="AC173" authorId="0" shapeId="0" xr:uid="{7E49EDE3-47EE-419A-B401-0364311823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aften</t>
        </r>
      </text>
    </comment>
    <comment ref="AE173" authorId="0" shapeId="0" xr:uid="{334BE8E7-6DFD-48F6-862B-FA7794F0C6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174" authorId="4" shapeId="0" xr:uid="{392A5C72-87EE-4427-90C8-9F5CD2E864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Pride kl 08.30 - 16.30</t>
        </r>
      </text>
    </comment>
    <comment ref="S174" authorId="7" shapeId="0" xr:uid="{5C421CD8-FAC1-4C9F-BF7C-CE1E1307F3A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Rundviser R3</t>
        </r>
      </text>
    </comment>
    <comment ref="W174" authorId="0" shapeId="0" xr:uid="{0B071C33-1173-4142-9F6A-0758833EB4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18.15</t>
        </r>
      </text>
    </comment>
    <comment ref="X174" authorId="0" shapeId="0" xr:uid="{A9245B98-8153-4907-B7F7-CCC8366628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B174" authorId="10" shapeId="0" xr:uid="{3FDCA6C3-D58F-41EB-BE39-A78123233C43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Johnny skal til genoptræning på Hvidovre Hospital.</t>
        </r>
      </text>
    </comment>
    <comment ref="AE174" authorId="0" shapeId="0" xr:uid="{BB572924-E81F-44F3-A9EA-36F610CC15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K191" authorId="1" shapeId="0" xr:uid="{A8F7B767-6A3A-4313-AC23-D9E31CA2D77A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19.00-21.00</t>
        </r>
      </text>
    </comment>
    <comment ref="Z191" authorId="9" shapeId="0" xr:uid="{8A80BC7F-9738-4ED7-B4EE-75059F09DCD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19-22 
</t>
        </r>
      </text>
    </comment>
    <comment ref="AA191" authorId="9" shapeId="0" xr:uid="{E3ADC417-D692-47BB-A977-84E93AD01A9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19-22 
</t>
        </r>
      </text>
    </comment>
    <comment ref="D192" authorId="0" shapeId="0" xr:uid="{3D923E57-C50F-4B89-9BE5-E2DD2A8DEB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</t>
        </r>
      </text>
    </comment>
    <comment ref="E192" authorId="0" shapeId="0" xr:uid="{2340000C-93D6-493C-AFA8-57BD6891BFB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</t>
        </r>
      </text>
    </comment>
    <comment ref="F192" authorId="0" shapeId="0" xr:uid="{AC17423A-8A3C-4BAF-B012-9FA205D8A3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</t>
        </r>
      </text>
    </comment>
    <comment ref="M207" authorId="4" shapeId="0" xr:uid="{A524CEA6-E7FC-4675-8B38-85E5E673E0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Pride kl. 08.30 - 16.30</t>
        </r>
      </text>
    </comment>
    <comment ref="X208" authorId="0" shapeId="0" xr:uid="{BE18B2C3-8C52-490E-93FE-9A8E731BC31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E208" authorId="0" shapeId="0" xr:uid="{200B2AE7-F52F-4F4A-A832-283F60067E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N237" authorId="4" shapeId="0" xr:uid="{AAB91C23-C190-473C-BE23-A25D310D45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12.30</t>
        </r>
      </text>
    </comment>
    <comment ref="N238" authorId="0" shapeId="0" xr:uid="{CACE89BA-5575-4C2D-86AF-F53E02FF52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O238" authorId="0" shapeId="0" xr:uid="{379F5074-84E9-487C-8B77-EE5C8F20140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P238" authorId="0" shapeId="0" xr:uid="{8C1F7BBF-26F5-4103-9621-4E9BD8E95F8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Q238" authorId="0" shapeId="0" xr:uid="{80EE7990-EA1A-4D21-8A73-A2158D6BAA5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R238" authorId="0" shapeId="0" xr:uid="{2815A4F6-12EE-4716-BC37-51AA2FEA787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U238" authorId="11" shapeId="0" xr:uid="{1AB7B427-EF81-47F9-9DB9-8AA88B25DC9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11 - 16</t>
        </r>
      </text>
    </comment>
    <comment ref="V238" authorId="11" shapeId="0" xr:uid="{7931CC56-B30C-464F-8AB7-A54F2BAF43A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11 - 16</t>
        </r>
      </text>
    </comment>
    <comment ref="W238" authorId="11" shapeId="0" xr:uid="{0C944DE4-71BF-42A9-8B1D-EF55A7CED51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11 - 16</t>
        </r>
      </text>
    </comment>
    <comment ref="X238" authorId="11" shapeId="0" xr:uid="{C760B89E-7C58-40CE-A0AE-AD2C755C97F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11 - 18</t>
        </r>
      </text>
    </comment>
    <comment ref="Y238" authorId="11" shapeId="0" xr:uid="{C53BC119-E22E-4F65-AE58-EB30BC67600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11 - 16</t>
        </r>
      </text>
    </comment>
    <comment ref="N306" authorId="0" shapeId="0" xr:uid="{88A2AC20-C0DA-4C76-9EEF-1974DD8232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11.00 hospital</t>
        </r>
      </text>
    </comment>
    <comment ref="L308" authorId="4" shapeId="0" xr:uid="{911326B2-2ECD-4480-AFE4-0C1D6694E4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Pride kl. 08.30 - 16.30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Mathias Hartvig Morell Nielsen</author>
    <author>Lars Crone</author>
    <author>Steen Hertin-Sandkær</author>
    <author>Steen Hertin</author>
    <author>Nick Lorentzen</author>
    <author>Kim Holm Aabroe</author>
    <author>Mathias Nielsen</author>
    <author>Mathias Søndergaard</author>
    <author>Rasmus Sørensen</author>
    <author>Nikolaj Langtin Pamhede</author>
  </authors>
  <commentList>
    <comment ref="K15" authorId="0" shapeId="0" xr:uid="{A6D232FF-B85B-4350-B71B-19A3B081953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U15" authorId="0" shapeId="0" xr:uid="{90CA2200-D648-4CC9-A6BA-128A62A195A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U17" authorId="0" shapeId="0" xr:uid="{47F01ED6-DE31-4518-96CA-6BFD054EEC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13.00</t>
        </r>
      </text>
    </comment>
    <comment ref="K18" authorId="1" shapeId="0" xr:uid="{64644E58-1AC3-447B-AD13-9956619C501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Trivselsudvalg 14:30-15:50</t>
        </r>
      </text>
    </comment>
    <comment ref="L18" authorId="2" shapeId="0" xr:uid="{23DD721B-93E2-4E53-9080-220CED50A5C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Møder kl 15:00</t>
        </r>
      </text>
    </comment>
    <comment ref="M18" authorId="2" shapeId="0" xr:uid="{F4F71258-2986-47F0-8D1B-CD23BE0A36C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1:1 med Rasmus 14:30-15:00</t>
        </r>
      </text>
    </comment>
    <comment ref="Y18" authorId="2" shapeId="0" xr:uid="{782893CE-C251-409F-9245-F726157CFC43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V3 OA</t>
        </r>
      </text>
    </comment>
    <comment ref="AE18" authorId="0" shapeId="0" xr:uid="{1F31FE3C-BBF8-4734-8A6D-FE82CA355A8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23.00</t>
        </r>
      </text>
    </comment>
    <comment ref="Z19" authorId="2" shapeId="0" xr:uid="{0F9E2F34-3E43-4FE1-925B-804BB0700527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V3 OA</t>
        </r>
      </text>
    </comment>
    <comment ref="AA19" authorId="2" shapeId="0" xr:uid="{01EB19F3-31A1-40A0-91DC-A396B11BEC8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V3 OA</t>
        </r>
      </text>
    </comment>
    <comment ref="K21" authorId="0" shapeId="0" xr:uid="{712D7B12-AF90-4916-BFDE-9B805558C88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L21" authorId="0" shapeId="0" xr:uid="{907FA7D0-D0C2-46A3-A3A1-23E5202294C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M21" authorId="0" shapeId="0" xr:uid="{FA522BE3-D280-43D0-AF16-B81C205DCCF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N21" authorId="0" shapeId="0" xr:uid="{F96246BF-DC5A-468C-A7ED-C66C2086E64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O21" authorId="0" shapeId="0" xr:uid="{11070D04-F1A0-4BD7-A0A5-2694207D3A2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R21" authorId="0" shapeId="0" xr:uid="{C938DEF2-434C-4E73-B049-73B35D2C295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T21" authorId="0" shapeId="0" xr:uid="{2E4526F2-6C9D-4B6C-8FF8-5CE4739B7B8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 Netværksmøde</t>
        </r>
      </text>
    </comment>
    <comment ref="U21" authorId="3" shapeId="0" xr:uid="{08087C50-2E59-427A-BA31-A3525CA41B2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V21" authorId="0" shapeId="0" xr:uid="{5BA62CFE-5B69-40F5-8A59-7FFD44845A8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Ottiliavej 1-3
Akut hjælp med
TVO til kl. 14.30</t>
        </r>
      </text>
    </comment>
    <comment ref="Y21" authorId="0" shapeId="0" xr:uid="{E2EEF998-2000-4765-B0FF-805F60346B8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Z21" authorId="0" shapeId="0" xr:uid="{89F1C236-96E8-47D0-B039-52A8468F967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A21" authorId="0" shapeId="0" xr:uid="{F4453305-A877-449C-8A5D-FC19201B022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B21" authorId="0" shapeId="0" xr:uid="{358AC6B8-1DDD-4819-9262-DB4E4994CAB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 + V3 OA</t>
        </r>
      </text>
    </comment>
    <comment ref="AC21" authorId="0" shapeId="0" xr:uid="{9EA7704F-5827-47C1-922E-807EE508C7F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 + V3 OA</t>
        </r>
      </text>
    </comment>
    <comment ref="AE21" authorId="0" shapeId="0" xr:uid="{DA62148B-A4E7-49D5-BD6D-872A66DB072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til kl. 23.00</t>
        </r>
      </text>
    </comment>
    <comment ref="AA24" authorId="3" shapeId="0" xr:uid="{14386A28-CEE7-47F8-80E1-EC13CF58828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B24" authorId="4" shapeId="0" xr:uid="{37C04DC8-26BD-4395-9B76-295DB9FCE1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kol. 06.45</t>
        </r>
      </text>
    </comment>
    <comment ref="AF24" authorId="4" shapeId="0" xr:uid="{F94456FC-1CA4-4C81-9DB7-12F0C5E053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kol. 06.45 + modtagelse</t>
        </r>
      </text>
    </comment>
    <comment ref="Z26" authorId="0" shapeId="0" xr:uid="{5F967C1F-A1A0-4450-A576-DDF9DC8B87E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Hjemløseenheden kl. 09.45-11.00</t>
        </r>
      </text>
    </comment>
    <comment ref="F27" authorId="0" shapeId="0" xr:uid="{2C12C146-B4AA-451D-A7E5-993D03A6940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99-vagt til kl. 16.00</t>
        </r>
      </text>
    </comment>
    <comment ref="Z27" authorId="0" shapeId="0" xr:uid="{5B37A07C-9707-4FCD-99E0-9A62A202610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D29" authorId="3" shapeId="0" xr:uid="{012C53D7-405A-4063-83C8-6450CBE14E9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15.30</t>
        </r>
      </text>
    </comment>
    <comment ref="K29" authorId="3" shapeId="0" xr:uid="{09A1050C-5E50-4801-B105-0E81BC0B21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Ronnie</t>
        </r>
      </text>
    </comment>
    <comment ref="L29" authorId="3" shapeId="0" xr:uid="{DFB7023C-8382-42C7-B5EA-0CE4D6860D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Ronnie</t>
        </r>
      </text>
    </comment>
    <comment ref="M29" authorId="3" shapeId="0" xr:uid="{2C0A9002-2210-4097-97AD-B943C504A1B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Ronnie</t>
        </r>
      </text>
    </comment>
    <comment ref="N29" authorId="3" shapeId="0" xr:uid="{123336A6-63F8-4E94-962A-4029184D1AB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Ronnie</t>
        </r>
      </text>
    </comment>
    <comment ref="O29" authorId="3" shapeId="0" xr:uid="{62DED8B1-5231-406F-B0F6-BFED00ED47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Ronnie</t>
        </r>
      </text>
    </comment>
    <comment ref="P29" authorId="3" shapeId="0" xr:uid="{9C58B7F3-CFDB-4891-BF59-E2172D7905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Ronnie</t>
        </r>
      </text>
    </comment>
    <comment ref="Q29" authorId="3" shapeId="0" xr:uid="{E3377D79-5359-4731-A1BE-DA197F0A7D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Ronnie</t>
        </r>
      </text>
    </comment>
    <comment ref="S29" authorId="3" shapeId="0" xr:uid="{9029ED96-2F23-49EC-85DD-3BA9205294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Rentemestervej. Vagten bliver til kl. 21.15. Skal møde derude og tage scene ned.
+Ekstra vagt 1½ time</t>
        </r>
      </text>
    </comment>
    <comment ref="Z29" authorId="3" shapeId="0" xr:uid="{31DBFE5F-5B4C-40D9-9C17-B83A08463C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Rentemestervej. Vagten bliver til kl. 21.15 en ekstra vagt til scene nedtagning</t>
        </r>
      </text>
    </comment>
    <comment ref="AD29" authorId="3" shapeId="0" xr:uid="{DF88083E-F84F-4F83-A220-40D5BE8E5F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Måske Rentemestervej kl. 16.00 - 01.30 Fest.</t>
        </r>
      </text>
    </comment>
    <comment ref="D30" authorId="0" shapeId="0" xr:uid="{540F5816-CCCF-457B-9633-A16B17C2732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W30" authorId="0" shapeId="0" xr:uid="{515D7BD0-94B4-4165-A271-89E513D34F0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Bliver dækket af huset</t>
        </r>
      </text>
    </comment>
    <comment ref="X30" authorId="0" shapeId="0" xr:uid="{FD7E889B-4273-4940-82E6-CC7D9CA6C62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Bliver dækket af huset</t>
        </r>
      </text>
    </comment>
    <comment ref="Y31" authorId="0" shapeId="0" xr:uid="{709269D1-C103-40EE-9626-90A046BA45E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Hintze (8-13)</t>
        </r>
      </text>
    </comment>
    <comment ref="AA31" authorId="0" shapeId="0" xr:uid="{1132054D-CC38-488F-86B8-1B02AF7DAB9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Dækkes af huset</t>
        </r>
      </text>
    </comment>
    <comment ref="K43" authorId="0" shapeId="0" xr:uid="{24290909-1DC0-40B6-B727-EED7D84668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C44" authorId="5" shapeId="0" xr:uid="{E9A9C718-4C33-41DC-81E1-B5494B41B16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kl. 17:00 - 19:00</t>
        </r>
      </text>
    </comment>
    <comment ref="N44" authorId="0" shapeId="0" xr:uid="{1D72E29E-A575-4BB8-B52A-5404635BD39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til 22.30</t>
        </r>
      </text>
    </comment>
    <comment ref="D46" authorId="3" shapeId="0" xr:uid="{CA25506C-354D-4CE4-BFB7-47E9296434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15.30</t>
        </r>
      </text>
    </comment>
    <comment ref="K47" authorId="1" shapeId="0" xr:uid="{F7ACC0FC-2B3B-4B88-AC06-F0B7D770E74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Trivselsudvalg 14:30-15:50
5 vagt OA</t>
        </r>
      </text>
    </comment>
    <comment ref="L47" authorId="2" shapeId="0" xr:uid="{FE11C0AB-7FE2-4217-AB36-5A9DB0241C9B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5 vagt OA</t>
        </r>
      </text>
    </comment>
    <comment ref="M47" authorId="2" shapeId="0" xr:uid="{7E9E9484-34B6-4A8F-B197-95425C2B00A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5 vagt OA</t>
        </r>
      </text>
    </comment>
    <comment ref="D48" authorId="6" shapeId="0" xr:uid="{26B44F8A-944B-4262-9A7E-7FCE0646A83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 time oa pga. skolesupport</t>
        </r>
      </text>
    </comment>
    <comment ref="AA48" authorId="0" shapeId="0" xr:uid="{ABFDA26E-E186-47FE-9C4B-51ECCE7A096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S-vagt </t>
        </r>
      </text>
    </comment>
    <comment ref="D49" authorId="0" shapeId="0" xr:uid="{6C717D68-22E5-4595-9229-6AA75708827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 -vagt 09.00-15.00</t>
        </r>
      </text>
    </comment>
    <comment ref="F49" authorId="0" shapeId="0" xr:uid="{4F25D64C-1786-4CEB-8391-3805E0A85DA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
Sydbanestien 15.30-16.00</t>
        </r>
      </text>
    </comment>
    <comment ref="G49" authorId="0" shapeId="0" xr:uid="{C63E43C6-3B9B-49AF-B79C-AF8036C9CDF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tjeneste 
C-vagt 12.30-18.30</t>
        </r>
      </text>
    </comment>
    <comment ref="U51" authorId="0" shapeId="0" xr:uid="{A4F83449-0712-402B-8ECE-FB76E040281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14.00 og
passer bagporten</t>
        </r>
      </text>
    </comment>
    <comment ref="U52" authorId="0" shapeId="0" xr:uid="{B9B2BA9F-89F7-4C77-B3DD-BE6E906BBEA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14.00 og passer bagporten</t>
        </r>
      </text>
    </comment>
    <comment ref="S53" authorId="6" shapeId="0" xr:uid="{4F91B2DE-BBC2-45E7-AD52-205008629EAA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1-vagt OA</t>
        </r>
      </text>
    </comment>
    <comment ref="K67" authorId="3" shapeId="0" xr:uid="{2F5039AA-555B-4AF7-998F-698823FE23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Trivselsudvalg 14:30-15:50</t>
        </r>
      </text>
    </comment>
    <comment ref="R67" authorId="5" shapeId="0" xr:uid="{294E8478-72E1-4DEF-BBEF-4C2A0BE0DBB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kl: 22:30</t>
        </r>
      </text>
    </comment>
    <comment ref="S67" authorId="6" shapeId="0" xr:uid="{AA942342-296C-48BE-B624-72603B4A31E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U67" authorId="5" shapeId="0" xr:uid="{EDF9BBDF-2D52-4AA5-ABAF-EC3CDA35DA4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1 vagt på OA
Afspadserer fra kl 22:30</t>
        </r>
      </text>
    </comment>
    <comment ref="V67" authorId="5" shapeId="0" xr:uid="{305EBEB5-7AE3-4047-AFC4-3444AEC75F6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1 vagt på OA</t>
        </r>
      </text>
    </comment>
    <comment ref="AD67" authorId="0" shapeId="0" xr:uid="{DF73A0AC-F041-4C4E-957B-EF1F3E744FD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23.00</t>
        </r>
      </text>
    </comment>
    <comment ref="K70" authorId="0" shapeId="0" xr:uid="{409C037A-E0D0-462C-8FD0-E9B19F2094E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M-vagt
13.30-15.00</t>
        </r>
      </text>
    </comment>
    <comment ref="K73" authorId="6" shapeId="0" xr:uid="{EB055B02-F38D-4BB9-9C50-B0076360033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L73" authorId="6" shapeId="0" xr:uid="{30A6461D-FD2E-4D83-ADF6-5D30FF20AEF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M73" authorId="2" shapeId="0" xr:uid="{9B7B9113-2BE7-4E49-A0B0-60B2D6D320F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O1 OA</t>
        </r>
      </text>
    </comment>
    <comment ref="Z75" authorId="0" shapeId="0" xr:uid="{93A02B66-A568-4EB0-9F38-2BFF4BBFC62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til kl. 13.00</t>
        </r>
      </text>
    </comment>
    <comment ref="D77" authorId="0" shapeId="0" xr:uid="{49DA8A80-E211-484B-A8BF-CDD88787339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Lyongade</t>
        </r>
      </text>
    </comment>
    <comment ref="G77" authorId="0" shapeId="0" xr:uid="{9FEB7F91-5D8F-462C-BE97-313BD7FDDDE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 vagt OA</t>
        </r>
      </text>
    </comment>
    <comment ref="U78" authorId="0" shapeId="0" xr:uid="{2F02E6AE-78DC-4A5D-B356-0347E676F5A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BR-Møde +arr.
Møder kl. 13.30 - 21.30</t>
        </r>
      </text>
    </comment>
    <comment ref="S80" authorId="6" shapeId="0" xr:uid="{2BAC1799-2300-4C76-8B6F-47CEF9C2073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69 OA</t>
        </r>
      </text>
    </comment>
    <comment ref="U80" authorId="0" shapeId="0" xr:uid="{8CC7D8A9-B936-46C9-BC64-DDE643C6898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 møder kl. 13.30.</t>
        </r>
      </text>
    </comment>
    <comment ref="C82" authorId="7" shapeId="0" xr:uid="{9A77B8B0-33F8-4BEA-8C21-9382B295E83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Dækker B2</t>
        </r>
      </text>
    </comment>
    <comment ref="K82" authorId="7" shapeId="0" xr:uid="{CB28D2DA-5BB8-41DC-A10C-728986949FD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NattevagterDækker 9-vagten</t>
        </r>
      </text>
    </comment>
    <comment ref="L82" authorId="7" shapeId="0" xr:uid="{0516E50D-3F43-48E7-AB96-BA8FBD259D1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NattevagterDækker 9-vagten</t>
        </r>
      </text>
    </comment>
    <comment ref="M82" authorId="7" shapeId="0" xr:uid="{D6F3DE0E-8C2C-4413-BB4F-322988DD131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NattevagterDækker 9-vagten</t>
        </r>
      </text>
    </comment>
    <comment ref="N82" authorId="7" shapeId="0" xr:uid="{DBF3E588-858B-4A2C-B581-CEEF3B75E7F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NattevagterDækker 9-vagten</t>
        </r>
      </text>
    </comment>
    <comment ref="Y82" authorId="7" shapeId="0" xr:uid="{3F648FDA-8DF2-4199-9CA9-E9A7D851499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Ekstra på huset
23.00-07.00</t>
        </r>
      </text>
    </comment>
    <comment ref="Z82" authorId="7" shapeId="0" xr:uid="{7B5146DF-8551-4130-B8F1-3E663440B6C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Ekstra på huset
23.00-07.00</t>
        </r>
      </text>
    </comment>
    <comment ref="AA82" authorId="7" shapeId="0" xr:uid="{B2C64311-FB4F-469A-9D4C-820FBBE5511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Ekstra på huset
23.00-07.00</t>
        </r>
      </text>
    </comment>
    <comment ref="AB82" authorId="7" shapeId="0" xr:uid="{1BCE1B4F-5647-499E-B9BB-BD8EF9660D0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
Ekstra på huset
23.00-07.00</t>
        </r>
      </text>
    </comment>
    <comment ref="D83" authorId="8" shapeId="0" xr:uid="{CA04CC21-E3FD-4D02-BCDA-EC434AE5DAB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E83" authorId="8" shapeId="0" xr:uid="{2B742966-644F-41BE-85DA-2DDE236C8FA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G83" authorId="8" shapeId="0" xr:uid="{40D1092E-5354-432F-8127-35A1395918F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H83" authorId="8" shapeId="0" xr:uid="{DB6DFA4F-8845-4705-A061-A999D280231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K83" authorId="8" shapeId="0" xr:uid="{9811B0D6-A10C-488B-BFDC-6799BF1C1D9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L83" authorId="8" shapeId="0" xr:uid="{15F1104B-05E9-4569-9A51-054A6FE93A5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N83" authorId="8" shapeId="0" xr:uid="{0F292055-3068-48E3-A7A9-1C9408EE3F8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O83" authorId="8" shapeId="0" xr:uid="{A92BD6DF-1F14-4E41-9F2F-95DE6091033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08-12</t>
        </r>
      </text>
    </comment>
    <comment ref="R83" authorId="8" shapeId="0" xr:uid="{F8E4BDB7-E874-4E4E-9280-1AC8FCCD4AE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S83" authorId="8" shapeId="0" xr:uid="{FAB8E169-B83E-440F-AAA9-76970B137C1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U83" authorId="8" shapeId="0" xr:uid="{3E89F38D-0A36-4E37-9459-139FAD7CFDE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V83" authorId="8" shapeId="0" xr:uid="{4AC41C3A-4C7C-4350-BB5A-DEAE2365348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Y83" authorId="8" shapeId="0" xr:uid="{BE91DBE3-B162-487B-A0B6-82604705648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Z83" authorId="8" shapeId="0" xr:uid="{BC86A5FA-5F33-4D28-B899-4766D3003BE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O-vagt 
08-13</t>
        </r>
      </text>
    </comment>
    <comment ref="AB83" authorId="8" shapeId="0" xr:uid="{E5D282D9-4E71-486E-A20F-DEED7C3EC04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AC83" authorId="8" shapeId="0" xr:uid="{E1502DE9-4E62-443F-A14D-7917DD8DD52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AF83" authorId="8" shapeId="0" xr:uid="{9B51D335-F1DE-4C42-BE8D-18D411FAE1F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R86" authorId="3" shapeId="0" xr:uid="{6BB7F3B7-F37F-4DBD-B02F-0656B62690B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U86" authorId="0" shapeId="0" xr:uid="{8F814C8D-5CD8-4E9A-AF11-6C81DCEB8FE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
Mødetid
Kl. 13.00</t>
        </r>
      </text>
    </comment>
    <comment ref="D87" authorId="2" shapeId="0" xr:uid="{1D313A43-F1CB-4A2B-9D27-6F58D9839F13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Møder kl 09:00</t>
        </r>
      </text>
    </comment>
    <comment ref="U90" authorId="0" shapeId="0" xr:uid="{571467A3-7396-47A1-9B28-12BA03D5370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AC91" authorId="2" shapeId="0" xr:uid="{66EB6F68-2006-4E96-AC82-57F1AF11DC5C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Gået syg hjem kl 00:05</t>
        </r>
      </text>
    </comment>
    <comment ref="U99" authorId="0" shapeId="0" xr:uid="{7F7E6764-19C1-498F-89CC-FD8A37C008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14.00 til arr.</t>
        </r>
      </text>
    </comment>
    <comment ref="D100" authorId="1" shapeId="0" xr:uid="{343324C2-A83E-4371-AEDB-442009C8D08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100" authorId="1" shapeId="0" xr:uid="{FA330A76-C831-4A46-9AC3-7910627D8DE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100" authorId="1" shapeId="0" xr:uid="{F811F2B7-FB4A-4330-9C45-65068CE4153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100" authorId="1" shapeId="0" xr:uid="{D2C4A3CA-BA28-46F4-A95D-1D573B7E88E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100" authorId="1" shapeId="0" xr:uid="{B91894AF-2336-4F1D-BA31-6862409F3C6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100" authorId="1" shapeId="0" xr:uid="{D32366D8-05B0-4908-9248-3CA5DD013F9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100" authorId="1" shapeId="0" xr:uid="{76F91B74-129C-4B0A-87D4-FEADB0E58CE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100" authorId="1" shapeId="0" xr:uid="{44996FD1-678C-4B02-AAD9-483A5F349D1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100" authorId="1" shapeId="0" xr:uid="{1C07A75C-4508-4537-9974-3DE96E9FF7D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100" authorId="1" shapeId="0" xr:uid="{43254F5E-CFCD-4EAF-8AF9-91140274432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100" authorId="1" shapeId="0" xr:uid="{39D2B3F1-9C81-4C36-BC6B-416992504B0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100" authorId="1" shapeId="0" xr:uid="{55C81AB3-8827-47C6-8845-29604A255CC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100" authorId="1" shapeId="0" xr:uid="{C0266104-C23D-47C5-A1B7-FE8FA42D003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100" authorId="1" shapeId="0" xr:uid="{8A9360EF-AA1A-4CBD-8190-9D47FF0920C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100" authorId="1" shapeId="0" xr:uid="{E0717BAA-E167-46C6-AEC3-5D572011FF8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100" authorId="1" shapeId="0" xr:uid="{B4A983A8-3880-417F-A139-1FDE2599981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100" authorId="1" shapeId="0" xr:uid="{8BEA9A43-CE9D-4958-BC70-97CD47265FB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100" authorId="1" shapeId="0" xr:uid="{2BD43CFE-78FB-48E8-88CE-BE0E5E61D8C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100" authorId="1" shapeId="0" xr:uid="{276F72F4-32B0-47F3-AB78-7882078224C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100" authorId="1" shapeId="0" xr:uid="{DC2892FE-F362-4EED-8F29-B27760E0259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100" authorId="3" shapeId="0" xr:uid="{39B6F8C9-9ACC-451D-BF4E-A00C4D7970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kl. 09.00</t>
        </r>
      </text>
    </comment>
    <comment ref="D101" authorId="1" shapeId="0" xr:uid="{5942C79B-0880-44B4-A39A-23E422BA4FF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101" authorId="1" shapeId="0" xr:uid="{72435D60-D2F0-4B25-A46B-5B0335B3547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101" authorId="1" shapeId="0" xr:uid="{6C546F94-271D-4B08-B769-F67A705BDFA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101" authorId="1" shapeId="0" xr:uid="{F8AEB596-CD18-47E5-9F07-A37A142768E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101" authorId="1" shapeId="0" xr:uid="{35FE7970-2FA3-4FF4-A681-05BC5532368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101" authorId="1" shapeId="0" xr:uid="{F8C595FC-CD42-4D0B-A48D-B66D8DFCFAE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101" authorId="1" shapeId="0" xr:uid="{D4BC2A58-CE24-40CC-84BF-BBE7ED5DBD4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101" authorId="1" shapeId="0" xr:uid="{87CDF779-FF06-4060-AA8F-3D2BBC2BC28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101" authorId="1" shapeId="0" xr:uid="{22E15C6B-E69B-4F09-AB83-EAF865756F5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101" authorId="1" shapeId="0" xr:uid="{1049E71F-6AFC-41E8-84DC-8B74406842D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101" authorId="1" shapeId="0" xr:uid="{472F2936-63AA-4DEE-A6FD-D592433D9CE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101" authorId="1" shapeId="0" xr:uid="{3F702717-7163-42CE-94C5-DB34B249D00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101" authorId="1" shapeId="0" xr:uid="{224CA4F4-F151-4635-92EB-ACEBBE862E3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101" authorId="1" shapeId="0" xr:uid="{91C5A170-AFB7-43E9-99F7-50E64DD5D83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101" authorId="1" shapeId="0" xr:uid="{28407A77-CBBA-427B-BD88-C8B69D123F0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101" authorId="1" shapeId="0" xr:uid="{B6DE8638-BBDC-4300-AC95-DBCF190A669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101" authorId="1" shapeId="0" xr:uid="{981E539F-DA33-46DE-8809-E3E269EFA7C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101" authorId="1" shapeId="0" xr:uid="{425F9413-563E-4585-98BD-C47FCA33330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101" authorId="1" shapeId="0" xr:uid="{BAE8BDBA-4826-4A35-84E2-486DEF14A91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101" authorId="1" shapeId="0" xr:uid="{CE0C5D35-4079-4CC9-9A7A-E978AEBEC18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101" authorId="3" shapeId="0" xr:uid="{4E58A1F4-FC5A-492F-8C16-2219DE914D4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kl. 09.00</t>
        </r>
      </text>
    </comment>
    <comment ref="D105" authorId="0" shapeId="0" xr:uid="{8741786C-9C0E-43B8-B0E0-37BEB7A5A02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E105" authorId="0" shapeId="0" xr:uid="{A791E003-D5B2-4863-8FED-E34F0910A00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F105" authorId="0" shapeId="0" xr:uid="{76781BD2-F298-471E-BB1A-8379823CFCE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G105" authorId="0" shapeId="0" xr:uid="{89760F99-97C1-464D-B2F3-32C6A2B6CA1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H106" authorId="3" shapeId="0" xr:uid="{9EAF89EC-0856-4988-ABCE-4562D5136D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Praktik slut.</t>
        </r>
      </text>
    </comment>
    <comment ref="Y106" authorId="9" shapeId="0" xr:uid="{92BBFB62-53BF-41A6-9782-ED7BF5424A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106" authorId="2" shapeId="0" xr:uid="{D2C91633-C9D2-480E-9A30-6ADDD1B13A0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117" authorId="2" shapeId="0" xr:uid="{062EEBA9-02C7-4409-B3B3-B674B1691FF7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K128" authorId="3" shapeId="0" xr:uid="{D7271888-D8F6-4D06-87B6-D34CF4C0B0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i retten + Trivselsudvalg 14:30-15:50</t>
        </r>
      </text>
    </comment>
    <comment ref="U159" authorId="3" shapeId="0" xr:uid="{D4EE1212-2E53-4BC2-8CCB-E4B8E19B2B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C159" authorId="0" shapeId="0" xr:uid="{40B4C918-5498-49B2-B34A-2104BDEF154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11.00</t>
        </r>
      </text>
    </comment>
    <comment ref="O171" authorId="2" shapeId="0" xr:uid="{22EB1719-7B22-4D97-85D9-6377F26B6C8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Fra kl 12:00</t>
        </r>
      </text>
    </comment>
    <comment ref="U171" authorId="3" shapeId="0" xr:uid="{B6886A0C-266E-44A9-9CD6-BFB44CFACD8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F171" authorId="3" shapeId="0" xr:uid="{6D779C32-982E-43E1-874D-7B1E3A28A3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N172" authorId="10" shapeId="0" xr:uid="{3FEEA9D4-B37C-40CA-8D38-E94B8799550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Arr. 16:30-20:00</t>
        </r>
      </text>
    </comment>
    <comment ref="U172" authorId="3" shapeId="0" xr:uid="{ADAAADF8-BC3C-4082-87D3-F939ABC72EB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Z172" authorId="0" shapeId="0" xr:uid="{F444272F-0FA5-4AA1-9599-FCE2573CF62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AF172" authorId="3" shapeId="0" xr:uid="{F9D733FF-CFAC-4F9D-9891-80DFB9E8F7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M173" authorId="1" shapeId="0" xr:uid="{737BF355-6363-4E8E-B26F-B78F5C9481C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Online FOA - 12-14</t>
        </r>
      </text>
    </comment>
    <comment ref="O173" authorId="2" shapeId="0" xr:uid="{F464B729-B0D4-4EDD-B9AF-0561ED9876F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Dækker 89 fra kl 14:00-16:00</t>
        </r>
      </text>
    </comment>
    <comment ref="R173" authorId="1" shapeId="0" xr:uid="{193A31E2-B1F3-4396-A3E3-1F38C2D3F0A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S173" authorId="1" shapeId="0" xr:uid="{76045868-05C8-4A0F-A1CE-B9C95856ADF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U173" authorId="3" shapeId="0" xr:uid="{E2D53304-C64E-41A5-B014-C7910B8FE3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Y173" authorId="0" shapeId="0" xr:uid="{D5693A59-9C27-4AEC-A23D-FC3085F9238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AA173" authorId="0" shapeId="0" xr:uid="{89A29282-01B0-4C69-B62A-040D24A6136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Asp. Fra kl. 14.00</t>
        </r>
      </text>
    </comment>
    <comment ref="AF173" authorId="1" shapeId="0" xr:uid="{6DF91E64-1945-40D3-AD07-730A59921AA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K174" authorId="0" shapeId="0" xr:uid="{EA574C0F-18B2-4B05-913C-36F6473C2FE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U174" authorId="3" shapeId="0" xr:uid="{10897CE9-2133-45A4-98F1-3B8DB00666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Z174" authorId="0" shapeId="0" xr:uid="{DF339D8D-9A5D-4C6F-9253-F11B12C49E0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AF174" authorId="3" shapeId="0" xr:uid="{CF7674B4-D296-45AF-8295-B353B827EE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K175" authorId="3" shapeId="0" xr:uid="{2C0FA866-9126-48A2-AA4C-D500BDB10E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Trivselsudvalg 14:30-15:50
Arr.</t>
        </r>
      </text>
    </comment>
    <comment ref="R175" authorId="6" shapeId="0" xr:uid="{119A878F-9DED-43D9-9866-5F321D817FB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30 min.</t>
        </r>
      </text>
    </comment>
    <comment ref="S175" authorId="1" shapeId="0" xr:uid="{1A695162-CFD9-4136-8D0C-AD3AF8599F5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AMR 12.30-15.00</t>
        </r>
      </text>
    </comment>
    <comment ref="U175" authorId="3" shapeId="0" xr:uid="{B4DCE84A-29F9-4BAC-A979-5A33D98205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Y175" authorId="0" shapeId="0" xr:uid="{B160E7BB-DC89-44D6-84AD-6DEB78FB212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</t>
        </r>
      </text>
    </comment>
    <comment ref="L192" authorId="2" shapeId="0" xr:uid="{07BD7266-F1EF-4027-A4F3-2F32FE1EA047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22 på OA</t>
        </r>
      </text>
    </comment>
    <comment ref="O192" authorId="0" shapeId="0" xr:uid="{88D93474-5B51-4583-9297-C90AEBF2CC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19.00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Mathias Søndergaard</author>
    <author>Steen Hertin</author>
    <author>Thomas Holm</author>
    <author>Mathias Nielsen</author>
    <author>Jesper Larsen</author>
    <author>Lars Crone</author>
    <author>Nick Lorentzen</author>
    <author>Kim Holm Aabroe</author>
    <author>Kim BT. Pedersen</author>
    <author>Rasmus Sørensen</author>
    <author>Mathias Hartvig Morell Nielsen</author>
  </authors>
  <commentList>
    <comment ref="M15" authorId="0" shapeId="0" xr:uid="{EC6CBCD5-0B1B-47FA-8128-EA2B475642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C18" authorId="1" shapeId="0" xr:uid="{DCF67917-93DC-494A-A8E4-6F880B5333C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Feje det værste rundt om rådhuset til mandag morgen</t>
        </r>
      </text>
    </comment>
    <comment ref="Y19" authorId="0" shapeId="0" xr:uid="{95D8ECBE-178E-470D-9C01-441836D8E88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 på OA</t>
        </r>
      </text>
    </comment>
    <comment ref="E21" authorId="0" shapeId="0" xr:uid="{17D1A60A-CA16-4C2E-B813-CCFDFBB319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L21" authorId="0" shapeId="0" xr:uid="{22E605CD-F635-4B82-A832-977D73D367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
Arr. 07.00</t>
        </r>
      </text>
    </comment>
    <comment ref="M21" authorId="0" shapeId="0" xr:uid="{6CFE6FD7-7A05-4BFC-93F6-44848AA700A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W21" authorId="1" shapeId="0" xr:uid="{9F9A38DB-10CC-48AE-839E-900A794FCE1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X21" authorId="1" shapeId="0" xr:uid="{05E27402-5706-4066-AA41-10BB7A20034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Y21" authorId="1" shapeId="0" xr:uid="{93B21EC7-FC88-483E-8894-FD2BDF2F2E7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A21" authorId="2" shapeId="0" xr:uid="{6C2C1074-011D-4751-98DC-48EF39AB12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Jubilarfest</t>
        </r>
      </text>
    </comment>
    <comment ref="C22" authorId="0" shapeId="0" xr:uid="{DA46BFFC-39C0-43C4-B041-20CEEE224B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ZBC Roskilde hele dagen.</t>
        </r>
      </text>
    </comment>
    <comment ref="D22" authorId="3" shapeId="0" xr:uid="{CBC8F337-B6EC-4172-B59F-CDC175F12EB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F22" authorId="3" shapeId="0" xr:uid="{8B6A2745-1225-40E3-AD57-C4052EBEBFC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I22" authorId="0" shapeId="0" xr:uid="{DFB4140F-BE84-49BB-9094-C3831424C0F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rundt om huset</t>
        </r>
      </text>
    </comment>
    <comment ref="K22" authorId="0" shapeId="0" xr:uid="{E9AD7117-7F34-40ED-8744-9D78334DB4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rundt om huset</t>
        </r>
      </text>
    </comment>
    <comment ref="L22" authorId="0" shapeId="0" xr:uid="{4850B301-D23F-4D04-B647-320BD39CF0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22" authorId="0" shapeId="0" xr:uid="{0C9F63ED-E968-4564-A3CA-C4766CAA51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22" authorId="3" shapeId="0" xr:uid="{C228E87E-A16E-470F-BD14-3CF185AD7B4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R22" authorId="3" shapeId="0" xr:uid="{8018B6AE-0392-4ECC-ADC8-A9916B6D1BF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S22" authorId="3" shapeId="0" xr:uid="{EE4744BB-BC82-4D40-9FC4-2AE3E037CA6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T22" authorId="3" shapeId="0" xr:uid="{967B3EA2-3F93-4B7A-B935-EABFFCF4DEF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D22" authorId="1" shapeId="0" xr:uid="{60D10684-D917-409E-AABF-A412FD2C2B6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AG22" authorId="4" shapeId="0" xr:uid="{E49D9651-091D-4503-8E3A-1020DD1E9EB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AHF til 12:00 - Ferie efterfølgende</t>
        </r>
      </text>
    </comment>
    <comment ref="E24" authorId="0" shapeId="0" xr:uid="{2D8C5244-6DD6-4D9A-95DD-A9BAE8F6601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F24" authorId="2" shapeId="0" xr:uid="{119F678E-C485-47D5-B1A5-ABCBE2C06E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06.45</t>
        </r>
      </text>
    </comment>
    <comment ref="M24" authorId="0" shapeId="0" xr:uid="{68DE0319-4CC0-4192-B0C2-31242A3E88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P24" authorId="1" shapeId="0" xr:uid="{B823AA92-18B6-4F2C-9845-0594B96C9A2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R24" authorId="2" shapeId="0" xr:uid="{24FFC0DE-8EA2-40DB-95FA-9205FCA013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byen + Refshalevej kl. 20.30</t>
        </r>
      </text>
    </comment>
    <comment ref="W24" authorId="3" shapeId="0" xr:uid="{809E7364-42CA-4C96-BF3A-C7BB12F161F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VH. fra kl. 12.00 + modtagelse kl. 17.15 på OA</t>
        </r>
      </text>
    </comment>
    <comment ref="AA24" authorId="0" shapeId="0" xr:uid="{E6B32F8B-6B6D-4A57-9359-A6BBD542F6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Jubilarfest</t>
        </r>
      </text>
    </comment>
    <comment ref="I25" authorId="0" shapeId="0" xr:uid="{45F2ACDA-7FE8-43CE-82F4-0D16E8AE21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rundt om huset</t>
        </r>
      </text>
    </comment>
    <comment ref="K25" authorId="0" shapeId="0" xr:uid="{8E4FA8AB-151C-4AAC-B24E-FCA01FC438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rundt om huset</t>
        </r>
      </text>
    </comment>
    <comment ref="Y25" authorId="5" shapeId="0" xr:uid="{C6CC276F-9B4A-4D31-8FE2-C42B4CB82B49}">
      <text>
        <r>
          <rPr>
            <b/>
            <sz val="9"/>
            <color indexed="81"/>
            <rFont val="Tahoma"/>
            <family val="2"/>
          </rPr>
          <t xml:space="preserve">Steen Hertin-Sandkær:
</t>
        </r>
        <r>
          <rPr>
            <sz val="9"/>
            <color indexed="81"/>
            <rFont val="Tahoma"/>
            <family val="2"/>
          </rPr>
          <t>Grundlovscermoni kl. 08.45 på OA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26" authorId="2" shapeId="0" xr:uid="{69725905-9D72-44E9-BFCE-0540BCF9C0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Brønshøjvej kl. 16.00</t>
        </r>
      </text>
    </comment>
    <comment ref="M26" authorId="0" shapeId="0" xr:uid="{52FAE8E3-6F8E-496B-A82F-35B31D0EA3E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R26" authorId="2" shapeId="0" xr:uid="{38FED0F5-1ADA-41EB-929C-4F4A768D8D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byen</t>
        </r>
      </text>
    </comment>
    <comment ref="I27" authorId="0" shapeId="0" xr:uid="{0B598ABA-0C7B-480D-A1FF-6558E264CB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Rentemestervej 07.00 - 14.45</t>
        </r>
      </text>
    </comment>
    <comment ref="K27" authorId="0" shapeId="0" xr:uid="{BBC010D6-D175-4DAB-9F8C-9AE4E3B55C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L27" authorId="0" shapeId="0" xr:uid="{54CF7071-B086-48B7-997E-586AF95B47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Haven kl. 09.00 - 12.30</t>
        </r>
      </text>
    </comment>
    <comment ref="M27" authorId="0" shapeId="0" xr:uid="{F19E2EFA-F7DB-4AE7-9C5C-2BF1C7381B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D27" authorId="1" shapeId="0" xr:uid="{88D7594D-4C76-451C-A0C1-8B226E61389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K28" authorId="0" shapeId="0" xr:uid="{EDDBFD71-DC7B-4CD9-9B0D-C97C015A075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Posten hjælper med 1-vagt</t>
        </r>
      </text>
    </comment>
    <comment ref="Y28" authorId="0" shapeId="0" xr:uid="{F9931961-7D48-4F0C-984B-6D4E9CA28B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Hovedporten skal holdes åben til kl. 17.30</t>
        </r>
      </text>
    </comment>
    <comment ref="Z28" authorId="6" shapeId="0" xr:uid="{03D06265-A101-46E8-9565-99386C6F7FC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Hovedport holdes åben til 17:30</t>
        </r>
      </text>
    </comment>
    <comment ref="AD28" authorId="0" shapeId="0" xr:uid="{0CC95F64-DB76-4346-8560-20ECB3B7442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fra kl. 12.00</t>
        </r>
      </text>
    </comment>
    <comment ref="I30" authorId="7" shapeId="0" xr:uid="{B0720032-8C3F-404F-9854-1C7AC60A7E6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til kl. 22 på Rentemestervej</t>
        </r>
      </text>
    </comment>
    <comment ref="AA43" authorId="2" shapeId="0" xr:uid="{D5527514-F01B-42DF-A283-D0173586BD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Jubilarfest</t>
        </r>
      </text>
    </comment>
    <comment ref="I47" authorId="8" shapeId="0" xr:uid="{97CE6AB4-591F-449A-8878-C9B452CB30D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kan ikke arbejde</t>
        </r>
      </text>
    </comment>
    <comment ref="J47" authorId="8" shapeId="0" xr:uid="{57F6F891-C71C-43EE-A571-8DF8BC9FDAD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kan ikke arbejde</t>
        </r>
      </text>
    </comment>
    <comment ref="K47" authorId="8" shapeId="0" xr:uid="{6F6B1B34-7395-40CA-A0B0-ACE3018F610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kan ikke arbejde</t>
        </r>
      </text>
    </comment>
    <comment ref="L47" authorId="8" shapeId="0" xr:uid="{9F9290FF-46E5-4BF1-B298-C0AB723F206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kan ikke arbejde</t>
        </r>
      </text>
    </comment>
    <comment ref="M47" authorId="0" shapeId="0" xr:uid="{E0106565-B412-4B40-8300-AC64792B1DC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G47" authorId="1" shapeId="0" xr:uid="{FABFFCC4-23AF-47EF-B5EC-A40A498EDE3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W48" authorId="7" shapeId="0" xr:uid="{6D117E91-1DE5-4091-A9AC-52399AA4C75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5 vagt OA</t>
        </r>
      </text>
    </comment>
    <comment ref="X48" authorId="7" shapeId="0" xr:uid="{E3C24C8C-7E42-4711-A335-1DEE1239763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5 vagt OA</t>
        </r>
      </text>
    </comment>
    <comment ref="Y48" authorId="0" shapeId="0" xr:uid="{368A8900-40B8-41B9-8208-EC2EF760C52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</t>
        </r>
      </text>
    </comment>
    <comment ref="AA48" authorId="7" shapeId="0" xr:uid="{64ED5CBB-5028-4276-9B3A-6C1A5122B48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5 vagt OA</t>
        </r>
      </text>
    </comment>
    <comment ref="AD48" authorId="0" shapeId="0" xr:uid="{85BEF7FC-83BE-4E03-B4B6-A19D55C041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1-vagt på OA</t>
        </r>
      </text>
    </comment>
    <comment ref="AE48" authorId="0" shapeId="0" xr:uid="{3FD51370-F51B-4A41-A822-DED0314BC5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M-vagt på OA</t>
        </r>
      </text>
    </comment>
    <comment ref="AF48" authorId="0" shapeId="0" xr:uid="{CCF95E4E-A512-457B-A831-13A62357AF3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M-vagt på OA</t>
        </r>
      </text>
    </comment>
    <comment ref="K49" authorId="0" shapeId="0" xr:uid="{AC5EB42C-62ED-463D-955E-ECA2645743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Kampsportens hus kl. 06.30</t>
        </r>
      </text>
    </comment>
    <comment ref="L49" authorId="6" shapeId="0" xr:uid="{E6934E29-0AB6-44BC-AB2F-50AB460F125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Møder kampsportens hus kl 0630</t>
        </r>
      </text>
    </comment>
    <comment ref="M49" authorId="0" shapeId="0" xr:uid="{9CD5CA9F-9179-4F3D-A742-49FA93F387C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 Møder Kampsportens Hus kl 0630 + Kulturnat</t>
        </r>
      </text>
    </comment>
    <comment ref="Y49" authorId="0" shapeId="0" xr:uid="{4CF4F8B1-C84B-4D04-95E9-F634EDC333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</t>
        </r>
      </text>
    </comment>
    <comment ref="I51" authorId="0" shapeId="0" xr:uid="{199A764D-1400-4575-8A6A-95609F1B597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Have elev med</t>
        </r>
      </text>
    </comment>
    <comment ref="U51" authorId="0" shapeId="0" xr:uid="{048E048A-0132-4F78-A918-A4ABCCB028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Elev med</t>
        </r>
      </text>
    </comment>
    <comment ref="W51" authorId="9" shapeId="0" xr:uid="{98599E9A-77CF-476F-A10A-2F60FF14215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Vaccineres</t>
        </r>
      </text>
    </comment>
    <comment ref="G55" authorId="8" shapeId="0" xr:uid="{5A8E7072-C193-403F-A539-513A587B725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gået syg hjem kl. 02.30</t>
        </r>
      </text>
    </comment>
    <comment ref="AA56" authorId="5" shapeId="0" xr:uid="{5A2B1B1F-EF41-4D83-8E84-C655AB9FD39C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syg hjem 
</t>
        </r>
      </text>
    </comment>
    <comment ref="Z66" authorId="9" shapeId="0" xr:uid="{7657AAF4-C9BF-45B7-924C-66A3F753D2F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fra kl. 24:00</t>
        </r>
      </text>
    </comment>
    <comment ref="L67" authorId="2" shapeId="0" xr:uid="{A1CF486E-527C-40CE-8182-934B3A7892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A67" authorId="5" shapeId="0" xr:uid="{3E92D785-67A1-418C-8739-723AAF19D094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25-vagt 14-00:30</t>
        </r>
      </text>
    </comment>
    <comment ref="AG67" authorId="1" shapeId="0" xr:uid="{A8DB33D2-26A3-4CE4-BE2C-D0A2303F931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1-vagt OA</t>
        </r>
      </text>
    </comment>
    <comment ref="J69" authorId="10" shapeId="0" xr:uid="{16809105-DB30-4217-AF91-859C826DAAA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K69" authorId="10" shapeId="0" xr:uid="{0622E487-3007-47BC-ACB0-939A21DA02A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L69" authorId="10" shapeId="0" xr:uid="{5CB1F5A5-44BD-4CAB-B575-080F7025932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M70" authorId="6" shapeId="0" xr:uid="{150FF63F-D15B-4493-9786-69E5D211E8B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Salih´s kone skal på sygehuset</t>
        </r>
      </text>
    </comment>
    <comment ref="N70" authorId="6" shapeId="0" xr:uid="{2F98656F-F2C9-4F37-9AA3-7FAB7613D3E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Salih`s kone skal på sygehuset</t>
        </r>
      </text>
    </comment>
    <comment ref="S71" authorId="1" shapeId="0" xr:uid="{62CB948A-D407-4DD1-83E9-1F36B7C9CA4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99-vagt OA</t>
        </r>
      </text>
    </comment>
    <comment ref="Y71" authorId="0" shapeId="0" xr:uid="{D620206A-BF03-4A3D-B4E1-4212DD9ACD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08:45</t>
        </r>
      </text>
    </comment>
    <comment ref="AG71" authorId="8" shapeId="0" xr:uid="{38FD78DB-3EBF-4033-9651-61D850BBF25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Y72" authorId="6" shapeId="0" xr:uid="{C2F3BB1C-FA3D-4229-8F3C-C2A99E73EB05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Kørt syg hjem kl 01:30</t>
        </r>
      </text>
    </comment>
    <comment ref="S74" authorId="0" shapeId="0" xr:uid="{240CE2EF-1E04-430F-B39E-E07EB641BB8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beholde F-dag.</t>
        </r>
      </text>
    </comment>
    <comment ref="X74" authorId="1" shapeId="0" xr:uid="{D252C5CB-B50E-4787-B51A-4BE563F2478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til 21.30</t>
        </r>
      </text>
    </comment>
    <comment ref="Z74" authorId="9" shapeId="0" xr:uid="{B556DCF5-FDA4-47BF-B084-BA8C71001DC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fr 23:00-00:30</t>
        </r>
      </text>
    </comment>
    <comment ref="D75" authorId="3" shapeId="0" xr:uid="{1741BFEC-DB96-4046-A589-ED16EFC87BA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Borgerligt ombud</t>
        </r>
      </text>
    </comment>
    <comment ref="J76" authorId="0" shapeId="0" xr:uid="{FB7C9236-C41F-482F-8B3E-16319A663B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Kampsportenshus kl. 18.00 - 23.00</t>
        </r>
      </text>
    </comment>
    <comment ref="K76" authorId="0" shapeId="0" xr:uid="{3172F75E-BC42-408F-9615-D1D81142B3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Kampsportens hus efter arbejde  til kl. 23.00</t>
        </r>
      </text>
    </comment>
    <comment ref="L76" authorId="0" shapeId="0" xr:uid="{138C4F36-1C3D-432C-8CE6-F0CD8381D72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Kampsportens hus efter arbejde  til kl. 23.00</t>
        </r>
      </text>
    </comment>
    <comment ref="M76" authorId="0" shapeId="0" xr:uid="{160CB721-66F7-4C70-B3D9-F7BE884FB58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Kampsportens hus efter arbejde  til kl. 23.00</t>
        </r>
      </text>
    </comment>
    <comment ref="Q76" authorId="1" shapeId="0" xr:uid="{1850F332-6631-4951-98E6-158C390AE90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Ryparkens idrætsanlæg til 23:30 på OA</t>
        </r>
      </text>
    </comment>
    <comment ref="U76" authorId="1" shapeId="0" xr:uid="{01CDC466-5D11-45B9-A9CD-55CD2C04D66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10:00-23:30 Ryparkens idrætsanlæg OA</t>
        </r>
      </text>
    </comment>
    <comment ref="M77" authorId="1" shapeId="0" xr:uid="{B6DE39CC-7E51-4E3F-A3C5-C9CDF168E27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S6 OA</t>
        </r>
      </text>
    </comment>
    <comment ref="AA77" authorId="0" shapeId="0" xr:uid="{0FBEE2F1-10C0-4076-824A-87A3DC2937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SPE6 oa</t>
        </r>
      </text>
    </comment>
    <comment ref="K80" authorId="1" shapeId="0" xr:uid="{F2D1369C-8C16-402D-AAB9-B17111C04DF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G-vagt fra kl. 09:00 på OA</t>
        </r>
      </text>
    </comment>
    <comment ref="X80" authorId="0" shapeId="0" xr:uid="{206F98B6-ED9C-4108-B7B4-C5B11B6AFC6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P-vagt</t>
        </r>
      </text>
    </comment>
    <comment ref="I82" authorId="4" shapeId="0" xr:uid="{A34ACD9B-E640-4733-B2DF-74E51430229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Nattevagter. Omlagt til 6 vagt</t>
        </r>
      </text>
    </comment>
    <comment ref="J82" authorId="4" shapeId="0" xr:uid="{E77D4E54-3AF3-4413-A1A4-4D0400381EA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K82" authorId="4" shapeId="0" xr:uid="{065A0962-232E-42F2-84F4-ED5801FCDF0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L82" authorId="4" shapeId="0" xr:uid="{CBBE0ED5-15C6-404C-8AC7-3D2FDB8F5D2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Nattevagter</t>
        </r>
      </text>
    </comment>
    <comment ref="C83" authorId="1" shapeId="0" xr:uid="{D4B7B18E-B9B3-46F5-99F9-F283B6BCB65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E83" authorId="1" shapeId="0" xr:uid="{F0B3D94E-6A0A-42B3-8867-B04A12DE021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F83" authorId="1" shapeId="0" xr:uid="{C66C39AD-CF9D-4C66-95AE-DCD36644974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I83" authorId="1" shapeId="0" xr:uid="{D6D0F77D-302C-44D2-BC4C-9C979362930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J83" authorId="1" shapeId="0" xr:uid="{AA91F715-563E-4208-B19C-2186A360D57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L83" authorId="1" shapeId="0" xr:uid="{4F8D67DE-45EB-4377-A84E-8F8D518CF14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M83" authorId="1" shapeId="0" xr:uid="{B18E775F-4B2F-4398-B69F-1D7CD54BDF6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08-13</t>
        </r>
      </text>
    </comment>
    <comment ref="P83" authorId="11" shapeId="0" xr:uid="{516614DC-C363-4237-A416-92858BE62ED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Q83" authorId="11" shapeId="0" xr:uid="{4EBB7F60-4307-410F-8B5D-4220EEEF265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S83" authorId="11" shapeId="0" xr:uid="{537B6B80-5137-4595-B416-BB08258DDFF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T83" authorId="11" shapeId="0" xr:uid="{10A4DDA0-441A-4E06-B595-CA4DECD6E3D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W83" authorId="11" shapeId="0" xr:uid="{EEA0EEB8-653C-4802-9E5F-37B2997F05A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X83" authorId="11" shapeId="0" xr:uid="{F82B6F70-6FAB-4E85-B80F-3DC04FD0C06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Z83" authorId="11" shapeId="0" xr:uid="{A2DE7BB6-B60D-4E2E-AB05-EC6CAF931F3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AA83" authorId="11" shapeId="0" xr:uid="{B0FAA5AD-2D4A-49D8-A71A-A5C3973AB08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AD83" authorId="11" shapeId="0" xr:uid="{5355E51D-8157-4956-82CD-9A3E98E32E1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AE83" authorId="11" shapeId="0" xr:uid="{ADFBCA45-98CA-48F0-8578-4F3505DC962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AG83" authorId="11" shapeId="0" xr:uid="{A0786CF5-0CA8-403F-B944-7D43B1A392E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08-14</t>
        </r>
      </text>
    </comment>
    <comment ref="M84" authorId="0" shapeId="0" xr:uid="{83D74FA7-E58A-4B6F-8554-EC3840C96E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Z87" authorId="6" shapeId="0" xr:uid="{6472E39C-1194-4595-9913-A98B89914B2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Møder kl 21:00-02:30</t>
        </r>
      </text>
    </comment>
    <comment ref="AB88" authorId="2" shapeId="0" xr:uid="{3F5B6299-FC00-4B04-90CC-C1326D588F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Bellahøjhallerne kl. 15.30 - 22.30</t>
        </r>
      </text>
    </comment>
    <comment ref="AC88" authorId="2" shapeId="0" xr:uid="{461D3FBC-8D30-4803-88D6-E8ACE3C128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Bellahøjhallerne kl. 15.30 - 22.30</t>
        </r>
      </text>
    </comment>
    <comment ref="AD88" authorId="0" shapeId="0" xr:uid="{90FE3908-6010-4EA4-8C90-FF3F8250963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tandlæge kl. 12.00</t>
        </r>
      </text>
    </comment>
    <comment ref="C89" authorId="3" shapeId="0" xr:uid="{59204D43-EE80-453C-A50C-F32D79F1A7F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W89" authorId="0" shapeId="0" xr:uid="{5C6CC9E4-13E4-4C12-98AE-3C016755EB5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17.30 på OA</t>
        </r>
      </text>
    </comment>
    <comment ref="AD90" authorId="1" shapeId="0" xr:uid="{ECB0668A-4D21-4356-B184-0BF55410CBE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Første dag</t>
        </r>
      </text>
    </comment>
    <comment ref="AG91" authorId="0" shapeId="0" xr:uid="{43CBDC89-506F-45CF-B114-4C3C146D21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Sidste dag.</t>
        </r>
      </text>
    </comment>
    <comment ref="AD102" authorId="1" shapeId="0" xr:uid="{F328CC87-5E6C-4C88-86C2-6893F2BAA69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102" authorId="1" shapeId="0" xr:uid="{D873077F-E726-4701-8864-18A4BA4DF52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102" authorId="1" shapeId="0" xr:uid="{67C91A50-71C5-45C2-98E9-D8AE606744E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G102" authorId="1" shapeId="0" xr:uid="{E8BC76D9-6417-44BD-B077-631C0215A59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103" authorId="0" shapeId="0" xr:uid="{1C8AA249-C490-4B68-9F20-85BF342A1E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Deltage i kulturnat Mødedr kl. 16.00</t>
        </r>
      </text>
    </comment>
    <comment ref="U103" authorId="0" shapeId="0" xr:uid="{3FC36657-1EA7-4279-9151-0E11D16B6C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14.15</t>
        </r>
      </text>
    </comment>
    <comment ref="AG103" authorId="0" shapeId="0" xr:uid="{9F4B653D-ACDC-4882-9228-1880446121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Beholde F-dag</t>
        </r>
      </text>
    </comment>
    <comment ref="M104" authorId="0" shapeId="0" xr:uid="{DC85CEE8-3E0D-426E-BA94-ED481C6135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Deltage i kulturnat Mødedr kl. 16.00</t>
        </r>
      </text>
    </comment>
    <comment ref="I105" authorId="6" shapeId="0" xr:uid="{2E13E16F-4EEC-41D4-B1B5-ACA8BCCE0D0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105" authorId="6" shapeId="0" xr:uid="{0290497C-76AC-43E9-91F4-E97B5CAA3A5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105" authorId="6" shapeId="0" xr:uid="{11BC0B8D-1DCB-4E3C-B774-3D5FC5703575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105" authorId="6" shapeId="0" xr:uid="{81409E16-4853-4110-B541-45C0754D605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120" authorId="0" shapeId="0" xr:uid="{9081EA0E-122C-4658-9047-DE78D13EAAF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Refshalevej 20.30 - 08.30</t>
        </r>
      </text>
    </comment>
    <comment ref="S120" authorId="0" shapeId="0" xr:uid="{587B6465-ED29-416F-B12B-EEF709DA6E4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Refshalevej 20.30 - 08.30</t>
        </r>
      </text>
    </comment>
    <comment ref="T120" authorId="0" shapeId="0" xr:uid="{B453E14E-DEB0-4CD4-BD2A-A1E990E851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Refshalevej 20.30 - 08.30</t>
        </r>
      </text>
    </comment>
    <comment ref="AD120" authorId="0" shapeId="0" xr:uid="{F7355745-BE00-4519-894D-2E22BC1821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Støtte Salih på RF1</t>
        </r>
      </text>
    </comment>
    <comment ref="AE120" authorId="0" shapeId="0" xr:uid="{02E1DAB2-291C-4996-B061-63F6627D4E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Støtte Lazhare på RF1</t>
        </r>
      </text>
    </comment>
    <comment ref="F141" authorId="1" shapeId="0" xr:uid="{3B23B7A7-94C5-47B6-AC7B-B9847ED29FC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S6 OA</t>
        </r>
      </text>
    </comment>
    <comment ref="E160" authorId="0" shapeId="0" xr:uid="{797931B8-4203-4ABA-9F40-72FB70CC68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160" authorId="0" shapeId="0" xr:uid="{79419EE2-3C94-4213-AD5F-0F91E65D66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E172" authorId="0" shapeId="0" xr:uid="{BFD4E1FA-5959-4B2D-88C9-755C541022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172" authorId="6" shapeId="0" xr:uid="{5ED31826-15B1-4984-BAAD-7BFD470AEA63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Gået hjem kl 10 sygt barn</t>
        </r>
      </text>
    </comment>
    <comment ref="W172" authorId="0" shapeId="0" xr:uid="{72CCC898-5D47-4C45-8623-35694E42D20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17.30</t>
        </r>
      </text>
    </comment>
    <comment ref="E173" authorId="0" shapeId="0" xr:uid="{816303C4-E35A-4838-B65F-81CE10DC8B8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L173" authorId="0" shapeId="0" xr:uid="{5B4B4A59-7E91-4D4F-B704-73BDA1290E0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173" authorId="0" shapeId="0" xr:uid="{DDFC5B6B-BF30-4B06-8B4C-970E49702B6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W173" authorId="0" shapeId="0" xr:uid="{4FE394E0-3F55-4524-A937-63E651EA15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17.30</t>
        </r>
      </text>
    </comment>
    <comment ref="Y173" authorId="0" shapeId="0" xr:uid="{71E633FF-602F-49E5-BBC8-BB58B9DED17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</t>
        </r>
      </text>
    </comment>
    <comment ref="C174" authorId="11" shapeId="0" xr:uid="{CA9F09E1-6C95-468A-8209-C68D0C08A90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D174" authorId="11" shapeId="0" xr:uid="{B3185957-3B87-4122-AF3A-FB47C5C0F6B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 - hele dagen</t>
        </r>
      </text>
    </comment>
    <comment ref="E174" authorId="0" shapeId="0" xr:uid="{AD6F645E-7288-4354-9D90-BA3AC90B4A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F174" authorId="0" shapeId="0" xr:uid="{121D5372-E45E-4A26-88B2-7C8BAF5D820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Elev med</t>
        </r>
      </text>
    </comment>
    <comment ref="L174" authorId="0" shapeId="0" xr:uid="{0266B7C8-D777-42F8-B59F-C174B3CE30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174" authorId="0" shapeId="0" xr:uid="{6EE0F383-4F93-46B4-A419-D62B7C23AE9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X174" authorId="11" shapeId="0" xr:uid="{A92923A1-4223-4AF8-A77C-3402F608E8E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Y174" authorId="11" shapeId="0" xr:uid="{A7C6BBD0-DF52-4E7C-A9B7-9B2F90115B0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A174" authorId="0" shapeId="0" xr:uid="{B15638BF-8537-4E9E-B07C-66C815D783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Jubilarfest</t>
        </r>
      </text>
    </comment>
    <comment ref="AE174" authorId="1" shapeId="0" xr:uid="{A6BCE543-22D8-4B67-8F74-9A326612619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BS - gik kl. 13:00</t>
        </r>
      </text>
    </comment>
    <comment ref="C175" authorId="0" shapeId="0" xr:uid="{67BA9A81-85BC-41A7-B0A4-8687001F039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Elev med</t>
        </r>
      </text>
    </comment>
    <comment ref="E175" authorId="0" shapeId="0" xr:uid="{24D5588D-5222-4738-BC0D-1C21EA06FD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L175" authorId="0" shapeId="0" xr:uid="{9389F159-675C-469E-8B53-6A754173546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175" authorId="0" shapeId="0" xr:uid="{0E32D809-EEE3-471F-95A5-BA2532D97F5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C176" authorId="0" shapeId="0" xr:uid="{19448B84-02C9-4E06-AEB7-36E91BED7F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Elev med</t>
        </r>
      </text>
    </comment>
    <comment ref="E176" authorId="0" shapeId="0" xr:uid="{45CEB39B-8938-4C0D-AECB-EFEE2A2C1E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K176" authorId="3" shapeId="0" xr:uid="{96317853-4895-455C-A714-B293EBC0ED9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10.30-13.00 Fuglebakken</t>
        </r>
      </text>
    </comment>
    <comment ref="L176" authorId="0" shapeId="0" xr:uid="{9046F137-D3EC-408C-A932-6519B1F698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176" authorId="0" shapeId="0" xr:uid="{EAD5EBC5-8686-4C87-8CF1-C7EB48D78FD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A176" authorId="0" shapeId="0" xr:uid="{129B7A9D-61DD-485B-B182-418248BAB0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Jubilarfest</t>
        </r>
      </text>
    </comment>
    <comment ref="M205" authorId="0" shapeId="0" xr:uid="{C3866750-8623-4DA3-B239-F8972F56FE9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06" authorId="0" shapeId="0" xr:uid="{5F02B0A9-BF84-462A-9929-1D1831C6B3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09" authorId="0" shapeId="0" xr:uid="{2ABE7BC9-78E8-434B-8854-2016CAAAAA0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E210" authorId="0" shapeId="0" xr:uid="{6DA0DAEF-9A2E-4351-B8FF-585728398B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L210" authorId="0" shapeId="0" xr:uid="{BBACC286-E3A3-465C-8943-43CB30EF1C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210" authorId="0" shapeId="0" xr:uid="{4DB552C0-C824-4D5A-B568-19B43D4A9F3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40" authorId="0" shapeId="0" xr:uid="{F75A4DD6-DF86-4B44-8D0E-9D9BE8A7ECF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59" authorId="0" shapeId="0" xr:uid="{D6F972EE-2FDD-4B55-98A7-AC8D0376903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61" authorId="0" shapeId="0" xr:uid="{04103F5C-264D-4F91-8D89-595D2CE665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62" authorId="0" shapeId="0" xr:uid="{9A35043B-DDF8-4BEF-9D1D-4E4A37B1DC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65" authorId="0" shapeId="0" xr:uid="{0726F62E-A5DB-4FA3-BF24-94E2131A85D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66" authorId="0" shapeId="0" xr:uid="{5E919674-1D2B-43F1-8697-BA5B952F799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268" authorId="0" shapeId="0" xr:uid="{51E687C8-50C6-4BF5-ADC2-1DF559E5AC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K308" authorId="1" shapeId="0" xr:uid="{FDAFB08A-831B-42C8-A827-885598BF964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kl. 12:00</t>
        </r>
      </text>
    </comment>
    <comment ref="M308" authorId="0" shapeId="0" xr:uid="{EB2C7DD2-3F18-4217-950E-F0F39147829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Mathias Søndergaard</author>
    <author>Lars Crone</author>
    <author>Steen Hertin</author>
    <author>Thomas Holm</author>
    <author>Jesper Larsen</author>
    <author>Mathias Nielsen</author>
    <author>Nick Lorentzen</author>
    <author>Kim BT. Pedersen</author>
    <author>Kim Holm Aabroe</author>
    <author>Mathias Hartvig Morell Nielsen</author>
  </authors>
  <commentList>
    <comment ref="G15" authorId="0" shapeId="0" xr:uid="{185EDCAA-DCE7-4DD1-ADF7-BF7AEE57FB9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08.45</t>
        </r>
      </text>
    </comment>
    <comment ref="O17" authorId="1" shapeId="0" xr:uid="{A7127CFB-DCA0-4AC3-B50F-F9E240D1147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13:00</t>
        </r>
      </text>
    </comment>
    <comment ref="Q17" authorId="1" shapeId="0" xr:uid="{01AA42DB-DE8D-4620-B5EF-D4B5C9457FE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Samtaler</t>
        </r>
      </text>
    </comment>
    <comment ref="F18" authorId="2" shapeId="0" xr:uid="{2B0D8C25-5E62-4571-9F77-2315E8C6A79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Nick tager denne vagt</t>
        </r>
      </text>
    </comment>
    <comment ref="G18" authorId="2" shapeId="0" xr:uid="{E97FA60B-BBED-4C02-8762-16B8E9698ED3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1:1 med Rasmus 14:30-15:00</t>
        </r>
      </text>
    </comment>
    <comment ref="I18" authorId="2" shapeId="0" xr:uid="{956961BA-215E-4A44-9126-DE6FCC006E2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13.00-14:00 Opstart af kunde</t>
        </r>
      </text>
    </comment>
    <comment ref="N18" authorId="3" shapeId="0" xr:uid="{2419F09C-79BA-478F-9EDF-6CE360C92D0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 vagt til hallen kl. 08.00 - 16.00</t>
        </r>
      </text>
    </comment>
    <comment ref="O18" authorId="3" shapeId="0" xr:uid="{D6737D6B-F617-4639-B515-31D832D6E4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 vagt til hallen kl. 08.00 - 16.00</t>
        </r>
      </text>
    </comment>
    <comment ref="C19" authorId="2" shapeId="0" xr:uid="{05115502-202E-42A8-B703-EED5C950247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Lars tager denne vagt</t>
        </r>
      </text>
    </comment>
    <comment ref="G21" authorId="0" shapeId="0" xr:uid="{663F77EF-3C61-41BD-8FD6-4647E6DBD4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08.00</t>
        </r>
      </text>
    </comment>
    <comment ref="I21" authorId="0" shapeId="0" xr:uid="{E4F54963-AE9A-402B-8234-71755329D7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T21" authorId="1" shapeId="0" xr:uid="{3708FEFC-A049-4C0D-8466-3AB44D7EAF8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U21" authorId="1" shapeId="0" xr:uid="{FB675214-BFE1-4DCC-882B-9879ED5CA08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V1+V3</t>
        </r>
      </text>
    </comment>
    <comment ref="V21" authorId="1" shapeId="0" xr:uid="{8A271AB7-B36C-4504-B91C-C7E89F6FD97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W21" authorId="1" shapeId="0" xr:uid="{558C655A-6619-4198-BD28-9CC02B1605D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X21" authorId="1" shapeId="0" xr:uid="{2FF00E43-EC0E-400B-B64A-6F23E827743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A21" authorId="4" shapeId="0" xr:uid="{126FF7F8-ED1A-4349-8CD2-6BD6FF992F2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Kursus for Koncernkommunikation
09.00-14.00</t>
        </r>
      </text>
    </comment>
    <comment ref="AC21" authorId="4" shapeId="0" xr:uid="{269778DA-9BD4-4F0C-809E-88E788282B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 netværksmøde
08.00-12.30</t>
        </r>
      </text>
    </comment>
    <comment ref="AD21" authorId="3" shapeId="0" xr:uid="{16115F85-40F4-4D18-9631-888D9F3D3A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22" authorId="1" shapeId="0" xr:uid="{CD2FDBA1-EF22-42C7-BD44-1CFAB33C725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N22" authorId="1" shapeId="0" xr:uid="{5C49610E-0AC8-4EBD-A260-F6C0B042C18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O22" authorId="1" shapeId="0" xr:uid="{2C61F350-CCE0-4736-8F04-547421261E2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 + Rentemestervej</t>
        </r>
      </text>
    </comment>
    <comment ref="P22" authorId="1" shapeId="0" xr:uid="{690F3010-5DD1-4114-9F20-CA0C6AFC7A9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 + arrangement/modtagelse</t>
        </r>
      </text>
    </comment>
    <comment ref="Q22" authorId="1" shapeId="0" xr:uid="{7FF77008-13AE-44D4-B551-FA3ADE3614E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 + samtaler</t>
        </r>
      </text>
    </comment>
    <comment ref="W22" authorId="1" shapeId="0" xr:uid="{9B094C66-8CF7-4997-966A-4E3912E7638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AA22" authorId="4" shapeId="0" xr:uid="{954CBF55-0AF8-4F73-BD99-909E30AFBD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 09.00-14.00</t>
        </r>
      </text>
    </comment>
    <comment ref="AB22" authorId="1" shapeId="0" xr:uid="{6574B8C4-3815-489E-9AFF-A05949161FF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AC22" authorId="3" shapeId="0" xr:uid="{0E82F13C-2822-441D-BEB4-D01A5DD374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G24" authorId="0" shapeId="0" xr:uid="{31BFAE56-25A1-4601-BB9B-5DF7951D320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08.00</t>
        </r>
      </text>
    </comment>
    <comment ref="P24" authorId="0" shapeId="0" xr:uid="{E21A4FD4-EBFC-40B3-BD78-EA333264B6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AHF.</t>
        </r>
      </text>
    </comment>
    <comment ref="T24" authorId="4" shapeId="0" xr:uid="{E880F37A-DD2B-4806-A606-0A886124B7A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VH fra kl. 09.00-12.30</t>
        </r>
      </text>
    </comment>
    <comment ref="V24" authorId="0" shapeId="0" xr:uid="{5AE57D98-F2EF-40E0-B119-3FCB62BEAD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21.00 - ?? Og går i kødbyen</t>
        </r>
      </text>
    </comment>
    <comment ref="W24" authorId="3" shapeId="0" xr:uid="{F5E1E094-C50C-489A-8359-6088D03533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B24" authorId="3" shapeId="0" xr:uid="{714AFCFA-3F76-4D5F-8197-4A5801E65B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 i Hovedport til kl. 19.00</t>
        </r>
      </text>
    </comment>
    <comment ref="H25" authorId="0" shapeId="0" xr:uid="{DAE303DD-32E8-475F-8931-502C0107680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rundt om Rådhuset</t>
        </r>
      </text>
    </comment>
    <comment ref="I25" authorId="5" shapeId="0" xr:uid="{6B0657C2-0161-4DA7-8628-F287A6B5F488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1 times OA 
Grundet overlap samt nå ud til østerbro idrætshus </t>
        </r>
      </text>
    </comment>
    <comment ref="J25" authorId="5" shapeId="0" xr:uid="{6D57E0B4-6403-49C6-8C84-00AE4D0E1DD4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1 times OA 
Grundet overlap samt nå ud til østerbro idrætshus </t>
        </r>
      </text>
    </comment>
    <comment ref="G26" authorId="0" shapeId="0" xr:uid="{A4B9A6C0-1056-4484-852A-DF4A72CD5D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08.00</t>
        </r>
      </text>
    </comment>
    <comment ref="C27" authorId="3" shapeId="0" xr:uid="{83F3236F-80FF-4C42-9DBA-7F465F84C2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Hjælper til i bagport kl. 07.00 - 15.30</t>
        </r>
      </text>
    </comment>
    <comment ref="G27" authorId="0" shapeId="0" xr:uid="{E67FF9FB-F95B-4D75-840C-74CEDB96BC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 i bagport fra kl. 08.15</t>
        </r>
      </text>
    </comment>
    <comment ref="H27" authorId="0" shapeId="0" xr:uid="{E5805C14-0462-4F6E-9DA7-4FE2AEB94A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Hjælper arrangement med festsalen.</t>
        </r>
      </text>
    </comment>
    <comment ref="I27" authorId="0" shapeId="0" xr:uid="{4BC8325F-9484-4E82-B347-439A7BA131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J27" authorId="0" shapeId="0" xr:uid="{7ACE76AD-D6D1-4A15-8B63-E34D3BDD81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Rentemestervej kl. 11.30. Jonhnny ringer fredag</t>
        </r>
      </text>
    </comment>
    <comment ref="M27" authorId="1" shapeId="0" xr:uid="{2414AD24-0A8D-4A21-AE8B-A1A0850D731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O27" authorId="1" shapeId="0" xr:uid="{A51942A7-493E-4B26-B996-D016206D3B7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kl. 13:00</t>
        </r>
      </text>
    </comment>
    <comment ref="Q27" authorId="1" shapeId="0" xr:uid="{6E204AE9-0C83-402E-AAEC-5BFFE2F0DD6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W27" authorId="1" shapeId="0" xr:uid="{1670FA6D-CACE-4983-B829-5BFDCEA4511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X27" authorId="1" shapeId="0" xr:uid="{0E99FDB5-3FF4-42C9-BFB1-AD8586784A6D}">
      <text>
        <r>
          <rPr>
            <sz val="9"/>
            <rFont val="Arial"/>
            <family val="2"/>
          </rPr>
          <t>Mathias Søndergaard:
Afspadsering fra 08:30</t>
        </r>
      </text>
    </comment>
    <comment ref="AB27" authorId="1" shapeId="0" xr:uid="{5A03C084-1AE1-48EB-B5A2-279FEFD741B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AD27" authorId="6" shapeId="0" xr:uid="{83AF1F73-B3DE-4EBD-A431-7A48CFF2FDC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C28" authorId="3" shapeId="0" xr:uid="{321203D2-464B-4E1B-ACA2-F1AACB8303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Johnny + evt post</t>
        </r>
      </text>
    </comment>
    <comment ref="H28" authorId="3" shapeId="0" xr:uid="{D90D5B3D-617D-45CF-A850-0D8D0568530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 til magistratsalen kl. 15.30 - 16.30</t>
        </r>
      </text>
    </comment>
    <comment ref="P28" authorId="0" shapeId="0" xr:uid="{F0F0CE1C-F15D-4DD7-9D2F-71A3191F19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ved hovedkassen kl. 08.00 - 16.00</t>
        </r>
      </text>
    </comment>
    <comment ref="V28" authorId="3" shapeId="0" xr:uid="{160DDDC0-34A7-4B97-9254-90DDA6BE54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Hovedporten skal holdes åben til ca. kl. 19.00 gæsterne i festsalen skal kunne komme ud af HP.</t>
        </r>
      </text>
    </comment>
    <comment ref="C29" authorId="3" shapeId="0" xr:uid="{DBFAB589-09BA-497E-B6FB-4FBE53C37F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Johnny H. bliver til kl. 15.30</t>
        </r>
      </text>
    </comment>
    <comment ref="AA29" authorId="1" shapeId="0" xr:uid="{39D75F2D-31FC-41DF-A232-AE0365033AD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fra kl. 15.00</t>
        </r>
      </text>
    </comment>
    <comment ref="C30" authorId="7" shapeId="0" xr:uid="{FA9EEB40-208C-4CAC-BE34-0780C469CC3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d. 1. nov
Arrangement til kl. 23 Asawin tager den.</t>
        </r>
      </text>
    </comment>
    <comment ref="D30" authorId="0" shapeId="0" xr:uid="{2BC13B31-8982-4C85-A9E0-9331CBAFB4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scene Johnny + Mikael</t>
        </r>
      </text>
    </comment>
    <comment ref="O30" authorId="1" shapeId="0" xr:uid="{B1E30497-09C1-4751-B7FC-0DD795BC901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15:30</t>
        </r>
      </text>
    </comment>
    <comment ref="P30" authorId="1" shapeId="0" xr:uid="{CC2D79F5-8CE1-4270-B68B-72A27907DD3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89 fra 14:30</t>
        </r>
      </text>
    </comment>
    <comment ref="U30" authorId="1" shapeId="0" xr:uid="{8F708E27-94A4-47DF-87B6-16D1ABA5F76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99 fra 14:30</t>
        </r>
      </text>
    </comment>
    <comment ref="X30" authorId="8" shapeId="0" xr:uid="{DEC0AB9D-69C4-40D3-897A-DFC0BEC798F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fra kl 14 til ?</t>
        </r>
      </text>
    </comment>
    <comment ref="M32" authorId="1" shapeId="0" xr:uid="{92EEDFD5-7B09-40ED-8BEB-B4C57DFF073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Asawin dækker 8</t>
        </r>
      </text>
    </comment>
    <comment ref="X44" authorId="8" shapeId="0" xr:uid="{EF76667A-D095-41CB-A0C6-4A65A47EA8D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Til læge kl 14</t>
        </r>
      </text>
    </comment>
    <comment ref="AD44" authorId="3" shapeId="0" xr:uid="{FD78889E-5259-44FA-93E5-E114510521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46" authorId="1" shapeId="0" xr:uid="{EF8AABF4-062E-4A09-A417-4A8F0AB272C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N46" authorId="1" shapeId="0" xr:uid="{076F3816-637E-4170-8BA7-A9579767E7F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O46" authorId="1" shapeId="0" xr:uid="{992444EB-AB08-4832-B91B-FEC9BE617BC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P46" authorId="1" shapeId="0" xr:uid="{6B532575-A5CC-4951-BC49-E321E27C110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Q46" authorId="1" shapeId="0" xr:uid="{3B7BEB97-736C-43DE-B754-398DEFEB5F8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R46" authorId="1" shapeId="0" xr:uid="{AC1C8AF1-CE21-4639-9F32-5FB3A2148B5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B-vagt OA</t>
        </r>
      </text>
    </comment>
    <comment ref="J47" authorId="2" shapeId="0" xr:uid="{896C1F2E-3267-40F2-9856-9EEDD126E5CA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69 vagt fra 14:00</t>
        </r>
      </text>
    </comment>
    <comment ref="N47" authorId="1" shapeId="0" xr:uid="{3A4765C1-577B-4FCF-80DB-F5AFDD73951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7-vagt OA</t>
        </r>
      </text>
    </comment>
    <comment ref="Q47" authorId="1" shapeId="0" xr:uid="{543C4A92-E6C5-4986-8948-BFA6DEF3A92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13:30 afspadsering inden da</t>
        </r>
      </text>
    </comment>
    <comment ref="C48" authorId="1" shapeId="0" xr:uid="{E46B9473-8FB8-4BCD-BB3E-87F9D8D02C5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AE48" authorId="7" shapeId="0" xr:uid="{5F4E3502-94BA-4E14-ACF2-54BEFBADA62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Reffshavej 16:00 - 20:30</t>
        </r>
      </text>
    </comment>
    <comment ref="Q49" authorId="8" shapeId="0" xr:uid="{A1319237-9A77-4DF6-81CB-4C876D90BAC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møder kl. 15:00</t>
        </r>
      </text>
    </comment>
    <comment ref="G50" authorId="0" shapeId="0" xr:uid="{CFECEBC7-6D30-4A73-A40D-3CE52EECF1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Deltage i modtagelse kl. 08.15 - 13.00</t>
        </r>
      </text>
    </comment>
    <comment ref="I50" authorId="0" shapeId="0" xr:uid="{AD17CF5C-4854-4998-BBB2-B5CED1F953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O50" authorId="1" shapeId="0" xr:uid="{5F54EAE2-B3D8-475B-A82B-E1950B8FB35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7-vagt OA</t>
        </r>
      </text>
    </comment>
    <comment ref="Z50" authorId="0" shapeId="0" xr:uid="{33D7F813-FBF7-4592-8C55-7649904FB22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Omlagttjeneste</t>
        </r>
      </text>
    </comment>
    <comment ref="G51" authorId="0" shapeId="0" xr:uid="{6D072AF5-81B0-417D-9E54-A9BE182146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Deltage i modtagelse kl. 08.15 - 13.00</t>
        </r>
      </text>
    </comment>
    <comment ref="I51" authorId="0" shapeId="0" xr:uid="{B916D30A-2C34-4272-96EF-80474721745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T51" authorId="1" shapeId="0" xr:uid="{CC747042-C209-43AD-A9F3-E7646684F84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AC51" authorId="1" shapeId="0" xr:uid="{F22D2F32-125C-408C-BE2B-AD556D1C907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kl. 12:00 på brønshøjvej OA</t>
        </r>
      </text>
    </comment>
    <comment ref="AC53" authorId="1" shapeId="0" xr:uid="{5AB81C3D-8119-46FA-A6F3-19957858DFD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69 vagt OA</t>
        </r>
      </text>
    </comment>
    <comment ref="T55" authorId="8" shapeId="0" xr:uid="{61432EF4-331F-4DA1-A9C3-C308D88030D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Sundholm</t>
        </r>
      </text>
    </comment>
    <comment ref="O66" authorId="1" shapeId="0" xr:uid="{F7D7E3B6-0412-49A4-AE49-D91BF07707C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til 22:00
Afspadserer fra kl. 24:00</t>
        </r>
      </text>
    </comment>
    <comment ref="V66" authorId="5" shapeId="0" xr:uid="{E0B6956E-2073-4734-9F55-5507B31C4929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 gik kl 00:00
</t>
        </r>
      </text>
    </comment>
    <comment ref="AA66" authorId="1" shapeId="0" xr:uid="{BD88A394-5017-4272-9A81-A7DC593ECE7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26-vagt OA</t>
        </r>
      </text>
    </comment>
    <comment ref="AB66" authorId="1" shapeId="0" xr:uid="{03C5B74D-E59F-455B-8B50-25AF0781785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26 vagt OA</t>
        </r>
      </text>
    </comment>
    <comment ref="F67" authorId="5" shapeId="0" xr:uid="{356229CD-7338-45D2-80AD-E17996B8DE9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23:30 AFSP
</t>
        </r>
      </text>
    </comment>
    <comment ref="G67" authorId="5" shapeId="0" xr:uid="{B52AC3DD-8B0F-4465-9CFC-85723365C71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23:30 AFSP</t>
        </r>
      </text>
    </comment>
    <comment ref="H67" authorId="5" shapeId="0" xr:uid="{44C8E475-2ED9-4397-B091-47EAF59FF76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23:30 AFSP
</t>
        </r>
      </text>
    </comment>
    <comment ref="I67" authorId="5" shapeId="0" xr:uid="{B23EBA8A-3029-41A7-9920-5D4F651F8E7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23:30 afsp
</t>
        </r>
      </text>
    </comment>
    <comment ref="J67" authorId="5" shapeId="0" xr:uid="{AC04EC10-952E-4AE4-8A54-4CFD1635E76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23:00 afsp
</t>
        </r>
      </text>
    </comment>
    <comment ref="K67" authorId="5" shapeId="0" xr:uid="{12FC08DD-08C5-400B-BE87-F4721DB55E6A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 1 time gik 23:30
</t>
        </r>
      </text>
    </comment>
    <comment ref="L67" authorId="5" shapeId="0" xr:uid="{FA8A9F0C-BDAD-430E-8938-0F9F519A045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23:30</t>
        </r>
      </text>
    </comment>
    <comment ref="AB70" authorId="7" shapeId="0" xr:uid="{EB7BE696-F24E-4630-BCF8-3D818529619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M71" authorId="9" shapeId="0" xr:uid="{5F85B6AD-99B4-4C3A-A857-E5E73B050C6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99 OA</t>
        </r>
      </text>
    </comment>
    <comment ref="P71" authorId="1" shapeId="0" xr:uid="{6006B79C-524D-4839-BD25-18F2DF41FF1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S-vagt OA</t>
        </r>
      </text>
    </comment>
    <comment ref="Q71" authorId="1" shapeId="0" xr:uid="{DD7F980F-3AE3-406E-85E2-CBE808824AE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S-vagt OA</t>
        </r>
      </text>
    </comment>
    <comment ref="W71" authorId="5" shapeId="0" xr:uid="{089EC11A-DC25-4690-B7B8-CBBF7DE64AE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 gik kl 22:30
</t>
        </r>
      </text>
    </comment>
    <comment ref="N72" authorId="1" shapeId="0" xr:uid="{66F04620-10C1-4F7C-92CA-749D9632F82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S-vagt OA</t>
        </r>
      </text>
    </comment>
    <comment ref="O72" authorId="1" shapeId="0" xr:uid="{BAAA2EC5-C9FB-477B-9CAD-A4D1AA514AA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S-vagt OA</t>
        </r>
      </text>
    </comment>
    <comment ref="AA72" authorId="1" shapeId="0" xr:uid="{179C4F67-C51C-420B-A4D5-1A3BD55919F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8-15</t>
        </r>
      </text>
    </comment>
    <comment ref="AB72" authorId="3" shapeId="0" xr:uid="{05A49F3F-0398-4D79-9637-78BCDEEA42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 i Hovedport til kl. 19.00</t>
        </r>
      </text>
    </comment>
    <comment ref="J73" authorId="2" shapeId="0" xr:uid="{61DA8765-5426-4FE8-8927-A168DB59248B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SP1 På OA</t>
        </r>
      </text>
    </comment>
    <comment ref="Q73" authorId="8" shapeId="0" xr:uid="{CDBE19C9-93A7-4C51-993C-6E797F8B6D0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SP6 på OA</t>
        </r>
      </text>
    </comment>
    <comment ref="P74" authorId="9" shapeId="0" xr:uid="{7B53CA7E-93E4-4E6E-9B1A-CE0C8FD5A8D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16.00-20.00</t>
        </r>
      </text>
    </comment>
    <comment ref="AA74" authorId="1" shapeId="0" xr:uid="{AE7743D8-4CF7-4934-962F-969FE191639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til 22:00</t>
        </r>
      </text>
    </comment>
    <comment ref="AC74" authorId="1" shapeId="0" xr:uid="{F26A1750-43CE-4A01-A784-F728EE0FA6D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til 20:30</t>
        </r>
      </text>
    </comment>
    <comment ref="AD74" authorId="1" shapeId="0" xr:uid="{775C5D13-81D5-4294-9F6E-D42D39A3971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til 22:15</t>
        </r>
      </text>
    </comment>
    <comment ref="J75" authorId="0" shapeId="0" xr:uid="{BAF1EB77-2593-46B0-B8D5-E6DD243CE0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+ S6</t>
        </r>
      </text>
    </comment>
    <comment ref="AE75" authorId="0" shapeId="0" xr:uid="{C9640AE1-D2B9-45B0-8B83-B75CF850C4D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+ S6</t>
        </r>
      </text>
    </comment>
    <comment ref="D76" authorId="1" shapeId="0" xr:uid="{B9ED4F0A-4BE8-4D1E-8900-8436FCDAF63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Ryparken idrætsanlæg 07:30-15:15 OA</t>
        </r>
      </text>
    </comment>
    <comment ref="J77" authorId="1" shapeId="0" xr:uid="{B8E42B19-D5EE-4A0F-9251-A1371999C45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8-vagt OA</t>
        </r>
      </text>
    </comment>
    <comment ref="J78" authorId="1" shapeId="0" xr:uid="{7E85C1FE-BA15-4890-AA12-32D5DE5D8C1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S1 OA</t>
        </r>
      </text>
    </comment>
    <comment ref="K78" authorId="1" shapeId="0" xr:uid="{43C1BE1A-C9FC-4275-95EF-07B10301567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+ S2 OA</t>
        </r>
      </text>
    </comment>
    <comment ref="L78" authorId="1" shapeId="0" xr:uid="{3E1CA1E9-A334-4502-9685-94A99309961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+ S5 OA</t>
        </r>
      </text>
    </comment>
    <comment ref="W78" authorId="8" shapeId="0" xr:uid="{094A5415-66DC-4796-B4FC-A2D4EE02AD3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fra kl. 1730</t>
        </r>
      </text>
    </comment>
    <comment ref="M79" authorId="1" shapeId="0" xr:uid="{9F23D982-208E-4FC4-BB77-4DB320B31C9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C-vagt OA</t>
        </r>
      </text>
    </comment>
    <comment ref="N79" authorId="1" shapeId="0" xr:uid="{6155CEA1-80B9-4720-8740-5EE92767996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C-vagt OA</t>
        </r>
      </text>
    </comment>
    <comment ref="I80" authorId="5" shapeId="0" xr:uid="{D5920500-2A75-4938-A11F-64E2D6F9EA9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syg hjem kl 03:30</t>
        </r>
      </text>
    </comment>
    <comment ref="C82" authorId="4" shapeId="0" xr:uid="{C6FA601C-BD8D-46E3-A147-5695DB138ED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Fridag</t>
        </r>
      </text>
    </comment>
    <comment ref="J83" authorId="1" shapeId="0" xr:uid="{4DCEC5AC-53D8-487C-82A7-93E75BD483C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C-vagt OA</t>
        </r>
      </text>
    </comment>
    <comment ref="O83" authorId="8" shapeId="0" xr:uid="{EAB1B366-C14B-4DD8-AF62-AE0D2BB5151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fra kl. 24:00</t>
        </r>
      </text>
    </comment>
    <comment ref="P83" authorId="9" shapeId="0" xr:uid="{528B7258-0E40-4A62-BBFC-E654EADF3DD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AE86" authorId="4" shapeId="0" xr:uid="{7B181145-B91A-4780-8CBC-6C99A423478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05.00</t>
        </r>
      </text>
    </comment>
    <comment ref="M88" authorId="9" shapeId="0" xr:uid="{28CDD5A3-17D2-40AE-A740-5DED9A89FE7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I1 OA</t>
        </r>
      </text>
    </comment>
    <comment ref="Q88" authorId="1" shapeId="0" xr:uid="{88FF6A23-F9F9-48ED-BF5E-24ABA8EC6F5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Overarbejde fra 10:15 til 16:00</t>
        </r>
      </text>
    </comment>
    <comment ref="M89" authorId="1" shapeId="0" xr:uid="{5F960020-F545-48A4-92C1-5FCC5DDFAE8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Aftenvagt møder 16:30-23:30. Lære det han ikke kan huske</t>
        </r>
      </text>
    </comment>
    <comment ref="O89" authorId="1" shapeId="0" xr:uid="{B3380A31-18C0-439F-ACBE-DF63354B05C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til 22:00</t>
        </r>
      </text>
    </comment>
    <comment ref="Q89" authorId="9" shapeId="0" xr:uid="{09014361-8065-4104-B2CC-76DB2BF0DB5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4-vagt til kl. 14.00 OA</t>
        </r>
      </text>
    </comment>
    <comment ref="X89" authorId="8" shapeId="0" xr:uid="{712D7643-85FC-4A3A-80E8-BFC4B73B99F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Dække S1 vagt</t>
        </r>
      </text>
    </comment>
    <comment ref="M90" authorId="1" shapeId="0" xr:uid="{1463521D-9EE4-44F0-85F1-4338C72042F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kl. 09:00</t>
        </r>
      </text>
    </comment>
    <comment ref="AD94" authorId="1" shapeId="0" xr:uid="{C7838352-C52E-47C9-A5A4-8036D38D5BB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E-vagt OA</t>
        </r>
      </text>
    </comment>
    <comment ref="C95" authorId="0" shapeId="0" xr:uid="{3641BB99-EEEF-433C-ACD7-04DC6B65D3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F95" authorId="0" shapeId="0" xr:uid="{97170F26-9167-4BFE-B187-99F21FBD983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Rådhuset kl. 21.00</t>
        </r>
      </text>
    </comment>
    <comment ref="C100" authorId="1" shapeId="0" xr:uid="{36B4918B-3AC5-41A6-B23D-B0FFD40C81C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100" authorId="1" shapeId="0" xr:uid="{488D9A1D-06CB-46B1-8B7B-02923D5A75E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100" authorId="1" shapeId="0" xr:uid="{CCD0C826-55EF-4E2E-9948-4C83D644DF5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100" authorId="1" shapeId="0" xr:uid="{135FAC7D-7846-4E96-B4EE-61D543E22C1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100" authorId="1" shapeId="0" xr:uid="{2FDC50AF-E023-43EB-92F2-9CBB28D610B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100" authorId="1" shapeId="0" xr:uid="{484C5222-6F38-475A-B42B-C13E8BEDCDD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100" authorId="1" shapeId="0" xr:uid="{225E7347-A9CA-457C-8F91-B9941D5B95F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100" authorId="1" shapeId="0" xr:uid="{6279A1D3-9AD1-4E15-A2E9-B35887920D3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100" authorId="1" shapeId="0" xr:uid="{B64DBF37-85A1-4981-9C9E-36693821611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100" authorId="1" shapeId="0" xr:uid="{17AA728A-2457-4A7B-AC7C-A2742FA32C2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100" authorId="1" shapeId="0" xr:uid="{8FD7F2FB-1639-4926-8580-5AF4DDB9DA2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100" authorId="1" shapeId="0" xr:uid="{5E6065D8-9E31-4FE1-A9CC-7948BD55982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100" authorId="1" shapeId="0" xr:uid="{04F5593D-1E01-4082-9A39-B20BDE8716E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100" authorId="1" shapeId="0" xr:uid="{A49B82C7-1B6A-44DD-B15C-13D08D7AD49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100" authorId="1" shapeId="0" xr:uid="{F4256B16-586A-42C7-B867-8B2154244D2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100" authorId="1" shapeId="0" xr:uid="{013CC3AC-1A99-4CF2-854D-B368EBC614A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100" authorId="1" shapeId="0" xr:uid="{53C67022-BD28-4FD3-B955-927EBA02D44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100" authorId="1" shapeId="0" xr:uid="{355E83A1-1D4A-4B5C-9913-2B33C719323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100" authorId="1" shapeId="0" xr:uid="{6FE7177A-91C1-4B51-B6F0-CBCC1185E7C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100" authorId="1" shapeId="0" xr:uid="{3480D32C-9A78-451B-A214-EACCBA4C703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100" authorId="1" shapeId="0" xr:uid="{617E6C76-1EA9-49C1-B659-3A4F92C8696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100" authorId="1" shapeId="0" xr:uid="{E87AFA33-1F38-48E9-A01E-293F0F72F55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100" authorId="1" shapeId="0" xr:uid="{975D327A-8838-48C6-BD1F-D54492F0A5F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101" authorId="0" shapeId="0" xr:uid="{4DF7A203-B9DC-4D84-9DAB-22F93C717A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08:15</t>
        </r>
      </text>
    </comment>
    <comment ref="K102" authorId="5" shapeId="0" xr:uid="{C2BC244F-8D3E-4782-84F7-BC56183BA4B2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3 tiner 19-22 møder som 22
</t>
        </r>
      </text>
    </comment>
    <comment ref="M103" authorId="1" shapeId="0" xr:uid="{205ED4A1-E499-4471-99FA-9817E411484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103" authorId="1" shapeId="0" xr:uid="{725932F0-35B7-4EC9-B937-6AB098FE0B3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Gået syg hjem kl. 10:30</t>
        </r>
      </text>
    </comment>
    <comment ref="Q103" authorId="1" shapeId="0" xr:uid="{62335C3C-6A3C-4907-BF45-7E7CF6258FB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Tandlæge</t>
        </r>
      </text>
    </comment>
    <comment ref="T103" authorId="1" shapeId="0" xr:uid="{4437F9C4-4093-45A3-923E-F667B9EB040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103" authorId="5" shapeId="0" xr:uid="{EC04C19A-8E79-4952-9614-73B2044D787F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Y103" authorId="5" shapeId="0" xr:uid="{9187F510-5FDC-4F6E-8678-588DDE5DF6F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A103" authorId="1" shapeId="0" xr:uid="{D86138FD-69F5-4403-BDF1-A6CE34C75CE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137" authorId="4" shapeId="0" xr:uid="{BC24E8AB-D37D-49A4-BDE0-12E743495F8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SP6</t>
        </r>
      </text>
    </comment>
    <comment ref="AC137" authorId="6" shapeId="0" xr:uid="{E4E1C277-78C9-45B4-B527-2B660A573FA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AD159" authorId="3" shapeId="0" xr:uid="{95B74FC1-AC08-4A5B-A6A1-E0DA1C8F50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G171" authorId="0" shapeId="0" xr:uid="{AF5BB88A-F9D8-4A42-B3EC-2AD4098273C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 Modtagelse kl. 09.00</t>
        </r>
      </text>
    </comment>
    <comment ref="H171" authorId="0" shapeId="0" xr:uid="{E4932A4D-DCCD-422A-B8FC-34844CCF76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I171" authorId="0" shapeId="0" xr:uid="{6024DD25-DE23-4952-AAFF-3E1EF15566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J171" authorId="0" shapeId="0" xr:uid="{5490B63C-2339-4642-85CD-ABCA7EF06E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O171" authorId="1" shapeId="0" xr:uid="{E3D2B8D6-9DD5-46C6-B664-C9B63AAD859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15:30</t>
        </r>
      </text>
    </comment>
    <comment ref="AC171" authorId="3" shapeId="0" xr:uid="{4B8A04D6-BD50-4C9D-9A79-AB086C0FDD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D171" authorId="3" shapeId="0" xr:uid="{A705C851-8D07-4E99-AC8E-A678543918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I172" authorId="0" shapeId="0" xr:uid="{FE0B7E0E-AAA2-4F8D-A025-FD4ADC7E8D2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P172" authorId="1" shapeId="0" xr:uid="{D2CDC848-0F9F-461F-86FD-424ED18964D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Ferie fra 14:30</t>
        </r>
      </text>
    </comment>
    <comment ref="U172" authorId="1" shapeId="0" xr:uid="{B4039A02-4E46-4547-B253-18724A73DE1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Ferie fra 14:30</t>
        </r>
      </text>
    </comment>
    <comment ref="X172" authorId="8" shapeId="0" xr:uid="{C6216D0E-A728-4E74-A085-87F3558BB11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plus resten af 4-vagten</t>
        </r>
      </text>
    </comment>
    <comment ref="AC172" authorId="3" shapeId="0" xr:uid="{1A02F4C6-A3C0-4B78-9CA8-7D18951B2D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D172" authorId="3" shapeId="0" xr:uid="{D271F696-F533-46A6-A394-B54C51A6D3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I173" authorId="1" shapeId="0" xr:uid="{44BEA8B5-4244-4FEF-A175-9B319A9EDE4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Online møde FOA 12-16
ingen afløser + BR-møde kl. 15.30</t>
        </r>
      </text>
    </comment>
    <comment ref="P173" authorId="0" shapeId="0" xr:uid="{584C56C4-15D5-4891-AAD1-1C48EEFE50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Modtagelse.</t>
        </r>
      </text>
    </comment>
    <comment ref="AA173" authorId="10" shapeId="0" xr:uid="{DCCE2610-AFDB-4417-85F3-62C1ABF9996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B173" authorId="10" shapeId="0" xr:uid="{0F85B281-E8ED-4521-A850-82D5CB17E30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C173" authorId="10" shapeId="0" xr:uid="{437738A3-7E0B-4E6F-8A07-8E3C32D6D10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D173" authorId="3" shapeId="0" xr:uid="{460FF7D1-0637-44F7-B1A0-C2AA50970E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G174" authorId="0" shapeId="0" xr:uid="{D27CF352-63DC-40E5-B316-1A3C448EDC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08:15</t>
        </r>
      </text>
    </comment>
    <comment ref="I174" authorId="0" shapeId="0" xr:uid="{95CBF90B-A339-4A56-AEC3-0CA8253CC77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P174" authorId="0" shapeId="0" xr:uid="{6D6D09B0-B1B2-4E81-A327-9DAEF71E39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Modtagelse.</t>
        </r>
      </text>
    </comment>
    <comment ref="AC174" authorId="3" shapeId="0" xr:uid="{000E0382-89E2-488D-953B-0609DDF035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D174" authorId="3" shapeId="0" xr:uid="{9B5BDF42-3974-449F-B2A9-782D23FED2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G175" authorId="0" shapeId="0" xr:uid="{1BA53B98-2108-4F56-B77E-548722F635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08.15</t>
        </r>
      </text>
    </comment>
    <comment ref="I175" authorId="0" shapeId="0" xr:uid="{90F81B89-705C-4325-A682-1C5AB79978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K175" authorId="0" shapeId="0" xr:uid="{BC697C03-A266-437E-B3E5-264F889F8EC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Arrangement/modtagelse på Rådhuset kl. 09.00 - 16.30</t>
        </r>
      </text>
    </comment>
    <comment ref="P175" authorId="0" shapeId="0" xr:uid="{03D6D0E3-4BC7-40B6-99E9-61FAA5BCA6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Modtagelse.</t>
        </r>
      </text>
    </comment>
    <comment ref="X175" authorId="1" shapeId="0" xr:uid="{11A67D25-A1C3-4861-8410-FFECB6A1D56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Gennemgang af TU i arrangementsservice 11:15-12:00</t>
        </r>
      </text>
    </comment>
    <comment ref="Y175" authorId="0" shapeId="0" xr:uid="{2325BEC4-C44F-4FA1-91B4-2A9092C27C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08.00 - 15.30</t>
        </r>
      </text>
    </comment>
    <comment ref="Z175" authorId="0" shapeId="0" xr:uid="{C77752EF-3154-4F5E-AAD3-88EB02C7DD9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08.00 - 15.30</t>
        </r>
      </text>
    </comment>
    <comment ref="AE175" authorId="4" shapeId="0" xr:uid="{9B95FBAC-671D-46E5-A27C-0BAC910CF7B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Kbh. Museum
Kl. 15.45-19.00</t>
        </r>
      </text>
    </comment>
    <comment ref="AB191" authorId="9" shapeId="0" xr:uid="{DE339DFA-C0A2-42C8-99B6-D1A3DB271A5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Fra kl. 04.00</t>
        </r>
      </text>
    </comment>
    <comment ref="X193" authorId="1" shapeId="0" xr:uid="{BE9E86C2-EED4-4215-9AD2-8242949A3EB3}">
      <text>
        <r>
          <rPr>
            <sz val="9"/>
            <rFont val="Arial"/>
            <family val="2"/>
          </rPr>
          <t>Mathias Søndergaard:
10-vagt OA</t>
        </r>
      </text>
    </comment>
    <comment ref="Y193" authorId="1" shapeId="0" xr:uid="{BD3A7E98-18D4-4353-B045-A0B979436352}">
      <text>
        <r>
          <rPr>
            <sz val="9"/>
            <rFont val="Arial"/>
            <family val="2"/>
          </rPr>
          <t>Mathias Søndergaard:
B2 OA</t>
        </r>
      </text>
    </comment>
    <comment ref="Z193" authorId="1" shapeId="0" xr:uid="{FED406BC-3194-4DEB-9666-906632AD3FC3}">
      <text>
        <r>
          <rPr>
            <sz val="9"/>
            <rFont val="Arial"/>
            <family val="2"/>
          </rPr>
          <t>Mathias Søndergaard:
B2 OA</t>
        </r>
      </text>
    </comment>
    <comment ref="I211" authorId="2" shapeId="0" xr:uid="{42F9184B-AFCB-4B38-AEDF-49A33FEFA1A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D211" authorId="2" shapeId="0" xr:uid="{E708D340-F5A4-48F2-97C4-3C50137F8028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H308" authorId="1" shapeId="0" xr:uid="{40D7541F-A559-4EA7-A2A4-475567BC2B3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14.30</t>
        </r>
      </text>
    </comment>
    <comment ref="M308" authorId="1" shapeId="0" xr:uid="{6F7498D4-4000-4153-8A37-32D17A63294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12.15</t>
        </r>
      </text>
    </comment>
    <comment ref="Q308" authorId="1" shapeId="0" xr:uid="{4B44B9C2-BB07-4662-B504-02D7FFE3FBE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senere</t>
        </r>
      </text>
    </comment>
    <comment ref="P309" authorId="1" shapeId="0" xr:uid="{E52133A9-34A6-4D5D-A638-3EE53417A71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kl. 12.00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 Holm Aabroe</author>
    <author>Mathias Hartvig Morell Nielsen</author>
    <author>Lars Crone</author>
    <author>Mathias Søndergaard</author>
    <author>Steen Hertin-Sandkær</author>
    <author>Thomas Holm</author>
    <author>Steen Hertin</author>
    <author>Mathias Nielsen</author>
    <author>Jesper Larsen</author>
    <author>Nick Lorentzen</author>
    <author>Kim BT. Pedersen</author>
  </authors>
  <commentList>
    <comment ref="N17" authorId="0" shapeId="0" xr:uid="{2573769E-B4E9-48A2-8651-C4D1937BF7A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1. time</t>
        </r>
      </text>
    </comment>
    <comment ref="E18" authorId="1" shapeId="0" xr:uid="{D294DDF8-1BAB-41EF-9017-342DA92ED58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Trivselsudvalg 14:30-15:50</t>
        </r>
      </text>
    </comment>
    <comment ref="N18" authorId="2" shapeId="0" xr:uid="{2950A92C-0655-4E57-9F21-24BAA7298757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Thorvaldsens Museum 18:00-23:30 på OA
V4 OA</t>
        </r>
      </text>
    </comment>
    <comment ref="O18" authorId="3" shapeId="0" xr:uid="{ED65995B-0946-4C43-9977-5257E5B012E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KIT julefrokost 
16:00-02:30</t>
        </r>
      </text>
    </comment>
    <comment ref="E21" authorId="4" shapeId="0" xr:uid="{F73DC582-ACA8-45AA-9207-90E85B6DC27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H21" authorId="3" shapeId="0" xr:uid="{32C18118-473D-4566-B9F5-33BF98B17DA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N21" authorId="4" shapeId="0" xr:uid="{94FDCEE5-62A0-4411-A503-AF476C2868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O21" authorId="5" shapeId="0" xr:uid="{8508ACD3-D55A-4414-96A9-FC13A7C71AC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Førstehjælpskursus for Stadsarkivet + 
ØKF´s Julefrokost</t>
        </r>
      </text>
    </comment>
    <comment ref="R21" authorId="5" shapeId="0" xr:uid="{114D42E5-C6FE-44EA-A313-E490F9DC181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21" authorId="4" shapeId="0" xr:uid="{21BC89CD-12D6-492C-8DA6-73AE991D0A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 V3</t>
        </r>
      </text>
    </comment>
    <comment ref="E22" authorId="3" shapeId="0" xr:uid="{6DCE8A4E-3207-45FC-A2A8-10A5588C099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Center MED kl. 13.00</t>
        </r>
      </text>
    </comment>
    <comment ref="H22" authorId="1" shapeId="0" xr:uid="{89AB58FC-1758-4212-B7F3-7E96DC55BEC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 + Rentemestervej kl. 06.00</t>
        </r>
      </text>
    </comment>
    <comment ref="I22" authorId="4" shapeId="0" xr:uid="{7F5A5A0B-4B9D-49EE-AB45-FA86DF79FB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kl. 15.00</t>
        </r>
      </text>
    </comment>
    <comment ref="K22" authorId="3" shapeId="0" xr:uid="{C9299671-2FFF-4F6F-A71C-65F14311DAD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V4</t>
        </r>
      </text>
    </comment>
    <comment ref="L22" authorId="3" shapeId="0" xr:uid="{1E2AFF45-53CB-4927-9BE1-7670D8CB4DF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V4</t>
        </r>
      </text>
    </comment>
    <comment ref="M22" authorId="3" shapeId="0" xr:uid="{304C2F5E-317B-4220-B23D-3F1C3FC915E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V4</t>
        </r>
      </text>
    </comment>
    <comment ref="N22" authorId="3" shapeId="0" xr:uid="{111D8C6A-0848-436F-A047-AF912A9F554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V4</t>
        </r>
      </text>
    </comment>
    <comment ref="F24" authorId="6" shapeId="0" xr:uid="{798F0C9C-8ACA-4E05-838F-0259389A2E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 kl. 12.00</t>
        </r>
      </text>
    </comment>
    <comment ref="H24" authorId="4" shapeId="0" xr:uid="{CB617A13-7FC9-4087-983B-E8100BFD7D3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15.00 - 02.00</t>
        </r>
      </text>
    </comment>
    <comment ref="M24" authorId="4" shapeId="0" xr:uid="{F842C734-1842-4F78-A858-2337F5996E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O24" authorId="3" shapeId="0" xr:uid="{0FA40DAC-7DD3-48A8-9651-76D61FF3FE9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KIT julefrokost 
16:00-02:30</t>
        </r>
      </text>
    </comment>
    <comment ref="R24" authorId="4" shapeId="0" xr:uid="{50D8A103-AD51-49EC-8D4A-B2F891494D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V1</t>
        </r>
      </text>
    </comment>
    <comment ref="AG24" authorId="4" shapeId="0" xr:uid="{B77695DF-F3F9-494F-9C18-52EF72521B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Flygtningecentre kl. 16.00 - ?</t>
        </r>
      </text>
    </comment>
    <comment ref="M25" authorId="6" shapeId="0" xr:uid="{0D5B8BB4-D192-4CEB-B77A-4DF485C038F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Tvungen ferie</t>
        </r>
      </text>
    </comment>
    <comment ref="H26" authorId="4" shapeId="0" xr:uid="{50C2DF12-6CB2-43A6-AA10-073FA787E5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15.00 - 02.00</t>
        </r>
      </text>
    </comment>
    <comment ref="N26" authorId="3" shapeId="0" xr:uid="{06178D50-04A7-4460-9DD0-373CF5409EC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R26" authorId="5" shapeId="0" xr:uid="{D85E404A-6F3C-4A43-B09F-FABDA8D1C68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10.30.</t>
        </r>
      </text>
    </comment>
    <comment ref="S26" authorId="7" shapeId="0" xr:uid="{5BB60BC4-406A-4314-8C17-2076BBDC883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Til kl. 13:00</t>
        </r>
      </text>
    </comment>
    <comment ref="AC26" authorId="4" shapeId="0" xr:uid="{6739F8FD-A36B-4EE0-B4A5-00EDD846A0D9}">
      <text>
        <r>
          <rPr>
            <sz val="9"/>
            <color indexed="81"/>
            <rFont val="Tahoma"/>
            <family val="2"/>
          </rPr>
          <t xml:space="preserve">
Møder</t>
        </r>
      </text>
    </comment>
    <comment ref="D27" authorId="2" shapeId="0" xr:uid="{CC4BD2DE-8898-440D-9F6E-B324782BF33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Johnny møder på Rentemestervej kl 06:00 og kommer på Rådhuset når han er færdig</t>
        </r>
      </text>
    </comment>
    <comment ref="H27" authorId="4" shapeId="0" xr:uid="{745F92DC-7E71-413F-AE0D-0C85562D7C2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Rentemestervej kl. 06.00
til læge kl. 10.30</t>
        </r>
      </text>
    </comment>
    <comment ref="I27" authorId="4" shapeId="0" xr:uid="{F3D1E1CF-AA58-4368-81E8-88C7DCEE48C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kl. 15.00</t>
        </r>
      </text>
    </comment>
    <comment ref="K27" authorId="3" shapeId="0" xr:uid="{5324A104-BD34-4857-AB62-EA84EA569BC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
4-vagt fra ca. 12.00</t>
        </r>
      </text>
    </comment>
    <comment ref="N27" authorId="3" shapeId="0" xr:uid="{D2B27A75-9E5E-4A22-9285-00A97545F99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O27" authorId="3" shapeId="0" xr:uid="{131476BC-DDC4-4179-B2E6-901D69707FD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OA
Sammen med 25 vagt</t>
        </r>
      </text>
    </comment>
    <comment ref="R27" authorId="3" shapeId="0" xr:uid="{EF680F62-F9C6-4021-AD63-F25B9D39385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05:00</t>
        </r>
      </text>
    </comment>
    <comment ref="V27" authorId="6" shapeId="0" xr:uid="{07CFD1DF-9EF4-467E-A295-29AD788067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opstillingsplaner</t>
        </r>
      </text>
    </comment>
    <comment ref="K28" authorId="2" shapeId="0" xr:uid="{4B4C3814-DB56-4FD8-BA7C-F1B4617BF7EF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Rentemestervej til 21:30</t>
        </r>
      </text>
    </comment>
    <comment ref="M28" authorId="2" shapeId="0" xr:uid="{8863C40B-837F-4E5A-8D3F-C26CF1B964CB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Rentemestervej til 21:00</t>
        </r>
      </text>
    </comment>
    <comment ref="N28" authorId="2" shapeId="0" xr:uid="{B8CC038E-88F6-425C-93C2-B273E76D8CA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Rentemestervej til 23:00</t>
        </r>
      </text>
    </comment>
    <comment ref="Z28" authorId="4" shapeId="0" xr:uid="{DCDCF296-7279-4284-90CA-43FC6A83A8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Runderer Reffshalevej kl. 17.00</t>
        </r>
      </text>
    </comment>
    <comment ref="N29" authorId="4" shapeId="0" xr:uid="{00CB3FFF-46FE-45E0-9C5B-676A7BA9A54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Pamhede til kl. 13.00</t>
        </r>
      </text>
    </comment>
    <comment ref="O29" authorId="5" shapeId="0" xr:uid="{1AB2C573-E569-4BC4-A6EF-AC8C90083DF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Henrik 09-13</t>
        </r>
      </text>
    </comment>
    <comment ref="N30" authorId="3" shapeId="0" xr:uid="{E87A1D3B-6BC2-4618-ACE3-9FF9A8D355F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fra 12:30</t>
        </r>
      </text>
    </comment>
    <comment ref="R30" authorId="4" shapeId="0" xr:uid="{C32D621A-0813-4259-8C81-81D024E981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Fra kl 15.00</t>
        </r>
      </text>
    </comment>
    <comment ref="S30" authorId="3" shapeId="0" xr:uid="{764443A7-8B58-45E0-B6B3-0B08178AF90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fra kl. 13:00</t>
        </r>
      </text>
    </comment>
    <comment ref="T30" authorId="3" shapeId="0" xr:uid="{10D518A3-A7AD-4CBD-8CA7-305F3BBA472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10-14 Henrik</t>
        </r>
      </text>
    </comment>
    <comment ref="U30" authorId="3" shapeId="0" xr:uid="{3523AE08-C09F-405B-BFF8-BA66FDBEAB5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Johnny dækker til 13:45</t>
        </r>
      </text>
    </comment>
    <comment ref="V30" authorId="3" shapeId="0" xr:uid="{BCB853CC-24A0-46F2-A842-7F2D978FFFB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10-14 Henrik</t>
        </r>
      </text>
    </comment>
    <comment ref="N31" authorId="3" shapeId="0" xr:uid="{B096868F-5F5C-4F6E-B640-6B457FA388A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Runderingerne mangler</t>
        </r>
      </text>
    </comment>
    <comment ref="K32" authorId="4" shapeId="0" xr:uid="{A5F63532-265D-4BDB-90F6-6345855AE3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Er besat fra ca. kl. 12.00</t>
        </r>
      </text>
    </comment>
    <comment ref="Q43" authorId="8" shapeId="0" xr:uid="{2E75C3BA-BBE8-4C67-8EC4-46934C3AB70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 kl. 17-19:15
</t>
        </r>
      </text>
    </comment>
    <comment ref="E44" authorId="8" shapeId="0" xr:uid="{9344EEF4-94FA-405C-B90D-70DC697A1483}">
      <text>
        <r>
          <rPr>
            <b/>
            <sz val="9"/>
            <color indexed="81"/>
            <rFont val="Tahoma"/>
            <family val="2"/>
          </rPr>
          <t>Jesper Larsen:
AFSP. Gik 06:30</t>
        </r>
      </text>
    </comment>
    <comment ref="J44" authorId="8" shapeId="0" xr:uid="{E717C094-F79E-4679-A9B9-784866D0CF0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kl. 00:00
</t>
        </r>
      </text>
    </comment>
    <comment ref="Q44" authorId="8" shapeId="0" xr:uid="{5DE26708-F7BF-4EDF-8ED2-CDA26FE5C1EF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AFSP: fra 07-10 = 3 timer 
</t>
        </r>
      </text>
    </comment>
    <comment ref="Z44" authorId="5" shapeId="0" xr:uid="{80B0A57B-C2A0-467F-8209-50994B2D4A4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fra kl. 14.00-15.15</t>
        </r>
      </text>
    </comment>
    <comment ref="AF44" authorId="3" shapeId="0" xr:uid="{939DFB4B-860D-4419-BE34-9DBE7FC8F45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kl. 11:00</t>
        </r>
      </text>
    </comment>
    <comment ref="E47" authorId="1" shapeId="0" xr:uid="{3B31E9AD-86AF-46A6-8AE3-683F893F991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Trivselsudvalg 14:30-15:50</t>
        </r>
      </text>
    </comment>
    <comment ref="I47" authorId="4" shapeId="0" xr:uid="{80A686BB-2923-4050-A3BD-91A3AD42B81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10.00 - 14.00</t>
        </r>
      </text>
    </comment>
    <comment ref="J47" authorId="8" shapeId="0" xr:uid="{5E060AF9-00EF-49A3-BF60-C5CD1BAD3F72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en time grunde balade på Otiliavej </t>
        </r>
      </text>
    </comment>
    <comment ref="W47" authorId="4" shapeId="0" xr:uid="{2978E6B4-82E9-4186-B121-4C7BCBD310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10.00 - 14.00</t>
        </r>
      </text>
    </comment>
    <comment ref="AA47" authorId="5" shapeId="0" xr:uid="{FC4E2D67-85D0-4B74-B103-2B3A0D0E569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til kl. 15.15</t>
        </r>
      </text>
    </comment>
    <comment ref="AB47" authorId="5" shapeId="0" xr:uid="{D55A7E52-6564-4268-9DC0-AFCB37831AF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til kl. 15.15</t>
        </r>
      </text>
    </comment>
    <comment ref="C49" authorId="3" shapeId="0" xr:uid="{96EFD7BE-EE96-4D14-9716-0F900C92C1C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16:30</t>
        </r>
      </text>
    </comment>
    <comment ref="G53" authorId="3" shapeId="0" xr:uid="{75F722ED-17BC-4F91-96AB-CAE58CA3001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8-vagt OA</t>
        </r>
      </text>
    </comment>
    <comment ref="H53" authorId="3" shapeId="0" xr:uid="{6BA71995-5111-4A0F-82B6-EAA9DE02009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8-vagt OA</t>
        </r>
      </text>
    </comment>
    <comment ref="N53" authorId="4" shapeId="0" xr:uid="{4F246624-6BB1-4B4E-A326-F1403AE9BA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O53" authorId="2" shapeId="0" xr:uid="{B5FE21F2-2E4F-456F-843D-445EE30712C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Thorvaldsens Museum 21:00-01:00 på OA</t>
        </r>
      </text>
    </comment>
    <comment ref="AC53" authorId="5" shapeId="0" xr:uid="{2D202E9E-9244-479A-A722-F95369D147B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 fra kl. 15.30</t>
        </r>
      </text>
    </comment>
    <comment ref="AF53" authorId="2" shapeId="0" xr:uid="{B672AA89-D872-4FA7-AC5A-829C378FB28F}">
      <text>
        <r>
          <rPr>
            <sz val="9"/>
            <rFont val="Arial"/>
            <family val="2"/>
          </rPr>
          <t>Lars Crone:
11 vagt OA</t>
        </r>
      </text>
    </comment>
    <comment ref="AG53" authorId="2" shapeId="0" xr:uid="{80740BC7-3ACB-4B51-AADF-9E04ECF29DF3}">
      <text>
        <r>
          <rPr>
            <sz val="9"/>
            <rFont val="Arial"/>
            <family val="2"/>
          </rPr>
          <t>Lars Crone:
11 vagt OA</t>
        </r>
      </text>
    </comment>
    <comment ref="AF54" authorId="9" shapeId="0" xr:uid="{F75E023E-BA3B-4EB8-B2E3-CD65BBE2195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Niels Bo skal til lægen kl. 09:00
Kommer tilbage når det er overstået</t>
        </r>
      </text>
    </comment>
    <comment ref="D55" authorId="3" shapeId="0" xr:uid="{EE2861A1-61A7-488E-94DD-CD4E5E95161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9'er vagt</t>
        </r>
      </text>
    </comment>
    <comment ref="E55" authorId="3" shapeId="0" xr:uid="{E59D7E1B-7A3F-4500-A9EA-E89FCB995F7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9'er vagt</t>
        </r>
      </text>
    </comment>
    <comment ref="F55" authorId="3" shapeId="0" xr:uid="{35FFED47-48F7-4976-8DD3-508B2615017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9'er vagt</t>
        </r>
      </text>
    </comment>
    <comment ref="G55" authorId="3" shapeId="0" xr:uid="{519AE0B8-C042-40B7-921A-DBE3A3C78F2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9'er vagt</t>
        </r>
      </text>
    </comment>
    <comment ref="H55" authorId="3" shapeId="0" xr:uid="{F5677539-4A10-4624-9445-9135C00051F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omlagt 9'er vagt</t>
        </r>
      </text>
    </comment>
    <comment ref="E67" authorId="1" shapeId="0" xr:uid="{1E688591-1744-47BF-BF4B-90DFEE0956C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Trivselsudvalg 14:30-15:50</t>
        </r>
      </text>
    </comment>
    <comment ref="F67" authorId="2" shapeId="0" xr:uid="{25F2EDAF-7CB9-4D32-8C0F-D0DF43CFC52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3 vagt på OA</t>
        </r>
      </text>
    </comment>
    <comment ref="H67" authorId="3" shapeId="0" xr:uid="{A299C503-5D70-4E54-B83D-F2883B2791F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7-vagt OA</t>
        </r>
      </text>
    </comment>
    <comment ref="J67" authorId="0" shapeId="0" xr:uid="{D45BB7AF-6868-4604-8380-EDC9ACA03E9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S4 OA
S5 OA</t>
        </r>
      </text>
    </comment>
    <comment ref="M67" authorId="10" shapeId="0" xr:uid="{A9809E0B-2574-437C-98E3-E47AA3B1E38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N67" authorId="0" shapeId="0" xr:uid="{CF8B9B73-2D15-4950-BF43-5DB3DFF47DA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borgermøde OA</t>
        </r>
      </text>
    </comment>
    <comment ref="R67" authorId="2" shapeId="0" xr:uid="{697A003C-4FB4-4636-B13A-2D69CD508E98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S67" authorId="2" shapeId="0" xr:uid="{59D20E56-F296-4C56-8EBD-D53DB9C9A11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T67" authorId="2" shapeId="0" xr:uid="{E3040BBE-A899-4E36-9C11-48B7FD5D694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U67" authorId="2" shapeId="0" xr:uid="{010E30DB-18A1-4224-8D48-734103528C4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V67" authorId="2" shapeId="0" xr:uid="{721622D4-9F79-4D52-BAE9-570C3186672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W67" authorId="5" shapeId="0" xr:uid="{E8C46674-A856-4FFA-A004-F21D62862E6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23.15</t>
        </r>
      </text>
    </comment>
    <comment ref="X67" authorId="3" shapeId="0" xr:uid="{2636F050-5931-4127-8E71-5BD195AF2DC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23:30</t>
        </r>
      </text>
    </comment>
    <comment ref="Z67" authorId="3" shapeId="0" xr:uid="{379BF8B8-4509-4EFD-BD34-FD867517B59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21 vagt OA</t>
        </r>
      </text>
    </comment>
    <comment ref="AA67" authorId="3" shapeId="0" xr:uid="{BB029473-5C3A-4E7A-A99C-DA37ECDCCC4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21 vagt OA</t>
        </r>
      </text>
    </comment>
    <comment ref="AB67" authorId="3" shapeId="0" xr:uid="{6237A457-1D25-4E0D-A931-AE87F68F01C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21 vagt OA</t>
        </r>
      </text>
    </comment>
    <comment ref="AC67" authorId="3" shapeId="0" xr:uid="{A23B9EEA-2DCC-4443-972A-54AAC54AFE8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21 vagt OA</t>
        </r>
      </text>
    </comment>
    <comment ref="AD67" authorId="3" shapeId="0" xr:uid="{36C3F7C6-54C1-4E93-85F7-F31798C4D27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21 vagt OA</t>
        </r>
      </text>
    </comment>
    <comment ref="AE67" authorId="3" shapeId="0" xr:uid="{7AB5B62E-706E-4130-B9BE-D310CE14E19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21 vagt OA</t>
        </r>
      </text>
    </comment>
    <comment ref="E68" authorId="4" shapeId="0" xr:uid="{42884C48-1737-4DD9-B56C-23675B36E7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10.00 - 14.00</t>
        </r>
      </text>
    </comment>
    <comment ref="H68" authorId="7" shapeId="0" xr:uid="{2F3BA04B-D875-4F13-8F74-BF55A14E9C6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9-13</t>
        </r>
      </text>
    </comment>
    <comment ref="I68" authorId="4" shapeId="0" xr:uid="{F82F8F2E-7411-4076-913C-AE73F029A31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A2 10.00 - 14.00</t>
        </r>
      </text>
    </comment>
    <comment ref="N68" authorId="4" shapeId="0" xr:uid="{E8383757-F785-4A4B-853C-B323CB96E4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9-13</t>
        </r>
      </text>
    </comment>
    <comment ref="O68" authorId="4" shapeId="0" xr:uid="{8660B63F-9471-4475-9322-F6F8DAD200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9-13</t>
        </r>
      </text>
    </comment>
    <comment ref="R68" authorId="4" shapeId="0" xr:uid="{E28C5738-7393-402A-8108-427541E727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10.00 - 14.00</t>
        </r>
      </text>
    </comment>
    <comment ref="T68" authorId="4" shapeId="0" xr:uid="{96F61BF0-9D8A-4C58-967C-221DAAE75C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10.00 - 14.00</t>
        </r>
      </text>
    </comment>
    <comment ref="V68" authorId="4" shapeId="0" xr:uid="{D1C4DE2B-53E2-4138-97FB-59C6D7EAAF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10.00 - 14.00</t>
        </r>
      </text>
    </comment>
    <comment ref="AG68" authorId="4" shapeId="0" xr:uid="{CFAA0CD4-E8F5-42B4-8E6D-75FF95DF43D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Flygtningecentre kl. 16.00 - ?</t>
        </r>
      </text>
    </comment>
    <comment ref="D70" authorId="2" shapeId="0" xr:uid="{A27C9BB1-1B3E-4A58-BE76-57828C9173F2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Mødte kl 18:30</t>
        </r>
      </text>
    </comment>
    <comment ref="E70" authorId="3" shapeId="0" xr:uid="{36B7A0A9-0C01-4C37-A746-5D6B0BF6E48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8 vagt OA</t>
        </r>
      </text>
    </comment>
    <comment ref="F70" authorId="3" shapeId="0" xr:uid="{251DB7A1-B8ED-4D30-8D53-2F5A2F38D0A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8 vagt OA</t>
        </r>
      </text>
    </comment>
    <comment ref="G70" authorId="3" shapeId="0" xr:uid="{DF3BBE6F-3511-48F7-957F-B5B8259D89F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7-vagt OA</t>
        </r>
      </text>
    </comment>
    <comment ref="V70" authorId="4" shapeId="0" xr:uid="{C367D439-2B35-4B3C-AE6C-CD1825B03BD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S6 på OA</t>
        </r>
      </text>
    </comment>
    <comment ref="J71" authorId="8" shapeId="0" xr:uid="{DCBB62F9-3040-4278-9030-41648702DDA1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en time grunde balade på Otiliavej </t>
        </r>
      </text>
    </comment>
    <comment ref="L71" authorId="3" shapeId="0" xr:uid="{FB99B830-916B-430A-93EB-630203673A6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23:30</t>
        </r>
      </text>
    </comment>
    <comment ref="Y71" authorId="0" shapeId="0" xr:uid="{276A9963-E61F-4EBD-9E9F-E5E09DC196C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V78" authorId="3" shapeId="0" xr:uid="{E6B6C1D2-28B1-4DB6-BD7C-7ED5401C893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S1 OA</t>
        </r>
      </text>
    </comment>
    <comment ref="K79" authorId="0" shapeId="0" xr:uid="{A58679F9-67BA-4E1A-9433-43B246CEB71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Q79" authorId="8" shapeId="0" xr:uid="{A5AF80B8-BB5E-43E1-A35C-868A67CCADD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kødbyen vagt 23
19-06:30</t>
        </r>
      </text>
    </comment>
    <comment ref="AC84" authorId="3" shapeId="0" xr:uid="{64E4626E-0398-4E2C-BA74-E618FC34DE6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Hospitalet</t>
        </r>
      </text>
    </comment>
    <comment ref="N86" authorId="5" shapeId="0" xr:uid="{43C5A256-AFC4-4018-A1F6-2455578B00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16.45.</t>
        </r>
      </text>
    </comment>
    <comment ref="O86" authorId="4" shapeId="0" xr:uid="{FDA8E413-8EE5-43AF-9E0D-8529988228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til modtagelse.</t>
        </r>
      </text>
    </comment>
    <comment ref="R86" authorId="4" shapeId="0" xr:uid="{BDD6CAD7-9B45-4194-BCE7-2117C238573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oplæring på Sjællandsgade en af dagene.</t>
        </r>
      </text>
    </comment>
    <comment ref="W86" authorId="2" shapeId="0" xr:uid="{548BA22E-F735-42CF-AF3F-2C5AF13CFCE2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Møder kl 19 Opl Emdrupvej</t>
        </r>
      </text>
    </comment>
    <comment ref="X86" authorId="2" shapeId="0" xr:uid="{3212EC2E-76C4-49A3-8AB2-7C1FB1F2BCD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Møder kl 19 Opl Emdrupvej</t>
        </r>
      </text>
    </comment>
    <comment ref="D89" authorId="4" shapeId="0" xr:uid="{29F06773-FFAB-4C6F-9820-78799EB6E5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E89" authorId="4" shapeId="0" xr:uid="{103407EE-EFF6-48E9-A013-3FD2609A2E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F89" authorId="4" shapeId="0" xr:uid="{C370EE48-F3EA-41D7-B2EA-5274BC01452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G89" authorId="4" shapeId="0" xr:uid="{1B3B4AFD-B47E-423F-ACF7-E73A7B50FA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R89" authorId="3" shapeId="0" xr:uid="{10B63F26-B9EC-4A05-9B8E-E3031B2F1E9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OA 26 vagt</t>
        </r>
      </text>
    </comment>
    <comment ref="S89" authorId="3" shapeId="0" xr:uid="{E3330BB2-AEBB-4E99-A023-395AE262EB9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OA 26 vagt</t>
        </r>
      </text>
    </comment>
    <comment ref="T89" authorId="3" shapeId="0" xr:uid="{3CB5BE70-7A76-436E-AD8C-C40969A51A8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OA 26 vagt</t>
        </r>
      </text>
    </comment>
    <comment ref="AF89" authorId="2" shapeId="0" xr:uid="{64AC531F-6CA5-4C1A-A6D4-39520AA9A7A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3 vagt OA</t>
        </r>
      </text>
    </comment>
    <comment ref="D91" authorId="5" shapeId="0" xr:uid="{E16F4656-1BD3-478D-86C7-B93D6CCAB89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O91" authorId="3" shapeId="0" xr:uid="{5A865D0C-9633-4219-9ADC-61F4ABA881E1}">
      <text>
        <r>
          <rPr>
            <sz val="9"/>
            <rFont val="Arial"/>
            <family val="2"/>
          </rPr>
          <t>Mathias Søndergaard:
16:00-23:30 ØKF julefrokost</t>
        </r>
      </text>
    </comment>
    <comment ref="D92" authorId="5" shapeId="0" xr:uid="{506CED84-8974-4354-A19E-64758450B45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O94" authorId="3" shapeId="0" xr:uid="{83F61E79-ADCA-4166-8A14-874AC02B3B6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O6 OA</t>
        </r>
      </text>
    </comment>
    <comment ref="P94" authorId="3" shapeId="0" xr:uid="{708D9250-9D7F-4B5D-8D36-263BAE8B7C9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O3 OA</t>
        </r>
      </text>
    </comment>
    <comment ref="Q94" authorId="3" shapeId="0" xr:uid="{9257411D-FAD6-4DBC-A355-672582F58EC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O5 OA</t>
        </r>
      </text>
    </comment>
    <comment ref="D100" authorId="3" shapeId="0" xr:uid="{8602455E-7BAC-41C4-97F9-5A078DE1525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100" authorId="3" shapeId="0" xr:uid="{4EF8B1BD-613C-474E-A92A-FA512B60AC1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100" authorId="3" shapeId="0" xr:uid="{C9698AF8-3F1C-4B8D-94D3-A3459814206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100" authorId="3" shapeId="0" xr:uid="{6EF1537A-1B0D-4AD3-ADA2-B3194700321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100" authorId="3" shapeId="0" xr:uid="{442044D2-32FD-4E03-9D65-EE35347942F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100" authorId="3" shapeId="0" xr:uid="{09ADE52F-3E06-4AF1-AC44-0E621630CA6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100" authorId="3" shapeId="0" xr:uid="{2F00BF2D-C01D-4E98-925A-2F680FEEDCA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100" authorId="3" shapeId="0" xr:uid="{801B7009-A57B-4588-A0DD-AFEB4C9F641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100" authorId="3" shapeId="0" xr:uid="{1C7B8B54-A4B6-4D89-B271-2384D113AD4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100" authorId="3" shapeId="0" xr:uid="{EAE0C946-73D5-4E5A-AA23-8831BE4673C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100" authorId="3" shapeId="0" xr:uid="{0BD6ED0A-3F25-43B7-8AA7-88322A24DBE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100" authorId="3" shapeId="0" xr:uid="{ABED090F-6EC0-403C-890B-88FC3A09E31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100" authorId="3" shapeId="0" xr:uid="{0DF84AAE-B85A-4452-BC65-7270DFFD507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100" authorId="3" shapeId="0" xr:uid="{09ECD56A-3CA4-4637-9E65-FD386AE5738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100" authorId="3" shapeId="0" xr:uid="{90EBAE3E-00D6-4CD3-B479-4A8DCC1B330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101" authorId="3" shapeId="0" xr:uid="{75F51016-AADF-449B-81C2-2920D7D3AB4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Alene fra 12:30</t>
        </r>
      </text>
    </comment>
    <comment ref="K102" authorId="3" shapeId="0" xr:uid="{84F7694E-2C0F-4406-ABD3-FDDD3303284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15:15</t>
        </r>
      </text>
    </comment>
    <comment ref="D103" authorId="3" shapeId="0" xr:uid="{EAE96160-1FBE-443F-A0FD-628C6097B92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103" authorId="3" shapeId="0" xr:uid="{A51809C1-7EF9-4B23-AED2-F4E58384859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103" authorId="0" shapeId="0" xr:uid="{40E0BC04-F576-457C-97C1-0FDB2D791CB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103" authorId="3" shapeId="0" xr:uid="{6A4B11C5-9CC3-457C-92D7-CC8FFA813A0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139" authorId="3" shapeId="0" xr:uid="{1C6B9F98-BF30-4372-8F4E-3AEE4A1D56A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SP6 OA</t>
        </r>
      </text>
    </comment>
    <comment ref="I139" authorId="3" shapeId="0" xr:uid="{1ACBA194-B62F-4C03-BE1A-BEB994A1864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SP3 OA</t>
        </r>
      </text>
    </comment>
    <comment ref="J139" authorId="3" shapeId="0" xr:uid="{A08816F2-B63D-4FA4-869E-85251260F26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SP5 OA</t>
        </r>
      </text>
    </comment>
    <comment ref="V139" authorId="3" shapeId="0" xr:uid="{B3B0378C-63D0-4F27-A4EA-F37197E3899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SP6 OA</t>
        </r>
      </text>
    </comment>
    <comment ref="W139" authorId="3" shapeId="0" xr:uid="{9F23323D-A7C1-4CBA-BAA2-4E75F4C1588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SP3 OA</t>
        </r>
      </text>
    </comment>
    <comment ref="X139" authorId="3" shapeId="0" xr:uid="{5ED16212-E5DF-4EE5-A056-DB5563388E0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SP5 OA</t>
        </r>
      </text>
    </comment>
    <comment ref="N148" authorId="4" shapeId="0" xr:uid="{CE7191B4-F686-473F-BF40-9F11C3BE90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N160" authorId="3" shapeId="0" xr:uid="{613BB1EF-B27E-456A-9AC9-A379D755113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fra 12:00</t>
        </r>
      </text>
    </comment>
    <comment ref="E161" authorId="4" shapeId="0" xr:uid="{E0E21885-0E64-45D3-8D90-2890B6108D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</t>
        </r>
      </text>
    </comment>
    <comment ref="N161" authorId="4" shapeId="0" xr:uid="{73D3FA04-DD75-4D4D-AA11-B005CD28C9C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E162" authorId="4" shapeId="0" xr:uid="{0CD25C2D-C635-43F9-9C93-1F49083CB0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</t>
        </r>
      </text>
    </comment>
    <comment ref="F162" authorId="1" shapeId="0" xr:uid="{DA693185-5A88-4298-BF7C-280D3A67BB3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 hele dagen</t>
        </r>
      </text>
    </comment>
    <comment ref="H162" authorId="3" shapeId="0" xr:uid="{212C9427-7920-4899-AE3D-AFBA11A3DD9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N162" authorId="4" shapeId="0" xr:uid="{8B1350E9-EF45-44FE-9965-6E0FDB0A75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163" authorId="5" shapeId="0" xr:uid="{BD724119-1E2C-4A17-9179-451B5644D37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N163" authorId="4" shapeId="0" xr:uid="{C17EF090-A501-4AD7-AAF2-14B8B9D4F3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E164" authorId="5" shapeId="0" xr:uid="{E9F3AF2D-6C0D-4F88-AC8D-74136E655A4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10.00-12.30
Trivselsudvalg 14:30-15:50
Går 15:15</t>
        </r>
      </text>
    </comment>
    <comment ref="N164" authorId="4" shapeId="0" xr:uid="{43753C21-6AA7-4B9F-8001-0D145497AA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O164" authorId="3" shapeId="0" xr:uid="{CF9B0F9B-E150-44F1-8542-5A2613800E2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AMR fuglebakken 10:30-14:00</t>
        </r>
      </text>
    </comment>
    <comment ref="W164" authorId="4" shapeId="0" xr:uid="{C922E0B3-88E3-4C44-A028-C89578BEB49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08-16</t>
        </r>
      </text>
    </comment>
    <comment ref="AF164" authorId="3" shapeId="0" xr:uid="{65C44256-5785-4D30-BE8F-BF0C577F67B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kl. 14:00</t>
        </r>
      </text>
    </comment>
    <comment ref="U181" authorId="3" shapeId="0" xr:uid="{408BEFC2-7593-4FBF-9CB2-F2626B61122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S1 OA</t>
        </r>
      </text>
    </comment>
    <comment ref="N198" authorId="4" shapeId="0" xr:uid="{E5DF7BF9-7D20-43A7-8737-C11595DD6E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P201" authorId="4" shapeId="0" xr:uid="{C749E682-CFC9-4230-BBA1-0F4098BCD9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27" authorId="6" shapeId="0" xr:uid="{16947943-C095-4D56-BA8D-5D3B19C33D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BBU betaler afløser</t>
        </r>
      </text>
    </comment>
    <comment ref="P228" authorId="4" shapeId="0" xr:uid="{A5428158-4F41-44E7-8DD3-9F5330882D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10.00 - 14.00</t>
        </r>
      </text>
    </comment>
    <comment ref="D296" authorId="3" shapeId="0" xr:uid="{F0CBBEF7-CF49-46EF-8212-CC65AE2117C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Lægen</t>
        </r>
      </text>
    </comment>
    <comment ref="K296" authorId="3" shapeId="0" xr:uid="{A5CB50A8-CF58-4CA0-A7DA-C582E49A396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kl. 10.00</t>
        </r>
      </text>
    </comment>
    <comment ref="K297" authorId="3" shapeId="0" xr:uid="{AFFC1718-D3F4-4CB9-BC2A-F6B1B57855D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13:30</t>
        </r>
      </text>
    </comment>
    <comment ref="R297" authorId="3" shapeId="0" xr:uid="{6F423718-53E0-43CC-ACEE-8B07AC80596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13:30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Søndergaard</author>
    <author>Thomas Holm</author>
    <author>Lars Crone</author>
    <author>Steen Hertin</author>
    <author>Gunner Lindskov Grell</author>
    <author>Nick Lorentzen</author>
    <author>Steen Hertin-Sandkær</author>
    <author>Jesper Larsen</author>
    <author>Kim Holm Aabroe</author>
    <author>Rasmus Sørensen</author>
  </authors>
  <commentList>
    <comment ref="X18" authorId="0" shapeId="0" xr:uid="{E8FA4D71-F650-47B7-849B-51AFDE3F407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AF19" authorId="0" shapeId="0" xr:uid="{2679B484-FBB0-4486-AB1D-015E93E015A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AG19" authorId="0" shapeId="0" xr:uid="{BA2B5EF1-B0B0-4531-9B10-97F346D040E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W21" authorId="1" shapeId="0" xr:uid="{FA9B0EDD-C4A3-4FFA-AEB1-55738C26A7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H22" authorId="0" shapeId="0" xr:uid="{8E53B263-24B6-49E0-887B-256738CB4C1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I22" authorId="0" shapeId="0" xr:uid="{8359681D-1A3C-4366-B8C4-4B2399B4773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J22" authorId="0" shapeId="0" xr:uid="{AECE1DCE-9FBB-4791-801B-48C2F7C2F3D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K22" authorId="0" shapeId="0" xr:uid="{19177260-0A5B-4F9A-ABAF-29B607374E5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W22" authorId="0" shapeId="0" xr:uid="{2558BFD4-0DFC-4338-B81E-41740ABD3F1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X22" authorId="0" shapeId="0" xr:uid="{267327A6-2870-44AB-A175-65A99D6C26C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Y22" authorId="2" shapeId="0" xr:uid="{A4BF133C-C49D-4DB2-9660-0709758322E8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Z22" authorId="0" shapeId="0" xr:uid="{A4E6F4EE-0C2C-4474-8C82-D93D0F28BB7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L25" authorId="0" shapeId="0" xr:uid="{3D97CEB3-DC69-477B-95FD-2862B6F7758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Vagthavende V1. Alt arbejde udenfor normal arbejdstid er overarbejde</t>
        </r>
      </text>
    </comment>
    <comment ref="V25" authorId="0" shapeId="0" xr:uid="{AE4089DF-5B01-4C39-865E-0D752D0D65E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mødetid 19:00-02:30 + vagthavende 22.00 - 06.45</t>
        </r>
      </text>
    </comment>
    <comment ref="W25" authorId="0" shapeId="0" xr:uid="{484A2239-8F5F-4BAD-A542-BF7FA65653C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G25" authorId="3" shapeId="0" xr:uid="{3E7C4626-3152-45E7-9E13-D637DE597D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13.15</t>
        </r>
      </text>
    </comment>
    <comment ref="J27" authorId="0" shapeId="0" xr:uid="{348CD664-2D31-441F-A560-52208CE2467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hilser på flygtningecentre og kødbyen</t>
        </r>
      </text>
    </comment>
    <comment ref="AE27" authorId="4" shapeId="0" xr:uid="{C6E175ED-3750-434D-9F6A-7B0EDAA1AE0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rundt om natten og tale med vagterne </t>
        </r>
      </text>
    </comment>
    <comment ref="AF27" authorId="4" shapeId="0" xr:uid="{E6E1392A-CFF3-450B-87DE-D5D26E8115C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rundt om natten og tale med vagterne </t>
        </r>
      </text>
    </comment>
    <comment ref="E28" authorId="0" shapeId="0" xr:uid="{D62D0906-AE6E-441C-9CF4-CA483E91CB4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08:45</t>
        </r>
      </text>
    </comment>
    <comment ref="L28" authorId="0" shapeId="0" xr:uid="{7A112E17-7EC9-4F86-8B12-A6CAD0B29E9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fra kl. 08:00</t>
        </r>
      </text>
    </comment>
    <comment ref="R28" authorId="0" shapeId="0" xr:uid="{B8ECE9D0-DA21-464D-BD6D-2E485BC603C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12:15</t>
        </r>
      </text>
    </comment>
    <comment ref="V28" authorId="0" shapeId="0" xr:uid="{5A1960B9-EF15-4469-8E78-DA69AF6FCCE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med Jonas</t>
        </r>
      </text>
    </comment>
    <comment ref="W28" authorId="0" shapeId="0" xr:uid="{4D1D12E5-2D8C-4DC3-B878-A980BC872BF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igen på rentemestervej 22:00 opsætning
Fri dagen efter</t>
        </r>
      </text>
    </comment>
    <comment ref="Y28" authorId="0" shapeId="0" xr:uid="{C2177B62-B9D3-481A-9A75-A2E01F72FB4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kl. 08:00</t>
        </r>
      </text>
    </comment>
    <comment ref="AA28" authorId="0" shapeId="0" xr:uid="{C4E36D32-E3A0-413E-A0A0-700C09F7F82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16.00</t>
        </r>
      </text>
    </comment>
    <comment ref="AB28" authorId="0" shapeId="0" xr:uid="{0695428B-3BF2-4910-801E-60809DAEF48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18:30</t>
        </r>
      </text>
    </comment>
    <comment ref="AD28" authorId="0" shapeId="0" xr:uid="{B913EB09-0089-4E0E-9360-DE728B4B3AE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14.00</t>
        </r>
      </text>
    </comment>
    <comment ref="AF28" authorId="0" shapeId="0" xr:uid="{F1F284CA-D2E7-4551-A3FF-EDD0E928DEB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12:30</t>
        </r>
      </text>
    </comment>
    <comment ref="AG28" authorId="3" shapeId="0" xr:uid="{EC2D29AF-244A-48C0-A0B8-B752558145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13.15</t>
        </r>
      </text>
    </comment>
    <comment ref="T29" authorId="5" shapeId="0" xr:uid="{95FCFAFC-69FA-4516-9643-F0AF4C6E099A}">
      <text>
        <r>
          <rPr>
            <sz val="9"/>
            <rFont val="Arial"/>
            <family val="2"/>
          </rPr>
          <t xml:space="preserve">Nick Lorentzen:
Nørrebro Bibliotek
Kl.: 10:00 - 14:00 </t>
        </r>
      </text>
    </comment>
    <comment ref="W29" authorId="2" shapeId="0" xr:uid="{31A76A90-DAA8-4D40-9C0A-1767905D254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Rentemestervej til 22:00</t>
        </r>
      </text>
    </comment>
    <comment ref="AB29" authorId="2" shapeId="0" xr:uid="{DCB9643E-2944-4DD1-ABA9-D2FCC72BFE3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Rentemestervej til 18:30</t>
        </r>
      </text>
    </comment>
    <comment ref="W43" authorId="6" shapeId="0" xr:uid="{EAAB1684-BDFD-4B2E-A1A9-ED21F6BC208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4-vagt på OA
Tager på blågårdens bibliotek fra 13-17</t>
        </r>
      </text>
    </comment>
    <comment ref="X43" authorId="0" shapeId="0" xr:uid="{5C4A89A3-BCF2-4A55-9D8D-4845E24E650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Y43" authorId="0" shapeId="0" xr:uid="{B7BFF409-5407-4AC3-90D3-AAD110D8239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Z43" authorId="0" shapeId="0" xr:uid="{179C8DF6-2913-4C5D-A4DA-B42E4942016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4-vagt OA
Afspadserer fra kl. 18:00</t>
        </r>
      </text>
    </comment>
    <comment ref="AG43" authorId="4" shapeId="0" xr:uid="{C69AB353-83BB-4B27-B5B7-13716EF5A9A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Fuglebakken fra kl. 14:00 til 17:00</t>
        </r>
      </text>
    </comment>
    <comment ref="U45" authorId="5" shapeId="0" xr:uid="{73ACB3F7-542A-438C-A519-643DF2DAF12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07:00 - 09:00</t>
        </r>
      </text>
    </comment>
    <comment ref="O48" authorId="7" shapeId="0" xr:uid="{E4D76FAC-192E-412C-8349-C9F98EBC1C3A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Bo i</t>
        </r>
      </text>
    </comment>
    <comment ref="P48" authorId="7" shapeId="0" xr:uid="{D9333394-CDF9-406E-AB78-0E6BA4C38D2F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Bo i</t>
        </r>
      </text>
    </comment>
    <comment ref="Q48" authorId="7" shapeId="0" xr:uid="{516338B0-7762-4B27-A216-72C33F509548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Bo i</t>
        </r>
      </text>
    </comment>
    <comment ref="R48" authorId="7" shapeId="0" xr:uid="{8F78202B-9713-42A7-8F5D-D49353CAB267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Bo i</t>
        </r>
      </text>
    </comment>
    <comment ref="S48" authorId="7" shapeId="0" xr:uid="{6E8A5400-5747-43F4-844B-DE2D31BAAC2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Bo i
11-vagt OA</t>
        </r>
      </text>
    </comment>
    <comment ref="K50" authorId="8" shapeId="0" xr:uid="{88DD2F72-D7D6-46E9-AEB4-5C143FF6663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gået syg hjem kl. 16.00</t>
        </r>
      </text>
    </comment>
    <comment ref="C54" authorId="2" shapeId="0" xr:uid="{C7663912-80B2-40F2-BC61-9A0175906CF6}">
      <text>
        <r>
          <rPr>
            <sz val="9"/>
            <rFont val="Arial"/>
            <family val="2"/>
          </rPr>
          <t>Lars Crone:
11 vagt OA</t>
        </r>
      </text>
    </comment>
    <comment ref="O54" authorId="7" shapeId="0" xr:uid="{64652910-7955-4681-ABA7-642C948C42E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simon
</t>
        </r>
      </text>
    </comment>
    <comment ref="P54" authorId="7" shapeId="0" xr:uid="{299EF572-3B96-4041-A0D6-1869A531F37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simon
</t>
        </r>
      </text>
    </comment>
    <comment ref="Q54" authorId="7" shapeId="0" xr:uid="{C1DB0140-512F-4050-BA22-E3736988A2B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simon
</t>
        </r>
      </text>
    </comment>
    <comment ref="R54" authorId="7" shapeId="0" xr:uid="{DC94664B-F31A-4D8B-A457-2C5B73B78D4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simon
</t>
        </r>
      </text>
    </comment>
    <comment ref="S54" authorId="7" shapeId="0" xr:uid="{726B7AC0-3E14-4F7E-A8E0-6D4E5F422ED8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bytter med simon
</t>
        </r>
      </text>
    </comment>
    <comment ref="L55" authorId="2" shapeId="0" xr:uid="{2C19225F-4D72-4733-A1C7-CB42EC459CE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til læge på  amager og Riget
kommer ikke</t>
        </r>
      </text>
    </comment>
    <comment ref="X65" authorId="0" shapeId="0" xr:uid="{ADEE7E29-672C-45DF-8855-FBC286DA3AF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99-vagten</t>
        </r>
      </text>
    </comment>
    <comment ref="K66" authorId="0" shapeId="0" xr:uid="{59E6B618-B5FF-4C4C-8960-EF9EC90D0C6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BCH</t>
        </r>
      </text>
    </comment>
    <comment ref="L66" authorId="0" shapeId="0" xr:uid="{B81CE1F0-0045-48E9-8608-827A2051138B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Daglig Tjeneste</t>
        </r>
      </text>
    </comment>
    <comment ref="M66" authorId="0" shapeId="0" xr:uid="{09765A9C-7293-4A80-82CB-636F74BB361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P66" authorId="0" shapeId="0" xr:uid="{13778304-3E34-48E6-934A-C41CD8BDF8B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P-vagten</t>
        </r>
      </text>
    </comment>
    <comment ref="S66" authorId="7" shapeId="0" xr:uid="{E4556E42-F71B-4E8D-B349-FF6F7AFD9F9C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blågårds bibi 10-14</t>
        </r>
      </text>
    </comment>
    <comment ref="W66" authorId="2" shapeId="0" xr:uid="{4531DB25-1D2F-4A3B-9F3D-438777CFCCA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Rentemestervej til 22:00</t>
        </r>
      </text>
    </comment>
    <comment ref="X66" authorId="2" shapeId="0" xr:uid="{CDAFC3B2-038C-4597-919E-4492C36C8AC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0,5 time OA</t>
        </r>
      </text>
    </comment>
    <comment ref="AC66" authorId="0" shapeId="0" xr:uid="{B9A56A69-4919-4DA7-95AB-4735462F3CB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AD66" authorId="0" shapeId="0" xr:uid="{B2958165-A201-4B47-88D4-1808A5AA079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AE66" authorId="0" shapeId="0" xr:uid="{96BAE9FA-81ED-4C60-9A26-A132733E5CD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AF66" authorId="0" shapeId="0" xr:uid="{A1E47DE5-D125-4A56-B9A5-8F5F18043DF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AG66" authorId="0" shapeId="0" xr:uid="{CE791EA7-BFB9-4737-9561-C1D5B5D7783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H67" authorId="8" shapeId="0" xr:uid="{CCB76DA1-1B66-4736-9C26-A574CF393ED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RF1 alt udenfor normal arbejdstid er OA
</t>
        </r>
      </text>
    </comment>
    <comment ref="I67" authorId="8" shapeId="0" xr:uid="{31EEDFAD-D99F-4E83-AA3D-C77DB6AA1D3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RF1 alt udenfor normal arbejdstid er OA
</t>
        </r>
      </text>
    </comment>
    <comment ref="J67" authorId="8" shapeId="0" xr:uid="{80BA3960-0B58-4CE1-972B-3F5088F0EC2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RF1 alt udenfor normal arbejdstid er OA
</t>
        </r>
      </text>
    </comment>
    <comment ref="K67" authorId="8" shapeId="0" xr:uid="{6F7B7528-6134-409C-8648-0D5F452CC33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RF1 alt udenfor normal arbejdstid er OA
</t>
        </r>
      </text>
    </comment>
    <comment ref="L67" authorId="8" shapeId="0" xr:uid="{BDBEF4ED-0C88-428B-8F84-B0EC9710BC6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RF1 alt udenfor normal arbejdstid er OA
</t>
        </r>
      </text>
    </comment>
    <comment ref="Z67" authorId="6" shapeId="0" xr:uid="{C7C64A67-9CB9-4521-9631-4D95EFCE5A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Y69" authorId="6" shapeId="0" xr:uid="{592EA9D7-D07A-467A-8024-E50515899B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
Hovedport under Br-Møde</t>
        </r>
      </text>
    </comment>
    <comment ref="Z69" authorId="6" shapeId="0" xr:uid="{4A2016EB-D02A-46DA-8D93-F2336A20BC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AB69" authorId="0" shapeId="0" xr:uid="{05BAD7DC-6F32-4B56-AFE0-50F3E79941F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OA rentemestervej efter 26 vagt Arrangement + opsætning med Johnny</t>
        </r>
      </text>
    </comment>
    <comment ref="AG69" authorId="4" shapeId="0" xr:uid="{C7C2ABC5-CA28-445C-9728-30A7E52F275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09:30 - 17:30</t>
        </r>
      </text>
    </comment>
    <comment ref="W70" authorId="4" shapeId="0" xr:uid="{0F0E8B9B-99B4-4F45-8DFA-3A8ECAA4D9C1}">
      <text>
        <r>
          <rPr>
            <b/>
            <sz val="9"/>
            <color indexed="81"/>
            <rFont val="Tahoma"/>
            <family val="2"/>
          </rPr>
          <t>Gunner Lindskov Grell</t>
        </r>
      </text>
    </comment>
    <comment ref="Y73" authorId="6" shapeId="0" xr:uid="{BB57A403-247A-4C56-9455-6E2AE9817A0B}">
      <text>
        <r>
          <rPr>
            <b/>
            <sz val="9"/>
            <color indexed="81"/>
            <rFont val="Tahoma"/>
            <family val="2"/>
          </rPr>
          <t xml:space="preserve">Holm
</t>
        </r>
        <r>
          <rPr>
            <sz val="9"/>
            <color indexed="81"/>
            <rFont val="Tahoma"/>
            <family val="2"/>
          </rPr>
          <t>BR-Nytårskur 
16:30-24:00</t>
        </r>
      </text>
    </comment>
    <comment ref="Z73" authorId="6" shapeId="0" xr:uid="{112EBFCC-E8DE-41FA-BA9F-303B3E23516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E75" authorId="6" shapeId="0" xr:uid="{1BB6986C-CC15-4BE9-9E24-D4071B98350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AG75" authorId="4" shapeId="0" xr:uid="{3BC2040B-67E0-4ABE-ACF9-043DACF1133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afløser for Johnny
</t>
        </r>
      </text>
    </comment>
    <comment ref="T76" authorId="0" shapeId="0" xr:uid="{20000E39-6CD3-4ED0-980F-19D87C55450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D78" authorId="0" shapeId="0" xr:uid="{B0EB9606-63FA-4832-B12C-ECEF0B2AA71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kl. 09:00</t>
        </r>
      </text>
    </comment>
    <comment ref="AA78" authorId="0" shapeId="0" xr:uid="{76AD9A61-8563-4AC0-BF9E-E7FCC860536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P82" authorId="0" shapeId="0" xr:uid="{995FF9DC-AE51-4BBB-BF86-B4342FE8BAA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lyongade til 15.00</t>
        </r>
      </text>
    </comment>
    <comment ref="I88" authorId="6" shapeId="0" xr:uid="{8F742CCA-A5CD-4B36-8820-F3EF265837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J88" authorId="6" shapeId="0" xr:uid="{CDABE6C5-6E3A-4218-A6CD-46AA45F25A1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K88" authorId="6" shapeId="0" xr:uid="{D8F803F3-3F81-463E-A112-BF13CF3E75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L88" authorId="6" shapeId="0" xr:uid="{9FF445F8-59D3-4C37-9ABB-5162C67E54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V88" authorId="0" shapeId="0" xr:uid="{1706EB82-2BCF-4DC8-8AE3-81C7BAED81D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 med Johnny - Johnny tager dig med fra rådhuset</t>
        </r>
      </text>
    </comment>
    <comment ref="W88" authorId="0" shapeId="0" xr:uid="{873974A7-F37C-445D-B841-682249C89DF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ekstra 25 vagt hjælpe med rentemestervej/bygninger</t>
        </r>
      </text>
    </comment>
    <comment ref="Y88" authorId="0" shapeId="0" xr:uid="{8144CF79-C7B2-4633-A5E3-29AF9AD96D9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på rådhuset - tager ud og hjælper på rentemestervej med Johnny</t>
        </r>
      </text>
    </comment>
    <comment ref="H90" authorId="0" shapeId="0" xr:uid="{8FC91AC7-BCAD-4502-9C9B-D1D76F356F7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90" authorId="0" shapeId="0" xr:uid="{747739AA-1E35-476C-9F60-8B9B17A5340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90" authorId="0" shapeId="0" xr:uid="{3C940EB5-5D62-4023-AD33-B94D0940D11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 når han møder
Møder senere, tandlæge</t>
        </r>
      </text>
    </comment>
    <comment ref="R90" authorId="0" shapeId="0" xr:uid="{6EA4EA53-CC0E-4C6E-9F9A-4EE492B3900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15.30</t>
        </r>
      </text>
    </comment>
    <comment ref="S90" authorId="7" shapeId="0" xr:uid="{EC293E26-D5BC-4F94-BD93-F704C2E00A02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V90" authorId="0" shapeId="0" xr:uid="{433964C9-CFAB-40DD-9320-8BEEF5AC0A2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90" authorId="0" shapeId="0" xr:uid="{EFEB9E07-23B0-419D-A984-58A790D04BD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93" authorId="9" shapeId="0" xr:uid="{F2198CE8-3EA5-47B9-BC36-B8D8D32A799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9-13</t>
        </r>
      </text>
    </comment>
    <comment ref="Q93" authorId="9" shapeId="0" xr:uid="{E9BC1BA4-F9E5-4052-B486-D2FE2B64266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Rundvisningen
kl. 9-13</t>
        </r>
      </text>
    </comment>
    <comment ref="R93" authorId="9" shapeId="0" xr:uid="{6933CE0D-8D40-430E-90E1-B32F294882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Posten 
kl. 9-13</t>
        </r>
      </text>
    </comment>
    <comment ref="P94" authorId="9" shapeId="0" xr:uid="{5CE3D815-6112-4276-871A-CB3467FCD6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9-13</t>
        </r>
      </text>
    </comment>
    <comment ref="Q94" authorId="9" shapeId="0" xr:uid="{D584D322-8B77-4E5B-987C-82273A9416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Rundvisningen
kl. 9-13</t>
        </r>
      </text>
    </comment>
    <comment ref="R94" authorId="9" shapeId="0" xr:uid="{4FF7051D-2E67-4009-BF29-03E09F895F5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Posten 
kl. 9-13</t>
        </r>
      </text>
    </comment>
    <comment ref="O95" authorId="0" shapeId="0" xr:uid="{083CD5A3-0E70-4086-9EA5-BC0B53AA14A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rundvisning 8-15</t>
        </r>
      </text>
    </comment>
    <comment ref="P95" authorId="9" shapeId="0" xr:uid="{5C05DF6B-5715-4D56-85DD-4DD29BE62C5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Posten 
kl. 8-15</t>
        </r>
      </text>
    </comment>
    <comment ref="Q95" authorId="9" shapeId="0" xr:uid="{36ACEE19-5E18-46BE-BE32-0A2F2C46F07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Maskinhuset
8-15</t>
        </r>
      </text>
    </comment>
    <comment ref="R95" authorId="0" shapeId="0" xr:uid="{DD943E79-3EAE-49B6-B0BF-272DAF4E34C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Arrangementsservice
8-15</t>
        </r>
      </text>
    </comment>
    <comment ref="S95" authorId="0" shapeId="0" xr:uid="{91D8424F-A56A-42B6-9D31-8451930A662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08-15</t>
        </r>
      </text>
    </comment>
    <comment ref="U104" authorId="5" shapeId="0" xr:uid="{A28B1128-92B9-40A1-859E-8126B893B6D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16:00 til 16:30 
under lukning af biblioteket.</t>
        </r>
      </text>
    </comment>
    <comment ref="AB105" authorId="8" shapeId="0" xr:uid="{E6EB4DEB-8D26-4B52-9BCA-D0DD665B66D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AF158" authorId="0" shapeId="0" xr:uid="{670ED407-4A03-46F7-AEB6-60D482DF020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gik 11:00</t>
        </r>
      </text>
    </comment>
    <comment ref="J160" authorId="0" shapeId="0" xr:uid="{AC9A6E14-46CA-49FF-88AE-CD8DF447FD3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hilser på flygtninge centre og kødbyen</t>
        </r>
      </text>
    </comment>
    <comment ref="W160" authorId="0" shapeId="0" xr:uid="{5D191C8A-648B-495D-92F9-1BAB19A374D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10:30</t>
        </r>
      </text>
    </comment>
    <comment ref="X160" authorId="0" shapeId="0" xr:uid="{30A2337C-7811-4238-88B3-AFEF1D6E3BF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ikke grundet arbejdet om aftenen/natten d. 8 januar</t>
        </r>
      </text>
    </comment>
    <comment ref="AE160" authorId="0" shapeId="0" xr:uid="{14FA25C9-FD0C-4F3B-9E15-94B6458A193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FOA
skal rundt om natten og tale med vagterne 
GLG
</t>
        </r>
      </text>
    </comment>
    <comment ref="AF160" authorId="4" shapeId="0" xr:uid="{2E9A4662-C8CD-4D9F-B3D6-84074CE6D81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rundt om natten og tale med vagterne </t>
        </r>
      </text>
    </comment>
    <comment ref="F162" authorId="6" shapeId="0" xr:uid="{54455FB8-A303-48C2-9313-069DDD14F2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08-16</t>
        </r>
      </text>
    </comment>
    <comment ref="G162" authorId="6" shapeId="0" xr:uid="{1C182606-2F06-45E9-9F4E-54188C0FBD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08-16</t>
        </r>
      </text>
    </comment>
    <comment ref="J162" authorId="0" shapeId="0" xr:uid="{6D473D92-8351-40C9-B97E-F1E456F7D45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hilser på flygtningecentre og kødbyen</t>
        </r>
      </text>
    </comment>
    <comment ref="K162" authorId="0" shapeId="0" xr:uid="{F61E06AA-7AA2-4139-9D4E-D925A8DA1FE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ikke grundet arbejdet om aftenen/natten dagen forinden</t>
        </r>
      </text>
    </comment>
    <comment ref="P162" authorId="0" shapeId="0" xr:uid="{E5D3AA78-5A5E-44D3-A138-FF8BB930349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 09-10</t>
        </r>
      </text>
    </comment>
    <comment ref="R162" authorId="0" shapeId="0" xr:uid="{F3D681EB-09AB-4576-9FEF-16A03BE8F2E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fuglebakken, går 08:30 og er væk resten af dagen</t>
        </r>
      </text>
    </comment>
    <comment ref="AC162" authorId="0" shapeId="0" xr:uid="{DD38C7B8-A8B2-4FC3-A1E8-FC3887E031C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online møde 14.00-15.00</t>
        </r>
      </text>
    </comment>
    <comment ref="AE162" authorId="4" shapeId="0" xr:uid="{72FB848C-9B20-4177-8B39-21F37B3F533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rundt om natten og tale med vagterne 
</t>
        </r>
      </text>
    </comment>
    <comment ref="AF162" authorId="4" shapeId="0" xr:uid="{2B2C46FE-70D1-4196-A987-B86ED92D073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rundt om natten og tale med vagterne 
</t>
        </r>
      </text>
    </comment>
    <comment ref="H287" authorId="0" shapeId="0" xr:uid="{A959EF27-0CC7-440F-B824-5C41858A464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kl. 11:00</t>
        </r>
      </text>
    </comment>
    <comment ref="V294" authorId="2" shapeId="0" xr:uid="{C057E485-AE70-4128-800D-6E5EC1858972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Møder ca kl 09:00</t>
        </r>
      </text>
    </comment>
    <comment ref="W294" authorId="0" shapeId="0" xr:uid="{0FE13858-1985-49EA-92B1-1BCB685327D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Gået syg hjem 09:15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Jesper Larsen</author>
    <author>Thomas Holm</author>
    <author>Mathias Søndergaard</author>
    <author>Steen Hertin-Sandkær</author>
    <author>Lasse Aae-Hartwig</author>
    <author>Kim Holm Aabroe</author>
    <author>Nick Lorentzen</author>
    <author>Rasmus Sørensen</author>
    <author>Kim BT. Pedersen</author>
    <author>Gunner Lindskov Grell</author>
    <author>Lars Crone</author>
    <author>Nikolaj Langtin Pamhede</author>
  </authors>
  <commentList>
    <comment ref="P19" authorId="0" shapeId="0" xr:uid="{B0A3E2D2-9D4E-48C3-A62D-2B91454D27B2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tag jespers vagt V3
</t>
        </r>
      </text>
    </comment>
    <comment ref="T19" authorId="1" shapeId="0" xr:uid="{E91B5F01-5A96-4DBA-9926-A6262F19D2C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Introduktion til KK-kort
14.00-16.00</t>
        </r>
      </text>
    </comment>
    <comment ref="V19" authorId="0" shapeId="0" xr:uid="{5C5418E2-F601-4F33-8869-8925583D118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har bytte med jesper
den 20-02</t>
        </r>
      </text>
    </comment>
    <comment ref="E20" authorId="1" shapeId="0" xr:uid="{3AA280D3-4BBA-4DBA-AE98-5819997C551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T20" authorId="1" shapeId="0" xr:uid="{3E0B2F8E-5012-4E05-B9CC-AB3EF31EF9F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Introduktion til KK-kort
14.00-16.00</t>
        </r>
      </text>
    </comment>
    <comment ref="Z21" authorId="1" shapeId="0" xr:uid="{54897610-CAA5-40E3-9596-DDB04C06FF2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A21" authorId="1" shapeId="0" xr:uid="{8E7B2E69-809B-4B8A-B5A9-3ECFA819A5A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B21" authorId="1" shapeId="0" xr:uid="{398EF266-0710-4CB5-B453-DD4A47A57D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C21" authorId="1" shapeId="0" xr:uid="{91BDF720-A502-4906-83EB-83112FE3236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D21" authorId="1" shapeId="0" xr:uid="{79D8BA3B-E22D-4CB3-B388-1B453C59FD1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V1+V3 på OA</t>
        </r>
      </text>
    </comment>
    <comment ref="E22" authorId="2" shapeId="0" xr:uid="{CB272276-2074-4B23-95E3-0EF42D6563D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F22" authorId="2" shapeId="0" xr:uid="{3B3F53EC-9F15-47B8-973B-D30EBD23400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
afspadsering fra kl. 10.00</t>
        </r>
      </text>
    </comment>
    <comment ref="G22" authorId="2" shapeId="0" xr:uid="{110B5CC2-3AAC-4043-966E-3B80BD40763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H22" authorId="2" shapeId="0" xr:uid="{DE144FCD-61D0-473B-B451-63D02F6FC6B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I22" authorId="2" shapeId="0" xr:uid="{2F6C8C3C-B522-4797-9EA7-C2ED03A8956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S22" authorId="2" shapeId="0" xr:uid="{2675E7EB-7774-45DB-ADD5-EC6367863D3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
Center-med 13:00-15:00</t>
        </r>
      </text>
    </comment>
    <comment ref="T22" authorId="1" shapeId="0" xr:uid="{CE448616-38EF-4504-A4FA-97CCB045554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
Introduktion til KK-kort
14.00-16.00
</t>
        </r>
      </text>
    </comment>
    <comment ref="AA25" authorId="3" shapeId="0" xr:uid="{03EFF4C4-8E9D-41BF-9796-AF605271111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nedtagning kl. 16.00</t>
        </r>
      </text>
    </comment>
    <comment ref="P26" authorId="0" shapeId="0" xr:uid="{4D9B9576-E2BF-4B32-99FB-F8D5A98804A0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har bytte med nick
den 20-02</t>
        </r>
      </text>
    </comment>
    <comment ref="T26" authorId="1" shapeId="0" xr:uid="{2EF368E1-7177-446D-B0F9-DCCF19AB57F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Introduktion til KK-kort
14.00-16.00</t>
        </r>
      </text>
    </comment>
    <comment ref="V26" authorId="0" shapeId="0" xr:uid="{8F666EE2-36D1-449B-821C-08B7695E4844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tag nicks vagt V3</t>
        </r>
      </text>
    </comment>
    <comment ref="G27" authorId="3" shapeId="0" xr:uid="{9287A6D0-5FF5-4497-BC74-F6A8818F74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H27" authorId="3" shapeId="0" xr:uid="{0605B8A4-A1B4-4027-A6D3-8B188078990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P27" authorId="3" shapeId="0" xr:uid="{823CBDCF-9B03-4E3E-BA6B-B0E47C22D4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10 - 14 oa kl 13.15</t>
        </r>
      </text>
    </comment>
    <comment ref="AD27" authorId="3" shapeId="0" xr:uid="{309E4F67-F4AF-4360-9493-C650573E25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10 - 14 oa kl 13.15</t>
        </r>
      </text>
    </comment>
    <comment ref="AA28" authorId="3" shapeId="0" xr:uid="{DB17845D-29D4-485D-86F6-EED2BFEFBC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nedtagning kl. 16.00</t>
        </r>
      </text>
    </comment>
    <comment ref="AD28" authorId="4" shapeId="0" xr:uid="{BC11BB56-0CEC-461F-BA8D-098A74AB2F1E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Er på rentemestervej fra kl 08.00 og frem starter på rådhuset.
</t>
        </r>
      </text>
    </comment>
    <comment ref="K29" authorId="5" shapeId="0" xr:uid="{38D539A0-44FF-4990-BD6F-71D359F9EBC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16.15</t>
        </r>
      </text>
    </comment>
    <comment ref="N29" authorId="4" shapeId="0" xr:uid="{DFB93316-11C9-429E-8E80-41FFF4CFBD56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Rentemestervej til 21.30
</t>
        </r>
      </text>
    </comment>
    <comment ref="R29" authorId="5" shapeId="0" xr:uid="{E49ABC1F-2806-4A68-B9D1-B2FA1F61C39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16.15</t>
        </r>
      </text>
    </comment>
    <comment ref="T43" authorId="2" shapeId="0" xr:uid="{7E172DE5-47BE-4B30-9044-A3DE676021D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Sydbanestien OA</t>
        </r>
      </text>
    </comment>
    <comment ref="S48" authorId="2" shapeId="0" xr:uid="{5DCCD4D3-9CE2-4DDF-A2B2-531541A27D3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S49" authorId="6" shapeId="0" xr:uid="{7936CA7C-D905-4F12-B614-1682AFB4811D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T49" authorId="6" shapeId="0" xr:uid="{B0FDA849-FD3B-45A1-B64B-1956F8EE7A4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U49" authorId="6" shapeId="0" xr:uid="{8F68B7BE-5E53-45B2-996B-60FDC8F358C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V49" authorId="6" shapeId="0" xr:uid="{C33BCFF7-6D42-4C39-8917-EF0CF2E5D94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X49" authorId="2" shapeId="0" xr:uid="{0B1AD91D-3FF7-469B-AD60-DC259AA754C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B2 OA</t>
        </r>
      </text>
    </comment>
    <comment ref="AD50" authorId="7" shapeId="0" xr:uid="{AB7085C8-B71C-4209-81EB-AA6EDA374D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til lægen - møder kl. 15 </t>
        </r>
      </text>
    </comment>
    <comment ref="N51" authorId="8" shapeId="0" xr:uid="{A3671884-E869-46DC-B6E7-4EA57999084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P51" authorId="6" shapeId="0" xr:uid="{6550B857-7A14-4740-8CED-9B9F03D4B00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AD51" authorId="2" shapeId="0" xr:uid="{792FE4A2-4301-4763-ACFF-1CBDB039C0F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går kl. 12:00</t>
        </r>
      </text>
    </comment>
    <comment ref="H54" authorId="6" shapeId="0" xr:uid="{A2ED1597-B3F7-479C-B480-87D7C35DB10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10 vagt OA</t>
        </r>
      </text>
    </comment>
    <comment ref="U54" authorId="2" shapeId="0" xr:uid="{81565CC1-80FD-41C6-A297-C2C12672078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M56" authorId="0" shapeId="0" xr:uid="{94DA992F-6747-4BB5-98C1-97FBC649C321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gik syg hejm kl 22:00
</t>
        </r>
      </text>
    </comment>
    <comment ref="X66" authorId="6" shapeId="0" xr:uid="{09B954B1-41D3-42BA-9903-9C24F44D09D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08:00 - 21:00 Gl. Vasbygade OA</t>
        </r>
      </text>
    </comment>
    <comment ref="Y66" authorId="6" shapeId="0" xr:uid="{045F81F6-44BA-4504-B3EA-91530EEDBC6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08:00 - 21:00 Gl. Vasbygade OA</t>
        </r>
      </text>
    </comment>
    <comment ref="F67" authorId="3" shapeId="0" xr:uid="{791B613C-2B85-42E5-8BA1-150AFAB91CE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Beholde fridag</t>
        </r>
      </text>
    </comment>
    <comment ref="S67" authorId="2" shapeId="0" xr:uid="{B0A2CA8F-2846-4273-BA15-3F225E2E9C3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Tager S-vagten. OA fra kl. 14:00</t>
        </r>
      </text>
    </comment>
    <comment ref="W67" authorId="3" shapeId="0" xr:uid="{CF07C741-4834-4062-B7B4-645224C30B8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10.00 - 14.00
</t>
        </r>
      </text>
    </comment>
    <comment ref="X67" authorId="2" shapeId="0" xr:uid="{D1B59EF8-E960-4200-B83A-7941688C113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Q68" authorId="6" shapeId="0" xr:uid="{7F12EAA4-61A4-4BE8-BBFB-900797C5A64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KA vagt OA</t>
        </r>
      </text>
    </comment>
    <comment ref="O69" authorId="0" shapeId="0" xr:uid="{24246CF0-3480-4747-B0D9-D86DF6DCC44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på 11-vagt
</t>
        </r>
      </text>
    </comment>
    <comment ref="P69" authorId="0" shapeId="0" xr:uid="{1BDC637E-11B4-4BAF-9942-593BE7E63B20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21-vagt
</t>
        </r>
      </text>
    </comment>
    <comment ref="X69" authorId="6" shapeId="0" xr:uid="{E5E37FFD-B384-4C58-89EF-625DDE647BD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B1 vagt OA</t>
        </r>
      </text>
    </comment>
    <comment ref="AD69" authorId="1" shapeId="0" xr:uid="{F3A52308-4710-457E-8A8F-E827656587C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7-vagt OA</t>
        </r>
      </text>
    </comment>
    <comment ref="Q70" authorId="6" shapeId="0" xr:uid="{23407FD4-57D0-4C63-BE01-1B2C58B04B8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R70" authorId="6" shapeId="0" xr:uid="{17EE34FF-2535-4175-9A6A-8C569AB5E2F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S70" authorId="7" shapeId="0" xr:uid="{A19BD800-02A9-4246-B857-20189A6C1B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SP1 
OA ved dif.</t>
        </r>
      </text>
    </comment>
    <comment ref="E73" authorId="2" shapeId="0" xr:uid="{BD9B5ACF-FDC8-4D0E-8753-37866F72759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Kun dagvagter</t>
        </r>
      </text>
    </comment>
    <comment ref="F73" authorId="2" shapeId="0" xr:uid="{F67DE154-D2EE-44C5-B4B2-292F59C62C5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Kun dagvagter</t>
        </r>
      </text>
    </comment>
    <comment ref="G73" authorId="2" shapeId="0" xr:uid="{D0586BB6-87BC-49EE-A597-90C38DFAD85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Kun dagvagter</t>
        </r>
      </text>
    </comment>
    <comment ref="H73" authorId="2" shapeId="0" xr:uid="{00529933-7664-496C-8D5E-98A57673C3F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Kun dagvagter</t>
        </r>
      </text>
    </comment>
    <comment ref="I73" authorId="2" shapeId="0" xr:uid="{62C63B80-E96A-4C2E-854F-A5931EF26D0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som 10-vagt på OA. Har været på dagvagt.</t>
        </r>
      </text>
    </comment>
    <comment ref="C74" authorId="2" shapeId="0" xr:uid="{9D5637B4-35EB-44B8-A97D-8D871698879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J74" authorId="2" shapeId="0" xr:uid="{AFC79375-CF21-4786-8A3E-CD33462B79E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S75" authorId="3" shapeId="0" xr:uid="{F6D7153A-A476-4AA4-AA8A-17C7542D8D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ekstra vagt 23.00 - 06,00</t>
        </r>
      </text>
    </comment>
    <comment ref="T75" authorId="3" shapeId="0" xr:uid="{E7873606-D747-4F81-A8E5-4EDDAC3DC78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ekstra vagt 23.00 - 06,00</t>
        </r>
      </text>
    </comment>
    <comment ref="U75" authorId="3" shapeId="0" xr:uid="{B65DFEEA-9B99-47F6-8AB0-46A3873208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ekstra vagt 23.00 - 06,00</t>
        </r>
      </text>
    </comment>
    <comment ref="V75" authorId="3" shapeId="0" xr:uid="{68CD8F5E-B0BC-4CEF-B8A6-39DA73D562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ekstra vagt 23.00 - 06,00</t>
        </r>
      </text>
    </comment>
    <comment ref="W75" authorId="3" shapeId="0" xr:uid="{4912F0E3-FCE4-4375-8DCD-FE378D36AF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ekstra vagt 23.00 - 06,00</t>
        </r>
      </text>
    </comment>
    <comment ref="AA75" authorId="0" shapeId="0" xr:uid="{EC9BFF34-3185-4F86-AC59-C7681654460A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går en time før</t>
        </r>
      </text>
    </comment>
    <comment ref="Z76" authorId="0" shapeId="0" xr:uid="{A20229A9-068B-4497-B091-F4ABD01119E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En time gik kl 23:00</t>
        </r>
      </text>
    </comment>
    <comment ref="K78" authorId="0" shapeId="0" xr:uid="{DD8774D6-C87D-4622-9E42-177887B8CF17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Ryparkens Idrætsanlæg 16:30-23:30
</t>
        </r>
      </text>
    </comment>
    <comment ref="P90" authorId="9" shapeId="0" xr:uid="{56A135D5-BDA7-4F94-9C01-2C07BD1C701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5</t>
        </r>
      </text>
    </comment>
    <comment ref="AB90" authorId="3" shapeId="0" xr:uid="{1CE5F3A5-9702-4D36-A3DA-7524050696E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AC90" authorId="3" shapeId="0" xr:uid="{376444F6-51E2-49BF-AAFE-90F95634EA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AD90" authorId="2" shapeId="0" xr:uid="{D033F60F-6B2C-434B-A9ED-CBD91FBCBC3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L91" authorId="2" shapeId="0" xr:uid="{46A42C0D-C4EF-4347-AC74-D94EC293641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91" authorId="0" shapeId="0" xr:uid="{786066A5-6729-426C-AB4F-06973A94296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kommer ikke skal
 til tandlæge </t>
        </r>
      </text>
    </comment>
    <comment ref="Z91" authorId="2" shapeId="0" xr:uid="{32BB2141-9FCF-4FE6-A77B-674296E33A7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105" authorId="10" shapeId="0" xr:uid="{FB3F7A81-B410-4195-BD55-E0F0BDD7DBF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KA på OA til kl. 23.00</t>
        </r>
      </text>
    </comment>
    <comment ref="AC105" authorId="4" shapeId="0" xr:uid="{912658E6-081C-4860-BFD5-4DB50DD94807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1 time.
</t>
        </r>
      </text>
    </comment>
    <comment ref="K106" authorId="5" shapeId="0" xr:uid="{3173F28B-8121-4171-8A08-59DE014DEA2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30 min.
Pga. arrangement på rentemestervej</t>
        </r>
      </text>
    </comment>
    <comment ref="U106" authorId="2" shapeId="0" xr:uid="{CE8273B9-BC47-4B88-B217-429D501CD70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23:30</t>
        </r>
      </text>
    </comment>
    <comment ref="V106" authorId="2" shapeId="0" xr:uid="{B97350EE-28CA-4A76-83C3-92E86E306C5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23:30</t>
        </r>
      </text>
    </comment>
    <comment ref="W106" authorId="2" shapeId="0" xr:uid="{3FC65E79-F0BB-44E5-987F-ECBF7884DBE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23:30</t>
        </r>
      </text>
    </comment>
    <comment ref="D107" authorId="5" shapeId="0" xr:uid="{A26EE125-AE01-4723-9AE6-2555BE3DDAB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1/2 time OA</t>
        </r>
      </text>
    </comment>
    <comment ref="D130" authorId="2" shapeId="0" xr:uid="{56FBAAE3-96CB-4662-941B-08953D5E405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Blågårdens bibliotek 12-16 OA</t>
        </r>
      </text>
    </comment>
    <comment ref="H130" authorId="5" shapeId="0" xr:uid="{9D549904-88C2-4C41-A2EF-6A87BC35AA5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I130" authorId="5" shapeId="0" xr:uid="{93EC8926-006A-4C8A-A0A5-1540A594513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J130" authorId="5" shapeId="0" xr:uid="{7AA79C20-DB6F-4B32-9FAB-2ECE1C34D54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O1 OA</t>
        </r>
      </text>
    </comment>
    <comment ref="K130" authorId="5" shapeId="0" xr:uid="{1CBDDC51-C51D-4F80-80BF-9366C36FC41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O1 OA</t>
        </r>
      </text>
    </comment>
    <comment ref="W130" authorId="2" shapeId="0" xr:uid="{7973F6C7-86E3-4CE5-96EF-49D9D33CAD5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Z130" authorId="10" shapeId="0" xr:uid="{FC8DF04E-4648-456F-8605-F124A84CEDB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fra kl 19:00</t>
        </r>
      </text>
    </comment>
    <comment ref="AB145" authorId="1" shapeId="0" xr:uid="{1E430751-9D57-4005-A675-6DAF7120626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10.00</t>
        </r>
      </text>
    </comment>
    <comment ref="AA157" authorId="1" shapeId="0" xr:uid="{B0CDB1BF-C146-4D0A-AF90-077818291AA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15.30 </t>
        </r>
      </text>
    </comment>
    <comment ref="H158" authorId="2" shapeId="0" xr:uid="{0C2FA358-CAFF-4E7A-A444-1B4306B0766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kl. 14:00</t>
        </r>
      </text>
    </comment>
    <comment ref="I158" authorId="1" shapeId="0" xr:uid="{8B855B44-9831-449C-9201-C806D2182DC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13.00</t>
        </r>
      </text>
    </comment>
    <comment ref="W158" authorId="6" shapeId="0" xr:uid="{CB8E7197-3F57-48D5-B49B-EDF6826D30F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16:00 - 21:00 vagt på Gl. Vasbygade</t>
        </r>
      </text>
    </comment>
    <comment ref="G159" authorId="2" shapeId="0" xr:uid="{168D2FE7-E6BE-427E-A0D5-710B77CF57B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TR møde i FOA</t>
        </r>
      </text>
    </comment>
    <comment ref="M159" authorId="3" shapeId="0" xr:uid="{1F7A8A6C-A7EF-40BE-B894-3BA95591E63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I1</t>
        </r>
      </text>
    </comment>
    <comment ref="N159" authorId="3" shapeId="0" xr:uid="{DA40577C-627C-49EB-B006-06A04F2C93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I1</t>
        </r>
      </text>
    </comment>
    <comment ref="Z159" authorId="2" shapeId="0" xr:uid="{CBB97233-34F8-404A-AEF8-8B3ADF1AC37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12:00 afspadsering inden da</t>
        </r>
      </text>
    </comment>
    <comment ref="T161" authorId="2" shapeId="0" xr:uid="{6B631F72-8110-4029-B9C0-3A4358F81EB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AMR fuglebakken 11:30-15:00</t>
        </r>
      </text>
    </comment>
    <comment ref="V253" authorId="11" shapeId="0" xr:uid="{5304DB92-A8D5-414F-95CE-9CA21355BC3E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Går kl. 10 skal til lægen</t>
        </r>
      </text>
    </comment>
    <comment ref="M259" authorId="11" shapeId="0" xr:uid="{606926A2-FEF7-4166-8E17-4C84F4329206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Planlagt sygdom</t>
        </r>
      </text>
    </comment>
    <comment ref="G285" authorId="2" shapeId="0" xr:uid="{E72294C5-9449-4666-A40C-4AA141F3493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</t>
        </r>
      </text>
    </comment>
    <comment ref="H285" authorId="2" shapeId="0" xr:uid="{CC05ADE6-8E54-4112-B82B-46F7E384BCC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</t>
        </r>
      </text>
    </comment>
    <comment ref="I285" authorId="2" shapeId="0" xr:uid="{11EF1988-C782-41C4-8224-E6FACA99635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</t>
        </r>
      </text>
    </comment>
    <comment ref="AD285" authorId="1" shapeId="0" xr:uid="{04DA0B53-C34A-4DFA-8C47-D03988491B5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69-vagt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Lasse Aae-Hartwig</author>
    <author>Mathias Søndergaard</author>
    <author>Mathias Nielsen</author>
    <author>Thomas Holm</author>
    <author>Nick Lorentzen</author>
    <author>Jesper Larsen</author>
    <author>Kim Holm Aabroe</author>
    <author>Rasmus Sørensen</author>
    <author>Gunner Lindskov Grell</author>
    <author>Steen Hertin-Sandkær</author>
    <author>Kim BT. Pedersen</author>
  </authors>
  <commentList>
    <comment ref="AF22" authorId="0" shapeId="0" xr:uid="{B2FECE8B-DB4F-44AE-B897-5F7C4B2A03F9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1/2 times OA fra 6.30 - 7.00</t>
        </r>
      </text>
    </comment>
    <comment ref="E24" authorId="1" shapeId="0" xr:uid="{4EEAB6D8-79FF-4F01-B7E6-DEA44252017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F24" authorId="1" shapeId="0" xr:uid="{1803F0F5-76AA-4D6A-B74D-9E38400E79E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G24" authorId="1" shapeId="0" xr:uid="{2459F442-6D03-4B4C-8C71-E9FE538BDA2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H24" authorId="1" shapeId="0" xr:uid="{F19EFE51-9F08-40EB-A342-E39530317F6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I24" authorId="1" shapeId="0" xr:uid="{CE45D54C-4A21-4DE6-A51D-D40145EA68D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S24" authorId="1" shapeId="0" xr:uid="{CE7E76A0-48BA-43AD-8B04-2B362B74F83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T24" authorId="1" shapeId="0" xr:uid="{A7AB0C52-CD2D-4DF7-95DF-7C6E91D72C3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U24" authorId="1" shapeId="0" xr:uid="{95490F17-B401-462C-8416-87A858981B8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V24" authorId="1" shapeId="0" xr:uid="{C72EF411-C62D-4D80-9A5D-B79CAC2DC1A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W24" authorId="1" shapeId="0" xr:uid="{1A7B09AC-6247-4ED6-A2C1-D3D5F4B4748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AG24" authorId="1" shapeId="0" xr:uid="{E8376B75-EE11-4DBE-B5F9-5068FB31FB28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dækker V1</t>
        </r>
      </text>
    </comment>
    <comment ref="E27" authorId="1" shapeId="0" xr:uid="{B0C32A9A-E6FD-4253-B0B8-7DF4227820B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4-vagt til 16:00</t>
        </r>
      </text>
    </comment>
    <comment ref="F27" authorId="1" shapeId="0" xr:uid="{54850B1A-9DE2-443C-A80F-97CD94BCDE1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brønshøjvej</t>
        </r>
      </text>
    </comment>
    <comment ref="G27" authorId="1" shapeId="0" xr:uid="{B95086A0-0A89-4587-A23B-164CB55D895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BCH</t>
        </r>
      </text>
    </comment>
    <comment ref="H27" authorId="1" shapeId="0" xr:uid="{5C1CF736-2510-4B78-AFF0-1211C9F9E0F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BCH</t>
        </r>
      </text>
    </comment>
    <comment ref="I27" authorId="1" shapeId="0" xr:uid="{8D2D76B1-ED06-4AA9-B7A8-FEEE4DE0323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BCH</t>
        </r>
      </text>
    </comment>
    <comment ref="R27" authorId="2" shapeId="0" xr:uid="{F68325CF-77DF-46BB-92F4-635C17F5872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Må deles om B2</t>
        </r>
      </text>
    </comment>
    <comment ref="AA27" authorId="1" shapeId="0" xr:uid="{6BF610BA-8ABB-4198-8F81-F6C1BFCCE8B7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gået syg hjem</t>
        </r>
      </text>
    </comment>
    <comment ref="AA28" authorId="1" shapeId="0" xr:uid="{6C037FD2-EC71-4C2E-A4ED-DF1808899551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FOA - kursus</t>
        </r>
      </text>
    </comment>
    <comment ref="AB28" authorId="1" shapeId="0" xr:uid="{19FD1BC8-F666-45D6-A5E1-545EBF9F9C77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FOA - kursus</t>
        </r>
      </text>
    </comment>
    <comment ref="AC28" authorId="1" shapeId="0" xr:uid="{84139737-3C57-43CF-8AEE-0E20D995EF5F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FOA - kursus</t>
        </r>
      </text>
    </comment>
    <comment ref="G29" authorId="1" shapeId="0" xr:uid="{15D0889F-5372-4C5C-B98C-11AC8FBD883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89-vagt OA fra 13:45</t>
        </r>
      </text>
    </comment>
    <comment ref="H29" authorId="1" shapeId="0" xr:uid="{BF36C6C3-7944-4C6D-817D-0FECC1C55AF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O29" authorId="3" shapeId="0" xr:uid="{1E371D3E-D865-4C12-857D-D024E6FEB74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 i bagport 08.00-09.30</t>
        </r>
      </text>
    </comment>
    <comment ref="Z29" authorId="1" shapeId="0" xr:uid="{FDD0C890-6385-4F30-ADE8-7323D276BC37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Rentermester kl. 09:00</t>
        </r>
      </text>
    </comment>
    <comment ref="AG29" authorId="1" shapeId="0" xr:uid="{55EDFE60-CF5D-4922-9DB2-C9DCBCD90886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Rentemester efter 09:00</t>
        </r>
      </text>
    </comment>
    <comment ref="O31" authorId="1" shapeId="0" xr:uid="{5F58E44E-572E-4FFF-8D8C-8FA0656F547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Jobmesse</t>
        </r>
      </text>
    </comment>
    <comment ref="AG31" authorId="1" shapeId="0" xr:uid="{75D91B50-5A59-4949-81E3-54918122FCCB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99-vagt til kl. 12:00</t>
        </r>
      </text>
    </comment>
    <comment ref="P32" authorId="1" shapeId="0" xr:uid="{4AFD8036-6AC2-477D-95A3-A7FC8AFEBECA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Blågårdens bibliotek 10.00-14.00</t>
        </r>
      </text>
    </comment>
    <comment ref="AG32" authorId="1" shapeId="0" xr:uid="{8F08784A-EA8C-4345-ACEB-9CCC974CCC21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Rentemestervej til 22:15</t>
        </r>
      </text>
    </comment>
    <comment ref="E44" authorId="3" shapeId="0" xr:uid="{CBC8499F-A253-422F-9610-9DB4E00AFA0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5- vagt</t>
        </r>
      </text>
    </comment>
    <comment ref="F44" authorId="3" shapeId="0" xr:uid="{835EEE3E-C110-4782-8FDF-6AE356E9F5C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5-vagt</t>
        </r>
      </text>
    </comment>
    <comment ref="P44" authorId="3" shapeId="0" xr:uid="{30E2B832-5CFD-4FE8-AE15-C3C5AC25EED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kl. 14.00-15.00</t>
        </r>
      </text>
    </comment>
    <comment ref="AA44" authorId="1" shapeId="0" xr:uid="{DBAA4233-7DD9-4BCE-9EF6-23A25B836315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Vasbygade 20:30-08:30</t>
        </r>
      </text>
    </comment>
    <comment ref="AB44" authorId="1" shapeId="0" xr:uid="{437974F3-8F4C-4FB8-8CC7-8EB065771A89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Vasbygade 20:30-08:30</t>
        </r>
      </text>
    </comment>
    <comment ref="AC44" authorId="1" shapeId="0" xr:uid="{BF6BFF48-2332-4BEF-9E75-D0A1ABAA67E8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Vasbygade 20:30-08:30</t>
        </r>
      </text>
    </comment>
    <comment ref="P45" authorId="3" shapeId="0" xr:uid="{E4081EB7-A8A8-46B5-9802-0AE55C2C75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kl. 14.00-15.00</t>
        </r>
      </text>
    </comment>
    <comment ref="K46" authorId="0" shapeId="0" xr:uid="{233EFDAF-B4A0-4CA7-B826-CA59D837CC96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Dagsdato raskmelding</t>
        </r>
      </text>
    </comment>
    <comment ref="P46" authorId="3" shapeId="0" xr:uid="{272A195F-F557-445B-A057-9FCB42C55EA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kl. 14.00-15.00</t>
        </r>
      </text>
    </comment>
    <comment ref="Q46" authorId="1" shapeId="0" xr:uid="{FB3A2E98-3C81-4D0C-AD51-26AE48B6FE19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Gammel vasbygade 49
08:30-20:30</t>
        </r>
      </text>
    </comment>
    <comment ref="AE46" authorId="0" shapeId="0" xr:uid="{F1B478CC-5829-4D08-9228-059808F4E6E7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Afspadsering fra 18-19</t>
        </r>
      </text>
    </comment>
    <comment ref="AF46" authorId="0" shapeId="0" xr:uid="{31407B74-5BA8-496D-999B-A0BDB22A3B47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Afspadsering fra 18-19</t>
        </r>
      </text>
    </comment>
    <comment ref="AG46" authorId="4" shapeId="0" xr:uid="{FAFCE27A-9E85-4381-B697-0EAD92579509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Afspadserer fra kl 22:00 - 23:00</t>
        </r>
      </text>
    </comment>
    <comment ref="X47" authorId="3" shapeId="0" xr:uid="{AC15919D-E59A-43F2-875A-28DC88AE10E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13.00-14.15</t>
        </r>
      </text>
    </comment>
    <comment ref="E48" authorId="1" shapeId="0" xr:uid="{E14C595E-64AF-4D4D-BACC-97939F8C0DE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F48" authorId="1" shapeId="0" xr:uid="{33E9FF54-FFAB-4725-82F4-65C49BF8524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R48" authorId="2" shapeId="0" xr:uid="{55C83370-CF14-43B6-86A6-06599B7E2EE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Må deles om B2</t>
        </r>
      </text>
    </comment>
    <comment ref="X48" authorId="3" shapeId="0" xr:uid="{9721214A-B8F6-410A-8D7E-D0EE9D3D2BE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13.00-14.15</t>
        </r>
      </text>
    </comment>
    <comment ref="E49" authorId="1" shapeId="0" xr:uid="{72926DC1-1ADD-4313-BA12-7E709179018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brønshøjvej</t>
        </r>
      </text>
    </comment>
    <comment ref="G49" authorId="1" shapeId="0" xr:uid="{6F950083-12DD-4502-92C3-8F4C3665E10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brønshøjvej</t>
        </r>
      </text>
    </comment>
    <comment ref="H49" authorId="1" shapeId="0" xr:uid="{65D05AAA-CF90-4DC0-BF7E-8057221446A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brønshøjvej</t>
        </r>
      </text>
    </comment>
    <comment ref="I49" authorId="1" shapeId="0" xr:uid="{EDB797DD-D30A-4C84-B434-FAB886DBA0F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brønshøjvej</t>
        </r>
      </text>
    </comment>
    <comment ref="T49" authorId="5" shapeId="0" xr:uid="{1561907D-3D8C-4F4C-8452-53CF296B9174}">
      <text>
        <r>
          <rPr>
            <b/>
            <sz val="9"/>
            <color indexed="81"/>
            <rFont val="Tahoma"/>
            <charset val="1"/>
          </rPr>
          <t>Jesper Larsen:</t>
        </r>
        <r>
          <rPr>
            <sz val="9"/>
            <color indexed="81"/>
            <rFont val="Tahoma"/>
            <charset val="1"/>
          </rPr>
          <t xml:space="preserve">
til nicolaj bliver rask
</t>
        </r>
      </text>
    </comment>
    <comment ref="X49" authorId="3" shapeId="0" xr:uid="{FABD46DB-AF15-4B39-B433-8FE6EA4D1D6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KA-vagt 13:00 - 00:00
GRUS 13.00-14.15</t>
        </r>
      </text>
    </comment>
    <comment ref="Y49" authorId="5" shapeId="0" xr:uid="{770DB208-AABE-4B09-BA76-96D3745DC289}">
      <text>
        <r>
          <rPr>
            <b/>
            <sz val="9"/>
            <color indexed="81"/>
            <rFont val="Tahoma"/>
            <charset val="1"/>
          </rPr>
          <t>Jesper Larsen:</t>
        </r>
        <r>
          <rPr>
            <sz val="9"/>
            <color indexed="81"/>
            <rFont val="Tahoma"/>
            <charset val="1"/>
          </rPr>
          <t xml:space="preserve">
går syg hjem kl 16:30
</t>
        </r>
      </text>
    </comment>
    <comment ref="E50" authorId="6" shapeId="0" xr:uid="{4EBBE168-A7B2-4890-B0C3-6BF1E6DD840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8-vagt OA</t>
        </r>
      </text>
    </comment>
    <comment ref="Q50" authorId="3" shapeId="0" xr:uid="{AECC76FD-C726-4BF6-839F-2BF537FDCAB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13.00-14.15</t>
        </r>
      </text>
    </comment>
    <comment ref="Q51" authorId="3" shapeId="0" xr:uid="{3D859338-9287-4DBC-9E9A-7754EB28D55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13.00-14.15</t>
        </r>
      </text>
    </comment>
    <comment ref="Q52" authorId="3" shapeId="0" xr:uid="{89A53453-7A83-436C-8108-84B9E5F3EAD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13.00-14.15</t>
        </r>
      </text>
    </comment>
    <comment ref="C53" authorId="3" shapeId="0" xr:uid="{43103B27-B11B-407C-98D9-CB9DD521630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M53" authorId="3" shapeId="0" xr:uid="{9B6338B5-981C-45CD-A086-DE72830D04C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16.00-17.15</t>
        </r>
      </text>
    </comment>
    <comment ref="N53" authorId="0" shapeId="0" xr:uid="{CB9CEB39-2011-467F-A7C8-D4943D2C8115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Har fået lov at køre 21.00</t>
        </r>
      </text>
    </comment>
    <comment ref="M54" authorId="3" shapeId="0" xr:uid="{79B12BFB-A3CA-450D-8E35-D6FDFA5F9F0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16.00-17.15</t>
        </r>
      </text>
    </comment>
    <comment ref="M55" authorId="3" shapeId="0" xr:uid="{1A6FEEF6-0A11-4452-9F3F-E9A560E9395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16.00-17.15</t>
        </r>
      </text>
    </comment>
    <comment ref="O55" authorId="0" shapeId="0" xr:uid="{DF46FFD9-EC9B-4DE8-B333-FEA67C609BC7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fra 23-07 på Bryggergården</t>
        </r>
      </text>
    </comment>
    <comment ref="T57" authorId="1" shapeId="0" xr:uid="{B0A8102F-49FC-418D-BC34-7A92364CD36D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U57" authorId="1" shapeId="0" xr:uid="{45E2247A-F935-4B91-9F15-E72D086FD324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M65" authorId="3" shapeId="0" xr:uid="{D3C4CDAB-9F59-401F-8B2D-8320AA5235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09.30-17.00</t>
        </r>
      </text>
    </comment>
    <comment ref="AD65" authorId="3" shapeId="0" xr:uid="{CE311EAF-5B44-4DD3-B76D-74761EA4A6D8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OA 2,5 time</t>
        </r>
      </text>
    </comment>
    <comment ref="G66" authorId="7" shapeId="0" xr:uid="{4316662C-30B7-43EE-941A-E81D85228C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skal beholde Fdag</t>
        </r>
      </text>
    </comment>
    <comment ref="AG66" authorId="8" shapeId="0" xr:uid="{75A9729F-3DE9-400E-AE81-981EC33B03CD}">
      <text>
        <r>
          <rPr>
            <b/>
            <sz val="9"/>
            <color indexed="81"/>
            <rFont val="Tahoma"/>
            <charset val="1"/>
          </rPr>
          <t>Gunner Lindskov Grell:</t>
        </r>
        <r>
          <rPr>
            <sz val="9"/>
            <color indexed="81"/>
            <rFont val="Tahoma"/>
            <charset val="1"/>
          </rPr>
          <t xml:space="preserve">
afs fra kl. 12:00
</t>
        </r>
      </text>
    </comment>
    <comment ref="G67" authorId="1" shapeId="0" xr:uid="{B07B189E-B99B-4FB7-A0DB-C2250FD6A79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Bytter og køre 25 vagt</t>
        </r>
      </text>
    </comment>
    <comment ref="H67" authorId="1" shapeId="0" xr:uid="{88C3392E-CD81-41BE-9BED-C9B5C609D03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Bytter og køre 25 vagt</t>
        </r>
      </text>
    </comment>
    <comment ref="I67" authorId="1" shapeId="0" xr:uid="{71A8B4E7-5590-4372-9B36-83F4287C818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Bytter og køre 25 vagt</t>
        </r>
      </text>
    </comment>
    <comment ref="S67" authorId="6" shapeId="0" xr:uid="{980D6DA4-5E77-45D3-BD29-2499F72E8130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1 time OA 
pga. manglende K2</t>
        </r>
      </text>
    </comment>
    <comment ref="G68" authorId="9" shapeId="0" xr:uid="{0C061A33-3AA3-4118-8CF6-9E6ABFB56C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I68" authorId="9" shapeId="0" xr:uid="{0AC9C46E-1C65-449F-9223-43086596862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L68" authorId="9" shapeId="0" xr:uid="{8F6D07B2-AB3A-4289-801B-CD3FCB650E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M68" authorId="9" shapeId="0" xr:uid="{85A7E961-6881-4740-B178-76D17E7C3D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Aftenhold har GRUS - Portner.
Møder 15.00 - 23.30 Ekstra vagt evt. lære bygninger som han mangler
</t>
        </r>
      </text>
    </comment>
    <comment ref="N68" authorId="9" shapeId="0" xr:uid="{E53E2BE0-6411-4DAE-B7B8-120816AA38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O68" authorId="9" shapeId="0" xr:uid="{76BFA2A5-EF71-4975-B44C-4BB1F4E37B1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P68" authorId="9" shapeId="0" xr:uid="{07CFC782-F254-4D31-93B1-4192D800C3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15.00 - 23.30 Ekstra vagt evt. lære bygninger som han mangler</t>
        </r>
      </text>
    </comment>
    <comment ref="S69" authorId="1" shapeId="0" xr:uid="{38BE2127-4A8D-485D-9537-5CC7BAEDFC96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26-vagt OA</t>
        </r>
      </text>
    </comment>
    <comment ref="T69" authorId="4" shapeId="0" xr:uid="{29DBB304-C813-4EE3-BFD5-1F85137B1D41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K2 OA</t>
        </r>
      </text>
    </comment>
    <comment ref="J70" authorId="4" shapeId="0" xr:uid="{7EEB7B7F-D19F-498B-B2EF-26613459D20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 time</t>
        </r>
      </text>
    </comment>
    <comment ref="K70" authorId="4" shapeId="0" xr:uid="{834DDE64-3A8C-4C7F-A49D-BC2B399D65F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 time</t>
        </r>
      </text>
    </comment>
    <comment ref="P70" authorId="1" shapeId="0" xr:uid="{9AD607CD-5393-40A3-9C2B-914ED6E5DD73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Gammel vasbygade 49 23:00-08:30 OA</t>
        </r>
      </text>
    </comment>
    <comment ref="S70" authorId="1" shapeId="0" xr:uid="{D8A3678B-5CCC-45D4-A481-402A9566D680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T70" authorId="1" shapeId="0" xr:uid="{21567D9A-2069-4B85-B89B-7880EE0BA0F9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U70" authorId="1" shapeId="0" xr:uid="{5D74D1E0-0F9B-4B08-BB51-E95D4939E6D2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W70" authorId="1" shapeId="0" xr:uid="{C3F78998-1279-4DA0-9750-D6331A1A82D8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K2 OA</t>
        </r>
      </text>
    </comment>
    <comment ref="G73" authorId="7" shapeId="0" xr:uid="{A25581F6-A45C-4FA3-9242-EE9AA81B80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Skal beholde F-dag</t>
        </r>
      </text>
    </comment>
    <comment ref="K73" authorId="4" shapeId="0" xr:uid="{6C9AE5B1-3641-4EDB-9DC3-0639C3FF193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20:30 - 22:00
samt 07:00 - 08:30
har været på SP1
</t>
        </r>
      </text>
    </comment>
    <comment ref="S73" authorId="6" shapeId="0" xr:uid="{6C681104-B801-40F2-B356-82851020A177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OA 1 time
pga. manglende K2</t>
        </r>
      </text>
    </comment>
    <comment ref="L74" authorId="3" shapeId="0" xr:uid="{0FE267A2-665F-446A-9347-527DE843B49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</t>
        </r>
      </text>
    </comment>
    <comment ref="M74" authorId="3" shapeId="0" xr:uid="{9222796D-AD73-4B81-838F-A48385E464C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</t>
        </r>
      </text>
    </comment>
    <comment ref="N74" authorId="3" shapeId="0" xr:uid="{25A949E5-7876-4B63-9575-737628C1031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</t>
        </r>
      </text>
    </comment>
    <comment ref="AA74" authorId="1" shapeId="0" xr:uid="{43392489-427B-45A1-9A4C-17C196052E97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Skal til lægen, møder ind og går tidligere.</t>
        </r>
      </text>
    </comment>
    <comment ref="AC74" authorId="3" shapeId="0" xr:uid="{291C4E7D-D1FD-481A-A6F8-050EE62BB1A7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Borgermøde kl. 16.45-</t>
        </r>
      </text>
    </comment>
    <comment ref="AG75" authorId="8" shapeId="0" xr:uid="{8519964D-A894-4DAE-B4A9-3F301F48D5EB}">
      <text>
        <r>
          <rPr>
            <b/>
            <sz val="9"/>
            <color indexed="81"/>
            <rFont val="Tahoma"/>
            <charset val="1"/>
          </rPr>
          <t>Gunner Lindskov Grell:</t>
        </r>
        <r>
          <rPr>
            <sz val="9"/>
            <color indexed="81"/>
            <rFont val="Tahoma"/>
            <charset val="1"/>
          </rPr>
          <t xml:space="preserve">
afs fra kl. 12:00
</t>
        </r>
      </text>
    </comment>
    <comment ref="E76" authorId="0" shapeId="0" xr:uid="{55010489-5135-4F53-821F-60F67CF7560E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Elias ringede ind og meldte sig syg med ryggen
</t>
        </r>
      </text>
    </comment>
    <comment ref="P77" authorId="5" shapeId="0" xr:uid="{00CB49FD-CC46-4F74-989E-48A48990215F}">
      <text>
        <r>
          <rPr>
            <b/>
            <sz val="9"/>
            <color indexed="81"/>
            <rFont val="Tahoma"/>
            <charset val="1"/>
          </rPr>
          <t>Jesper Larsen:</t>
        </r>
        <r>
          <rPr>
            <sz val="9"/>
            <color indexed="81"/>
            <rFont val="Tahoma"/>
            <charset val="1"/>
          </rPr>
          <t xml:space="preserve">
30 minuytters OA grundet gammel vasby </t>
        </r>
      </text>
    </comment>
    <comment ref="AF77" authorId="0" shapeId="0" xr:uid="{CA3B24BC-41A0-4D2F-94E8-675C02EF94C0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fra 7-9 </t>
        </r>
      </text>
    </comment>
    <comment ref="N87" authorId="1" shapeId="0" xr:uid="{B6E5C0FC-DDE9-4387-9552-64A8989A57D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Starter i skole igen</t>
        </r>
      </text>
    </comment>
    <comment ref="O87" authorId="1" shapeId="0" xr:uid="{62937C16-48AD-478F-B9BA-EAAE1D57B31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87" authorId="1" shapeId="0" xr:uid="{0560BB9F-EE70-46A8-B8BF-7FD77AF0B8B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7" authorId="1" shapeId="0" xr:uid="{5148261F-81E7-4DB2-B93E-29110C1C5EB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7" authorId="1" shapeId="0" xr:uid="{6FCB1540-A324-48E8-B29D-71B57EA656D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7" authorId="1" shapeId="0" xr:uid="{363449DC-D543-4D2B-915B-884FD342957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87" authorId="1" shapeId="0" xr:uid="{11DA8180-F0DE-4B8F-A08E-D8C7665B5A4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87" authorId="1" shapeId="0" xr:uid="{40043F2B-A8F4-429E-8E2C-51118DF5ACF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7" authorId="1" shapeId="0" xr:uid="{A4D31B24-0512-49E7-997A-8C3921E1D44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7" authorId="1" shapeId="0" xr:uid="{B2BF51A0-18DE-490C-A15A-558CABF6DE9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7" authorId="1" shapeId="0" xr:uid="{FE055C01-397A-40B9-8AD6-5DADC238C9F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87" authorId="1" shapeId="0" xr:uid="{EB267820-CF77-4B18-BE1D-935EBC4F0A1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87" authorId="1" shapeId="0" xr:uid="{682679F9-178D-414B-AB36-560FDB6ADBC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G87" authorId="1" shapeId="0" xr:uid="{8C137F04-E0B0-4ED2-AB7C-F2E87A379DC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8" authorId="1" shapeId="0" xr:uid="{C42B6A56-3962-4AB8-A466-40AC7E18469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8" authorId="1" shapeId="0" xr:uid="{93C853E3-F6AE-4E28-AAEC-BEC8BC519E3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8" authorId="1" shapeId="0" xr:uid="{E3EBD24A-FB38-4DD6-9942-8C3A6792339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88" authorId="6" shapeId="0" xr:uid="{DA203932-6EB8-49AF-9561-36E02EBF05CF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gået syg hjem kl. 01 30</t>
        </r>
      </text>
    </comment>
    <comment ref="Z88" authorId="1" shapeId="0" xr:uid="{C59EF4A3-6764-4AA2-AB04-C86F609007D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G88" authorId="1" shapeId="0" xr:uid="{661597A3-4CA6-4593-BD0F-33D1752CB62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104" authorId="0" shapeId="0" xr:uid="{AE748F57-3DAA-42F7-9771-413B198A0531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Afspadsering fra 23-00.30
</t>
        </r>
      </text>
    </comment>
    <comment ref="C105" authorId="3" shapeId="0" xr:uid="{47ED882D-E20C-47A8-8A62-74310070D735}">
      <text>
        <r>
          <rPr>
            <b/>
            <sz val="9"/>
            <color indexed="81"/>
            <rFont val="Tahoma"/>
            <family val="2"/>
          </rPr>
          <t xml:space="preserve">Thomas Holm:
</t>
        </r>
        <r>
          <rPr>
            <sz val="9"/>
            <color indexed="81"/>
            <rFont val="Tahoma"/>
            <family val="2"/>
          </rPr>
          <t>10:00-14:00 blågårds bibliotek
Arbejdstid 09:30-14:30</t>
        </r>
      </text>
    </comment>
    <comment ref="I105" authorId="6" shapeId="0" xr:uid="{96A46E19-E647-4A3C-84D0-27F5F5754A1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1/2 time</t>
        </r>
      </text>
    </comment>
    <comment ref="D106" authorId="6" shapeId="0" xr:uid="{693963C5-7E81-44A1-B8B4-035CE7E5DE0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30 min. Pga nedtagning.</t>
        </r>
      </text>
    </comment>
    <comment ref="H106" authorId="6" shapeId="0" xr:uid="{DE9093E9-4576-4331-B8CE-08E04515D68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I106" authorId="6" shapeId="0" xr:uid="{E267BA07-7EB8-43C4-BFBA-F65D10D6334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U106" authorId="1" shapeId="0" xr:uid="{5F13AAFA-607A-4A6A-8A55-C234CB7C1D3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K2 OA</t>
        </r>
      </text>
    </comment>
    <comment ref="V106" authorId="1" shapeId="0" xr:uid="{86CCE7C4-E773-415B-9740-726F93E7A4C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K2 OA</t>
        </r>
      </text>
    </comment>
    <comment ref="W106" authorId="4" shapeId="0" xr:uid="{9DD8272F-F1B3-4740-A417-C843B36B00AB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89 vagt OA</t>
        </r>
      </text>
    </comment>
    <comment ref="AF106" authorId="0" shapeId="0" xr:uid="{021BEF22-DC1D-443F-882C-217412D3F73B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1/2 times OA</t>
        </r>
      </text>
    </comment>
    <comment ref="E133" authorId="6" shapeId="0" xr:uid="{5FE8EAC0-3380-4609-9135-7E6DC918646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F133" authorId="6" shapeId="0" xr:uid="{AFA9E504-DE6B-4DD9-8028-1F62DD4D7A4A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G133" authorId="6" shapeId="0" xr:uid="{8E7EC4E3-02F6-48B1-AC50-6553DAF0FCB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H133" authorId="6" shapeId="0" xr:uid="{DA8CE1BA-F35E-4908-9C4C-81777A502A5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I133" authorId="6" shapeId="0" xr:uid="{4B725878-76B7-425D-8EF9-CACEA53A014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X142" authorId="6" shapeId="0" xr:uid="{ACDC2C58-C6CB-4C7A-9663-407D2FF1E384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RF1 OA</t>
        </r>
      </text>
    </comment>
    <comment ref="O148" authorId="3" shapeId="0" xr:uid="{FD382D5F-C9A1-4290-939B-3DCDED291C8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08.00-09.30</t>
        </r>
      </text>
    </comment>
    <comment ref="O160" authorId="3" shapeId="0" xr:uid="{C6E5613F-92EA-479B-B6CE-2D131FA26B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08.00-09.30</t>
        </r>
      </text>
    </comment>
    <comment ref="O161" authorId="3" shapeId="0" xr:uid="{9E759C85-55DF-484C-A34D-88DD03056A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08.00-09.30</t>
        </r>
      </text>
    </comment>
    <comment ref="S161" authorId="1" shapeId="0" xr:uid="{2ADE81C1-E91D-4736-A44A-828779685253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U161" authorId="1" shapeId="0" xr:uid="{344BD6ED-729E-4EDF-B461-00A8C79D1852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Arrangment</t>
        </r>
      </text>
    </comment>
    <comment ref="O162" authorId="3" shapeId="0" xr:uid="{B0ABF5B9-4094-40F0-A52F-73CFC4F33A4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08.00-09.30</t>
        </r>
      </text>
    </comment>
    <comment ref="S162" authorId="1" shapeId="0" xr:uid="{1B8F07FC-3B64-411C-B399-5C0DA203B6A7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T162" authorId="1" shapeId="0" xr:uid="{F2AAB95A-0632-47F7-9B25-5334AFA2861F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AG162" authorId="1" shapeId="0" xr:uid="{5D3D4A59-8AC6-44DD-8CC2-894C62ABDF98}">
      <text>
        <r>
          <rPr>
            <sz val="9"/>
            <rFont val="Arial"/>
            <family val="2"/>
          </rPr>
          <t>Mathias Søndergaard:
Mødte 09:30 afspadsering inden da</t>
        </r>
      </text>
    </comment>
    <comment ref="O163" authorId="3" shapeId="0" xr:uid="{5C24D1C4-86BF-4059-9C10-DCB2948880D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08.00-09.30</t>
        </r>
      </text>
    </comment>
    <comment ref="O164" authorId="3" shapeId="0" xr:uid="{FC5C9F4F-4D75-47D6-A062-1CC1111E5E2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08.00-09.30</t>
        </r>
      </text>
    </comment>
    <comment ref="S164" authorId="1" shapeId="0" xr:uid="{ACA36224-D04D-4732-83C1-7C1F4B3949E1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T164" authorId="1" shapeId="0" xr:uid="{C9D5322D-CF17-462B-8108-7D768EDAC2B9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U164" authorId="1" shapeId="0" xr:uid="{FC190888-B90E-4F8D-BEF3-87816AB8589A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Arrangement</t>
        </r>
      </text>
    </comment>
    <comment ref="Z164" authorId="1" shapeId="0" xr:uid="{51B9EC3D-8A53-4BC0-A78D-A3BDAEC7A4E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Trivselsudvalg 14:30-15:50</t>
        </r>
      </text>
    </comment>
    <comment ref="M177" authorId="3" shapeId="0" xr:uid="{159E0873-63A8-42CD-A2FF-351E59CC80B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23.00-00.15</t>
        </r>
      </text>
    </comment>
    <comment ref="M178" authorId="3" shapeId="0" xr:uid="{1DA19160-222D-4106-8293-032F00F20E4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23.00-00.15</t>
        </r>
      </text>
    </comment>
    <comment ref="AC178" authorId="3" shapeId="0" xr:uid="{66E5522F-07CB-4AC1-BBA7-226E71839A60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O1-vagt
OA før og efter normalvagt</t>
        </r>
      </text>
    </comment>
    <comment ref="C179" authorId="5" shapeId="0" xr:uid="{30187EF9-C3B7-4A7F-9DD7-46025AF9C99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går en time før
og møder kl 19
</t>
        </r>
      </text>
    </comment>
    <comment ref="D179" authorId="5" shapeId="0" xr:uid="{F8787759-A5E3-40C1-BBAD-CE2A65BBA249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går en time før
og møder kl 20</t>
        </r>
      </text>
    </comment>
    <comment ref="M179" authorId="3" shapeId="0" xr:uid="{1169B56F-8AE7-4F38-9E9E-62126C9A843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23.00-00.15</t>
        </r>
      </text>
    </comment>
    <comment ref="E181" authorId="10" shapeId="0" xr:uid="{D91ECF6E-06C8-47B8-9F31-C5426082E43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kl. 22</t>
        </r>
      </text>
    </comment>
    <comment ref="F181" authorId="10" shapeId="0" xr:uid="{56D82FE0-5C82-4CD0-91DE-27E3A7DBA69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fra kl. 21</t>
        </r>
      </text>
    </comment>
    <comment ref="Q181" authorId="1" shapeId="0" xr:uid="{318FFEF9-F014-446E-B5B2-087CAC82869A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Gammel vasbygade 49 20:30-08:30</t>
        </r>
      </text>
    </comment>
    <comment ref="R181" authorId="1" shapeId="0" xr:uid="{3C7CFF4B-8553-4394-BBB3-6882AB952166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Gammel vasbygade 49 20:30-08:30</t>
        </r>
      </text>
    </comment>
    <comment ref="S181" authorId="4" shapeId="0" xr:uid="{BAC6F72F-CFE7-47D3-86F2-14D3D9811A1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Gl. Vasbygade 18:00 -08:30
OA fra 18:00 - 21:00 + 07:00 - 08:30</t>
        </r>
      </text>
    </comment>
    <comment ref="T181" authorId="4" shapeId="0" xr:uid="{CA4D4898-806F-4259-B75F-40E474F6380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Gl. Vasbygade 18:00 -08:30
OA fra 18:00 - 21:00 + 07:00 - 08:30</t>
        </r>
      </text>
    </comment>
    <comment ref="U181" authorId="4" shapeId="0" xr:uid="{2E1F958B-F308-4BC4-B115-6E7CFF01F2A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Gl. Vasbygade 18:00 -08:30
OA fra 18:00 - 21:00 + 07:00 - 08:30</t>
        </r>
      </text>
    </comment>
    <comment ref="V181" authorId="4" shapeId="0" xr:uid="{CF85387F-5321-4E72-8F01-7B19F086D3C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Gl. Vasbygade 18:00 -08:30
OA fra 18:00 - 21:00 + 07:00 - 08:30</t>
        </r>
      </text>
    </comment>
    <comment ref="W181" authorId="4" shapeId="0" xr:uid="{10503D40-F782-4A39-864E-3CF07F79A23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Gl. Vasbygade 18:00 -08:30
OA fra 18:00 - 21:00 + 07:00 - 08:30</t>
        </r>
      </text>
    </comment>
    <comment ref="X181" authorId="6" shapeId="0" xr:uid="{51D0B5A3-A2CD-4853-9539-02B770742BD8}">
      <text>
        <r>
          <rPr>
            <b/>
            <sz val="9"/>
            <color indexed="81"/>
            <rFont val="Tahoma"/>
            <charset val="1"/>
          </rPr>
          <t>Kim Holm Aabroe:
møder som 22-vagt</t>
        </r>
        <r>
          <rPr>
            <sz val="9"/>
            <color indexed="81"/>
            <rFont val="Tahoma"/>
            <charset val="1"/>
          </rPr>
          <t xml:space="preserve">
OA 19.00-21.30
      06:30 - 07:00
</t>
        </r>
      </text>
    </comment>
    <comment ref="Y181" authorId="6" shapeId="0" xr:uid="{CD25BEC8-BDF3-4F9B-95FC-78D7EE056C10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møder som 22-vagt
OA 19.00-21.30</t>
        </r>
      </text>
    </comment>
    <comment ref="Z181" authorId="1" shapeId="0" xr:uid="{0B4CFA64-20C8-45A5-A4E1-4E2AFFEB6EDF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Vasbygade 20:30-08:30</t>
        </r>
      </text>
    </comment>
    <comment ref="AD181" authorId="1" shapeId="0" xr:uid="{EEE8BC4F-BA2D-4E1C-881F-8C79A9B3FAB5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Vasbygade 20:30-08:30</t>
        </r>
      </text>
    </comment>
    <comment ref="AE181" authorId="1" shapeId="0" xr:uid="{5DCDC292-011C-438C-A9D3-AA383DFB5440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Vasbygade 20:30-08:30</t>
        </r>
      </text>
    </comment>
    <comment ref="AF181" authorId="1" shapeId="0" xr:uid="{DE7AB7D3-C842-40BE-BCC2-0B8196F3A804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Vasbygade 20:30-08:30</t>
        </r>
      </text>
    </comment>
    <comment ref="X182" authorId="1" shapeId="0" xr:uid="{A536739F-D21D-49E0-963C-8F9848815868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20:30-08:30 på vasbygade
OA fra 20:30-22.00 og 07.00-08:30</t>
        </r>
      </text>
    </comment>
    <comment ref="Y182" authorId="1" shapeId="0" xr:uid="{8645DD9A-B707-4138-A72D-C513EAB89F37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20:30-08:30 på vasbygade
OA fra 20:30-22.00 og 07.00-09:00</t>
        </r>
      </text>
    </comment>
    <comment ref="T225" authorId="1" shapeId="0" xr:uid="{0FFF78BC-522A-42D6-A7FA-763B0EE41E54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OA til 16:30
grundet episode</t>
        </r>
      </text>
    </comment>
    <comment ref="U225" authorId="1" shapeId="0" xr:uid="{0ED5CF98-423E-484B-8B0D-0C628413FC38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OA fra 07:45
grundet episode</t>
        </r>
      </text>
    </comment>
    <comment ref="V225" authorId="1" shapeId="0" xr:uid="{E7E85283-CDF0-49A5-8DBB-F09E835DCAB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Temadag</t>
        </r>
      </text>
    </comment>
    <comment ref="R228" authorId="1" shapeId="0" xr:uid="{8DF1F772-B175-4626-991E-ED52065183FA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Gammel vasbygade 49
08:30-20:30</t>
        </r>
      </text>
    </comment>
    <comment ref="Y228" authorId="1" shapeId="0" xr:uid="{E5DC91AE-55BC-4B0E-9F35-CE1A536516E4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Vasbygade 08:30-20:30</t>
        </r>
      </text>
    </comment>
    <comment ref="J229" authorId="1" shapeId="0" xr:uid="{BB97EBA7-F65B-4DC5-BE81-4BDE76031B9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X229" authorId="1" shapeId="0" xr:uid="{96C2B013-31D9-4804-9CE4-2522C21247D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Q230" authorId="1" shapeId="0" xr:uid="{455272BA-21CE-4623-B705-3A8811FB2EC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R230" authorId="4" shapeId="0" xr:uid="{86C842AF-82CA-450D-BA11-C8F9D080AD5D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26 vagt OA
09-16</t>
        </r>
      </text>
    </comment>
    <comment ref="S230" authorId="4" shapeId="0" xr:uid="{DB95C49C-09E4-4483-92B4-62F1BC5CFDB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18-22</t>
        </r>
      </text>
    </comment>
    <comment ref="X230" authorId="1" shapeId="0" xr:uid="{FE6F2D26-4E75-42FF-B465-D03BA96432BE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Vasbygade 08:30-20:30</t>
        </r>
      </text>
    </comment>
    <comment ref="AE230" authorId="1" shapeId="0" xr:uid="{A5F42995-0138-4EDB-96F4-7B4F80FD4BC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Z289" authorId="1" shapeId="0" xr:uid="{C93877E6-90D5-4770-95A0-34882FF922F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79-vagten
Er i posten grundet sygdom</t>
        </r>
      </text>
    </comment>
    <comment ref="AA289" authorId="1" shapeId="0" xr:uid="{7F7C6B38-03DC-4E9C-819E-BA8F073E0BB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Posten grundet sygdom</t>
        </r>
      </text>
    </comment>
    <comment ref="AB289" authorId="1" shapeId="0" xr:uid="{96B2257B-71EE-4BD0-8C7E-C3C466B57A4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79-vagten</t>
        </r>
      </text>
    </comment>
    <comment ref="AC289" authorId="1" shapeId="0" xr:uid="{7BB35103-2B11-4D12-8BB4-A0CC892E865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79-vagten</t>
        </r>
      </text>
    </comment>
    <comment ref="AD289" authorId="1" shapeId="0" xr:uid="{48E9BF6C-0753-4C42-AD5D-5B489F1AFBD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79-vagten</t>
        </r>
      </text>
    </comment>
    <comment ref="O290" authorId="3" shapeId="0" xr:uid="{05FF4A6D-D419-46BA-BC59-325095F3BC3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 i bagport 08.00-09.30</t>
        </r>
      </text>
    </comment>
    <comment ref="AG290" authorId="1" shapeId="0" xr:uid="{9F208998-69C5-4CA7-96F5-DA4A69E1DE5D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Dækker 4-vagten</t>
        </r>
      </text>
    </comment>
    <comment ref="S291" authorId="1" shapeId="0" xr:uid="{07E6FA52-156D-4915-8907-85586F3B32F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89 vagten</t>
        </r>
      </text>
    </comment>
    <comment ref="T291" authorId="1" shapeId="0" xr:uid="{332EF478-C817-4FB4-B98C-09B438411CD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89 vagten</t>
        </r>
      </text>
    </comment>
    <comment ref="U291" authorId="1" shapeId="0" xr:uid="{5ED0586C-5069-4BF9-9039-40D91A93E7C0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89 vagten</t>
        </r>
      </text>
    </comment>
    <comment ref="V291" authorId="1" shapeId="0" xr:uid="{CFB6DEE7-657B-4752-A0BE-A44B1BD9F44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89 vagten</t>
        </r>
      </text>
    </comment>
    <comment ref="W291" authorId="4" shapeId="0" xr:uid="{1983233C-717A-40E5-936D-9197A9CB7E9D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Overarbejde som Brandvagt Bellahøj Svømmehal
Kl. 21:00 - 06:00</t>
        </r>
      </text>
    </comment>
    <comment ref="Z291" authorId="1" shapeId="0" xr:uid="{448F7AFF-645D-4B76-852D-A04198FBB05A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Gået syg hjem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Kim Holm Aabroe</author>
    <author>Rasmus Sørensen</author>
    <author>Thomas Holm</author>
    <author>Nick Lorentzen</author>
    <author>Mathias Søndergaard</author>
    <author>Jesper Larsen</author>
    <author>Lasse Aae-Hartwig</author>
    <author>Henrik Wolffbrandt Hansen</author>
    <author>Kim BT. Pedersen</author>
    <author>Gunner Lindskov Grell</author>
    <author>Mathias Nielsen</author>
  </authors>
  <commentList>
    <comment ref="Y15" authorId="0" shapeId="0" xr:uid="{BB7A4859-0FBC-4A71-8474-4E8C6F9C603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Modtagelse på OA.</t>
        </r>
      </text>
    </comment>
    <comment ref="F18" authorId="1" shapeId="0" xr:uid="{DDCD112D-F160-4759-BFB9-AE9495FB6405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omlagt tjeneste
V4 brikker</t>
        </r>
      </text>
    </comment>
    <comment ref="E20" authorId="2" shapeId="0" xr:uid="{EBB80D1D-9EBE-46DC-90A0-78D1D5A1625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Introdag KEJD</t>
        </r>
      </text>
    </comment>
    <comment ref="G20" authorId="3" shapeId="0" xr:uid="{D202B559-42DA-4428-BE9C-C4F3D7FF943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H20" authorId="3" shapeId="0" xr:uid="{FC44F548-2F24-4EDD-80C6-B2BC0D30F1F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L20" authorId="3" shapeId="0" xr:uid="{22EF0E4B-CE9A-4C8B-B5AD-2A373A90F51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M20" authorId="3" shapeId="0" xr:uid="{181FAA2D-AA9D-4FAD-AD5E-ADB72A5AC0C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P21" authorId="4" shapeId="0" xr:uid="{A84BF4C6-D083-456C-8EC6-2B3A4CDAC735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Afspadserer fra kl 14:30</t>
        </r>
      </text>
    </comment>
    <comment ref="D28" authorId="5" shapeId="0" xr:uid="{9A62AD75-39D9-43EC-A52B-0FDF1BAF954E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Repræsentantskabsmøde FOA</t>
        </r>
      </text>
    </comment>
    <comment ref="AD28" authorId="5" shapeId="0" xr:uid="{8AF055FC-E206-43AE-85FA-32ABCC576B87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Midtvejsseminar FOA</t>
        </r>
      </text>
    </comment>
    <comment ref="AE28" authorId="5" shapeId="0" xr:uid="{6C985899-7673-4CED-8471-E16441FB7F8B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Midtvejsseminar FOA</t>
        </r>
      </text>
    </comment>
    <comment ref="C29" authorId="5" shapeId="0" xr:uid="{31E5CD76-EC0C-4948-A72A-443C9F8106E4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Rentemestervej efter 09:00</t>
        </r>
      </text>
    </comment>
    <comment ref="E29" authorId="5" shapeId="0" xr:uid="{BA5CFD27-60F0-4DD3-B64B-875C118B6D5E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fra 08:45 afspadsering</t>
        </r>
      </text>
    </comment>
    <comment ref="AD29" authorId="5" shapeId="0" xr:uid="{6B9BC364-C45C-4191-B027-969812662893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Dækker 89-vagten fra kl 09 og frem</t>
        </r>
      </text>
    </comment>
    <comment ref="AF29" authorId="3" shapeId="0" xr:uid="{69632C19-8A66-460D-8165-5E194FE248F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Udlånt til arrangementsservice fra kl. 11.00</t>
        </r>
      </text>
    </comment>
    <comment ref="AD30" authorId="1" shapeId="0" xr:uid="{282A9443-458E-41E1-A2B1-2B6E1979310E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rentemestervej til 21.15</t>
        </r>
      </text>
    </comment>
    <comment ref="J44" authorId="1" shapeId="0" xr:uid="{4A57E2D5-B5F6-40F4-A2ED-3CB979DF47ED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6-vagt OA</t>
        </r>
      </text>
    </comment>
    <comment ref="T44" authorId="6" shapeId="0" xr:uid="{47D38A65-B67B-4538-85B1-99718576F786}">
      <text>
        <r>
          <rPr>
            <b/>
            <sz val="9"/>
            <color indexed="81"/>
            <rFont val="Tahoma"/>
            <charset val="1"/>
          </rPr>
          <t>Jesper Larsen:</t>
        </r>
        <r>
          <rPr>
            <sz val="9"/>
            <color indexed="81"/>
            <rFont val="Tahoma"/>
            <charset val="1"/>
          </rPr>
          <t xml:space="preserve">
01:30-10:30
Lygten OA</t>
        </r>
      </text>
    </comment>
    <comment ref="U44" authorId="7" shapeId="0" xr:uid="{600B7458-BB4C-49DC-BCEA-C5CD273A1466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Lygten 18-10</t>
        </r>
      </text>
    </comment>
    <comment ref="V44" authorId="7" shapeId="0" xr:uid="{18CD8557-77C5-4AF2-8DB5-CA2EBFCEFD15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Lygten 18-10
vagt aflyst kl. 17.45 
kunde betaler for hele vagten. bo 4 timers OA</t>
        </r>
      </text>
    </comment>
    <comment ref="AE44" authorId="7" shapeId="0" xr:uid="{0217B939-26F5-4C38-B795-C1E7CDD3ABE5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23-07.15</t>
        </r>
      </text>
    </comment>
    <comment ref="F45" authorId="8" shapeId="0" xr:uid="{68BECAF5-71A1-4425-97B7-F650C35C5405}">
      <text>
        <r>
          <rPr>
            <sz val="9"/>
            <rFont val="Arial"/>
            <family val="2"/>
          </rPr>
          <t>Henrik Wolffbrandt Hansen:
OA 4 vagt -  09:30 til 15:15</t>
        </r>
      </text>
    </comment>
    <comment ref="K45" authorId="8" shapeId="0" xr:uid="{B278F675-E9BB-4C51-8CC2-E40417210A13}">
      <text>
        <r>
          <rPr>
            <sz val="9"/>
            <rFont val="Arial"/>
            <family val="2"/>
          </rPr>
          <t>Henrik Wolffbrandt Hansen:
Skal afløses kl.16:30
(Generalforsamling)</t>
        </r>
      </text>
    </comment>
    <comment ref="Q45" authorId="3" shapeId="0" xr:uid="{23FF609C-3463-4EC0-AA43-D1F88B3EBC87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Afsp. Fra kl. 10.00</t>
        </r>
      </text>
    </comment>
    <comment ref="E46" authorId="4" shapeId="0" xr:uid="{C9811A65-4A8E-4971-8CC2-32A5BA9E293E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Afspadserer fra 22:00</t>
        </r>
      </text>
    </comment>
    <comment ref="T46" authorId="4" shapeId="0" xr:uid="{C7FA64EC-0155-4756-9CAE-EEE186F585AA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Afspadserer fra kl. 12:30</t>
        </r>
      </text>
    </comment>
    <comment ref="D47" authorId="3" shapeId="0" xr:uid="{B792B695-660A-41AB-B46D-093C6342D3D9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89-vagt</t>
        </r>
      </text>
    </comment>
    <comment ref="E47" authorId="5" shapeId="0" xr:uid="{88EFB6F5-5CB7-4DFF-9EC0-83B44F615176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Gallafest brønshøj skole
3 vagter 17.45-22.00+ 89-vagt</t>
        </r>
      </text>
    </comment>
    <comment ref="C49" authorId="3" shapeId="0" xr:uid="{70B3639C-A4F5-44DA-8C9D-83BC56A7DC0F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4-vagt</t>
        </r>
      </text>
    </comment>
    <comment ref="E49" authorId="5" shapeId="0" xr:uid="{81813420-5463-4FC9-8F93-8408874FB4CF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Gallafest brønshøj skole
3 vagter 17.45-22.00
OA</t>
        </r>
      </text>
    </comment>
    <comment ref="F49" authorId="3" shapeId="0" xr:uid="{13E8623C-F47B-458C-BDE9-FAC0D707427B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4-vagt</t>
        </r>
      </text>
    </comment>
    <comment ref="J49" authorId="7" shapeId="0" xr:uid="{0A1B20D1-2B3A-44CE-B913-F0C191423E09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Raskmeldt d.d</t>
        </r>
      </text>
    </comment>
    <comment ref="O49" authorId="8" shapeId="0" xr:uid="{CBE7033E-08CB-48CB-B145-8C8243063155}">
      <text>
        <r>
          <rPr>
            <sz val="9"/>
            <rFont val="Arial"/>
            <family val="2"/>
          </rPr>
          <t xml:space="preserve">Henrik Wolffbrandt Hansen:
OA Refshalevej 148
08:00  -  20:30 
</t>
        </r>
      </text>
    </comment>
    <comment ref="X49" authorId="7" shapeId="0" xr:uid="{EBE297EC-5F55-4B35-8478-868A5DF716A1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16.30 - 23.30</t>
        </r>
      </text>
    </comment>
    <comment ref="Y49" authorId="7" shapeId="0" xr:uid="{164376EF-97E1-497A-934A-C14785DCE2B5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16.30 - 23.30
slut kl. 2400</t>
        </r>
      </text>
    </comment>
    <comment ref="AD49" authorId="7" shapeId="0" xr:uid="{3AB1F5CA-0FA2-4C8C-8A1A-F80948946AD4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fra 23 - 07.15</t>
        </r>
      </text>
    </comment>
    <comment ref="Q50" authorId="8" shapeId="0" xr:uid="{9524467A-2BB5-4BF9-8AB9-69BF743C318A}">
      <text>
        <r>
          <rPr>
            <sz val="9"/>
            <rFont val="Arial"/>
            <family val="2"/>
          </rPr>
          <t>Henrik Wolffbrandt Hansen:
OA Lygten 4D
08:00 - 20:00</t>
        </r>
      </text>
    </comment>
    <comment ref="R50" authorId="5" shapeId="0" xr:uid="{5C8CAE44-F04A-42A0-953F-86402C397F85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20:00-08:00 OA Lygten 4D</t>
        </r>
      </text>
    </comment>
    <comment ref="W50" authorId="7" shapeId="0" xr:uid="{1F6C75AE-BE9D-4366-987D-C639ED1125BB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11 vagt fra 23 - 07.15</t>
        </r>
      </text>
    </comment>
    <comment ref="Y50" authorId="9" shapeId="0" xr:uid="{B78EFBA3-ADD9-4650-AE83-860702C15C7D}">
      <text>
        <r>
          <rPr>
            <b/>
            <sz val="9"/>
            <color indexed="81"/>
            <rFont val="Tahoma"/>
            <charset val="1"/>
          </rPr>
          <t>Kim BT. Pedersen:</t>
        </r>
        <r>
          <rPr>
            <sz val="9"/>
            <color indexed="81"/>
            <rFont val="Tahoma"/>
            <charset val="1"/>
          </rPr>
          <t xml:space="preserve">
S1 på OA 23:15-8:30</t>
        </r>
      </text>
    </comment>
    <comment ref="E51" authorId="5" shapeId="0" xr:uid="{A3CE0DDE-EBA6-4421-803E-F60B82DB2F2F}">
      <text>
        <r>
          <rPr>
            <b/>
            <sz val="9"/>
            <color indexed="81"/>
            <rFont val="Tahoma"/>
          </rPr>
          <t>Mathias Søndergaard:</t>
        </r>
        <r>
          <rPr>
            <sz val="9"/>
            <color indexed="81"/>
            <rFont val="Tahoma"/>
          </rPr>
          <t xml:space="preserve">
Gallafest brønshøj skole
3 vagter 17.45-22.00
OA</t>
        </r>
      </text>
    </comment>
    <comment ref="P52" authorId="8" shapeId="0" xr:uid="{C92A2E93-23F5-4150-A122-3ACD833B04FF}">
      <text>
        <r>
          <rPr>
            <sz val="9"/>
            <rFont val="Arial"/>
            <family val="2"/>
          </rPr>
          <t>Henrik Wolffbrandt Hansen:
OA Lygten 4D
20:00 - 08:00</t>
        </r>
      </text>
    </comment>
    <comment ref="G56" authorId="3" shapeId="0" xr:uid="{407F6FC6-ACC7-453E-9EB6-9621DECE49A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13.00-14.15</t>
        </r>
      </text>
    </comment>
    <comment ref="G57" authorId="3" shapeId="0" xr:uid="{F7112BE9-C368-498B-BCEF-FFE3EF058A8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13.00-14.15</t>
        </r>
      </text>
    </comment>
    <comment ref="G58" authorId="3" shapeId="0" xr:uid="{048B98C5-6339-4133-B072-5E3ECD3132C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13.00-14.15</t>
        </r>
      </text>
    </comment>
    <comment ref="AD67" authorId="7" shapeId="0" xr:uid="{1358FAC2-CEBE-4DF3-8007-5A909F14125A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Vagt ændret fra 5 til 25 deraf 1,5 times OA</t>
        </r>
      </text>
    </comment>
    <comment ref="AF67" authorId="5" shapeId="0" xr:uid="{BA8BD1EB-D728-4DFE-99B3-E4A225CE909E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OA til 00:00</t>
        </r>
      </text>
    </comment>
    <comment ref="F68" authorId="0" shapeId="0" xr:uid="{B2801326-7F8A-4931-9000-ABD70BBBB0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K68" authorId="10" shapeId="0" xr:uid="{9611ADB7-A575-474E-9267-0527FF7516D9}">
      <text>
        <r>
          <rPr>
            <b/>
            <sz val="9"/>
            <color indexed="81"/>
            <rFont val="Tahoma"/>
            <charset val="1"/>
          </rPr>
          <t>Gunner Lindskov Grell:</t>
        </r>
        <r>
          <rPr>
            <sz val="9"/>
            <color indexed="81"/>
            <rFont val="Tahoma"/>
            <charset val="1"/>
          </rPr>
          <t xml:space="preserve">
Kun dagvagt
</t>
        </r>
      </text>
    </comment>
    <comment ref="AD69" authorId="10" shapeId="0" xr:uid="{71F9CCD2-C1AB-416A-A520-132443C94077}">
      <text>
        <r>
          <rPr>
            <b/>
            <sz val="9"/>
            <color indexed="81"/>
            <rFont val="Tahoma"/>
            <charset val="1"/>
          </rPr>
          <t>Gunner Lindskov Grell:</t>
        </r>
        <r>
          <rPr>
            <sz val="9"/>
            <color indexed="81"/>
            <rFont val="Tahoma"/>
            <charset val="1"/>
          </rPr>
          <t xml:space="preserve">
møder kl. 16:30
</t>
        </r>
      </text>
    </comment>
    <comment ref="AD70" authorId="5" shapeId="0" xr:uid="{6EE4AAB4-E046-4BC1-8FF2-2937596D8F58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OA 00:30-01:00</t>
        </r>
      </text>
    </comment>
    <comment ref="Q71" authorId="11" shapeId="0" xr:uid="{6468D046-F2DD-4B1F-8BAE-A7D255DA50A9}">
      <text>
        <r>
          <rPr>
            <b/>
            <sz val="9"/>
            <color indexed="81"/>
            <rFont val="Tahoma"/>
            <charset val="1"/>
          </rPr>
          <t>Mathias Nielsen:</t>
        </r>
        <r>
          <rPr>
            <sz val="9"/>
            <color indexed="81"/>
            <rFont val="Tahoma"/>
            <charset val="1"/>
          </rPr>
          <t xml:space="preserve">
OA lygten 4D
19:30-08:00</t>
        </r>
      </text>
    </comment>
    <comment ref="C73" authorId="4" shapeId="0" xr:uid="{B590D63C-57BC-494E-AF1A-A8CD688F911C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Overarbejde 1 time pga Maskinmestersag på Tingbjerg</t>
        </r>
      </text>
    </comment>
    <comment ref="T73" authorId="6" shapeId="0" xr:uid="{C4A9520B-48B5-4BBD-816D-946821F1339B}">
      <text>
        <r>
          <rPr>
            <b/>
            <sz val="9"/>
            <color indexed="81"/>
            <rFont val="Tahoma"/>
            <charset val="1"/>
          </rPr>
          <t>Jesper Larsen:</t>
        </r>
        <r>
          <rPr>
            <sz val="9"/>
            <color indexed="81"/>
            <rFont val="Tahoma"/>
            <charset val="1"/>
          </rPr>
          <t xml:space="preserve">
17:30-02:00
Lygten OA</t>
        </r>
      </text>
    </comment>
    <comment ref="AA73" authorId="4" shapeId="0" xr:uid="{77DD28BA-295E-40AA-9DBA-22B1155703EB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5-vagt på overarbejde</t>
        </r>
      </text>
    </comment>
    <comment ref="V75" authorId="7" shapeId="0" xr:uid="{62F183BF-EC56-4C81-90F3-111A39931D8B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Biblioteket er lukket påskedag og 2 påskedag så han blev sent hjem </t>
        </r>
      </text>
    </comment>
    <comment ref="AA75" authorId="10" shapeId="0" xr:uid="{B55C240E-BFB4-4FB7-A120-86954FC02D9C}">
      <text>
        <r>
          <rPr>
            <b/>
            <sz val="9"/>
            <color indexed="81"/>
            <rFont val="Tahoma"/>
            <charset val="1"/>
          </rPr>
          <t>Gunner Lindskov Grell:</t>
        </r>
        <r>
          <rPr>
            <sz val="9"/>
            <color indexed="81"/>
            <rFont val="Tahoma"/>
            <charset val="1"/>
          </rPr>
          <t xml:space="preserve">
Kantinen på fuglebarken fra kl. 15:00 - 21:00
OA</t>
        </r>
      </text>
    </comment>
    <comment ref="Y76" authorId="0" shapeId="0" xr:uid="{78D0E3DB-63D9-4C0B-A8B5-B9D4F341F75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Modtagelse på OA</t>
        </r>
      </text>
    </comment>
    <comment ref="C93" authorId="5" shapeId="0" xr:uid="{CD11D367-6489-42F9-BAE5-FDE59CD0DF1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93" authorId="5" shapeId="0" xr:uid="{FD9F9B38-434F-4A9E-AC68-4264AEFD2AF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93" authorId="5" shapeId="0" xr:uid="{3C25B675-F73D-420E-AC6C-0C6AE1A26F6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93" authorId="5" shapeId="0" xr:uid="{D4F4FB02-D0F4-4210-BB34-1778AB652EE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93" authorId="5" shapeId="0" xr:uid="{B4543D7A-A4A3-4092-858F-8BB2D3B42F9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93" authorId="5" shapeId="0" xr:uid="{B55052D1-B3E6-4FDF-BD4B-4711EE8DE7E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93" authorId="5" shapeId="0" xr:uid="{22009789-E0AB-4627-BF76-5F38CC6843F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93" authorId="5" shapeId="0" xr:uid="{DFE33A40-83FD-413C-9CAE-12D08BFBE33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93" authorId="5" shapeId="0" xr:uid="{95717495-61BA-406B-BE06-EC397A89CC5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93" authorId="5" shapeId="0" xr:uid="{00BBD221-4C21-4235-9C88-A5D84F111AC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93" authorId="5" shapeId="0" xr:uid="{165C655F-ED04-4ABD-99C2-6F47CAB5F2B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93" authorId="5" shapeId="0" xr:uid="{31846D37-A0B7-4030-B592-A3C1308F4B4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93" authorId="5" shapeId="0" xr:uid="{7E157A4E-0965-4BF1-B166-EE1830E982E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93" authorId="5" shapeId="0" xr:uid="{E5D74D8C-1678-45A7-8C33-BFE5E1617FA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93" authorId="7" shapeId="0" xr:uid="{55A32F4B-C249-4395-B070-9F2DEC1DF788}">
      <text>
        <r>
          <rPr>
            <sz val="9"/>
            <rFont val="Arial"/>
            <family val="2"/>
          </rPr>
          <t>Lasse Aae-Hartwig:
Dækker 5 vagt fra kl 18
Slut: 00:30</t>
        </r>
      </text>
    </comment>
    <comment ref="AA93" authorId="5" shapeId="0" xr:uid="{ED51BE41-6334-400B-83D5-AC92EFD7EF7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93" authorId="5" shapeId="0" xr:uid="{1C77120D-20D5-47AA-B9B2-54D4FFC48BF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93" authorId="5" shapeId="0" xr:uid="{7611E472-234F-423C-B054-2E3FBF4FB09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93" authorId="5" shapeId="0" xr:uid="{F3D68151-B6D8-4818-97B5-5B9DBAAB28E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109" authorId="5" shapeId="0" xr:uid="{4CD6DB2F-126F-41A0-B5C7-3FC5056A53A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22:45</t>
        </r>
      </text>
    </comment>
    <comment ref="J109" authorId="5" shapeId="0" xr:uid="{2A1ECA97-5910-4D98-A182-DE19CC01848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22:45</t>
        </r>
      </text>
    </comment>
    <comment ref="K109" authorId="5" shapeId="0" xr:uid="{8157A022-54D5-475F-9E63-E306BE6BB7B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22:45</t>
        </r>
      </text>
    </comment>
    <comment ref="L109" authorId="5" shapeId="0" xr:uid="{95C1CDB1-D8A9-48F3-9C74-6B96A541D57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22:45</t>
        </r>
      </text>
    </comment>
    <comment ref="U109" authorId="1" shapeId="0" xr:uid="{42E4AB0A-4002-4AFB-B2AA-2A7F28527A08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afsp. 45 min.</t>
        </r>
      </text>
    </comment>
    <comment ref="V109" authorId="1" shapeId="0" xr:uid="{B6446EE6-49F7-4B3F-98F8-A7D333EBB3F5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afsp. 1 time</t>
        </r>
      </text>
    </comment>
    <comment ref="AE109" authorId="5" shapeId="0" xr:uid="{B0BFB842-7648-4EED-AD52-BE1705A916F2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afspadsering fra 22:45</t>
        </r>
      </text>
    </comment>
    <comment ref="AF109" authorId="5" shapeId="0" xr:uid="{94970A2A-85F8-441B-B72C-E7BD0EA8A48C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afspadsering fra 22:45</t>
        </r>
      </text>
    </comment>
    <comment ref="R110" authorId="11" shapeId="0" xr:uid="{889C06C2-58DC-46A6-AA84-FDE313E52F47}">
      <text>
        <r>
          <rPr>
            <b/>
            <sz val="9"/>
            <color indexed="81"/>
            <rFont val="Tahoma"/>
            <charset val="1"/>
          </rPr>
          <t>Mathias Nielsen:</t>
        </r>
        <r>
          <rPr>
            <sz val="9"/>
            <color indexed="81"/>
            <rFont val="Tahoma"/>
            <charset val="1"/>
          </rPr>
          <t xml:space="preserve">
Lygten 4D 08:00-20:00
OA</t>
        </r>
      </text>
    </comment>
    <comment ref="H122" authorId="5" shapeId="0" xr:uid="{53CE167C-0C7E-4A37-8EC7-C8B58917B2C3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Afspadsering fra 06:30
Steen afløser</t>
        </r>
      </text>
    </comment>
    <comment ref="T122" authorId="7" shapeId="0" xr:uid="{E804ECFA-6788-4BB1-B631-B983D01A3352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30 min OA</t>
        </r>
      </text>
    </comment>
    <comment ref="P137" authorId="8" shapeId="0" xr:uid="{3DC9A9C4-6885-41CE-B9C5-D3D7C5E9E2C6}">
      <text>
        <r>
          <rPr>
            <sz val="9"/>
            <rFont val="Arial"/>
            <family val="2"/>
          </rPr>
          <t>Henrik Wolffbrandt Hansen:
OA Lygten 4D
08:00 - 20:00</t>
        </r>
      </text>
    </comment>
    <comment ref="S137" authorId="5" shapeId="0" xr:uid="{369D2505-4DAF-43CE-B9E9-6191EA330A4D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SP1 OA</t>
        </r>
      </text>
    </comment>
    <comment ref="T137" authorId="5" shapeId="0" xr:uid="{54E14A3B-35D6-49F0-AAEB-3698D0C37BEB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SP1 OA Vagten løb 30 min længere</t>
        </r>
      </text>
    </comment>
    <comment ref="AD165" authorId="7" shapeId="0" xr:uid="{76212A8D-497D-4731-9C92-18AA4A3BBE8E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Afspadsering fra 15.30 - 16.00</t>
        </r>
      </text>
    </comment>
    <comment ref="I166" authorId="1" shapeId="0" xr:uid="{AC412E77-5A76-479F-81B7-E2A483AE10F0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afsp. Fra kl. 14.00</t>
        </r>
      </text>
    </comment>
    <comment ref="E168" authorId="7" shapeId="0" xr:uid="{EB3F8DFD-EDF3-497E-9B82-7FA1DF5CABDE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indtil kl. 09.00</t>
        </r>
      </text>
    </comment>
    <comment ref="C169" authorId="5" shapeId="0" xr:uid="{C864E5CA-4ED6-4E36-9B83-0BBFEA7FB79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AMR fuglebakken 08.00-14.00
Afspadsering fra 15.30</t>
        </r>
      </text>
    </comment>
    <comment ref="Y169" authorId="0" shapeId="0" xr:uid="{263C6300-FEDA-4990-B04F-42529C29C9D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Modtagelse kl. 17.30 på OA.</t>
        </r>
      </text>
    </comment>
    <comment ref="F182" authorId="5" shapeId="0" xr:uid="{D82DC382-83BC-434E-9DE5-258F37B59A3F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89-vagt OA</t>
        </r>
      </text>
    </comment>
    <comment ref="C185" authorId="3" shapeId="0" xr:uid="{EB969A41-AE71-46D7-8FEA-740ABC8393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23.00-00.15</t>
        </r>
      </text>
    </comment>
    <comment ref="N185" authorId="8" shapeId="0" xr:uid="{7A047C80-E111-4E53-A90D-2D9F151BCF37}">
      <text>
        <r>
          <rPr>
            <sz val="9"/>
            <rFont val="Arial"/>
            <family val="2"/>
          </rPr>
          <t>Henrik Wolffbrandt Hansen:
OA Lygten 4D   
20:00 - 08:00</t>
        </r>
      </text>
    </comment>
    <comment ref="O185" authorId="4" shapeId="0" xr:uid="{ED4EF87A-49D4-4CD4-93E7-7F4B9545A604}">
      <text>
        <r>
          <rPr>
            <sz val="9"/>
            <rFont val="Arial"/>
            <family val="2"/>
          </rPr>
          <t>Nick Lorentzen:
OA Lygten 4D
19:30 - 08:00</t>
        </r>
      </text>
    </comment>
    <comment ref="C186" authorId="3" shapeId="0" xr:uid="{95463ED6-EF6F-4234-BC95-4891FED12BF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23.00-00.15</t>
        </r>
      </text>
    </comment>
    <comment ref="Z186" authorId="4" shapeId="0" xr:uid="{4917940E-4CCA-47FE-8796-6E531EC09525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S1 vagt på overarbejde</t>
        </r>
      </text>
    </comment>
    <comment ref="AA186" authorId="4" shapeId="0" xr:uid="{611EE09F-5884-4CBD-B98D-E633E0BA18B4}">
      <text>
        <r>
          <rPr>
            <b/>
            <sz val="9"/>
            <color indexed="81"/>
            <rFont val="Tahoma"/>
            <charset val="1"/>
          </rPr>
          <t>Nick Lorentzen:</t>
        </r>
        <r>
          <rPr>
            <sz val="9"/>
            <color indexed="81"/>
            <rFont val="Tahoma"/>
            <charset val="1"/>
          </rPr>
          <t xml:space="preserve">
S1 vagt på overarbejde</t>
        </r>
      </text>
    </comment>
    <comment ref="C187" authorId="3" shapeId="0" xr:uid="{D50E617F-61F3-4431-91FD-A302851215B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23.00-00.15</t>
        </r>
      </text>
    </comment>
    <comment ref="U201" authorId="7" shapeId="0" xr:uid="{C52C08D7-B925-4E4D-A629-4A234EF6F674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Byttet med Kristoffer</t>
        </r>
      </text>
    </comment>
    <comment ref="Y230" authorId="7" shapeId="0" xr:uid="{687D5E87-A86F-465C-A0F9-74EE1B487454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Kørt kl 10 grundet private årsager</t>
        </r>
      </text>
    </comment>
    <comment ref="N232" authorId="5" shapeId="0" xr:uid="{EAE6DA52-05E9-4F63-AAD4-2F7087A9E65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AD232" authorId="10" shapeId="0" xr:uid="{959CD142-5CD8-4585-91F3-AEBC5AC70220}">
      <text>
        <r>
          <rPr>
            <b/>
            <sz val="9"/>
            <color indexed="81"/>
            <rFont val="Tahoma"/>
            <charset val="1"/>
          </rPr>
          <t>Gunner Lindskov Grell:</t>
        </r>
        <r>
          <rPr>
            <sz val="9"/>
            <color indexed="81"/>
            <rFont val="Tahoma"/>
            <charset val="1"/>
          </rPr>
          <t xml:space="preserve">
midtvejsseminar FOA
</t>
        </r>
      </text>
    </comment>
    <comment ref="AE232" authorId="10" shapeId="0" xr:uid="{3CDFF252-D332-4E5C-B63C-2932714D70BE}">
      <text>
        <r>
          <rPr>
            <b/>
            <sz val="9"/>
            <color indexed="81"/>
            <rFont val="Tahoma"/>
            <charset val="1"/>
          </rPr>
          <t>Gunner Lindskov Grell:</t>
        </r>
        <r>
          <rPr>
            <sz val="9"/>
            <color indexed="81"/>
            <rFont val="Tahoma"/>
            <charset val="1"/>
          </rPr>
          <t xml:space="preserve">
midtvejsseminar FOA
</t>
        </r>
      </text>
    </comment>
    <comment ref="AF232" authorId="10" shapeId="0" xr:uid="{3CF43CAD-F72A-464E-A415-34FB05D9EB98}">
      <text>
        <r>
          <rPr>
            <b/>
            <sz val="9"/>
            <color indexed="81"/>
            <rFont val="Tahoma"/>
            <charset val="1"/>
          </rPr>
          <t>Gunner Lindskov Grell:</t>
        </r>
        <r>
          <rPr>
            <sz val="9"/>
            <color indexed="81"/>
            <rFont val="Tahoma"/>
            <charset val="1"/>
          </rPr>
          <t xml:space="preserve">
skal med til en tjænstelig samtale </t>
        </r>
      </text>
    </comment>
    <comment ref="G233" authorId="5" shapeId="0" xr:uid="{BB043943-E279-4AF4-A73D-4C688936D75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10:00-14:00 blågårds bibliotek
Arbejdstid 09:30-14:30</t>
        </r>
      </text>
    </comment>
    <comment ref="P294" authorId="9" shapeId="0" xr:uid="{23B187D3-80D3-4CB2-8F9A-95174B0EB8F4}">
      <text>
        <r>
          <rPr>
            <b/>
            <sz val="9"/>
            <color indexed="81"/>
            <rFont val="Tahoma"/>
            <charset val="1"/>
          </rPr>
          <t>Kim BT. Pedersen:</t>
        </r>
        <r>
          <rPr>
            <sz val="9"/>
            <color indexed="81"/>
            <rFont val="Tahoma"/>
            <charset val="1"/>
          </rPr>
          <t xml:space="preserve">
Dækker 69-vagten</t>
        </r>
      </text>
    </comment>
    <comment ref="X294" authorId="7" shapeId="0" xr:uid="{109FE7B1-446D-48EE-8A8F-3DAA510876AE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Møder 9.30 grundet tandlæge</t>
        </r>
      </text>
    </comment>
    <comment ref="AE294" authorId="5" shapeId="0" xr:uid="{350E6FCF-5E11-47B8-B6E2-C37C6B2483F8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Dækker 89-vagten</t>
        </r>
      </text>
    </comment>
    <comment ref="AF294" authorId="5" shapeId="0" xr:uid="{57100433-D81C-427E-BDEA-38FD89C4BF8E}">
      <text>
        <r>
          <rPr>
            <b/>
            <sz val="9"/>
            <color indexed="81"/>
            <rFont val="Tahoma"/>
            <charset val="1"/>
          </rPr>
          <t>Mathias Søndergaard:</t>
        </r>
        <r>
          <rPr>
            <sz val="9"/>
            <color indexed="81"/>
            <rFont val="Tahoma"/>
            <charset val="1"/>
          </rPr>
          <t xml:space="preserve">
Dækker 89-vagten
Til 12:30</t>
        </r>
      </text>
    </comment>
  </commentList>
</comments>
</file>

<file path=xl/sharedStrings.xml><?xml version="1.0" encoding="utf-8"?>
<sst xmlns="http://schemas.openxmlformats.org/spreadsheetml/2006/main" count="40366" uniqueCount="1075">
  <si>
    <t xml:space="preserve"> 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</si>
  <si>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</si>
  <si>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</si>
  <si>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</si>
  <si>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</si>
  <si>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</si>
  <si>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</si>
  <si>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</si>
  <si>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</si>
  <si>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</si>
  <si>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t/>
  </si>
  <si>
    <t xml:space="preserve">      :Omlægning af vagt (Planafvigelse)</t>
  </si>
  <si>
    <t>Barns 1. Sygedag</t>
  </si>
  <si>
    <t>Oplæring</t>
  </si>
  <si>
    <t>Oplæring af nye kolleger</t>
  </si>
  <si>
    <t>Afdeling 1714 Afsnit 1702</t>
  </si>
  <si>
    <t>Vagter for turnusformænd</t>
  </si>
  <si>
    <t>Mandag</t>
  </si>
  <si>
    <t>Tirsdag</t>
  </si>
  <si>
    <t>Onsdag</t>
  </si>
  <si>
    <t>Torsdag</t>
  </si>
  <si>
    <t>Fredag</t>
  </si>
  <si>
    <t>Lørdag</t>
  </si>
  <si>
    <t>Søndag</t>
  </si>
  <si>
    <t>V1</t>
  </si>
  <si>
    <t>06.45 – 14.30</t>
  </si>
  <si>
    <t>06.45 – 14.15</t>
  </si>
  <si>
    <t>06.45 – 13.15</t>
  </si>
  <si>
    <t>V2</t>
  </si>
  <si>
    <t>08.15 – 16.00</t>
  </si>
  <si>
    <t>08.15 – 14.15</t>
  </si>
  <si>
    <t>V3 + A</t>
  </si>
  <si>
    <t>14.15-22.30</t>
  </si>
  <si>
    <t>14.00-22.30</t>
  </si>
  <si>
    <t>13.00-22.30</t>
  </si>
  <si>
    <t>06.30 – 18.45</t>
  </si>
  <si>
    <t>V4 + B</t>
  </si>
  <si>
    <t>22.15- 07.00</t>
  </si>
  <si>
    <t>22.15- 06.30</t>
  </si>
  <si>
    <t>18.30 – 06.45</t>
  </si>
  <si>
    <t>18.45 – 07.00</t>
  </si>
  <si>
    <t>Normtid</t>
  </si>
  <si>
    <t>Nøgle uge nr.:</t>
  </si>
  <si>
    <t>Plan</t>
  </si>
  <si>
    <t>Navn</t>
  </si>
  <si>
    <t>448 Rasmus Sørensen</t>
  </si>
  <si>
    <t>I</t>
  </si>
  <si>
    <t>Turnusformænd</t>
  </si>
  <si>
    <t>442 Kim Aabroe</t>
  </si>
  <si>
    <t>V3</t>
  </si>
  <si>
    <t>F</t>
  </si>
  <si>
    <t>V4</t>
  </si>
  <si>
    <t>B</t>
  </si>
  <si>
    <t>A</t>
  </si>
  <si>
    <t>Lars Crone</t>
  </si>
  <si>
    <t>479 Nick Lorentzen</t>
  </si>
  <si>
    <t>V3)</t>
  </si>
  <si>
    <t>Michael Bo Pedersen</t>
  </si>
  <si>
    <t>393 Thomas Holm</t>
  </si>
  <si>
    <t>453 Mathias Nielsen</t>
  </si>
  <si>
    <t>Formændsafløsere</t>
  </si>
  <si>
    <t>993 Steen Hertin</t>
  </si>
  <si>
    <t>Forskudttid</t>
  </si>
  <si>
    <t>Denne måned</t>
  </si>
  <si>
    <t>Difference</t>
  </si>
  <si>
    <t>Hele året</t>
  </si>
  <si>
    <t>Fra April 2024</t>
  </si>
  <si>
    <t>476 Jesper Larsen</t>
  </si>
  <si>
    <t>%</t>
  </si>
  <si>
    <t>i1</t>
  </si>
  <si>
    <t>B1</t>
  </si>
  <si>
    <t>SP5</t>
  </si>
  <si>
    <t>O1</t>
  </si>
  <si>
    <t>O2</t>
  </si>
  <si>
    <t>O4</t>
  </si>
  <si>
    <t>Flemming Dam</t>
  </si>
  <si>
    <t>|</t>
  </si>
  <si>
    <t>i2</t>
  </si>
  <si>
    <t>327 Johnny Hansen</t>
  </si>
  <si>
    <t>I)</t>
  </si>
  <si>
    <t>89</t>
  </si>
  <si>
    <t>..,.-,.</t>
  </si>
  <si>
    <t>Vagter for turnus Rådhuset Plankode 8516</t>
  </si>
  <si>
    <t xml:space="preserve">  </t>
  </si>
  <si>
    <t xml:space="preserve">   </t>
  </si>
  <si>
    <r>
      <t xml:space="preserve">1  </t>
    </r>
    <r>
      <rPr>
        <sz val="9"/>
        <rFont val="Arial"/>
        <family val="2"/>
      </rPr>
      <t>0700 - 1400 Også på helligdage</t>
    </r>
  </si>
  <si>
    <r>
      <t xml:space="preserve">3 </t>
    </r>
    <r>
      <rPr>
        <sz val="9"/>
        <rFont val="Arial"/>
        <family val="2"/>
      </rPr>
      <t xml:space="preserve"> 0730 - 1530 Også på helligdage</t>
    </r>
  </si>
  <si>
    <r>
      <t xml:space="preserve">4 </t>
    </r>
    <r>
      <rPr>
        <sz val="9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</si>
  <si>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9"/>
        <rFont val="Arial"/>
        <family val="2"/>
      </rPr>
      <t xml:space="preserve"> 1630 - 2330/ fredage 1400-2330 (-helligdage)</t>
    </r>
  </si>
  <si>
    <r>
      <t xml:space="preserve">6  </t>
    </r>
    <r>
      <rPr>
        <sz val="9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9"/>
        <rFont val="Arial"/>
        <family val="2"/>
      </rPr>
      <t xml:space="preserve">1600 - 2300 </t>
    </r>
  </si>
  <si>
    <r>
      <t xml:space="preserve">7 </t>
    </r>
    <r>
      <rPr>
        <sz val="9"/>
        <rFont val="Arial"/>
        <family val="2"/>
      </rPr>
      <t xml:space="preserve"> Aften 1515 - 2315</t>
    </r>
  </si>
  <si>
    <r>
      <t xml:space="preserve">8 </t>
    </r>
    <r>
      <rPr>
        <sz val="9"/>
        <rFont val="Arial"/>
        <family val="2"/>
      </rPr>
      <t xml:space="preserve"> Aften 1600-2300 /fredag 1600-2230</t>
    </r>
  </si>
  <si>
    <r>
      <t xml:space="preserve">9 </t>
    </r>
    <r>
      <rPr>
        <sz val="9"/>
        <rFont val="Arial"/>
        <family val="2"/>
      </rPr>
      <t xml:space="preserve"> Nat 2300 - 0600  </t>
    </r>
  </si>
  <si>
    <r>
      <t xml:space="preserve">10 </t>
    </r>
    <r>
      <rPr>
        <sz val="9"/>
        <rFont val="Arial"/>
        <family val="2"/>
      </rPr>
      <t xml:space="preserve"> Nat 2300 - 0700</t>
    </r>
  </si>
  <si>
    <r>
      <t xml:space="preserve">11 </t>
    </r>
    <r>
      <rPr>
        <sz val="9"/>
        <rFont val="Arial"/>
        <family val="2"/>
      </rPr>
      <t xml:space="preserve"> Nat 2300 - 0715</t>
    </r>
  </si>
  <si>
    <r>
      <t>A1</t>
    </r>
    <r>
      <rPr>
        <sz val="9"/>
        <rFont val="Arial"/>
        <family val="2"/>
      </rPr>
      <t xml:space="preserve"> Dag 0845 - 1745 Lørdag </t>
    </r>
  </si>
  <si>
    <r>
      <t>A2</t>
    </r>
    <r>
      <rPr>
        <sz val="9"/>
        <rFont val="Arial"/>
        <family val="2"/>
      </rPr>
      <t xml:space="preserve"> Dag 0700 - 1900 Lørdag &amp; søndag</t>
    </r>
  </si>
  <si>
    <r>
      <t>A3</t>
    </r>
    <r>
      <rPr>
        <sz val="9"/>
        <rFont val="Arial"/>
        <family val="2"/>
      </rPr>
      <t xml:space="preserve"> Dag 0700 - 1915 Lørdag &amp; søndag</t>
    </r>
  </si>
  <si>
    <r>
      <t>B1</t>
    </r>
    <r>
      <rPr>
        <sz val="9"/>
        <rFont val="Arial"/>
        <family val="2"/>
      </rPr>
      <t xml:space="preserve"> Nat 1900 - 0600  Lørdag &amp; søndag</t>
    </r>
  </si>
  <si>
    <r>
      <t>B2</t>
    </r>
    <r>
      <rPr>
        <sz val="9"/>
        <rFont val="Arial"/>
        <family val="2"/>
      </rPr>
      <t xml:space="preserve"> Nat 1900 - 0700  Lørdag &amp; søndag </t>
    </r>
  </si>
  <si>
    <r>
      <t>B3</t>
    </r>
    <r>
      <rPr>
        <sz val="9"/>
        <rFont val="Arial"/>
        <family val="2"/>
      </rPr>
      <t xml:space="preserve"> Nat 1900 - 0715  Lørdag &amp; søndag</t>
    </r>
  </si>
  <si>
    <t>969 Anders Hintze</t>
  </si>
  <si>
    <t>F)</t>
  </si>
  <si>
    <t>A1</t>
  </si>
  <si>
    <t>A2</t>
  </si>
  <si>
    <t>488 Frederik Jensen</t>
  </si>
  <si>
    <t>B2</t>
  </si>
  <si>
    <t>A3</t>
  </si>
  <si>
    <t xml:space="preserve">494 Thomas Bay </t>
  </si>
  <si>
    <t>B3</t>
  </si>
  <si>
    <t>21</t>
  </si>
  <si>
    <t>402 Ole Albertsen</t>
  </si>
  <si>
    <t>6)</t>
  </si>
  <si>
    <t>5)</t>
  </si>
  <si>
    <t>308 Kim B. T. Pedersen</t>
  </si>
  <si>
    <t>Simon Botfeldt</t>
  </si>
  <si>
    <t>Michael Stemann</t>
  </si>
  <si>
    <t>463 John Stengaard</t>
  </si>
  <si>
    <t>Alexander Henriksen</t>
  </si>
  <si>
    <t>Flemming Grambo</t>
  </si>
  <si>
    <t>411  Niels C. Frederiksen</t>
  </si>
  <si>
    <t>387 Bo Iversen</t>
  </si>
  <si>
    <t>421 Niels Bo Jensen</t>
  </si>
  <si>
    <t>Anders Petersen</t>
  </si>
  <si>
    <t>313 Erik M. Nielsen</t>
  </si>
  <si>
    <t>Buffer gruppen</t>
  </si>
  <si>
    <t>Bemærkninger</t>
  </si>
  <si>
    <t>26-vagt</t>
  </si>
  <si>
    <t>1615 - 2330</t>
  </si>
  <si>
    <t>1700 - 2330</t>
  </si>
  <si>
    <t>0815 - 1815</t>
  </si>
  <si>
    <t>Normal daglig tjeneste</t>
  </si>
  <si>
    <t>0815-1600</t>
  </si>
  <si>
    <t>0815-1415</t>
  </si>
  <si>
    <t>25-vagt (Patruljeleder)</t>
  </si>
  <si>
    <t>1500-0030</t>
  </si>
  <si>
    <t>1400-0030</t>
  </si>
  <si>
    <t xml:space="preserve">                                                                             </t>
  </si>
  <si>
    <t>467 Nicolaj Beck Thilesen</t>
  </si>
  <si>
    <t>O6</t>
  </si>
  <si>
    <t>O3</t>
  </si>
  <si>
    <t>O5</t>
  </si>
  <si>
    <t>K2</t>
  </si>
  <si>
    <t>KA</t>
  </si>
  <si>
    <t>478 Kemal Türkmen</t>
  </si>
  <si>
    <t>S6</t>
  </si>
  <si>
    <t>489 Henrik W. Hansen</t>
  </si>
  <si>
    <t>S3</t>
  </si>
  <si>
    <t>S5</t>
  </si>
  <si>
    <t>SP6</t>
  </si>
  <si>
    <t>SP3</t>
  </si>
  <si>
    <t>Keld Prehn</t>
  </si>
  <si>
    <t>I2</t>
  </si>
  <si>
    <t>25</t>
  </si>
  <si>
    <t>G</t>
  </si>
  <si>
    <t>Salih Cetin</t>
  </si>
  <si>
    <t>Tommy Ollvid</t>
  </si>
  <si>
    <t>1</t>
  </si>
  <si>
    <t>R</t>
  </si>
  <si>
    <t>Henning Larsen</t>
  </si>
  <si>
    <t>O</t>
  </si>
  <si>
    <t>Sergio Gorgone</t>
  </si>
  <si>
    <t>SP1</t>
  </si>
  <si>
    <t>SP2</t>
  </si>
  <si>
    <t>SP4</t>
  </si>
  <si>
    <t>Kennet Heildelbach</t>
  </si>
  <si>
    <t>Stig Christensen</t>
  </si>
  <si>
    <t>380 Ali Capcan</t>
  </si>
  <si>
    <t>P</t>
  </si>
  <si>
    <t>P)</t>
  </si>
  <si>
    <t>447 Dimitrios Kostis</t>
  </si>
  <si>
    <t>KA)</t>
  </si>
  <si>
    <t>K1</t>
  </si>
  <si>
    <t xml:space="preserve">Filip Torres </t>
  </si>
  <si>
    <t>E</t>
  </si>
  <si>
    <t>21)</t>
  </si>
  <si>
    <t xml:space="preserve">Lazhare Gasmi </t>
  </si>
  <si>
    <r>
      <t xml:space="preserve">Simon Petreski </t>
    </r>
    <r>
      <rPr>
        <sz val="11"/>
        <rFont val="Cambria"/>
        <family val="1"/>
      </rPr>
      <t>               </t>
    </r>
    <r>
      <rPr>
        <sz val="11"/>
        <rFont val="KBH Tekst"/>
      </rPr>
      <t xml:space="preserve"> </t>
    </r>
  </si>
  <si>
    <t xml:space="preserve">Bo Michaelsen </t>
  </si>
  <si>
    <t>23</t>
  </si>
  <si>
    <t>Jess Holmboe Mogensen</t>
  </si>
  <si>
    <t>450 Thomas Lindenskov</t>
  </si>
  <si>
    <t>Vikarer</t>
  </si>
  <si>
    <t>Benny Jacobsen</t>
  </si>
  <si>
    <t>Atif Malik</t>
  </si>
  <si>
    <t>Mohamad</t>
  </si>
  <si>
    <t>26</t>
  </si>
  <si>
    <t>.</t>
  </si>
  <si>
    <t>5</t>
  </si>
  <si>
    <t>26)</t>
  </si>
  <si>
    <t>Christian Nøhr</t>
  </si>
  <si>
    <t>Elev</t>
  </si>
  <si>
    <t>Tobias Bolander Jensen</t>
  </si>
  <si>
    <t>Peter Buch</t>
  </si>
  <si>
    <t>Jonas Nielsen</t>
  </si>
  <si>
    <t>Praktikanter</t>
  </si>
  <si>
    <t>Adam</t>
  </si>
  <si>
    <t>Sjællandsgade 38-40</t>
  </si>
  <si>
    <t>Q   Anden opgave</t>
  </si>
  <si>
    <t>Mandag - torsdag</t>
  </si>
  <si>
    <t>S1     20,30 - 08.30</t>
  </si>
  <si>
    <t>S1 fredag     18.30- 00.30</t>
  </si>
  <si>
    <t xml:space="preserve"> S6 Lørdag o6 00.00 -10.30</t>
  </si>
  <si>
    <t>S2   17.30 - 00.30</t>
  </si>
  <si>
    <t>S3     00.00- 10.30</t>
  </si>
  <si>
    <t>Søndag og helligdage</t>
  </si>
  <si>
    <t>S4   17.30 - 00.30</t>
  </si>
  <si>
    <t>S5    00.00 - 08.30</t>
  </si>
  <si>
    <t>Levsa Bayankhail</t>
  </si>
  <si>
    <t>S1</t>
  </si>
  <si>
    <t>S2</t>
  </si>
  <si>
    <t>S4</t>
  </si>
  <si>
    <t>Henriette Skovly</t>
  </si>
  <si>
    <t>Ottiliavej 1</t>
  </si>
  <si>
    <t>O1     20,30 - 08.30</t>
  </si>
  <si>
    <t>O1 fredag     18.30- 00.30</t>
  </si>
  <si>
    <t xml:space="preserve"> O6 Lørdag o6 00.00 -10.30</t>
  </si>
  <si>
    <t>O2   17.30 - 00.30</t>
  </si>
  <si>
    <t>O3     00.00- 10.30</t>
  </si>
  <si>
    <t>O4   17.30 - 00.30</t>
  </si>
  <si>
    <t>O5    00.00 - 08.30</t>
  </si>
  <si>
    <t xml:space="preserve">Malik Asfihan Qayum </t>
  </si>
  <si>
    <t xml:space="preserve">Jannie Sejr Petersen </t>
  </si>
  <si>
    <t>Speditørvej</t>
  </si>
  <si>
    <t>SP1     20,30 - 08.30</t>
  </si>
  <si>
    <t>SP1 fredag     18.30- 00.30</t>
  </si>
  <si>
    <t xml:space="preserve"> SP6 Lørdag o6 00.00 -10.30</t>
  </si>
  <si>
    <t>SP2   17.30 - 00.30</t>
  </si>
  <si>
    <t>SP3     00.00- 10.30</t>
  </si>
  <si>
    <t>SP4   17.30 - 00.30</t>
  </si>
  <si>
    <t>SP5    00.00 - 08.30</t>
  </si>
  <si>
    <t>Ruhat</t>
  </si>
  <si>
    <t>Kredsvagt</t>
  </si>
  <si>
    <t>Plankode 8513</t>
  </si>
  <si>
    <t>Timer ugentligt</t>
  </si>
  <si>
    <t>Uge 1</t>
  </si>
  <si>
    <t>Uge 2</t>
  </si>
  <si>
    <t>K2 1545 – 01.00</t>
  </si>
  <si>
    <t>K2 16.30 – 01.00</t>
  </si>
  <si>
    <t xml:space="preserve">K2 </t>
  </si>
  <si>
    <t>1545 – 01.00</t>
  </si>
  <si>
    <t>K2 15.45 - 01.00</t>
  </si>
  <si>
    <t>1330-0030</t>
  </si>
  <si>
    <t>Uge 3</t>
  </si>
  <si>
    <t>FRI</t>
  </si>
  <si>
    <t>Uge 4</t>
  </si>
  <si>
    <t>Buffer</t>
  </si>
  <si>
    <t>Informationen</t>
  </si>
  <si>
    <t>i1 Plankode 8520</t>
  </si>
  <si>
    <t>0700 - 1445</t>
  </si>
  <si>
    <t>0700 - 1300</t>
  </si>
  <si>
    <t>824 Anders Villadsen</t>
  </si>
  <si>
    <t>I1</t>
  </si>
  <si>
    <t>I1)</t>
  </si>
  <si>
    <t>Sikring</t>
  </si>
  <si>
    <t>Plankode 8506</t>
  </si>
  <si>
    <t>0900-1600</t>
  </si>
  <si>
    <t>0800-1600</t>
  </si>
  <si>
    <t>0830-1600</t>
  </si>
  <si>
    <t>0830-1630</t>
  </si>
  <si>
    <t>0900-1400</t>
  </si>
  <si>
    <t>0900-1630</t>
  </si>
  <si>
    <t>Uge 5</t>
  </si>
  <si>
    <t>0745 - 1530</t>
  </si>
  <si>
    <t>0800-1400</t>
  </si>
  <si>
    <t>456 Oliver Villadsen</t>
  </si>
  <si>
    <t>473 Tarik Saji</t>
  </si>
  <si>
    <t>486 Anne Mette Jensen</t>
  </si>
  <si>
    <t>89)</t>
  </si>
  <si>
    <t>392 Martin Svanebjerg</t>
  </si>
  <si>
    <t>480 Johnny Larsen</t>
  </si>
  <si>
    <t>Kødbyen</t>
  </si>
  <si>
    <t>21-vagt</t>
  </si>
  <si>
    <t>21.00-07.00</t>
  </si>
  <si>
    <t>23.00-07.00</t>
  </si>
  <si>
    <t>19.00-07.00</t>
  </si>
  <si>
    <t>22.00-07.00</t>
  </si>
  <si>
    <t>22-vagt</t>
  </si>
  <si>
    <t>23-vagt</t>
  </si>
  <si>
    <t>21.30-06.30</t>
  </si>
  <si>
    <t>fln</t>
  </si>
  <si>
    <t>Volkan Özdemir</t>
  </si>
  <si>
    <t>Per Kristensen</t>
  </si>
  <si>
    <t xml:space="preserve">Frederik Friis Sørensen </t>
  </si>
  <si>
    <t>Rundviser</t>
  </si>
  <si>
    <t>1000-1600</t>
  </si>
  <si>
    <t>0900-1700</t>
  </si>
  <si>
    <t>370 Kristoffer Sahlholdt</t>
  </si>
  <si>
    <t>R1</t>
  </si>
  <si>
    <t>R2</t>
  </si>
  <si>
    <t>R3</t>
  </si>
  <si>
    <t>Martin/Flemming</t>
  </si>
  <si>
    <t>Henriette Dedichen</t>
  </si>
  <si>
    <t>886 Per Larsen</t>
  </si>
  <si>
    <t>Socialcenter København</t>
  </si>
  <si>
    <t>Plankode</t>
  </si>
  <si>
    <t>Griffen</t>
  </si>
  <si>
    <t>C</t>
  </si>
  <si>
    <t>815-1545</t>
  </si>
  <si>
    <t>915-1845</t>
  </si>
  <si>
    <t>815-1315</t>
  </si>
  <si>
    <t>Brønshøjvej</t>
  </si>
  <si>
    <t>12.00-1545</t>
  </si>
  <si>
    <t>08.15-18.15</t>
  </si>
  <si>
    <t>815-1415</t>
  </si>
  <si>
    <t>Lyongade</t>
  </si>
  <si>
    <t>8.30 - 15.15</t>
  </si>
  <si>
    <t>10.00 - 18.00</t>
  </si>
  <si>
    <t>Matthæusgade</t>
  </si>
  <si>
    <t>M</t>
  </si>
  <si>
    <t>8.45-1545</t>
  </si>
  <si>
    <t>08.30 - 17.15</t>
  </si>
  <si>
    <t>8.45 . 13.30</t>
  </si>
  <si>
    <t>Gl. Køge landevej</t>
  </si>
  <si>
    <t>8.45 - 15.30</t>
  </si>
  <si>
    <t>11.15 - 18.00</t>
  </si>
  <si>
    <t>Svendborggade</t>
  </si>
  <si>
    <t>08.45 - 15.15</t>
  </si>
  <si>
    <t>09.00 - 18.00</t>
  </si>
  <si>
    <t>Gammel køge landevej 43-45</t>
  </si>
  <si>
    <t>815-1600</t>
  </si>
  <si>
    <t>Sydbanestien</t>
  </si>
  <si>
    <t>S</t>
  </si>
  <si>
    <t>Socialcentre afløsere mødetider.</t>
  </si>
  <si>
    <t>09.00 - 15.00</t>
  </si>
  <si>
    <t>12.30 - 18.30</t>
  </si>
  <si>
    <t>08.30 - 14.30</t>
  </si>
  <si>
    <t>11.00 - 18.00</t>
  </si>
  <si>
    <t>08.15 - 14.15</t>
  </si>
  <si>
    <t>12.00 - 18.00</t>
  </si>
  <si>
    <t>8.45 - 15.15</t>
  </si>
  <si>
    <t>08.30 - 17.00</t>
  </si>
  <si>
    <t>492 Thomas Hartmann</t>
  </si>
  <si>
    <t xml:space="preserve">395 Lars Lionette </t>
  </si>
  <si>
    <t xml:space="preserve">495 Rasmus Olsen </t>
  </si>
  <si>
    <t>491 Michael Thomsen</t>
  </si>
  <si>
    <t>496 Peter Johansen</t>
  </si>
  <si>
    <t>493 Michael Dyhr</t>
  </si>
  <si>
    <t>S)</t>
  </si>
  <si>
    <t>Administrations og Arrangementsafdelingen</t>
  </si>
  <si>
    <t xml:space="preserve">Plankoder </t>
  </si>
  <si>
    <t>0600 - 1115</t>
  </si>
  <si>
    <t>0600 - 1345</t>
  </si>
  <si>
    <t>0600 - 1200</t>
  </si>
  <si>
    <t>0600  - 1200</t>
  </si>
  <si>
    <t>0800 - 1545</t>
  </si>
  <si>
    <t>0800 - 1400</t>
  </si>
  <si>
    <t>Forskudt vagt</t>
  </si>
  <si>
    <t>Afdeling 1722 afsnit 1701</t>
  </si>
  <si>
    <t>Michael Riis-Jensen</t>
  </si>
  <si>
    <t>Chef for Arrangementservice</t>
  </si>
  <si>
    <t>Charlotte Dalsgaard</t>
  </si>
  <si>
    <t>Arrangementformmand</t>
  </si>
  <si>
    <t>416 Dorte Ramassi</t>
  </si>
  <si>
    <t>320 Mikael M. Andersen</t>
  </si>
  <si>
    <t>Nikolaj Pamhede</t>
  </si>
  <si>
    <t>l)</t>
  </si>
  <si>
    <t>Arrangementservice</t>
  </si>
  <si>
    <t>445 Jeanett Røjbæk</t>
  </si>
  <si>
    <t xml:space="preserve">323 Inge Hansen </t>
  </si>
  <si>
    <t>364 Henning Haaning</t>
  </si>
  <si>
    <t xml:space="preserve">Aleksandra Mika </t>
  </si>
  <si>
    <t>410 Karina Schiöpffe</t>
  </si>
  <si>
    <t>Carsten Dahl</t>
  </si>
  <si>
    <t>Per Ringgård Jensen</t>
  </si>
  <si>
    <t>Nina Selma Sommer</t>
  </si>
  <si>
    <t>Linnedstuen</t>
  </si>
  <si>
    <t>504 Maya Villadsen</t>
  </si>
  <si>
    <t>Ludmilla Stidl</t>
  </si>
  <si>
    <t>Rikke EngHolm</t>
  </si>
  <si>
    <t>Postservice</t>
  </si>
  <si>
    <t>0700-1430</t>
  </si>
  <si>
    <t>0700-1400</t>
  </si>
  <si>
    <t>0830-1530</t>
  </si>
  <si>
    <t>Afdeling 1721 afsnit 1701</t>
  </si>
  <si>
    <t xml:space="preserve">419 Karina Petersen </t>
  </si>
  <si>
    <t>Postruter</t>
  </si>
  <si>
    <t>434 Marco Minerba</t>
  </si>
  <si>
    <t>P2</t>
  </si>
  <si>
    <t>984 Jannie M.-Andersen</t>
  </si>
  <si>
    <t>P1</t>
  </si>
  <si>
    <t>409 Martin Holse</t>
  </si>
  <si>
    <t>P3</t>
  </si>
  <si>
    <t>Afdeling/afsnit 4420/4420</t>
  </si>
  <si>
    <t>Afdeling/afsnit 4250/4210</t>
  </si>
  <si>
    <t>Søren Christensen</t>
  </si>
  <si>
    <t>Frank Hansen</t>
  </si>
  <si>
    <t>Michael  Skytte</t>
  </si>
  <si>
    <t>Per Rasmussen</t>
  </si>
  <si>
    <t>Dagny Torres</t>
  </si>
  <si>
    <t>Rene  Svenning Johansen</t>
  </si>
  <si>
    <t>Martin Hansen</t>
  </si>
  <si>
    <t>Sine Broe Andersen</t>
  </si>
  <si>
    <t>Henrik Olsen</t>
  </si>
  <si>
    <t>Nicolai Schrøder</t>
  </si>
  <si>
    <t>3)</t>
  </si>
  <si>
    <t>1)</t>
  </si>
  <si>
    <t>B2)</t>
  </si>
  <si>
    <t>8</t>
  </si>
  <si>
    <t>4</t>
  </si>
  <si>
    <t xml:space="preserve">KA </t>
  </si>
  <si>
    <t>22</t>
  </si>
  <si>
    <t>(A2</t>
  </si>
  <si>
    <t>%)</t>
  </si>
  <si>
    <t>10</t>
  </si>
  <si>
    <t>)</t>
  </si>
  <si>
    <t>(I</t>
  </si>
  <si>
    <t>Atif</t>
  </si>
  <si>
    <t>6</t>
  </si>
  <si>
    <t>Thomas Ferguson</t>
  </si>
  <si>
    <t>(89</t>
  </si>
  <si>
    <t>99)</t>
  </si>
  <si>
    <t>Jesper Bendix</t>
  </si>
  <si>
    <t>Tenna Spur Jensen</t>
  </si>
  <si>
    <t>D</t>
  </si>
  <si>
    <t>P3)</t>
  </si>
  <si>
    <t>D)</t>
  </si>
  <si>
    <t>B3)</t>
  </si>
  <si>
    <t>8)</t>
  </si>
  <si>
    <t>7)</t>
  </si>
  <si>
    <t>11</t>
  </si>
  <si>
    <t>69</t>
  </si>
  <si>
    <t>K2)</t>
  </si>
  <si>
    <t xml:space="preserve">SP3 </t>
  </si>
  <si>
    <t>V4)</t>
  </si>
  <si>
    <r>
      <t xml:space="preserve">5 </t>
    </r>
    <r>
      <rPr>
        <sz val="9"/>
        <rFont val="Arial"/>
        <family val="2"/>
      </rPr>
      <t xml:space="preserve"> 1630 - 2330/ fredage 1400-2330               (-helligdage)</t>
    </r>
  </si>
  <si>
    <t>Jan Jensen</t>
  </si>
  <si>
    <t>79</t>
  </si>
  <si>
    <t>Vicky Odder</t>
  </si>
  <si>
    <t>7</t>
  </si>
  <si>
    <t xml:space="preserve">Jeanet Tarp Jørgensen </t>
  </si>
  <si>
    <t>Kristian Reenberg  </t>
  </si>
  <si>
    <t>Maria Bogs</t>
  </si>
  <si>
    <t>Yusuf</t>
  </si>
  <si>
    <t>S4)</t>
  </si>
  <si>
    <t>t</t>
  </si>
  <si>
    <t>23)</t>
  </si>
  <si>
    <t>448 Rasmus Sørensen (Fast rul)</t>
  </si>
  <si>
    <t>442 Kim Aabroe (Fast rul)</t>
  </si>
  <si>
    <t>Lars Crone (Fast rul)</t>
  </si>
  <si>
    <t>479 Nick Lorentzen (Fast rul)</t>
  </si>
  <si>
    <t>393 Thomas Holm (Fast rul)</t>
  </si>
  <si>
    <t>453 Mathias Nielsen (Fast rul)</t>
  </si>
  <si>
    <t>993 Steen Hertin (Fast rul)</t>
  </si>
  <si>
    <t>Flemming Dam (Fast rul)</t>
  </si>
  <si>
    <t>327 Johnny Hansen (Fast rul)</t>
  </si>
  <si>
    <t>,</t>
  </si>
  <si>
    <t>AMR 12:30 - 15:00</t>
  </si>
  <si>
    <t>Navn (Fast rul)</t>
  </si>
  <si>
    <t>O)</t>
  </si>
  <si>
    <t>Bo Michaelsen</t>
  </si>
  <si>
    <t>T</t>
  </si>
  <si>
    <t>Lars Mortensen</t>
  </si>
  <si>
    <t>Ronnie Nielsen</t>
  </si>
  <si>
    <t>79)</t>
  </si>
  <si>
    <t>69)</t>
  </si>
  <si>
    <t>3</t>
  </si>
  <si>
    <t>A2)</t>
  </si>
  <si>
    <t>l</t>
  </si>
  <si>
    <t>O1)</t>
  </si>
  <si>
    <t>SP1)</t>
  </si>
  <si>
    <r>
      <t xml:space="preserve">Navn - </t>
    </r>
    <r>
      <rPr>
        <sz val="9"/>
        <color rgb="FFFF0000"/>
        <rFont val="Arial"/>
        <family val="2"/>
      </rPr>
      <t>BRUGES IKKE</t>
    </r>
  </si>
  <si>
    <t xml:space="preserve">Emilie </t>
  </si>
  <si>
    <t>Martin Hvorslev</t>
  </si>
  <si>
    <t>Bodin ( tastes ikke i KAS)</t>
  </si>
  <si>
    <t xml:space="preserve">BCH Borups alle </t>
  </si>
  <si>
    <t>M)</t>
  </si>
  <si>
    <t>410 Karina Schiöpffe Holm</t>
  </si>
  <si>
    <t>P2)</t>
  </si>
  <si>
    <r>
      <t xml:space="preserve">Navn </t>
    </r>
    <r>
      <rPr>
        <b/>
        <sz val="9"/>
        <color rgb="FFFF0000"/>
        <rFont val="Arial"/>
        <family val="2"/>
      </rPr>
      <t>BRUGES IKKE</t>
    </r>
  </si>
  <si>
    <t>453 Mathias Søndergaard</t>
  </si>
  <si>
    <t>1q</t>
  </si>
  <si>
    <t>K2-vagt (KA)</t>
  </si>
  <si>
    <t>16.30 – 01.00</t>
  </si>
  <si>
    <t>15.45 - 01.00</t>
  </si>
  <si>
    <t>RF1</t>
  </si>
  <si>
    <t>RF1)</t>
  </si>
  <si>
    <t>Laura Qiao</t>
  </si>
  <si>
    <t>Asawin</t>
  </si>
  <si>
    <t>Stig Jensen</t>
  </si>
  <si>
    <t>Lars Eriksen</t>
  </si>
  <si>
    <t>elev</t>
  </si>
  <si>
    <t>Yusef</t>
  </si>
  <si>
    <t>Nicklaz Sørensen</t>
  </si>
  <si>
    <t>Levsa</t>
  </si>
  <si>
    <t>Speditørvej 10</t>
  </si>
  <si>
    <t>Refshalevej 148</t>
  </si>
  <si>
    <t>Alle dage</t>
  </si>
  <si>
    <t>RF1     20,30 - 08.30</t>
  </si>
  <si>
    <t>Bodin ( Tastes ikke i KAS )</t>
  </si>
  <si>
    <t>ø'</t>
  </si>
  <si>
    <t>A)</t>
  </si>
  <si>
    <t>453 Mathias Søndergaard (Fast rul)</t>
  </si>
  <si>
    <t>9</t>
  </si>
  <si>
    <t>I+I79:W79</t>
  </si>
  <si>
    <t>i</t>
  </si>
  <si>
    <t>SPE1</t>
  </si>
  <si>
    <t>S5)</t>
  </si>
  <si>
    <t>99</t>
  </si>
  <si>
    <t>i2)</t>
  </si>
  <si>
    <t>25)</t>
  </si>
  <si>
    <t>01</t>
  </si>
  <si>
    <t>Ruhat Durkal</t>
  </si>
  <si>
    <t>Refshalevej</t>
  </si>
  <si>
    <t>RF6</t>
  </si>
  <si>
    <t>RF3</t>
  </si>
  <si>
    <t>RF5</t>
  </si>
  <si>
    <t>G)</t>
  </si>
  <si>
    <t>Postruter (Fast rul)</t>
  </si>
  <si>
    <t xml:space="preserve">ferie </t>
  </si>
  <si>
    <t>V1)</t>
  </si>
  <si>
    <t>A3)</t>
  </si>
  <si>
    <t>4)</t>
  </si>
  <si>
    <t>Asawin Chinwithee</t>
  </si>
  <si>
    <t>Dennis Enggaard</t>
  </si>
  <si>
    <t>Elias Henningsen</t>
  </si>
  <si>
    <t>Martin</t>
  </si>
  <si>
    <t>Bodin</t>
  </si>
  <si>
    <t>Michael Dyhr</t>
  </si>
  <si>
    <t>Gunner Grell</t>
  </si>
  <si>
    <r>
      <rPr>
        <b/>
        <sz val="10"/>
        <color rgb="FF000000"/>
        <rFont val="Arial"/>
        <family val="2"/>
      </rPr>
      <t xml:space="preserve">5 </t>
    </r>
    <r>
      <rPr>
        <sz val="9"/>
        <color rgb="FF000000"/>
        <rFont val="Arial"/>
        <family val="2"/>
      </rPr>
      <t xml:space="preserve"> 1630 - 2330/ fredage 1400-2330 (-helligdage)</t>
    </r>
  </si>
  <si>
    <t>T)</t>
  </si>
  <si>
    <t>Lasse Martinussen</t>
  </si>
  <si>
    <t>17/</t>
  </si>
  <si>
    <t xml:space="preserve">Jonas </t>
  </si>
  <si>
    <t>Adil</t>
  </si>
  <si>
    <t>Leo</t>
  </si>
  <si>
    <t>17:45-00:00</t>
  </si>
  <si>
    <t>25-vagt</t>
  </si>
  <si>
    <t>1500-2330</t>
  </si>
  <si>
    <t>1400-2330</t>
  </si>
  <si>
    <t>1730-0030</t>
  </si>
  <si>
    <t>1715-0030</t>
  </si>
  <si>
    <t>1400-0000</t>
  </si>
  <si>
    <t>Fri</t>
  </si>
  <si>
    <t>Alle Dage</t>
  </si>
  <si>
    <t>Alloe dage</t>
  </si>
  <si>
    <t>R2)</t>
  </si>
  <si>
    <t>Brønshøjvej 17</t>
  </si>
  <si>
    <t>Lyongade 25 3. sal</t>
  </si>
  <si>
    <t>Matthæusgade 1</t>
  </si>
  <si>
    <t>Gay Go Sison</t>
  </si>
  <si>
    <t>Lasse Aae-Hartwig</t>
  </si>
  <si>
    <t>17</t>
  </si>
  <si>
    <t>B)</t>
  </si>
  <si>
    <t>v1</t>
  </si>
  <si>
    <t xml:space="preserve">Bo Michelsen </t>
  </si>
  <si>
    <t>(5</t>
  </si>
  <si>
    <t>Normal daglig tjeneste I</t>
  </si>
  <si>
    <t>Julius Elias Henningsen</t>
  </si>
  <si>
    <t>22)</t>
  </si>
  <si>
    <t>R1)</t>
  </si>
  <si>
    <t>0800-1530</t>
  </si>
  <si>
    <t>0800-1500</t>
  </si>
  <si>
    <t>Uge 3 (Vagten)</t>
  </si>
  <si>
    <t>Thomas Holm</t>
  </si>
  <si>
    <t>Gunnar Grell</t>
  </si>
  <si>
    <t xml:space="preserve"> 18-19</t>
  </si>
  <si>
    <t>B1)</t>
  </si>
  <si>
    <t>E)</t>
  </si>
  <si>
    <t>V1 + A</t>
  </si>
  <si>
    <t>06.30 – 15.45</t>
  </si>
  <si>
    <t>06.30 – 14.45</t>
  </si>
  <si>
    <t>14.30-22.30</t>
  </si>
  <si>
    <t>22.30- 06.45</t>
  </si>
  <si>
    <t>18.45 – 06.45</t>
  </si>
  <si>
    <t>Michael Knudsen</t>
  </si>
  <si>
    <t>Turnus gruppen</t>
  </si>
  <si>
    <t>Brian Rand</t>
  </si>
  <si>
    <t>Gorm Bigum</t>
  </si>
  <si>
    <t>Andreas Hansen</t>
  </si>
  <si>
    <t>Michael Toftig</t>
  </si>
  <si>
    <t>Johnny G. Hansen</t>
  </si>
  <si>
    <t>Kasper de Lasson</t>
  </si>
  <si>
    <t>Skole</t>
  </si>
  <si>
    <t>Sjællandsgade</t>
  </si>
  <si>
    <t>Ottiliavej</t>
  </si>
  <si>
    <t>815-1540</t>
  </si>
  <si>
    <t>815-1715</t>
  </si>
  <si>
    <t>815-1500</t>
  </si>
  <si>
    <t>815-1400</t>
  </si>
  <si>
    <t>395 Lars Lionett</t>
  </si>
  <si>
    <t>492 Thomas Hartman</t>
  </si>
  <si>
    <t>P:)</t>
  </si>
  <si>
    <t>Rådhusservice prisliste 2023(kostægte)</t>
  </si>
  <si>
    <t>Generelle timepriser</t>
  </si>
  <si>
    <t>Arrangementservice + Servering</t>
  </si>
  <si>
    <t>Rådhusvagt</t>
  </si>
  <si>
    <t>Teknisk service</t>
  </si>
  <si>
    <t>Post &amp; scan</t>
  </si>
  <si>
    <t>Timepris hverdage 6-17</t>
  </si>
  <si>
    <t>Timepris inkl. tillæg efter klokken 17</t>
  </si>
  <si>
    <t>Overarbejde 50% (inkl. timepris)</t>
  </si>
  <si>
    <t>Overarbejde 100% (Inkl. timepris)</t>
  </si>
  <si>
    <t>Gebyr på 50 kr. ved varsling under 72 timer (inkl. timepris)</t>
  </si>
  <si>
    <t>Overarbejde 50% (inkl. timepris og gebyr på 50 kr.)</t>
  </si>
  <si>
    <t>Overarbejde 100% (Inkl. timepris og gebyr på 50 kr.)</t>
  </si>
  <si>
    <t>Leje af dueslag pr. år (pris 2021)*</t>
  </si>
  <si>
    <t>Beløb</t>
  </si>
  <si>
    <t>1 Dueslag</t>
  </si>
  <si>
    <t>½ dueslag</t>
  </si>
  <si>
    <t>1/4 dueslag</t>
  </si>
  <si>
    <t>Nedskrivningsfaktor (forholdsmæssig forskel på fakureret 2021 og kostægte udgift) INKL. ADHOC*</t>
  </si>
  <si>
    <t>Øvrige ydelser</t>
  </si>
  <si>
    <t xml:space="preserve">Rådhusnøgler pr. stk. </t>
  </si>
  <si>
    <t>ID kort + adgangsbrikker</t>
  </si>
  <si>
    <t>Yoyo</t>
  </si>
  <si>
    <t>Kortholder</t>
  </si>
  <si>
    <t>Timepriser på gamle aftaler</t>
  </si>
  <si>
    <t>Skolesupport</t>
  </si>
  <si>
    <t>Skolessupport Rundvisning</t>
  </si>
  <si>
    <t>POSTAFTALE KATEGORIER, YDELSESBESKRIVELSE *</t>
  </si>
  <si>
    <t xml:space="preserve">1/1 Dueslag: Large volumen post. Afhentning Post Nord morgen + sortering + udbringning til lokation (Rådhus/By) + hjemkørsel post fra lokation + klargøring til Post Nord </t>
  </si>
  <si>
    <t xml:space="preserve">1/2 Dueslag: medium volumen post. Afhentning Post Nord morgen + sortering + udbringning til lokation (Rådhus/By) + hjemkørsel post fra lokation + klargøring til Post Nord </t>
  </si>
  <si>
    <t>1/4 Dueslag: sortering til dueslag på Rådhus, kunde afhenter selv post</t>
  </si>
  <si>
    <t>Timepriser i Rådhusservice 2022</t>
  </si>
  <si>
    <t>Timepris</t>
  </si>
  <si>
    <t>Arrangement service</t>
  </si>
  <si>
    <t>Servering</t>
  </si>
  <si>
    <t>Vagt</t>
  </si>
  <si>
    <t>Timepris: Arrangementer mv. (6 til 17 på hverdage)</t>
  </si>
  <si>
    <t>375 kr(425)</t>
  </si>
  <si>
    <t>372 kr(422)</t>
  </si>
  <si>
    <t>375 Kr(425)</t>
  </si>
  <si>
    <t>Overarbejde 50 % timer ved arrangementer mv.                                    (17 til 20 på hverdage)</t>
  </si>
  <si>
    <t>450,-</t>
  </si>
  <si>
    <t>450 kr(500)</t>
  </si>
  <si>
    <t>Overarbejde 100 % timer ved arrangementer mv.                                  (20 til 6 på hverdage)</t>
  </si>
  <si>
    <t>600,-</t>
  </si>
  <si>
    <t>600 kr(650)</t>
  </si>
  <si>
    <t>600 Kr(650)</t>
  </si>
  <si>
    <t>Hvis opgaven ikke er varslet 72 timer før, lægges                           50 kr. oven i prisen, gælder både  vagt og arrangementer</t>
  </si>
  <si>
    <t xml:space="preserve">Udlejning af Betjente: Socialcentre, Borgerservice </t>
  </si>
  <si>
    <t>375,-</t>
  </si>
  <si>
    <t>Borgmestre chauffør, omvisninger og ved ad hoc opgaver.</t>
  </si>
  <si>
    <t xml:space="preserve">Rundering:  </t>
  </si>
  <si>
    <t>372,-</t>
  </si>
  <si>
    <t xml:space="preserve">Rundering: Årsværk med alt inklusivt </t>
  </si>
  <si>
    <t>558.618,-</t>
  </si>
  <si>
    <t>700,-</t>
  </si>
  <si>
    <t>Postopgaver</t>
  </si>
  <si>
    <t>255,-</t>
  </si>
  <si>
    <t>Postkørsel: Ad hoc opgaver</t>
  </si>
  <si>
    <t>350,-</t>
  </si>
  <si>
    <t>Frankering: Tillæg pr. brev + portoen</t>
  </si>
  <si>
    <t>0,60,-</t>
  </si>
  <si>
    <t>Leje af helt Dueslag pr. dag.                                                        (Inklusiv 1 daglig levering af post)</t>
  </si>
  <si>
    <t>Årligt 64.260</t>
  </si>
  <si>
    <t>Leje af halvt Dueslag pr. dag.                                                       (Inklusiv 1 daglig levering af post)</t>
  </si>
  <si>
    <t>127,50,-</t>
  </si>
  <si>
    <t>Årligt 32.130</t>
  </si>
  <si>
    <t>Leje af kvart Dueslag pr. dag.                                                      (Kunden skal selv tømme for post)</t>
  </si>
  <si>
    <t>63,75,-</t>
  </si>
  <si>
    <t>Årligt 16.065</t>
  </si>
  <si>
    <t>Skanning pr. time</t>
  </si>
  <si>
    <t>368,-</t>
  </si>
  <si>
    <t>GRUS/MUS 2022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</si>
  <si>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</si>
  <si>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</si>
  <si>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</si>
  <si>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</si>
  <si>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</si>
  <si>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</si>
  <si>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t>Flemming Nielsen</t>
  </si>
  <si>
    <t>Dennis Rise</t>
  </si>
  <si>
    <t>Erik Andersen</t>
  </si>
  <si>
    <t>44 Lara Andersen</t>
  </si>
  <si>
    <t>22/1-20</t>
  </si>
  <si>
    <t>Nick Lorentzen</t>
  </si>
  <si>
    <t>Kim Aabroe</t>
  </si>
  <si>
    <t>Rasmus Sørensen</t>
  </si>
  <si>
    <t>Mathias Nielsen</t>
  </si>
  <si>
    <t>20/5-22</t>
  </si>
  <si>
    <t>Per Larsen</t>
  </si>
  <si>
    <t>488 frederik jensen</t>
  </si>
  <si>
    <t>316 Marianne Rasmussen</t>
  </si>
  <si>
    <t>420 Carsten Dahl</t>
  </si>
  <si>
    <t>Steen Hertin</t>
  </si>
  <si>
    <t>Henrik W. Hansen</t>
  </si>
  <si>
    <t>433 Simon Botfeldt</t>
  </si>
  <si>
    <t>Administration og arrangements afd.</t>
  </si>
  <si>
    <t>414 Steffen Grube</t>
  </si>
  <si>
    <t xml:space="preserve"> 463 John Stengaard</t>
  </si>
  <si>
    <t>961 Sonny Ingerslev</t>
  </si>
  <si>
    <t>327 Johnny V. Hansen</t>
  </si>
  <si>
    <t>Lars Nordhøj</t>
  </si>
  <si>
    <t>Peter Johansen</t>
  </si>
  <si>
    <t>Mike Riis-Jensen</t>
  </si>
  <si>
    <t>908 Kenny  Hautop</t>
  </si>
  <si>
    <t>13/11-20</t>
  </si>
  <si>
    <t>445 Jeanet Røjbæk</t>
  </si>
  <si>
    <t>394 Gorm Wilhjelm</t>
  </si>
  <si>
    <t>Ludmilla Stiedl</t>
  </si>
  <si>
    <t>309 Birthe Pedersen</t>
  </si>
  <si>
    <t>410Karina Holm</t>
  </si>
  <si>
    <t>462 Flemming Grambo</t>
  </si>
  <si>
    <t>Nina Selmi Sommer</t>
  </si>
  <si>
    <t>Thomas Bay</t>
  </si>
  <si>
    <t>Katrine Muir</t>
  </si>
  <si>
    <t>Rikke EengHolm</t>
  </si>
  <si>
    <t>487 Brian Glob</t>
  </si>
  <si>
    <t>Michael Hansen</t>
  </si>
  <si>
    <t>Frederik Jensen</t>
  </si>
  <si>
    <t>11/11-22</t>
  </si>
  <si>
    <t>473 Tarik Sajl</t>
  </si>
  <si>
    <t>Rasmus Olsen</t>
  </si>
  <si>
    <t>Martin Svanebjerg</t>
  </si>
  <si>
    <t>486 Anne-Mette</t>
  </si>
  <si>
    <t xml:space="preserve">Mathias Hartvig Morell Nielsen </t>
  </si>
  <si>
    <t xml:space="preserve">380 Ali Capkan </t>
  </si>
  <si>
    <t>6/3-20</t>
  </si>
  <si>
    <t>478 Kemal Turkmen</t>
  </si>
  <si>
    <t>Rundvisning</t>
  </si>
  <si>
    <t>370 Kristoffer Ruth Sahlholdt</t>
  </si>
  <si>
    <t>Ritha Ayerkai</t>
  </si>
  <si>
    <t>Claudia Frers</t>
  </si>
  <si>
    <t>Socialcentre</t>
  </si>
  <si>
    <t>439 Erik H. Hansen</t>
  </si>
  <si>
    <t>691 Flemming Dam</t>
  </si>
  <si>
    <t>396 Wojciech Jagielski</t>
  </si>
  <si>
    <t xml:space="preserve">839 Johnny Karlsson </t>
  </si>
  <si>
    <t>682 Carl-Erik Holm</t>
  </si>
  <si>
    <t>982 Frank Falkenskov</t>
  </si>
  <si>
    <t>Hafrun Simonardottir</t>
  </si>
  <si>
    <t>Michael Thomsen</t>
  </si>
  <si>
    <t>Dittemaria</t>
  </si>
  <si>
    <t>Thomas hartmann</t>
  </si>
  <si>
    <t>Brian Glob</t>
  </si>
  <si>
    <t>Daniel Tuveri</t>
  </si>
  <si>
    <t>Thomas Lindskov</t>
  </si>
  <si>
    <t>Michael Schou Schmidt</t>
  </si>
  <si>
    <t>Jesper Larsen</t>
  </si>
  <si>
    <t>Kenneth Kejlstrup</t>
  </si>
  <si>
    <t>Atle Johansen</t>
  </si>
  <si>
    <t>Vagterleder</t>
  </si>
  <si>
    <t>Plankode 8502</t>
  </si>
  <si>
    <t>Jørgen Pyrmer</t>
  </si>
  <si>
    <t>Plankode 8546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</si>
  <si>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</si>
  <si>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</si>
  <si>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</si>
  <si>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</si>
  <si>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</si>
  <si>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</si>
  <si>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</si>
  <si>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</si>
  <si>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</si>
  <si>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Bjarne Wagner-Larsen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</si>
  <si>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</si>
  <si>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</si>
  <si>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</si>
  <si>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</si>
  <si>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</si>
  <si>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</si>
  <si>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</si>
  <si>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</si>
  <si>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 xml:space="preserve">Vagter for turnus Rådhuset  </t>
  </si>
  <si>
    <t>Plankode 8516</t>
  </si>
  <si>
    <t>Hold 1</t>
  </si>
  <si>
    <t>0900 - 1715</t>
  </si>
  <si>
    <t>PA 0815 - 1615</t>
  </si>
  <si>
    <t>PB 0815 - 1615</t>
  </si>
  <si>
    <t>2300 - 0600</t>
  </si>
  <si>
    <t>1900 - 0600</t>
  </si>
  <si>
    <t>PC 0900 - 1715</t>
  </si>
  <si>
    <t>Dagvagt</t>
  </si>
  <si>
    <t>(Disp)</t>
  </si>
  <si>
    <t>Hold 2</t>
  </si>
  <si>
    <t>Aften 1600-2300 ( 0700-1900)</t>
  </si>
  <si>
    <t>Aften 1500-2300 ( 0830-1530)</t>
  </si>
  <si>
    <t>Nat 2300 - 0600 (1900 - 0600</t>
  </si>
  <si>
    <t>Hold 3</t>
  </si>
  <si>
    <t>Nat 2300 - 0700 (1900 - 0700)</t>
  </si>
  <si>
    <t>Hold 4</t>
  </si>
  <si>
    <t>1600 - 2300</t>
  </si>
  <si>
    <t>0830 - 1530</t>
  </si>
  <si>
    <t>Hold 5</t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</si>
  <si>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</si>
  <si>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</si>
  <si>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</si>
  <si>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</si>
  <si>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</si>
  <si>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</si>
  <si>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</si>
  <si>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</si>
  <si>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</si>
  <si>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</si>
  <si>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</si>
  <si>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</si>
  <si>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</si>
  <si>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</si>
  <si>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</si>
  <si>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</si>
  <si>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</si>
  <si>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</si>
  <si>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</si>
  <si>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</si>
  <si>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</si>
  <si>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</si>
  <si>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</si>
  <si>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</si>
  <si>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</si>
  <si>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</si>
  <si>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</si>
  <si>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</si>
  <si>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</si>
  <si>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</si>
  <si>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</si>
  <si>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</si>
  <si>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</si>
  <si>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</si>
  <si>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</si>
  <si>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</si>
  <si>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</si>
  <si>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</si>
  <si>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</si>
  <si>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</si>
  <si>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</si>
  <si>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</si>
  <si>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</si>
  <si>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</si>
  <si>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</si>
  <si>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</si>
  <si>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</si>
  <si>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</si>
  <si>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</si>
  <si>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</si>
  <si>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</si>
  <si>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</si>
  <si>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</si>
  <si>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</si>
  <si>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</si>
  <si>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</si>
  <si>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</si>
  <si>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</si>
  <si>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</si>
  <si>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</si>
  <si>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</si>
  <si>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</si>
  <si>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</si>
  <si>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</si>
  <si>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</si>
  <si>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</si>
  <si>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</si>
  <si>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</si>
  <si>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</si>
  <si>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</si>
  <si>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0745- 1345</t>
  </si>
  <si>
    <t>372 Jørgen Pyrmer</t>
  </si>
  <si>
    <t>Stedfortræder</t>
  </si>
  <si>
    <t>807 Flemming Nielsen</t>
  </si>
  <si>
    <t>Ugentligt</t>
  </si>
  <si>
    <t>Månedligt</t>
  </si>
  <si>
    <t>Årligt</t>
  </si>
  <si>
    <t>Timeopgørelse</t>
  </si>
  <si>
    <t>Timer i 2./3. skift</t>
  </si>
  <si>
    <t>Uge 6</t>
  </si>
  <si>
    <t>Total</t>
  </si>
  <si>
    <t>Rondering / alarmudrykning</t>
  </si>
  <si>
    <t>37 timer x 4 uger =</t>
  </si>
  <si>
    <t>timer</t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</si>
  <si>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</si>
  <si>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</si>
  <si>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</si>
  <si>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</si>
  <si>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</si>
  <si>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383 Kjeld Julius Jespersen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</si>
  <si>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</si>
  <si>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</si>
  <si>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</si>
  <si>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</si>
  <si>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</si>
  <si>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</si>
  <si>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</si>
  <si>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t>Timer i 2./3. Skift</t>
  </si>
  <si>
    <t xml:space="preserve">Uge 6 </t>
  </si>
  <si>
    <t>Uge 7</t>
  </si>
  <si>
    <t>Uge 8</t>
  </si>
  <si>
    <t>Uge 9</t>
  </si>
  <si>
    <t>Uge 10</t>
  </si>
  <si>
    <t>Uge 11</t>
  </si>
  <si>
    <t>Uge 12</t>
  </si>
  <si>
    <t>Aften tjeneste</t>
  </si>
  <si>
    <t>Uge 13</t>
  </si>
  <si>
    <t>Uge 14</t>
  </si>
  <si>
    <t>Uge 15</t>
  </si>
  <si>
    <t>37 timer x 15 uger =</t>
  </si>
  <si>
    <t>Nat tjeneste</t>
  </si>
  <si>
    <t xml:space="preserve">Uge 15 </t>
  </si>
  <si>
    <t xml:space="preserve">Turnusvagter Rådhuset i ugerækkefølge </t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</si>
  <si>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</si>
  <si>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</si>
  <si>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</si>
  <si>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</si>
  <si>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</si>
  <si>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</si>
  <si>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</si>
  <si>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</si>
  <si>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</si>
  <si>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</si>
  <si>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</si>
  <si>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</si>
  <si>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</si>
  <si>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</si>
  <si>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</si>
  <si>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</si>
  <si>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</si>
  <si>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</si>
  <si>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</si>
  <si>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</si>
  <si>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</si>
  <si>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</si>
  <si>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</si>
  <si>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</si>
  <si>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</si>
  <si>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</si>
  <si>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</si>
  <si>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</si>
  <si>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</si>
  <si>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</si>
  <si>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</si>
  <si>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</si>
  <si>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</si>
  <si>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</si>
  <si>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</si>
  <si>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t>Buffergruppen</t>
  </si>
  <si>
    <t>Vagter for Kredse</t>
  </si>
  <si>
    <t>Uge      Plankode 8513</t>
  </si>
  <si>
    <t>K1 0815 - 1545</t>
  </si>
  <si>
    <t>K1 0900 - 1830</t>
  </si>
  <si>
    <t>K1 0815-1315</t>
  </si>
  <si>
    <t>K2 1500 – 0015</t>
  </si>
  <si>
    <t>K2 1400 – 0015</t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</si>
  <si>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</si>
  <si>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</si>
  <si>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</si>
  <si>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</si>
  <si>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</si>
  <si>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</si>
  <si>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</si>
  <si>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</si>
  <si>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t>1      Uge 1</t>
  </si>
  <si>
    <t>2      Uge 2</t>
  </si>
  <si>
    <t>3      Uge 3</t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</si>
  <si>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</si>
  <si>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</si>
  <si>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</si>
  <si>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</si>
  <si>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</si>
  <si>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</si>
  <si>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</si>
  <si>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</si>
  <si>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</si>
  <si>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</si>
  <si>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168 Kurt N. V. Hansen</t>
  </si>
  <si>
    <t>643 Bjarne Wagner-Larsen</t>
  </si>
  <si>
    <t>360 Anders Henriksen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</si>
  <si>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</si>
  <si>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</si>
  <si>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</si>
  <si>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</si>
  <si>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</si>
  <si>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</si>
  <si>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</si>
  <si>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</si>
  <si>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</si>
  <si>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</si>
  <si>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</si>
  <si>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</si>
  <si>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</si>
  <si>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</si>
  <si>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</si>
  <si>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</si>
  <si>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</si>
  <si>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</si>
  <si>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</si>
  <si>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</si>
  <si>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</si>
  <si>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</si>
  <si>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</si>
  <si>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</si>
  <si>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</si>
  <si>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</si>
  <si>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</si>
  <si>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</si>
  <si>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</si>
  <si>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</si>
  <si>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</si>
  <si>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</si>
  <si>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</si>
  <si>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</si>
  <si>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</si>
  <si>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</si>
  <si>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t>I17</t>
  </si>
  <si>
    <t>I16</t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</si>
  <si>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</si>
  <si>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</si>
  <si>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</si>
  <si>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</si>
  <si>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</si>
  <si>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</si>
  <si>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</si>
  <si>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</si>
  <si>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</si>
  <si>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</si>
  <si>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</si>
  <si>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</si>
  <si>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</si>
  <si>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</si>
  <si>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</si>
  <si>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</si>
  <si>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</si>
  <si>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</si>
  <si>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</si>
  <si>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</si>
  <si>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</si>
  <si>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</si>
  <si>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</si>
  <si>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</si>
  <si>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t>1    K1 vagt</t>
  </si>
  <si>
    <t>K10</t>
  </si>
  <si>
    <t>Kreds, AP m.v.</t>
  </si>
  <si>
    <t>2    K2 vagt</t>
  </si>
  <si>
    <t>Også på helligdage.</t>
  </si>
  <si>
    <t>K20</t>
  </si>
  <si>
    <t>KAW</t>
  </si>
  <si>
    <t>3    K3 vagt</t>
  </si>
  <si>
    <t>tur</t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</si>
  <si>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</si>
  <si>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</si>
  <si>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</si>
  <si>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</si>
  <si>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</si>
  <si>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</si>
  <si>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</si>
  <si>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</si>
  <si>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</si>
  <si>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</si>
  <si>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</si>
  <si>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</si>
  <si>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</si>
  <si>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</si>
  <si>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</si>
  <si>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</si>
  <si>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</si>
  <si>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</si>
  <si>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</si>
  <si>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</si>
  <si>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</si>
  <si>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</si>
  <si>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</si>
  <si>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</si>
  <si>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</si>
  <si>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</si>
  <si>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</si>
  <si>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</si>
  <si>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</si>
  <si>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</si>
  <si>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</si>
  <si>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</si>
  <si>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</si>
  <si>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</si>
  <si>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</si>
  <si>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</si>
  <si>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</si>
  <si>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</si>
  <si>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Skanning</t>
  </si>
  <si>
    <t>KH</t>
  </si>
  <si>
    <t>q1iQdodEj0GLbPS0gkPt10GXD2F-bdBPpMbVolKa-XpUNzVVVUs0R1JROE5MS0IwTDFFV0pTNFVJSSQlQCN0PWcu</t>
  </si>
  <si>
    <t>Form1</t>
  </si>
  <si>
    <t>{9cc9521c-7d83-4cb0-89f8-748dca75b3b8}</t>
  </si>
  <si>
    <t>327 Johnny W. Hansen</t>
  </si>
  <si>
    <t>:)</t>
  </si>
  <si>
    <t>M:)</t>
  </si>
  <si>
    <t>F:)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</si>
</sst>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kr.&quot;#,##0_);[Red]\(&quot;kr.&quot;#,##0\)"/>
    <numFmt numFmtId="165" formatCode="mm/yy"/>
    <numFmt numFmtId="166" formatCode="0.0"/>
    <numFmt numFmtId="167" formatCode="#,##0.0"/>
    <numFmt numFmtId="168" formatCode="&quot;kr &quot;#,##0_);[Red]&quot;(kr &quot;#,##0\)"/>
    <numFmt numFmtId="169" formatCode="dd/mm/yy;@"/>
    <numFmt numFmtId="170" formatCode="_(* #,##0_);_(* \(#,##0\);_(* \-_);_(@_)"/>
    <numFmt numFmtId="171" formatCode="#,##0\ &quot;kr.&quot;"/>
    <numFmt numFmtId="172" formatCode="#,##0.00\ &quot;kr.&quot;"/>
    <numFmt numFmtId="173" formatCode="0.00_ ;[Red]\-0.00\ "/>
  </numFmts>
  <fonts count="81" x14ac:knownFonts="1">
    <font>
      <sz val="9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1"/>
      <name val="Times New Roman"/>
      <family val="1"/>
    </font>
    <font>
      <sz val="11"/>
      <color rgb="FF1F497D"/>
      <name val="Calibri"/>
      <family val="2"/>
    </font>
    <font>
      <b/>
      <sz val="10"/>
      <color rgb="FFFF0000"/>
      <name val="Arial"/>
      <family val="2"/>
    </font>
    <font>
      <b/>
      <sz val="11"/>
      <name val="Times New Roman"/>
      <family val="1"/>
    </font>
    <font>
      <sz val="12"/>
      <color theme="0"/>
      <name val="Arial"/>
      <family val="2"/>
    </font>
    <font>
      <b/>
      <sz val="12"/>
      <name val="Times New Roman"/>
      <family val="1"/>
    </font>
    <font>
      <sz val="9"/>
      <color theme="0"/>
      <name val="Arial"/>
      <family val="2"/>
    </font>
    <font>
      <b/>
      <sz val="24"/>
      <name val="Arial"/>
      <family val="2"/>
    </font>
    <font>
      <sz val="20"/>
      <color rgb="FFFF0000"/>
      <name val="Arial"/>
      <family val="2"/>
    </font>
    <font>
      <sz val="16"/>
      <name val="Arial"/>
      <family val="2"/>
    </font>
    <font>
      <b/>
      <sz val="14"/>
      <color rgb="FFFF0000"/>
      <name val="Arial"/>
      <family val="2"/>
    </font>
    <font>
      <sz val="11"/>
      <color rgb="FF444444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b/>
      <sz val="11"/>
      <color rgb="FF000000"/>
      <name val="Calibri"/>
      <family val="2"/>
    </font>
    <font>
      <strike/>
      <sz val="9"/>
      <name val="Arial"/>
      <family val="2"/>
    </font>
    <font>
      <sz val="11"/>
      <color rgb="FF000000"/>
      <name val="Calibri Light"/>
      <family val="2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mbria"/>
      <family val="1"/>
    </font>
    <font>
      <sz val="11"/>
      <name val="KBH Tekst"/>
    </font>
    <font>
      <sz val="12"/>
      <name val="Aptos"/>
      <family val="2"/>
    </font>
    <font>
      <sz val="11"/>
      <name val="KBH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9"/>
      <color rgb="FF00B050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sz val="9"/>
      <color theme="9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</font>
    <font>
      <b/>
      <sz val="9"/>
      <color indexed="81"/>
      <name val="Tahoma"/>
    </font>
  </fonts>
  <fills count="9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51"/>
      </patternFill>
    </fill>
    <fill>
      <patternFill patternType="solid">
        <fgColor theme="0"/>
        <bgColor indexed="31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794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99FF"/>
        <bgColor indexed="24"/>
      </patternFill>
    </fill>
    <fill>
      <patternFill patternType="solid">
        <fgColor rgb="FFFFFF00"/>
        <bgColor auto="1"/>
      </patternFill>
    </fill>
    <fill>
      <patternFill patternType="solid">
        <fgColor rgb="FFF79443"/>
        <bgColor indexed="51"/>
      </patternFill>
    </fill>
    <fill>
      <patternFill patternType="solid">
        <fgColor theme="0"/>
        <bgColor auto="1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rgb="FFFFC000"/>
        <bgColor auto="1"/>
      </patternFill>
    </fill>
    <fill>
      <patternFill patternType="solid">
        <fgColor rgb="FFFF9900"/>
        <bgColor indexed="64"/>
      </patternFill>
    </fill>
    <fill>
      <patternFill patternType="solid">
        <fgColor rgb="FFFFDDAA"/>
        <bgColor indexed="22"/>
      </patternFill>
    </fill>
    <fill>
      <patternFill patternType="solid">
        <fgColor rgb="FFFFDDAA"/>
        <bgColor indexed="64"/>
      </patternFill>
    </fill>
    <fill>
      <gradientFill degree="90">
        <stop position="0">
          <color rgb="FFFFDDAA"/>
        </stop>
        <stop position="0.5">
          <color theme="0"/>
        </stop>
        <stop position="1">
          <color rgb="FFFFDDAA"/>
        </stop>
      </gradientFill>
    </fill>
    <fill>
      <patternFill patternType="solid">
        <fgColor rgb="FFFF0000"/>
        <bgColor auto="1"/>
      </patternFill>
    </fill>
    <fill>
      <patternFill patternType="solid">
        <fgColor rgb="FFFFCC99"/>
        <b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26"/>
      </patternFill>
    </fill>
    <fill>
      <patternFill patternType="solid">
        <fgColor theme="9" tint="0.79998168889431442"/>
        <bgColor auto="1"/>
      </patternFill>
    </fill>
    <fill>
      <patternFill patternType="solid">
        <fgColor rgb="FF92D050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E6FFC"/>
        <bgColor indexed="64"/>
      </patternFill>
    </fill>
  </fills>
  <borders count="83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indexed="64"/>
      </left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indexed="64"/>
      </left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57">
    <xf numFmtId="0" fontId="0" fillId="0" borderId="0" applyBorder="0">
      <alignment horizontal="center" vertical="center"/>
    </xf>
    <xf numFmtId="0" fontId="27" fillId="2" borderId="0" applyNumberFormat="0" applyBorder="0" applyAlignment="0" applyProtection="0"/>
    <xf numFmtId="0" fontId="27" fillId="3" borderId="0" applyNumberFormat="0" applyBorder="0" applyAlignment="0" applyProtection="0"/>
    <xf numFmtId="0" fontId="27" fillId="4" borderId="0" applyNumberFormat="0" applyBorder="0" applyAlignment="0" applyProtection="0"/>
    <xf numFmtId="0" fontId="27" fillId="5" borderId="0" applyNumberFormat="0" applyBorder="0" applyAlignment="0" applyProtection="0"/>
    <xf numFmtId="0" fontId="27" fillId="6" borderId="0" applyNumberFormat="0" applyBorder="0" applyAlignment="0" applyProtection="0"/>
    <xf numFmtId="0" fontId="27" fillId="7" borderId="0" applyNumberFormat="0" applyBorder="0" applyAlignment="0" applyProtection="0"/>
    <xf numFmtId="0" fontId="27" fillId="8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5" borderId="0" applyNumberFormat="0" applyBorder="0" applyAlignment="0" applyProtection="0"/>
    <xf numFmtId="0" fontId="27" fillId="8" borderId="0" applyNumberFormat="0" applyBorder="0" applyAlignment="0" applyProtection="0"/>
    <xf numFmtId="0" fontId="27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29" fillId="0" borderId="0" applyNumberFormat="0" applyFill="0" applyBorder="0" applyAlignment="0" applyProtection="0"/>
    <xf numFmtId="0" fontId="3" fillId="16" borderId="1" applyNumberFormat="0" applyFont="0" applyAlignment="0" applyProtection="0"/>
    <xf numFmtId="0" fontId="30" fillId="17" borderId="2" applyNumberFormat="0" applyAlignment="0" applyProtection="0"/>
    <xf numFmtId="0" fontId="31" fillId="0" borderId="0" applyNumberFormat="0" applyFill="0" applyBorder="0" applyAlignment="0" applyProtection="0"/>
    <xf numFmtId="0" fontId="32" fillId="4" borderId="0" applyNumberFormat="0" applyBorder="0" applyAlignment="0" applyProtection="0"/>
    <xf numFmtId="0" fontId="33" fillId="7" borderId="2" applyNumberFormat="0" applyAlignment="0" applyProtection="0"/>
    <xf numFmtId="0" fontId="34" fillId="18" borderId="3" applyNumberFormat="0" applyAlignment="0" applyProtection="0"/>
    <xf numFmtId="0" fontId="28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22" borderId="0" applyNumberFormat="0" applyBorder="0" applyAlignment="0" applyProtection="0"/>
    <xf numFmtId="0" fontId="35" fillId="23" borderId="0" applyNumberFormat="0" applyFill="0" applyBorder="0" applyAlignment="0" applyProtection="0"/>
    <xf numFmtId="0" fontId="7" fillId="58" borderId="0" applyBorder="0">
      <alignment horizontal="center" vertical="center"/>
    </xf>
    <xf numFmtId="0" fontId="36" fillId="17" borderId="4" applyNumberFormat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8" applyNumberFormat="0" applyFill="0" applyAlignment="0" applyProtection="0"/>
    <xf numFmtId="0" fontId="41" fillId="0" borderId="0" applyNumberFormat="0" applyFill="0" applyBorder="0" applyAlignment="0" applyProtection="0"/>
    <xf numFmtId="0" fontId="42" fillId="0" borderId="9" applyNumberFormat="0" applyFill="0" applyAlignment="0" applyProtection="0"/>
    <xf numFmtId="0" fontId="43" fillId="3" borderId="0" applyNumberFormat="0" applyBorder="0" applyAlignment="0" applyProtection="0"/>
    <xf numFmtId="0" fontId="7" fillId="53" borderId="0" applyBorder="0">
      <alignment horizontal="center" vertical="center"/>
    </xf>
    <xf numFmtId="0" fontId="7" fillId="86" borderId="0" applyBorder="0">
      <alignment horizontal="center" vertical="center"/>
    </xf>
    <xf numFmtId="0" fontId="7" fillId="55" borderId="0" applyBorder="0">
      <alignment horizontal="center" vertical="center"/>
    </xf>
    <xf numFmtId="0" fontId="51" fillId="56" borderId="0" applyBorder="0">
      <alignment horizontal="center" vertical="center"/>
    </xf>
    <xf numFmtId="0" fontId="7" fillId="88" borderId="0" applyBorder="0">
      <alignment horizontal="center" vertical="center"/>
    </xf>
    <xf numFmtId="0" fontId="7" fillId="52" borderId="0" applyBorder="0">
      <alignment horizontal="center" vertical="center"/>
    </xf>
    <xf numFmtId="0" fontId="61" fillId="59" borderId="0" applyBorder="0">
      <alignment horizontal="center" vertical="center"/>
    </xf>
    <xf numFmtId="0" fontId="7" fillId="54" borderId="0" applyBorder="0">
      <alignment horizontal="center" vertical="center"/>
    </xf>
    <xf numFmtId="0" fontId="61" fillId="60" borderId="0" applyBorder="0">
      <alignment horizontal="center" vertical="center"/>
    </xf>
    <xf numFmtId="0" fontId="7" fillId="69" borderId="0" applyBorder="0">
      <alignment horizontal="center" vertical="center"/>
    </xf>
    <xf numFmtId="0" fontId="7" fillId="0" borderId="0" applyBorder="0">
      <alignment horizontal="center" vertical="center"/>
    </xf>
    <xf numFmtId="0" fontId="2" fillId="0" borderId="0"/>
    <xf numFmtId="0" fontId="17" fillId="0" borderId="0">
      <alignment vertical="center"/>
    </xf>
    <xf numFmtId="0" fontId="7" fillId="89" borderId="0" applyBorder="0">
      <alignment horizontal="center" vertical="center"/>
    </xf>
  </cellStyleXfs>
  <cellXfs count="4987">
    <xf numFmtId="0" fontId="0" fillId="0" borderId="0" xfId="0">
      <alignment horizontal="center" vertical="center"/>
    </xf>
    <xf numFmtId="0" fontId="4" fillId="0" borderId="0" xfId="0" applyFont="1">
      <alignment horizontal="center" vertical="center"/>
    </xf>
    <xf numFmtId="0" fontId="5" fillId="0" borderId="0" xfId="0" applyFo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6" fillId="0" borderId="0" xfId="0" applyFo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0" fillId="28" borderId="0" xfId="0" applyFill="1">
      <alignment horizontal="center" vertical="center"/>
    </xf>
    <xf numFmtId="0" fontId="0" fillId="29" borderId="0" xfId="0" applyFill="1">
      <alignment horizontal="center" vertical="center"/>
    </xf>
    <xf numFmtId="0" fontId="0" fillId="26" borderId="0" xfId="0" applyFill="1">
      <alignment horizontal="center" vertical="center"/>
    </xf>
    <xf numFmtId="0" fontId="0" fillId="30" borderId="0" xfId="0" applyFill="1">
      <alignment horizontal="center" vertical="center"/>
    </xf>
    <xf numFmtId="0" fontId="8" fillId="31" borderId="0" xfId="0" applyFont="1" applyFill="1">
      <alignment horizontal="center" vertical="center"/>
    </xf>
    <xf numFmtId="0" fontId="0" fillId="24" borderId="0" xfId="0" applyFill="1">
      <alignment horizontal="center" vertical="center"/>
    </xf>
    <xf numFmtId="0" fontId="0" fillId="25" borderId="0" xfId="0" applyFill="1">
      <alignment horizontal="center" vertical="center"/>
    </xf>
    <xf numFmtId="0" fontId="0" fillId="27" borderId="0" xfId="0" applyFill="1">
      <alignment horizontal="center" vertical="center"/>
    </xf>
    <xf numFmtId="0" fontId="4" fillId="0" borderId="10" xfId="0" applyFont="1" applyBorder="1">
      <alignment horizontal="center" vertical="center"/>
    </xf>
    <xf numFmtId="0" fontId="4" fillId="0" borderId="1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4" fillId="0" borderId="10" xfId="0" applyFont="1" applyBorder="1" applyAlignment="1">
      <alignment horizontal="left"/>
    </xf>
    <xf numFmtId="2" fontId="0" fillId="0" borderId="0" xfId="0" applyNumberFormat="1">
      <alignment horizontal="center" vertical="center"/>
    </xf>
    <xf numFmtId="0" fontId="6" fillId="0" borderId="0" xfId="0" applyFon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0" fontId="7" fillId="24" borderId="11" xfId="0" applyFont="1" applyFill="1" applyBorder="1" applyAlignment="1">
      <alignment horizontal="center"/>
    </xf>
    <xf numFmtId="0" fontId="0" fillId="0" borderId="11" xfId="0" applyBorder="1">
      <alignment horizontal="center" vertical="center"/>
    </xf>
    <xf numFmtId="0" fontId="7" fillId="0" borderId="11" xfId="0" applyFont="1" applyBorder="1" applyAlignment="1">
      <alignment horizontal="center"/>
    </xf>
    <xf numFmtId="0" fontId="7" fillId="0" borderId="11" xfId="0" applyFont="1" applyBorder="1" applyAlignment="1">
      <alignment horizontal="left"/>
    </xf>
    <xf numFmtId="0" fontId="7" fillId="0" borderId="10" xfId="0" applyFont="1" applyBorder="1" applyAlignment="1">
      <alignment horizontal="right"/>
    </xf>
    <xf numFmtId="0" fontId="0" fillId="0" borderId="12" xfId="0" applyBorder="1" applyAlignment="1">
      <alignment horizontal="left"/>
    </xf>
    <xf numFmtId="0" fontId="10" fillId="35" borderId="13" xfId="0" applyFont="1" applyFill="1" applyBorder="1" applyAlignment="1">
      <alignment horizontal="center"/>
    </xf>
    <xf numFmtId="0" fontId="0" fillId="0" borderId="13" xfId="0" applyBorder="1">
      <alignment horizontal="center" vertical="center"/>
    </xf>
    <xf numFmtId="0" fontId="4" fillId="0" borderId="12" xfId="0" applyFont="1" applyBorder="1" applyAlignment="1">
      <alignment horizontal="left"/>
    </xf>
    <xf numFmtId="0" fontId="4" fillId="37" borderId="13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2" xfId="0" applyFont="1" applyBorder="1">
      <alignment horizontal="center" vertical="center"/>
    </xf>
    <xf numFmtId="0" fontId="4" fillId="0" borderId="0" xfId="0" applyFont="1" applyAlignment="1">
      <alignment horizontal="center"/>
    </xf>
    <xf numFmtId="49" fontId="4" fillId="41" borderId="13" xfId="0" applyNumberFormat="1" applyFont="1" applyFill="1" applyBorder="1" applyAlignment="1">
      <alignment horizontal="center"/>
    </xf>
    <xf numFmtId="49" fontId="4" fillId="42" borderId="13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4" fillId="0" borderId="0" xfId="0" applyFont="1" applyAlignment="1">
      <alignment horizontal="left"/>
    </xf>
    <xf numFmtId="2" fontId="0" fillId="0" borderId="11" xfId="0" applyNumberFormat="1" applyBorder="1" applyAlignment="1">
      <alignment horizontal="center"/>
    </xf>
    <xf numFmtId="2" fontId="0" fillId="24" borderId="11" xfId="0" applyNumberFormat="1" applyFill="1" applyBorder="1" applyAlignment="1">
      <alignment horizontal="center"/>
    </xf>
    <xf numFmtId="0" fontId="4" fillId="0" borderId="15" xfId="0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0" fontId="7" fillId="0" borderId="0" xfId="0" applyFont="1">
      <alignment horizontal="center" vertical="center"/>
    </xf>
    <xf numFmtId="0" fontId="4" fillId="43" borderId="0" xfId="0" applyFont="1" applyFill="1">
      <alignment horizontal="center" vertical="center"/>
    </xf>
    <xf numFmtId="0" fontId="0" fillId="43" borderId="0" xfId="0" applyFill="1">
      <alignment horizontal="center" vertical="center"/>
    </xf>
    <xf numFmtId="0" fontId="7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2" fontId="0" fillId="0" borderId="0" xfId="0" applyNumberFormat="1" applyAlignment="1">
      <alignment horizontal="left"/>
    </xf>
    <xf numFmtId="49" fontId="4" fillId="0" borderId="0" xfId="0" applyNumberFormat="1" applyFont="1" applyAlignment="1">
      <alignment horizontal="center"/>
    </xf>
    <xf numFmtId="0" fontId="10" fillId="0" borderId="0" xfId="0" applyFont="1">
      <alignment horizontal="center" vertical="center"/>
    </xf>
    <xf numFmtId="0" fontId="11" fillId="0" borderId="0" xfId="0" applyFont="1" applyAlignment="1">
      <alignment horizontal="center"/>
    </xf>
    <xf numFmtId="166" fontId="0" fillId="0" borderId="0" xfId="0" applyNumberFormat="1">
      <alignment horizontal="center" vertical="center"/>
    </xf>
    <xf numFmtId="2" fontId="0" fillId="28" borderId="0" xfId="0" applyNumberFormat="1" applyFill="1">
      <alignment horizontal="center" vertical="center"/>
    </xf>
    <xf numFmtId="2" fontId="0" fillId="29" borderId="0" xfId="0" applyNumberFormat="1" applyFill="1">
      <alignment horizontal="center" vertical="center"/>
    </xf>
    <xf numFmtId="0" fontId="13" fillId="0" borderId="0" xfId="0" applyFont="1">
      <alignment horizontal="center" vertical="center"/>
    </xf>
    <xf numFmtId="0" fontId="15" fillId="0" borderId="0" xfId="0" applyFo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16" xfId="0" applyBorder="1">
      <alignment horizontal="center" vertical="center"/>
    </xf>
    <xf numFmtId="0" fontId="16" fillId="0" borderId="0" xfId="0" applyFont="1" applyAlignment="1">
      <alignment horizontal="left"/>
    </xf>
    <xf numFmtId="0" fontId="8" fillId="0" borderId="0" xfId="0" applyFont="1" applyAlignment="1" applyProtection="1">
      <alignment horizontal="left"/>
      <protection locked="0"/>
    </xf>
    <xf numFmtId="49" fontId="7" fillId="0" borderId="0" xfId="0" applyNumberFormat="1" applyFont="1">
      <alignment horizontal="center" vertical="center"/>
    </xf>
    <xf numFmtId="0" fontId="9" fillId="0" borderId="0" xfId="0" applyFo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4" fillId="4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7" fillId="0" borderId="13" xfId="0" applyFont="1" applyBorder="1">
      <alignment horizontal="center" vertical="center"/>
    </xf>
    <xf numFmtId="0" fontId="20" fillId="0" borderId="0" xfId="0" applyFont="1">
      <alignment horizontal="center" vertical="center"/>
    </xf>
    <xf numFmtId="0" fontId="9" fillId="0" borderId="0" xfId="0" applyFont="1" applyAlignment="1">
      <alignment horizontal="center" wrapText="1"/>
    </xf>
    <xf numFmtId="0" fontId="12" fillId="0" borderId="0" xfId="0" applyFont="1" applyAlignment="1">
      <alignment horizontal="left"/>
    </xf>
    <xf numFmtId="0" fontId="23" fillId="0" borderId="0" xfId="0" applyFont="1">
      <alignment horizontal="center" vertical="center"/>
    </xf>
    <xf numFmtId="0" fontId="17" fillId="24" borderId="10" xfId="0" applyFont="1" applyFill="1" applyBorder="1" applyAlignment="1"/>
    <xf numFmtId="0" fontId="17" fillId="24" borderId="0" xfId="0" applyFont="1" applyFill="1">
      <alignment horizontal="center" vertical="center"/>
    </xf>
    <xf numFmtId="0" fontId="17" fillId="24" borderId="0" xfId="0" applyFont="1" applyFill="1" applyAlignment="1">
      <alignment horizontal="center"/>
    </xf>
    <xf numFmtId="0" fontId="24" fillId="24" borderId="10" xfId="0" applyFont="1" applyFill="1" applyBorder="1" applyAlignment="1">
      <alignment horizontal="center"/>
    </xf>
    <xf numFmtId="0" fontId="24" fillId="24" borderId="0" xfId="0" applyFont="1" applyFill="1" applyAlignment="1">
      <alignment horizontal="center"/>
    </xf>
    <xf numFmtId="0" fontId="24" fillId="24" borderId="16" xfId="0" applyFont="1" applyFill="1" applyBorder="1" applyAlignment="1">
      <alignment horizontal="center"/>
    </xf>
    <xf numFmtId="0" fontId="17" fillId="24" borderId="16" xfId="0" applyFont="1" applyFill="1" applyBorder="1">
      <alignment horizontal="center" vertical="center"/>
    </xf>
    <xf numFmtId="0" fontId="25" fillId="0" borderId="0" xfId="0" applyFont="1">
      <alignment horizontal="center" vertical="center"/>
    </xf>
    <xf numFmtId="0" fontId="26" fillId="0" borderId="0" xfId="0" applyFont="1">
      <alignment horizontal="center" vertical="center"/>
    </xf>
    <xf numFmtId="0" fontId="17" fillId="45" borderId="10" xfId="0" applyFont="1" applyFill="1" applyBorder="1" applyAlignment="1">
      <alignment wrapText="1"/>
    </xf>
    <xf numFmtId="0" fontId="17" fillId="39" borderId="10" xfId="0" applyFont="1" applyFill="1" applyBorder="1" applyAlignment="1">
      <alignment wrapText="1"/>
    </xf>
    <xf numFmtId="0" fontId="17" fillId="47" borderId="10" xfId="0" applyFont="1" applyFill="1" applyBorder="1" applyAlignment="1">
      <alignment wrapText="1"/>
    </xf>
    <xf numFmtId="0" fontId="17" fillId="40" borderId="10" xfId="0" applyFont="1" applyFill="1" applyBorder="1" applyAlignment="1">
      <alignment wrapText="1"/>
    </xf>
    <xf numFmtId="0" fontId="21" fillId="48" borderId="10" xfId="0" applyFont="1" applyFill="1" applyBorder="1" applyAlignment="1">
      <alignment wrapText="1"/>
    </xf>
    <xf numFmtId="0" fontId="19" fillId="0" borderId="0" xfId="0" applyFont="1" applyAlignment="1">
      <alignment horizontal="left"/>
    </xf>
    <xf numFmtId="0" fontId="44" fillId="0" borderId="0" xfId="0" applyFont="1">
      <alignment horizontal="center" vertical="center"/>
    </xf>
    <xf numFmtId="169" fontId="44" fillId="0" borderId="0" xfId="0" applyNumberFormat="1" applyFont="1">
      <alignment horizontal="center" vertical="center"/>
    </xf>
    <xf numFmtId="0" fontId="44" fillId="0" borderId="18" xfId="0" applyFont="1" applyBorder="1">
      <alignment horizontal="center" vertical="center"/>
    </xf>
    <xf numFmtId="0" fontId="44" fillId="0" borderId="17" xfId="0" applyFont="1" applyBorder="1">
      <alignment horizontal="center" vertical="center"/>
    </xf>
    <xf numFmtId="0" fontId="44" fillId="0" borderId="0" xfId="0" applyFont="1" applyAlignment="1">
      <alignment horizontal="left" vertical="center"/>
    </xf>
    <xf numFmtId="0" fontId="4" fillId="0" borderId="0" xfId="0" applyFont="1" applyAlignment="1" applyProtection="1">
      <alignment horizontal="center"/>
      <protection locked="0"/>
    </xf>
    <xf numFmtId="0" fontId="4" fillId="43" borderId="0" xfId="0" applyFont="1" applyFill="1" applyAlignment="1">
      <alignment horizontal="left"/>
    </xf>
    <xf numFmtId="0" fontId="45" fillId="0" borderId="0" xfId="0" applyFont="1" applyAlignment="1">
      <alignment vertical="top" wrapText="1"/>
    </xf>
    <xf numFmtId="0" fontId="47" fillId="0" borderId="0" xfId="0" applyFont="1">
      <alignment horizontal="center" vertical="center"/>
    </xf>
    <xf numFmtId="164" fontId="19" fillId="0" borderId="0" xfId="0" applyNumberFormat="1" applyFont="1" applyAlignment="1">
      <alignment horizontal="center"/>
    </xf>
    <xf numFmtId="0" fontId="20" fillId="0" borderId="17" xfId="0" applyFont="1" applyBorder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46" borderId="0" xfId="0" applyFont="1" applyFill="1" applyAlignment="1">
      <alignment horizontal="left" vertical="center"/>
    </xf>
    <xf numFmtId="49" fontId="0" fillId="51" borderId="0" xfId="0" applyNumberFormat="1" applyFill="1">
      <alignment horizontal="center" vertical="center"/>
    </xf>
    <xf numFmtId="0" fontId="4" fillId="0" borderId="0" xfId="0" applyFont="1" applyAlignment="1"/>
    <xf numFmtId="0" fontId="0" fillId="0" borderId="0" xfId="0" applyAlignment="1"/>
    <xf numFmtId="0" fontId="7" fillId="0" borderId="0" xfId="0" applyFont="1" applyAlignment="1"/>
    <xf numFmtId="0" fontId="9" fillId="61" borderId="10" xfId="0" applyFont="1" applyFill="1" applyBorder="1" applyAlignment="1">
      <alignment horizontal="center" wrapText="1"/>
    </xf>
    <xf numFmtId="0" fontId="9" fillId="62" borderId="0" xfId="0" applyFont="1" applyFill="1" applyAlignment="1">
      <alignment horizontal="center" wrapText="1"/>
    </xf>
    <xf numFmtId="0" fontId="9" fillId="0" borderId="10" xfId="0" applyFont="1" applyBorder="1">
      <alignment horizontal="center" vertical="center"/>
    </xf>
    <xf numFmtId="0" fontId="9" fillId="62" borderId="10" xfId="0" applyFont="1" applyFill="1" applyBorder="1">
      <alignment horizontal="center" vertical="center"/>
    </xf>
    <xf numFmtId="0" fontId="9" fillId="62" borderId="0" xfId="0" applyFont="1" applyFill="1">
      <alignment horizontal="center" vertical="center"/>
    </xf>
    <xf numFmtId="0" fontId="9" fillId="51" borderId="10" xfId="0" applyFont="1" applyFill="1" applyBorder="1">
      <alignment horizontal="center" vertical="center"/>
    </xf>
    <xf numFmtId="0" fontId="9" fillId="51" borderId="0" xfId="0" applyFont="1" applyFill="1">
      <alignment horizontal="center" vertical="center"/>
    </xf>
    <xf numFmtId="0" fontId="9" fillId="61" borderId="19" xfId="0" applyFont="1" applyFill="1" applyBorder="1" applyAlignment="1">
      <alignment horizontal="center" wrapText="1"/>
    </xf>
    <xf numFmtId="168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0" fillId="51" borderId="0" xfId="0" applyFill="1">
      <alignment horizontal="center" vertical="center"/>
    </xf>
    <xf numFmtId="0" fontId="0" fillId="51" borderId="0" xfId="44" applyFont="1" applyFill="1">
      <alignment horizontal="center" vertical="center"/>
    </xf>
    <xf numFmtId="49" fontId="0" fillId="0" borderId="0" xfId="0" applyNumberFormat="1">
      <alignment horizontal="center" vertical="center"/>
    </xf>
    <xf numFmtId="0" fontId="0" fillId="0" borderId="0" xfId="0" applyBorder="1">
      <alignment horizontal="center" vertical="center"/>
    </xf>
    <xf numFmtId="0" fontId="9" fillId="0" borderId="0" xfId="0" applyFont="1" applyBorder="1">
      <alignment horizontal="center" vertical="center"/>
    </xf>
    <xf numFmtId="0" fontId="0" fillId="51" borderId="0" xfId="44" applyFont="1" applyFill="1" applyBorder="1">
      <alignment horizontal="center" vertical="center"/>
    </xf>
    <xf numFmtId="0" fontId="4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vertical="center"/>
    </xf>
    <xf numFmtId="0" fontId="0" fillId="51" borderId="0" xfId="0" applyFill="1" applyBorder="1">
      <alignment horizontal="center" vertical="center"/>
    </xf>
    <xf numFmtId="0" fontId="4" fillId="43" borderId="0" xfId="0" applyFont="1" applyFill="1" applyBorder="1" applyAlignment="1">
      <alignment horizontal="center"/>
    </xf>
    <xf numFmtId="0" fontId="61" fillId="51" borderId="0" xfId="51" applyFill="1" applyBorder="1">
      <alignment horizontal="center" vertical="center"/>
    </xf>
    <xf numFmtId="49" fontId="7" fillId="51" borderId="0" xfId="0" applyNumberFormat="1" applyFont="1" applyFill="1" applyBorder="1">
      <alignment horizontal="center" vertical="center"/>
    </xf>
    <xf numFmtId="0" fontId="9" fillId="51" borderId="0" xfId="0" applyFont="1" applyFill="1" applyBorder="1">
      <alignment horizontal="center" vertical="center"/>
    </xf>
    <xf numFmtId="0" fontId="0" fillId="0" borderId="20" xfId="0" applyBorder="1">
      <alignment horizontal="center" vertical="center"/>
    </xf>
    <xf numFmtId="49" fontId="0" fillId="0" borderId="0" xfId="0" applyNumberFormat="1" applyBorder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>
      <alignment horizontal="center" vertical="center"/>
    </xf>
    <xf numFmtId="49" fontId="7" fillId="0" borderId="0" xfId="0" applyNumberFormat="1" applyFont="1" applyBorder="1">
      <alignment horizontal="center" vertical="center"/>
    </xf>
    <xf numFmtId="0" fontId="20" fillId="0" borderId="21" xfId="0" applyFont="1" applyBorder="1">
      <alignment horizontal="center" vertical="center"/>
    </xf>
    <xf numFmtId="0" fontId="44" fillId="0" borderId="21" xfId="0" applyFont="1" applyBorder="1">
      <alignment horizontal="center" vertical="center"/>
    </xf>
    <xf numFmtId="49" fontId="0" fillId="51" borderId="0" xfId="0" applyNumberFormat="1" applyFill="1" applyBorder="1">
      <alignment horizontal="center" vertical="center"/>
    </xf>
    <xf numFmtId="0" fontId="0" fillId="51" borderId="0" xfId="0" applyFill="1" applyBorder="1" applyAlignment="1">
      <alignment horizontal="left" vertical="center"/>
    </xf>
    <xf numFmtId="0" fontId="0" fillId="51" borderId="0" xfId="47" applyFont="1" applyFill="1" applyBorder="1">
      <alignment horizontal="center" vertical="center"/>
    </xf>
    <xf numFmtId="0" fontId="0" fillId="51" borderId="0" xfId="32" applyFont="1" applyFill="1" applyBorder="1" applyAlignment="1">
      <alignment horizontal="center" vertical="center"/>
    </xf>
    <xf numFmtId="0" fontId="0" fillId="51" borderId="0" xfId="48" applyFont="1" applyFill="1" applyBorder="1">
      <alignment horizontal="center" vertical="center"/>
    </xf>
    <xf numFmtId="0" fontId="0" fillId="51" borderId="0" xfId="43" applyFont="1" applyFill="1" applyBorder="1">
      <alignment horizontal="center" vertical="center"/>
    </xf>
    <xf numFmtId="0" fontId="0" fillId="0" borderId="22" xfId="0" applyBorder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>
      <alignment horizontal="center" vertical="center"/>
    </xf>
    <xf numFmtId="0" fontId="4" fillId="0" borderId="24" xfId="0" applyFont="1" applyBorder="1" applyAlignment="1">
      <alignment horizontal="left"/>
    </xf>
    <xf numFmtId="0" fontId="0" fillId="0" borderId="23" xfId="0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0" fillId="24" borderId="27" xfId="0" applyFill="1" applyBorder="1" applyAlignment="1">
      <alignment horizontal="center"/>
    </xf>
    <xf numFmtId="0" fontId="6" fillId="0" borderId="28" xfId="0" applyFont="1" applyBorder="1" applyAlignment="1">
      <alignment horizontal="left"/>
    </xf>
    <xf numFmtId="0" fontId="7" fillId="0" borderId="2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7" fillId="0" borderId="28" xfId="0" applyFont="1" applyBorder="1" applyAlignment="1">
      <alignment horizontal="left"/>
    </xf>
    <xf numFmtId="0" fontId="7" fillId="0" borderId="27" xfId="0" applyFont="1" applyBorder="1" applyAlignment="1">
      <alignment horizontal="left"/>
    </xf>
    <xf numFmtId="0" fontId="7" fillId="27" borderId="23" xfId="0" applyFont="1" applyFill="1" applyBorder="1" applyAlignment="1">
      <alignment horizontal="center"/>
    </xf>
    <xf numFmtId="0" fontId="7" fillId="27" borderId="24" xfId="0" applyFont="1" applyFill="1" applyBorder="1" applyAlignment="1">
      <alignment horizontal="center"/>
    </xf>
    <xf numFmtId="0" fontId="7" fillId="25" borderId="23" xfId="0" applyFont="1" applyFill="1" applyBorder="1" applyAlignment="1">
      <alignment horizontal="center"/>
    </xf>
    <xf numFmtId="0" fontId="7" fillId="25" borderId="24" xfId="0" applyFont="1" applyFill="1" applyBorder="1" applyAlignment="1">
      <alignment horizontal="center"/>
    </xf>
    <xf numFmtId="0" fontId="4" fillId="0" borderId="25" xfId="0" applyFont="1" applyBorder="1" applyAlignment="1">
      <alignment horizontal="left"/>
    </xf>
    <xf numFmtId="0" fontId="0" fillId="29" borderId="23" xfId="0" applyFill="1" applyBorder="1" applyAlignment="1">
      <alignment horizontal="center"/>
    </xf>
    <xf numFmtId="0" fontId="0" fillId="24" borderId="23" xfId="0" applyFill="1" applyBorder="1" applyAlignment="1">
      <alignment horizontal="center"/>
    </xf>
    <xf numFmtId="0" fontId="7" fillId="24" borderId="24" xfId="0" applyFont="1" applyFill="1" applyBorder="1" applyAlignment="1">
      <alignment horizontal="center"/>
    </xf>
    <xf numFmtId="0" fontId="4" fillId="0" borderId="25" xfId="0" applyFont="1" applyBorder="1">
      <alignment horizontal="center" vertical="center"/>
    </xf>
    <xf numFmtId="0" fontId="0" fillId="26" borderId="23" xfId="0" applyFill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23" xfId="0" applyBorder="1">
      <alignment horizontal="center" vertical="center"/>
    </xf>
    <xf numFmtId="0" fontId="0" fillId="0" borderId="25" xfId="0" applyBorder="1" applyAlignment="1">
      <alignment horizontal="left"/>
    </xf>
    <xf numFmtId="0" fontId="7" fillId="0" borderId="27" xfId="0" applyFont="1" applyBorder="1" applyAlignment="1">
      <alignment horizontal="center"/>
    </xf>
    <xf numFmtId="0" fontId="6" fillId="24" borderId="28" xfId="0" applyFont="1" applyFill="1" applyBorder="1" applyAlignment="1">
      <alignment horizontal="left"/>
    </xf>
    <xf numFmtId="0" fontId="0" fillId="33" borderId="23" xfId="0" applyFill="1" applyBorder="1" applyAlignment="1">
      <alignment horizontal="center"/>
    </xf>
    <xf numFmtId="0" fontId="11" fillId="34" borderId="23" xfId="0" applyFont="1" applyFill="1" applyBorder="1" applyAlignment="1">
      <alignment horizontal="center"/>
    </xf>
    <xf numFmtId="0" fontId="4" fillId="0" borderId="29" xfId="0" applyFont="1" applyBorder="1" applyAlignment="1">
      <alignment horizontal="left"/>
    </xf>
    <xf numFmtId="0" fontId="11" fillId="35" borderId="23" xfId="0" applyFont="1" applyFill="1" applyBorder="1" applyAlignment="1">
      <alignment horizontal="center"/>
    </xf>
    <xf numFmtId="0" fontId="11" fillId="35" borderId="26" xfId="0" applyFont="1" applyFill="1" applyBorder="1" applyAlignment="1">
      <alignment horizontal="center"/>
    </xf>
    <xf numFmtId="0" fontId="7" fillId="36" borderId="23" xfId="0" applyFont="1" applyFill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6" xfId="0" applyFill="1" applyBorder="1" applyAlignment="1">
      <alignment horizontal="center"/>
    </xf>
    <xf numFmtId="0" fontId="0" fillId="38" borderId="23" xfId="0" applyFill="1" applyBorder="1" applyAlignment="1">
      <alignment horizontal="center"/>
    </xf>
    <xf numFmtId="0" fontId="4" fillId="0" borderId="29" xfId="0" applyFont="1" applyBorder="1" applyAlignment="1">
      <alignment horizontal="left" vertical="center"/>
    </xf>
    <xf numFmtId="0" fontId="0" fillId="40" borderId="23" xfId="0" applyFill="1" applyBorder="1" applyAlignment="1">
      <alignment horizontal="center"/>
    </xf>
    <xf numFmtId="0" fontId="0" fillId="41" borderId="23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42" borderId="23" xfId="0" applyFill="1" applyBorder="1" applyAlignment="1">
      <alignment horizontal="center"/>
    </xf>
    <xf numFmtId="0" fontId="4" fillId="0" borderId="29" xfId="0" applyFont="1" applyBorder="1">
      <alignment horizontal="center" vertical="center"/>
    </xf>
    <xf numFmtId="0" fontId="7" fillId="39" borderId="23" xfId="0" applyFont="1" applyFill="1" applyBorder="1" applyAlignment="1">
      <alignment horizontal="center"/>
    </xf>
    <xf numFmtId="0" fontId="6" fillId="0" borderId="25" xfId="0" applyFont="1" applyBorder="1" applyAlignment="1">
      <alignment horizontal="left"/>
    </xf>
    <xf numFmtId="0" fontId="6" fillId="24" borderId="25" xfId="0" applyFont="1" applyFill="1" applyBorder="1" applyAlignment="1">
      <alignment horizontal="left"/>
    </xf>
    <xf numFmtId="0" fontId="7" fillId="24" borderId="28" xfId="0" applyFont="1" applyFill="1" applyBorder="1" applyAlignment="1">
      <alignment horizontal="left"/>
    </xf>
    <xf numFmtId="0" fontId="4" fillId="0" borderId="23" xfId="0" applyFont="1" applyBorder="1" applyAlignment="1">
      <alignment horizontal="center"/>
    </xf>
    <xf numFmtId="0" fontId="17" fillId="40" borderId="25" xfId="0" applyFont="1" applyFill="1" applyBorder="1" applyAlignment="1">
      <alignment wrapText="1"/>
    </xf>
    <xf numFmtId="0" fontId="21" fillId="48" borderId="25" xfId="0" applyFont="1" applyFill="1" applyBorder="1" applyAlignment="1">
      <alignment wrapText="1"/>
    </xf>
    <xf numFmtId="0" fontId="0" fillId="0" borderId="24" xfId="0" applyBorder="1">
      <alignment horizontal="center" vertical="center"/>
    </xf>
    <xf numFmtId="0" fontId="0" fillId="0" borderId="27" xfId="0" applyBorder="1">
      <alignment horizontal="center" vertical="center"/>
    </xf>
    <xf numFmtId="0" fontId="0" fillId="0" borderId="24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4" fillId="0" borderId="27" xfId="0" applyFont="1" applyBorder="1" applyAlignment="1">
      <alignment horizontal="left"/>
    </xf>
    <xf numFmtId="0" fontId="3" fillId="0" borderId="24" xfId="0" applyFont="1" applyBorder="1">
      <alignment horizontal="center" vertical="center"/>
    </xf>
    <xf numFmtId="0" fontId="3" fillId="0" borderId="26" xfId="0" applyFont="1" applyBorder="1">
      <alignment horizontal="center" vertical="center"/>
    </xf>
    <xf numFmtId="0" fontId="53" fillId="0" borderId="0" xfId="0" applyFont="1">
      <alignment horizontal="center" vertical="center"/>
    </xf>
    <xf numFmtId="0" fontId="0" fillId="0" borderId="0" xfId="0" applyBorder="1" applyAlignment="1">
      <alignment horizontal="left"/>
    </xf>
    <xf numFmtId="0" fontId="7" fillId="51" borderId="0" xfId="48" applyFill="1" applyBorder="1">
      <alignment horizontal="center" vertical="center"/>
    </xf>
    <xf numFmtId="0" fontId="9" fillId="62" borderId="0" xfId="0" applyFont="1" applyFill="1" applyBorder="1" applyAlignment="1">
      <alignment horizontal="center" wrapText="1"/>
    </xf>
    <xf numFmtId="0" fontId="0" fillId="51" borderId="0" xfId="0" applyFill="1" applyBorder="1" applyAlignment="1">
      <alignment horizontal="center" vertical="center" wrapText="1"/>
    </xf>
    <xf numFmtId="0" fontId="9" fillId="51" borderId="0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171" fontId="23" fillId="0" borderId="0" xfId="0" applyNumberFormat="1" applyFont="1" applyBorder="1" applyAlignment="1">
      <alignment horizontal="left"/>
    </xf>
    <xf numFmtId="173" fontId="0" fillId="0" borderId="0" xfId="0" applyNumberFormat="1" applyBorder="1">
      <alignment horizontal="center" vertical="center"/>
    </xf>
    <xf numFmtId="0" fontId="4" fillId="0" borderId="0" xfId="0" applyFont="1" applyBorder="1" applyAlignment="1" applyProtection="1">
      <alignment horizontal="left"/>
      <protection locked="0"/>
    </xf>
    <xf numFmtId="0" fontId="0" fillId="71" borderId="30" xfId="0" applyFill="1" applyBorder="1" applyAlignment="1"/>
    <xf numFmtId="0" fontId="0" fillId="71" borderId="31" xfId="0" applyFill="1" applyBorder="1" applyAlignment="1"/>
    <xf numFmtId="0" fontId="56" fillId="71" borderId="31" xfId="0" applyFont="1" applyFill="1" applyBorder="1" applyAlignment="1"/>
    <xf numFmtId="0" fontId="0" fillId="71" borderId="32" xfId="0" applyFill="1" applyBorder="1" applyAlignment="1"/>
    <xf numFmtId="0" fontId="57" fillId="71" borderId="31" xfId="0" applyFont="1" applyFill="1" applyBorder="1" applyAlignment="1"/>
    <xf numFmtId="0" fontId="0" fillId="72" borderId="31" xfId="0" applyFill="1" applyBorder="1" applyAlignment="1">
      <alignment horizontal="left"/>
    </xf>
    <xf numFmtId="0" fontId="0" fillId="72" borderId="32" xfId="0" applyFill="1" applyBorder="1" applyAlignment="1">
      <alignment horizontal="left"/>
    </xf>
    <xf numFmtId="0" fontId="4" fillId="0" borderId="33" xfId="0" applyFont="1" applyBorder="1" applyAlignment="1">
      <alignment horizontal="left"/>
    </xf>
    <xf numFmtId="0" fontId="0" fillId="0" borderId="33" xfId="0" applyBorder="1">
      <alignment horizontal="center" vertical="center"/>
    </xf>
    <xf numFmtId="0" fontId="57" fillId="72" borderId="31" xfId="0" applyFont="1" applyFill="1" applyBorder="1" applyAlignment="1">
      <alignment horizontal="left"/>
    </xf>
    <xf numFmtId="0" fontId="0" fillId="71" borderId="0" xfId="0" applyFill="1" applyBorder="1" applyAlignment="1"/>
    <xf numFmtId="0" fontId="57" fillId="71" borderId="0" xfId="0" applyFont="1" applyFill="1" applyBorder="1" applyAlignment="1"/>
    <xf numFmtId="0" fontId="0" fillId="51" borderId="31" xfId="0" applyFill="1" applyBorder="1" applyAlignment="1">
      <alignment horizontal="left"/>
    </xf>
    <xf numFmtId="0" fontId="0" fillId="51" borderId="32" xfId="0" applyFill="1" applyBorder="1" applyAlignment="1">
      <alignment horizontal="left"/>
    </xf>
    <xf numFmtId="0" fontId="0" fillId="51" borderId="0" xfId="0" applyFill="1" applyBorder="1" applyAlignment="1">
      <alignment horizontal="left"/>
    </xf>
    <xf numFmtId="0" fontId="0" fillId="71" borderId="33" xfId="0" applyFill="1" applyBorder="1" applyAlignment="1"/>
    <xf numFmtId="49" fontId="0" fillId="51" borderId="33" xfId="0" applyNumberFormat="1" applyFill="1" applyBorder="1">
      <alignment horizontal="center" vertical="center"/>
    </xf>
    <xf numFmtId="0" fontId="0" fillId="51" borderId="33" xfId="0" applyFill="1" applyBorder="1">
      <alignment horizontal="center" vertical="center"/>
    </xf>
    <xf numFmtId="0" fontId="0" fillId="0" borderId="33" xfId="0" applyBorder="1" applyAlignment="1"/>
    <xf numFmtId="0" fontId="0" fillId="73" borderId="0" xfId="0" applyFill="1" applyAlignment="1"/>
    <xf numFmtId="0" fontId="0" fillId="73" borderId="0" xfId="47" applyFont="1" applyFill="1" applyBorder="1">
      <alignment horizontal="center" vertical="center"/>
    </xf>
    <xf numFmtId="0" fontId="6" fillId="0" borderId="0" xfId="0" applyFont="1" applyAlignment="1">
      <alignment horizontal="left" vertical="center" wrapText="1"/>
    </xf>
    <xf numFmtId="3" fontId="0" fillId="0" borderId="0" xfId="0" applyNumberFormat="1" applyBorder="1">
      <alignment horizontal="center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Border="1">
      <alignment horizontal="center" vertical="center"/>
    </xf>
    <xf numFmtId="0" fontId="18" fillId="0" borderId="34" xfId="0" applyFont="1" applyBorder="1" applyAlignment="1" applyProtection="1">
      <alignment horizontal="center"/>
      <protection locked="0"/>
    </xf>
    <xf numFmtId="0" fontId="20" fillId="0" borderId="34" xfId="0" applyFont="1" applyBorder="1" applyAlignment="1">
      <alignment vertical="center"/>
    </xf>
    <xf numFmtId="0" fontId="9" fillId="61" borderId="0" xfId="0" applyFont="1" applyFill="1" applyBorder="1" applyAlignment="1">
      <alignment horizontal="center" wrapText="1"/>
    </xf>
    <xf numFmtId="0" fontId="0" fillId="43" borderId="35" xfId="0" applyFill="1" applyBorder="1" applyAlignment="1" applyProtection="1">
      <alignment horizontal="center"/>
      <protection locked="0"/>
    </xf>
    <xf numFmtId="0" fontId="0" fillId="51" borderId="35" xfId="0" applyFill="1" applyBorder="1">
      <alignment horizontal="center" vertical="center"/>
    </xf>
    <xf numFmtId="0" fontId="0" fillId="51" borderId="35" xfId="32" applyFont="1" applyFill="1" applyBorder="1" applyAlignment="1">
      <alignment horizontal="center" vertical="center"/>
    </xf>
    <xf numFmtId="0" fontId="0" fillId="51" borderId="35" xfId="43" applyFont="1" applyFill="1" applyBorder="1">
      <alignment horizontal="center" vertical="center"/>
    </xf>
    <xf numFmtId="0" fontId="0" fillId="43" borderId="36" xfId="0" applyFill="1" applyBorder="1" applyAlignment="1" applyProtection="1">
      <alignment horizontal="center"/>
      <protection locked="0"/>
    </xf>
    <xf numFmtId="0" fontId="0" fillId="51" borderId="36" xfId="0" applyFill="1" applyBorder="1">
      <alignment horizontal="center" vertical="center"/>
    </xf>
    <xf numFmtId="0" fontId="0" fillId="51" borderId="36" xfId="32" applyFont="1" applyFill="1" applyBorder="1" applyAlignment="1">
      <alignment horizontal="center" vertical="center"/>
    </xf>
    <xf numFmtId="0" fontId="0" fillId="51" borderId="36" xfId="43" applyFont="1" applyFill="1" applyBorder="1">
      <alignment horizontal="center" vertical="center"/>
    </xf>
    <xf numFmtId="0" fontId="3" fillId="0" borderId="0" xfId="0" applyFont="1" applyBorder="1">
      <alignment horizontal="center" vertical="center"/>
    </xf>
    <xf numFmtId="0" fontId="3" fillId="0" borderId="0" xfId="0" applyFont="1" applyBorder="1" applyAlignment="1">
      <alignment horizontal="left" vertical="center"/>
    </xf>
    <xf numFmtId="49" fontId="3" fillId="0" borderId="0" xfId="0" applyNumberFormat="1" applyFont="1" applyBorder="1">
      <alignment horizontal="center" vertical="center"/>
    </xf>
    <xf numFmtId="0" fontId="0" fillId="51" borderId="37" xfId="0" applyFill="1" applyBorder="1">
      <alignment horizontal="center" vertical="center"/>
    </xf>
    <xf numFmtId="0" fontId="0" fillId="51" borderId="38" xfId="0" applyFill="1" applyBorder="1">
      <alignment horizontal="center" vertical="center"/>
    </xf>
    <xf numFmtId="0" fontId="7" fillId="55" borderId="36" xfId="45" applyBorder="1">
      <alignment horizontal="center" vertical="center"/>
    </xf>
    <xf numFmtId="0" fontId="7" fillId="0" borderId="36" xfId="53" applyBorder="1">
      <alignment horizontal="center" vertical="center"/>
    </xf>
    <xf numFmtId="0" fontId="3" fillId="0" borderId="0" xfId="0" applyFo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>
      <alignment horizontal="center" vertical="center"/>
    </xf>
    <xf numFmtId="0" fontId="0" fillId="55" borderId="35" xfId="0" applyFill="1" applyBorder="1">
      <alignment horizontal="center" vertical="center"/>
    </xf>
    <xf numFmtId="0" fontId="19" fillId="0" borderId="24" xfId="0" applyFont="1" applyBorder="1" applyAlignment="1">
      <alignment horizontal="center"/>
    </xf>
    <xf numFmtId="49" fontId="0" fillId="51" borderId="39" xfId="0" applyNumberFormat="1" applyFill="1" applyBorder="1">
      <alignment horizontal="center" vertical="center"/>
    </xf>
    <xf numFmtId="0" fontId="0" fillId="51" borderId="39" xfId="0" applyFill="1" applyBorder="1">
      <alignment horizontal="center" vertical="center"/>
    </xf>
    <xf numFmtId="1" fontId="0" fillId="51" borderId="39" xfId="32" applyNumberFormat="1" applyFont="1" applyFill="1" applyBorder="1" applyAlignment="1">
      <alignment horizontal="center" vertical="center"/>
    </xf>
    <xf numFmtId="49" fontId="0" fillId="51" borderId="40" xfId="0" applyNumberFormat="1" applyFill="1" applyBorder="1">
      <alignment horizontal="center" vertical="center"/>
    </xf>
    <xf numFmtId="0" fontId="0" fillId="51" borderId="23" xfId="44" applyFont="1" applyFill="1" applyBorder="1">
      <alignment horizontal="center" vertical="center"/>
    </xf>
    <xf numFmtId="0" fontId="0" fillId="51" borderId="41" xfId="44" applyFont="1" applyFill="1" applyBorder="1">
      <alignment horizontal="center" vertical="center"/>
    </xf>
    <xf numFmtId="49" fontId="0" fillId="51" borderId="41" xfId="0" applyNumberFormat="1" applyFill="1" applyBorder="1">
      <alignment horizontal="center" vertical="center"/>
    </xf>
    <xf numFmtId="0" fontId="0" fillId="70" borderId="23" xfId="0" applyFill="1" applyBorder="1">
      <alignment horizontal="center" vertical="center"/>
    </xf>
    <xf numFmtId="0" fontId="0" fillId="51" borderId="23" xfId="0" applyFill="1" applyBorder="1">
      <alignment horizontal="center" vertical="center"/>
    </xf>
    <xf numFmtId="0" fontId="0" fillId="51" borderId="28" xfId="0" applyFill="1" applyBorder="1">
      <alignment horizontal="center" vertical="center"/>
    </xf>
    <xf numFmtId="0" fontId="62" fillId="0" borderId="0" xfId="0" applyFont="1" applyAlignment="1">
      <alignment horizontal="left" vertical="center"/>
    </xf>
    <xf numFmtId="0" fontId="7" fillId="0" borderId="0" xfId="53">
      <alignment horizontal="center" vertical="center"/>
    </xf>
    <xf numFmtId="0" fontId="7" fillId="0" borderId="0" xfId="45" applyFill="1">
      <alignment horizontal="center" vertical="center"/>
    </xf>
    <xf numFmtId="0" fontId="7" fillId="51" borderId="36" xfId="43" applyFill="1" applyBorder="1">
      <alignment horizontal="center" vertical="center"/>
    </xf>
    <xf numFmtId="0" fontId="9" fillId="62" borderId="0" xfId="0" applyFont="1" applyFill="1" applyBorder="1">
      <alignment horizontal="center" vertical="center"/>
    </xf>
    <xf numFmtId="0" fontId="0" fillId="0" borderId="0" xfId="0" applyBorder="1" applyAlignment="1"/>
    <xf numFmtId="0" fontId="7" fillId="88" borderId="0" xfId="47">
      <alignment horizontal="center" vertical="center"/>
    </xf>
    <xf numFmtId="0" fontId="0" fillId="43" borderId="37" xfId="0" applyFill="1" applyBorder="1" applyAlignment="1" applyProtection="1">
      <alignment horizontal="center"/>
      <protection locked="0"/>
    </xf>
    <xf numFmtId="0" fontId="0" fillId="51" borderId="42" xfId="43" applyFont="1" applyFill="1" applyBorder="1">
      <alignment horizontal="center" vertical="center"/>
    </xf>
    <xf numFmtId="0" fontId="0" fillId="51" borderId="38" xfId="32" applyFont="1" applyFill="1" applyBorder="1" applyAlignment="1">
      <alignment horizontal="center" vertical="center"/>
    </xf>
    <xf numFmtId="0" fontId="0" fillId="51" borderId="38" xfId="43" applyFont="1" applyFill="1" applyBorder="1">
      <alignment horizontal="center" vertical="center"/>
    </xf>
    <xf numFmtId="4" fontId="0" fillId="0" borderId="0" xfId="0" applyNumberFormat="1">
      <alignment horizontal="center" vertical="center"/>
    </xf>
    <xf numFmtId="0" fontId="0" fillId="57" borderId="39" xfId="44" applyFont="1" applyFill="1" applyBorder="1">
      <alignment horizontal="center" vertical="center"/>
    </xf>
    <xf numFmtId="0" fontId="0" fillId="57" borderId="39" xfId="0" applyFill="1" applyBorder="1">
      <alignment horizontal="center" vertical="center"/>
    </xf>
    <xf numFmtId="0" fontId="0" fillId="55" borderId="36" xfId="0" applyFill="1" applyBorder="1">
      <alignment horizontal="center" vertical="center"/>
    </xf>
    <xf numFmtId="0" fontId="0" fillId="53" borderId="36" xfId="43" applyFont="1" applyBorder="1">
      <alignment horizontal="center" vertical="center"/>
    </xf>
    <xf numFmtId="0" fontId="7" fillId="53" borderId="36" xfId="43" applyBorder="1">
      <alignment horizontal="center" vertical="center"/>
    </xf>
    <xf numFmtId="0" fontId="0" fillId="0" borderId="39" xfId="0" applyBorder="1">
      <alignment horizontal="center" vertical="center"/>
    </xf>
    <xf numFmtId="0" fontId="7" fillId="88" borderId="39" xfId="47" applyBorder="1">
      <alignment horizontal="center" vertical="center"/>
    </xf>
    <xf numFmtId="0" fontId="68" fillId="0" borderId="0" xfId="0" applyFont="1">
      <alignment horizontal="center" vertical="center"/>
    </xf>
    <xf numFmtId="0" fontId="69" fillId="0" borderId="0" xfId="0" applyFont="1">
      <alignment horizontal="center" vertical="center"/>
    </xf>
    <xf numFmtId="0" fontId="0" fillId="55" borderId="35" xfId="43" applyFont="1" applyFill="1" applyBorder="1">
      <alignment horizontal="center" vertical="center"/>
    </xf>
    <xf numFmtId="0" fontId="0" fillId="51" borderId="43" xfId="43" applyFont="1" applyFill="1" applyBorder="1">
      <alignment horizontal="center" vertical="center"/>
    </xf>
    <xf numFmtId="0" fontId="0" fillId="0" borderId="0" xfId="32" applyFont="1" applyFill="1" applyBorder="1" applyAlignment="1">
      <alignment horizontal="center" vertical="center"/>
    </xf>
    <xf numFmtId="0" fontId="0" fillId="0" borderId="0" xfId="43" applyFont="1" applyFill="1" applyBorder="1">
      <alignment horizontal="center" vertical="center"/>
    </xf>
    <xf numFmtId="0" fontId="0" fillId="0" borderId="0" xfId="48" applyFont="1" applyFill="1" applyBorder="1">
      <alignment horizontal="center" vertical="center"/>
    </xf>
    <xf numFmtId="0" fontId="0" fillId="0" borderId="0" xfId="20" applyFont="1" applyFill="1" applyBorder="1" applyAlignment="1">
      <alignment horizontal="center" vertical="center"/>
    </xf>
    <xf numFmtId="0" fontId="0" fillId="0" borderId="0" xfId="44" applyFont="1" applyFill="1" applyBorder="1">
      <alignment horizontal="center" vertical="center"/>
    </xf>
    <xf numFmtId="0" fontId="0" fillId="0" borderId="35" xfId="0" applyBorder="1">
      <alignment horizontal="center" vertical="center"/>
    </xf>
    <xf numFmtId="0" fontId="0" fillId="0" borderId="35" xfId="43" applyFont="1" applyFill="1" applyBorder="1">
      <alignment horizontal="center" vertical="center"/>
    </xf>
    <xf numFmtId="0" fontId="0" fillId="0" borderId="35" xfId="32" applyFont="1" applyFill="1" applyBorder="1" applyAlignment="1">
      <alignment horizontal="center" vertical="center"/>
    </xf>
    <xf numFmtId="0" fontId="0" fillId="0" borderId="36" xfId="43" applyFont="1" applyFill="1" applyBorder="1">
      <alignment horizontal="center" vertical="center"/>
    </xf>
    <xf numFmtId="0" fontId="0" fillId="0" borderId="44" xfId="43" applyFont="1" applyFill="1" applyBorder="1">
      <alignment horizontal="center" vertical="center"/>
    </xf>
    <xf numFmtId="0" fontId="0" fillId="0" borderId="45" xfId="0" applyBorder="1">
      <alignment horizontal="center" vertical="center"/>
    </xf>
    <xf numFmtId="0" fontId="0" fillId="0" borderId="37" xfId="43" applyFont="1" applyFill="1" applyBorder="1">
      <alignment horizontal="center" vertical="center"/>
    </xf>
    <xf numFmtId="0" fontId="0" fillId="0" borderId="42" xfId="0" applyBorder="1">
      <alignment horizontal="center" vertical="center"/>
    </xf>
    <xf numFmtId="0" fontId="0" fillId="0" borderId="36" xfId="0" applyBorder="1">
      <alignment horizontal="center" vertical="center"/>
    </xf>
    <xf numFmtId="0" fontId="0" fillId="0" borderId="36" xfId="32" applyFont="1" applyFill="1" applyBorder="1" applyAlignment="1">
      <alignment horizontal="center" vertical="center"/>
    </xf>
    <xf numFmtId="0" fontId="0" fillId="0" borderId="0" xfId="44" applyFont="1" applyFill="1">
      <alignment horizontal="center" vertical="center"/>
    </xf>
    <xf numFmtId="0" fontId="0" fillId="0" borderId="0" xfId="47" applyFont="1" applyFill="1" applyBorder="1">
      <alignment horizontal="center" vertical="center"/>
    </xf>
    <xf numFmtId="0" fontId="9" fillId="0" borderId="10" xfId="0" applyFont="1" applyBorder="1" applyAlignment="1">
      <alignment horizontal="center" wrapText="1"/>
    </xf>
    <xf numFmtId="0" fontId="0" fillId="70" borderId="41" xfId="0" applyFill="1" applyBorder="1">
      <alignment horizontal="center" vertical="center"/>
    </xf>
    <xf numFmtId="0" fontId="0" fillId="51" borderId="41" xfId="0" applyFill="1" applyBorder="1">
      <alignment horizontal="center" vertical="center"/>
    </xf>
    <xf numFmtId="0" fontId="0" fillId="51" borderId="46" xfId="0" applyFill="1" applyBorder="1">
      <alignment horizontal="center" vertical="center"/>
    </xf>
    <xf numFmtId="0" fontId="0" fillId="70" borderId="47" xfId="0" applyFill="1" applyBorder="1">
      <alignment horizontal="center" vertical="center"/>
    </xf>
    <xf numFmtId="0" fontId="0" fillId="51" borderId="47" xfId="0" applyFill="1" applyBorder="1">
      <alignment horizontal="center" vertical="center"/>
    </xf>
    <xf numFmtId="0" fontId="0" fillId="51" borderId="48" xfId="0" applyFill="1" applyBorder="1">
      <alignment horizontal="center" vertical="center"/>
    </xf>
    <xf numFmtId="0" fontId="0" fillId="51" borderId="18" xfId="0" applyFill="1" applyBorder="1">
      <alignment horizontal="center" vertical="center"/>
    </xf>
    <xf numFmtId="0" fontId="0" fillId="51" borderId="0" xfId="20" applyNumberFormat="1" applyFont="1" applyFill="1" applyBorder="1" applyAlignment="1">
      <alignment horizontal="center" vertical="center"/>
    </xf>
    <xf numFmtId="0" fontId="0" fillId="70" borderId="34" xfId="0" applyFill="1" applyBorder="1">
      <alignment horizontal="center" vertical="center"/>
    </xf>
    <xf numFmtId="0" fontId="0" fillId="51" borderId="34" xfId="0" applyFill="1" applyBorder="1">
      <alignment horizontal="center" vertical="center"/>
    </xf>
    <xf numFmtId="0" fontId="0" fillId="51" borderId="49" xfId="0" applyFill="1" applyBorder="1">
      <alignment horizontal="center" vertical="center"/>
    </xf>
    <xf numFmtId="0" fontId="0" fillId="0" borderId="37" xfId="32" applyFont="1" applyFill="1" applyBorder="1" applyAlignment="1">
      <alignment horizontal="center" vertical="center"/>
    </xf>
    <xf numFmtId="0" fontId="0" fillId="0" borderId="42" xfId="43" applyFont="1" applyFill="1" applyBorder="1">
      <alignment horizontal="center" vertical="center"/>
    </xf>
    <xf numFmtId="0" fontId="0" fillId="0" borderId="38" xfId="43" applyFont="1" applyFill="1" applyBorder="1">
      <alignment horizontal="center" vertical="center"/>
    </xf>
    <xf numFmtId="0" fontId="0" fillId="0" borderId="38" xfId="0" applyBorder="1">
      <alignment horizontal="center" vertical="center"/>
    </xf>
    <xf numFmtId="0" fontId="0" fillId="0" borderId="38" xfId="32" applyFont="1" applyFill="1" applyBorder="1" applyAlignment="1">
      <alignment horizontal="center" vertical="center"/>
    </xf>
    <xf numFmtId="0" fontId="20" fillId="0" borderId="41" xfId="0" applyFont="1" applyBorder="1" applyAlignment="1">
      <alignment vertical="center"/>
    </xf>
    <xf numFmtId="0" fontId="0" fillId="51" borderId="13" xfId="0" applyFill="1" applyBorder="1">
      <alignment horizontal="center" vertical="center"/>
    </xf>
    <xf numFmtId="0" fontId="0" fillId="70" borderId="13" xfId="0" applyFill="1" applyBorder="1">
      <alignment horizontal="center" vertical="center"/>
    </xf>
    <xf numFmtId="0" fontId="0" fillId="73" borderId="0" xfId="47" applyFont="1" applyFill="1">
      <alignment horizontal="center" vertical="center"/>
    </xf>
    <xf numFmtId="0" fontId="0" fillId="51" borderId="0" xfId="47" applyFont="1" applyFill="1">
      <alignment horizontal="center" vertical="center"/>
    </xf>
    <xf numFmtId="173" fontId="0" fillId="0" borderId="0" xfId="0" applyNumberFormat="1">
      <alignment horizontal="center" vertical="center"/>
    </xf>
    <xf numFmtId="0" fontId="0" fillId="51" borderId="0" xfId="0" applyFill="1" applyAlignment="1">
      <alignment horizontal="left" vertical="center"/>
    </xf>
    <xf numFmtId="0" fontId="4" fillId="0" borderId="50" xfId="0" applyFont="1" applyBorder="1" applyAlignment="1">
      <alignment horizontal="left"/>
    </xf>
    <xf numFmtId="0" fontId="0" fillId="55" borderId="35" xfId="32" applyFont="1" applyFill="1" applyBorder="1" applyAlignment="1">
      <alignment horizontal="center" vertical="center"/>
    </xf>
    <xf numFmtId="0" fontId="0" fillId="51" borderId="37" xfId="43" applyFont="1" applyFill="1" applyBorder="1">
      <alignment horizontal="center" vertical="center"/>
    </xf>
    <xf numFmtId="0" fontId="0" fillId="0" borderId="0" xfId="51" applyFont="1" applyFill="1" applyBorder="1">
      <alignment horizontal="center" vertical="center"/>
    </xf>
    <xf numFmtId="0" fontId="51" fillId="56" borderId="0" xfId="46" applyAlignment="1">
      <alignment horizontal="left" vertical="center"/>
    </xf>
    <xf numFmtId="0" fontId="0" fillId="55" borderId="36" xfId="43" applyFont="1" applyFill="1" applyBorder="1">
      <alignment horizontal="center" vertical="center"/>
    </xf>
    <xf numFmtId="0" fontId="2" fillId="0" borderId="0" xfId="54"/>
    <xf numFmtId="0" fontId="7" fillId="0" borderId="0" xfId="53" applyBorder="1">
      <alignment horizontal="center" vertical="center"/>
    </xf>
    <xf numFmtId="0" fontId="23" fillId="0" borderId="0" xfId="0" applyFont="1" applyAlignment="1">
      <alignment horizontal="left"/>
    </xf>
    <xf numFmtId="0" fontId="4" fillId="24" borderId="23" xfId="0" applyFont="1" applyFill="1" applyBorder="1" applyAlignment="1" applyProtection="1">
      <alignment horizontal="left"/>
      <protection locked="0"/>
    </xf>
    <xf numFmtId="0" fontId="4" fillId="24" borderId="23" xfId="0" applyFont="1" applyFill="1" applyBorder="1">
      <alignment horizontal="center" vertical="center"/>
    </xf>
    <xf numFmtId="0" fontId="0" fillId="55" borderId="36" xfId="32" applyFont="1" applyFill="1" applyBorder="1" applyAlignment="1">
      <alignment horizontal="center" vertical="center"/>
    </xf>
    <xf numFmtId="0" fontId="56" fillId="71" borderId="0" xfId="0" applyFont="1" applyFill="1" applyBorder="1" applyAlignment="1"/>
    <xf numFmtId="0" fontId="0" fillId="60" borderId="0" xfId="0" applyFill="1">
      <alignment horizontal="center" vertical="center"/>
    </xf>
    <xf numFmtId="0" fontId="0" fillId="51" borderId="13" xfId="43" applyFont="1" applyFill="1" applyBorder="1">
      <alignment horizontal="center" vertical="center"/>
    </xf>
    <xf numFmtId="0" fontId="59" fillId="0" borderId="0" xfId="0" applyFont="1" applyBorder="1" applyAlignment="1">
      <alignment horizontal="left" vertical="center"/>
    </xf>
    <xf numFmtId="0" fontId="0" fillId="51" borderId="1" xfId="20" applyFont="1" applyFill="1" applyAlignment="1">
      <alignment horizontal="center" vertical="center"/>
    </xf>
    <xf numFmtId="49" fontId="36" fillId="17" borderId="4" xfId="34" applyNumberFormat="1" applyAlignment="1">
      <alignment horizontal="center" vertical="center"/>
    </xf>
    <xf numFmtId="0" fontId="36" fillId="17" borderId="4" xfId="34" applyAlignment="1">
      <alignment horizontal="center" vertical="center"/>
    </xf>
    <xf numFmtId="0" fontId="9" fillId="51" borderId="1" xfId="20" applyFont="1" applyFill="1" applyAlignment="1">
      <alignment horizontal="center" vertical="center"/>
    </xf>
    <xf numFmtId="0" fontId="71" fillId="0" borderId="0" xfId="54" applyFont="1" applyAlignment="1">
      <alignment horizontal="center" vertical="center"/>
    </xf>
    <xf numFmtId="0" fontId="1" fillId="0" borderId="0" xfId="54" applyFont="1"/>
    <xf numFmtId="0" fontId="0" fillId="71" borderId="51" xfId="0" applyFill="1" applyBorder="1" applyAlignment="1"/>
    <xf numFmtId="0" fontId="57" fillId="71" borderId="51" xfId="0" applyFont="1" applyFill="1" applyBorder="1" applyAlignment="1"/>
    <xf numFmtId="0" fontId="57" fillId="72" borderId="51" xfId="0" applyFont="1" applyFill="1" applyBorder="1" applyAlignment="1">
      <alignment horizontal="left"/>
    </xf>
    <xf numFmtId="0" fontId="0" fillId="72" borderId="51" xfId="0" applyFill="1" applyBorder="1" applyAlignment="1">
      <alignment horizontal="left"/>
    </xf>
    <xf numFmtId="0" fontId="0" fillId="72" borderId="52" xfId="0" applyFill="1" applyBorder="1" applyAlignment="1">
      <alignment horizontal="left"/>
    </xf>
    <xf numFmtId="0" fontId="7" fillId="0" borderId="53" xfId="53" applyBorder="1">
      <alignment horizontal="center" vertical="center"/>
    </xf>
    <xf numFmtId="0" fontId="0" fillId="0" borderId="54" xfId="0" applyBorder="1" applyAlignment="1">
      <alignment horizontal="left" vertical="center"/>
    </xf>
    <xf numFmtId="0" fontId="0" fillId="51" borderId="55" xfId="0" applyFill="1" applyBorder="1" applyAlignment="1">
      <alignment horizontal="left" vertical="center"/>
    </xf>
    <xf numFmtId="0" fontId="18" fillId="0" borderId="55" xfId="0" applyFont="1" applyBorder="1" applyAlignment="1" applyProtection="1">
      <alignment horizontal="center"/>
      <protection locked="0"/>
    </xf>
    <xf numFmtId="0" fontId="0" fillId="51" borderId="55" xfId="0" applyFill="1" applyBorder="1">
      <alignment horizontal="center" vertical="center"/>
    </xf>
    <xf numFmtId="0" fontId="59" fillId="0" borderId="55" xfId="0" applyFont="1" applyBorder="1" applyAlignment="1">
      <alignment horizontal="left" vertical="center"/>
    </xf>
    <xf numFmtId="0" fontId="0" fillId="0" borderId="55" xfId="0" applyBorder="1">
      <alignment horizontal="center" vertical="center"/>
    </xf>
    <xf numFmtId="49" fontId="0" fillId="51" borderId="55" xfId="0" applyNumberFormat="1" applyFill="1" applyBorder="1">
      <alignment horizontal="center" vertical="center"/>
    </xf>
    <xf numFmtId="0" fontId="0" fillId="0" borderId="56" xfId="0" applyBorder="1" applyAlignment="1">
      <alignment horizontal="left" vertical="center"/>
    </xf>
    <xf numFmtId="0" fontId="7" fillId="89" borderId="55" xfId="56" applyBorder="1">
      <alignment horizontal="center" vertical="center"/>
    </xf>
    <xf numFmtId="0" fontId="7" fillId="0" borderId="55" xfId="53" applyBorder="1">
      <alignment horizontal="center" vertical="center"/>
    </xf>
    <xf numFmtId="0" fontId="0" fillId="51" borderId="55" xfId="48" applyFont="1" applyFill="1" applyBorder="1">
      <alignment horizontal="center" vertical="center"/>
    </xf>
    <xf numFmtId="0" fontId="7" fillId="55" borderId="55" xfId="45" applyBorder="1">
      <alignment horizontal="center" vertical="center"/>
    </xf>
    <xf numFmtId="0" fontId="0" fillId="51" borderId="55" xfId="51" applyFont="1" applyFill="1" applyBorder="1">
      <alignment horizontal="center" vertical="center"/>
    </xf>
    <xf numFmtId="0" fontId="7" fillId="53" borderId="55" xfId="43" applyBorder="1">
      <alignment horizontal="center" vertical="center"/>
    </xf>
    <xf numFmtId="0" fontId="7" fillId="0" borderId="55" xfId="43" applyFill="1" applyBorder="1">
      <alignment horizontal="center" vertical="center"/>
    </xf>
    <xf numFmtId="0" fontId="0" fillId="0" borderId="57" xfId="0" applyBorder="1">
      <alignment horizontal="center" vertical="center"/>
    </xf>
    <xf numFmtId="0" fontId="0" fillId="0" borderId="58" xfId="0" applyBorder="1">
      <alignment horizontal="center" vertical="center"/>
    </xf>
    <xf numFmtId="0" fontId="0" fillId="0" borderId="59" xfId="0" applyBorder="1">
      <alignment horizontal="center" vertical="center"/>
    </xf>
    <xf numFmtId="0" fontId="0" fillId="0" borderId="60" xfId="0" applyBorder="1">
      <alignment horizontal="center" vertical="center"/>
    </xf>
    <xf numFmtId="0" fontId="7" fillId="0" borderId="62" xfId="0" applyFont="1" applyBorder="1" applyAlignment="1">
      <alignment horizontal="left"/>
    </xf>
    <xf numFmtId="0" fontId="6" fillId="0" borderId="62" xfId="0" applyFont="1" applyBorder="1" applyAlignment="1">
      <alignment horizontal="left"/>
    </xf>
    <xf numFmtId="0" fontId="18" fillId="0" borderId="63" xfId="0" applyFont="1" applyBorder="1" applyAlignment="1" applyProtection="1">
      <alignment horizontal="center"/>
      <protection locked="0"/>
    </xf>
    <xf numFmtId="0" fontId="0" fillId="51" borderId="61" xfId="0" applyFill="1" applyBorder="1">
      <alignment horizontal="center" vertical="center"/>
    </xf>
    <xf numFmtId="0" fontId="0" fillId="70" borderId="61" xfId="0" applyFill="1" applyBorder="1">
      <alignment horizontal="center" vertical="center"/>
    </xf>
    <xf numFmtId="0" fontId="0" fillId="51" borderId="64" xfId="48" applyFont="1" applyFill="1" applyBorder="1">
      <alignment horizontal="center" vertical="center"/>
    </xf>
    <xf numFmtId="0" fontId="6" fillId="0" borderId="61" xfId="0" applyFont="1" applyBorder="1" applyAlignment="1">
      <alignment horizontal="center"/>
    </xf>
    <xf numFmtId="0" fontId="0" fillId="0" borderId="65" xfId="0" applyBorder="1" applyAlignment="1" applyProtection="1">
      <alignment horizontal="center"/>
      <protection locked="0"/>
    </xf>
    <xf numFmtId="0" fontId="6" fillId="51" borderId="65" xfId="0" applyFont="1" applyFill="1" applyBorder="1">
      <alignment horizontal="center" vertical="center"/>
    </xf>
    <xf numFmtId="0" fontId="0" fillId="51" borderId="65" xfId="0" applyFill="1" applyBorder="1">
      <alignment horizontal="center" vertical="center"/>
    </xf>
    <xf numFmtId="0" fontId="0" fillId="70" borderId="65" xfId="0" applyFill="1" applyBorder="1">
      <alignment horizontal="center" vertical="center"/>
    </xf>
    <xf numFmtId="0" fontId="4" fillId="24" borderId="65" xfId="0" applyFont="1" applyFill="1" applyBorder="1" applyAlignment="1" applyProtection="1">
      <alignment horizontal="left"/>
      <protection locked="0"/>
    </xf>
    <xf numFmtId="0" fontId="4" fillId="24" borderId="65" xfId="0" applyFont="1" applyFill="1" applyBorder="1">
      <alignment horizontal="center" vertical="center"/>
    </xf>
    <xf numFmtId="0" fontId="0" fillId="51" borderId="67" xfId="0" applyFill="1" applyBorder="1">
      <alignment horizontal="center" vertical="center"/>
    </xf>
    <xf numFmtId="0" fontId="0" fillId="70" borderId="67" xfId="0" applyFill="1" applyBorder="1">
      <alignment horizontal="center" vertical="center"/>
    </xf>
    <xf numFmtId="0" fontId="0" fillId="51" borderId="68" xfId="0" applyFill="1" applyBorder="1">
      <alignment horizontal="center" vertical="center"/>
    </xf>
    <xf numFmtId="1" fontId="0" fillId="51" borderId="70" xfId="32" applyNumberFormat="1" applyFont="1" applyFill="1" applyBorder="1" applyAlignment="1">
      <alignment horizontal="center" vertical="center"/>
    </xf>
    <xf numFmtId="0" fontId="7" fillId="55" borderId="72" xfId="45" applyBorder="1">
      <alignment horizontal="center" vertical="center"/>
    </xf>
    <xf numFmtId="0" fontId="4" fillId="0" borderId="73" xfId="0" applyFont="1" applyBorder="1" applyAlignment="1">
      <alignment horizontal="center"/>
    </xf>
    <xf numFmtId="0" fontId="0" fillId="0" borderId="74" xfId="0" applyBorder="1">
      <alignment horizontal="center" vertical="center"/>
    </xf>
    <xf numFmtId="0" fontId="0" fillId="0" borderId="76" xfId="0" applyBorder="1" applyAlignment="1">
      <alignment horizontal="left" vertical="center"/>
    </xf>
    <xf numFmtId="0" fontId="6" fillId="0" borderId="77" xfId="0" applyFont="1" applyBorder="1">
      <alignment horizontal="center" vertical="center"/>
    </xf>
    <xf numFmtId="0" fontId="7" fillId="0" borderId="77" xfId="0" applyFont="1" applyBorder="1">
      <alignment horizontal="center" vertical="center"/>
    </xf>
    <xf numFmtId="0" fontId="7" fillId="0" borderId="78" xfId="0" applyFont="1" applyBorder="1">
      <alignment horizontal="center" vertical="center"/>
    </xf>
    <xf numFmtId="0" fontId="0" fillId="51" borderId="72" xfId="48" applyFont="1" applyFill="1" applyBorder="1">
      <alignment horizontal="center" vertical="center"/>
    </xf>
    <xf numFmtId="0" fontId="0" fillId="51" borderId="79" xfId="0" applyFill="1" applyBorder="1">
      <alignment horizontal="center" vertical="center"/>
    </xf>
    <xf numFmtId="0" fontId="59" fillId="0" borderId="81" xfId="0" applyFont="1" applyBorder="1" applyAlignment="1">
      <alignment horizontal="left" vertical="center"/>
    </xf>
    <xf numFmtId="0" fontId="0" fillId="0" borderId="71" xfId="0" applyBorder="1" applyAlignment="1">
      <alignment horizontal="left" vertical="center"/>
    </xf>
    <xf numFmtId="0" fontId="0" fillId="0" borderId="80" xfId="0" applyBorder="1" applyAlignment="1">
      <alignment horizontal="left" vertical="center"/>
    </xf>
    <xf numFmtId="0" fontId="7" fillId="0" borderId="61" xfId="53" applyBorder="1">
      <alignment horizontal="center" vertical="center"/>
    </xf>
    <xf numFmtId="0" fontId="7" fillId="0" borderId="82" xfId="53" applyBorder="1">
      <alignment horizontal="center" vertical="center"/>
    </xf>
    <xf numFmtId="0" fontId="0" fillId="51" borderId="62" xfId="0" applyFill="1" applyBorder="1">
      <alignment horizontal="center" vertical="center"/>
    </xf>
    <xf numFmtId="0" fontId="4" fillId="24" borderId="61" xfId="0" applyFont="1" applyFill="1" applyBorder="1" applyAlignment="1">
      <alignment horizontal="left" vertical="center"/>
    </xf>
    <xf numFmtId="0" fontId="0" fillId="51" borderId="61" xfId="43" applyFont="1" applyFill="1" applyBorder="1">
      <alignment horizontal="center" vertical="center"/>
    </xf>
    <xf numFmtId="0" fontId="61" fillId="60" borderId="55" xfId="51" applyBorder="1">
      <alignment horizontal="center" vertical="center"/>
    </xf>
    <xf numFmtId="49" fontId="0" fillId="55" borderId="55" xfId="0" applyNumberFormat="1" applyFill="1" applyBorder="1">
      <alignment horizontal="center" vertical="center"/>
    </xf>
    <xf numFmtId="0" fontId="0" fillId="53" borderId="55" xfId="0" applyFill="1" applyBorder="1">
      <alignment horizontal="center" vertical="center"/>
    </xf>
    <xf numFmtId="0" fontId="0" fillId="0" borderId="83" xfId="0" applyBorder="1" applyAlignment="1"/>
    <xf numFmtId="0" fontId="4" fillId="0" borderId="84" xfId="0" applyFont="1" applyBorder="1" applyAlignment="1">
      <alignment horizontal="left" vertical="center"/>
    </xf>
    <xf numFmtId="0" fontId="0" fillId="51" borderId="85" xfId="48" applyFont="1" applyFill="1" applyBorder="1">
      <alignment horizontal="center" vertical="center"/>
    </xf>
    <xf numFmtId="0" fontId="0" fillId="0" borderId="89" xfId="0" applyBorder="1" applyAlignment="1">
      <alignment horizontal="left"/>
    </xf>
    <xf numFmtId="0" fontId="0" fillId="0" borderId="90" xfId="0" applyBorder="1" applyAlignment="1">
      <alignment horizontal="left"/>
    </xf>
    <xf numFmtId="0" fontId="0" fillId="0" borderId="91" xfId="0" applyBorder="1" applyAlignment="1">
      <alignment horizontal="left"/>
    </xf>
    <xf numFmtId="0" fontId="59" fillId="0" borderId="90" xfId="0" applyFont="1" applyBorder="1" applyAlignment="1">
      <alignment horizontal="left" vertical="center"/>
    </xf>
    <xf numFmtId="0" fontId="59" fillId="0" borderId="92" xfId="0" applyFont="1" applyBorder="1" applyAlignment="1">
      <alignment horizontal="left" vertical="center"/>
    </xf>
    <xf numFmtId="0" fontId="7" fillId="0" borderId="93" xfId="0" applyFont="1" applyBorder="1" applyAlignment="1">
      <alignment horizontal="left" vertical="center"/>
    </xf>
    <xf numFmtId="0" fontId="4" fillId="0" borderId="92" xfId="0" applyFont="1" applyBorder="1" applyAlignment="1" applyProtection="1">
      <alignment horizontal="center"/>
      <protection locked="0"/>
    </xf>
    <xf numFmtId="0" fontId="0" fillId="0" borderId="93" xfId="0" applyBorder="1" applyAlignment="1"/>
    <xf numFmtId="0" fontId="4" fillId="0" borderId="93" xfId="0" applyFont="1" applyBorder="1" applyAlignment="1"/>
    <xf numFmtId="0" fontId="4" fillId="0" borderId="90" xfId="0" applyFont="1" applyBorder="1" applyAlignment="1">
      <alignment horizontal="left"/>
    </xf>
    <xf numFmtId="0" fontId="0" fillId="0" borderId="91" xfId="0" applyBorder="1" applyAlignment="1"/>
    <xf numFmtId="0" fontId="9" fillId="0" borderId="90" xfId="0" applyFont="1" applyBorder="1" applyAlignment="1">
      <alignment horizontal="center"/>
    </xf>
    <xf numFmtId="0" fontId="4" fillId="0" borderId="97" xfId="0" applyFont="1" applyBorder="1" applyAlignment="1">
      <alignment horizontal="center"/>
    </xf>
    <xf numFmtId="0" fontId="0" fillId="0" borderId="98" xfId="0" applyBorder="1">
      <alignment horizontal="center" vertical="center"/>
    </xf>
    <xf numFmtId="0" fontId="4" fillId="0" borderId="98" xfId="0" applyFont="1" applyBorder="1" applyAlignment="1">
      <alignment horizontal="left"/>
    </xf>
    <xf numFmtId="0" fontId="0" fillId="0" borderId="99" xfId="0" applyBorder="1">
      <alignment horizontal="center" vertical="center"/>
    </xf>
    <xf numFmtId="0" fontId="0" fillId="0" borderId="101" xfId="0" applyBorder="1">
      <alignment horizontal="center" vertical="center"/>
    </xf>
    <xf numFmtId="0" fontId="0" fillId="0" borderId="100" xfId="0" applyBorder="1">
      <alignment horizontal="center" vertical="center"/>
    </xf>
    <xf numFmtId="0" fontId="0" fillId="51" borderId="96" xfId="48" applyFont="1" applyFill="1" applyBorder="1">
      <alignment horizontal="center" vertical="center"/>
    </xf>
    <xf numFmtId="0" fontId="0" fillId="0" borderId="106" xfId="0" applyBorder="1" applyAlignment="1">
      <alignment horizontal="left" vertical="center"/>
    </xf>
    <xf numFmtId="171" fontId="23" fillId="0" borderId="115" xfId="0" applyNumberFormat="1" applyFont="1" applyBorder="1" applyAlignment="1">
      <alignment horizontal="left" wrapText="1"/>
    </xf>
    <xf numFmtId="171" fontId="23" fillId="38" borderId="115" xfId="0" applyNumberFormat="1" applyFont="1" applyFill="1" applyBorder="1" applyAlignment="1">
      <alignment horizontal="left" wrapText="1"/>
    </xf>
    <xf numFmtId="0" fontId="0" fillId="0" borderId="116" xfId="0" applyBorder="1">
      <alignment horizontal="center" vertical="center"/>
    </xf>
    <xf numFmtId="49" fontId="44" fillId="0" borderId="117" xfId="0" applyNumberFormat="1" applyFont="1" applyBorder="1">
      <alignment horizontal="center" vertical="center"/>
    </xf>
    <xf numFmtId="0" fontId="0" fillId="0" borderId="118" xfId="0" applyBorder="1">
      <alignment horizontal="center" vertical="center"/>
    </xf>
    <xf numFmtId="0" fontId="44" fillId="0" borderId="120" xfId="0" applyFont="1" applyBorder="1" applyAlignment="1">
      <alignment vertical="center"/>
    </xf>
    <xf numFmtId="0" fontId="4" fillId="0" borderId="122" xfId="0" applyFont="1" applyBorder="1" applyAlignment="1">
      <alignment horizontal="center"/>
    </xf>
    <xf numFmtId="0" fontId="0" fillId="0" borderId="123" xfId="0" applyBorder="1" applyAlignment="1">
      <alignment horizontal="center"/>
    </xf>
    <xf numFmtId="0" fontId="7" fillId="0" borderId="123" xfId="0" applyFont="1" applyBorder="1" applyAlignment="1">
      <alignment horizontal="center"/>
    </xf>
    <xf numFmtId="0" fontId="6" fillId="0" borderId="123" xfId="0" applyFont="1" applyBorder="1" applyAlignment="1">
      <alignment horizontal="center"/>
    </xf>
    <xf numFmtId="0" fontId="6" fillId="0" borderId="124" xfId="0" applyFont="1" applyBorder="1" applyAlignment="1">
      <alignment horizontal="center"/>
    </xf>
    <xf numFmtId="0" fontId="0" fillId="0" borderId="120" xfId="0" applyBorder="1">
      <alignment horizontal="center" vertical="center"/>
    </xf>
    <xf numFmtId="0" fontId="6" fillId="0" borderId="118" xfId="0" applyFont="1" applyBorder="1" applyAlignment="1">
      <alignment horizontal="left"/>
    </xf>
    <xf numFmtId="0" fontId="4" fillId="0" borderId="125" xfId="0" applyFont="1" applyBorder="1" applyAlignment="1">
      <alignment horizontal="center"/>
    </xf>
    <xf numFmtId="0" fontId="0" fillId="0" borderId="127" xfId="0" applyBorder="1">
      <alignment horizontal="center" vertical="center"/>
    </xf>
    <xf numFmtId="0" fontId="0" fillId="0" borderId="122" xfId="0" applyBorder="1" applyAlignment="1">
      <alignment horizontal="center"/>
    </xf>
    <xf numFmtId="0" fontId="7" fillId="0" borderId="124" xfId="0" applyFont="1" applyBorder="1" applyAlignment="1">
      <alignment horizontal="center"/>
    </xf>
    <xf numFmtId="0" fontId="7" fillId="0" borderId="118" xfId="0" applyFont="1" applyBorder="1" applyAlignment="1">
      <alignment horizontal="left"/>
    </xf>
    <xf numFmtId="0" fontId="0" fillId="0" borderId="111" xfId="0" applyBorder="1">
      <alignment horizontal="center" vertical="center"/>
    </xf>
    <xf numFmtId="0" fontId="0" fillId="0" borderId="106" xfId="0" applyBorder="1">
      <alignment horizontal="center" vertical="center"/>
    </xf>
    <xf numFmtId="0" fontId="0" fillId="0" borderId="123" xfId="0" applyBorder="1">
      <alignment horizontal="center" vertical="center"/>
    </xf>
    <xf numFmtId="0" fontId="0" fillId="0" borderId="124" xfId="0" applyBorder="1">
      <alignment horizontal="center" vertical="center"/>
    </xf>
    <xf numFmtId="0" fontId="0" fillId="24" borderId="122" xfId="0" applyFill="1" applyBorder="1" applyAlignment="1">
      <alignment horizontal="left"/>
    </xf>
    <xf numFmtId="0" fontId="0" fillId="26" borderId="123" xfId="0" applyFill="1" applyBorder="1" applyAlignment="1">
      <alignment horizontal="center"/>
    </xf>
    <xf numFmtId="0" fontId="0" fillId="26" borderId="61" xfId="0" applyFill="1" applyBorder="1" applyAlignment="1">
      <alignment horizontal="center"/>
    </xf>
    <xf numFmtId="0" fontId="7" fillId="0" borderId="68" xfId="0" applyFont="1" applyBorder="1" applyAlignment="1">
      <alignment horizontal="left"/>
    </xf>
    <xf numFmtId="0" fontId="0" fillId="0" borderId="122" xfId="0" applyBorder="1" applyAlignment="1">
      <alignment horizontal="left"/>
    </xf>
    <xf numFmtId="0" fontId="8" fillId="31" borderId="123" xfId="0" applyFont="1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7" fillId="0" borderId="61" xfId="0" applyFont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29" xfId="0" applyBorder="1" applyAlignment="1">
      <alignment horizontal="center"/>
    </xf>
    <xf numFmtId="0" fontId="0" fillId="24" borderId="123" xfId="0" applyFill="1" applyBorder="1" applyAlignment="1">
      <alignment horizontal="center"/>
    </xf>
    <xf numFmtId="0" fontId="0" fillId="0" borderId="125" xfId="0" applyBorder="1">
      <alignment horizontal="center" vertical="center"/>
    </xf>
    <xf numFmtId="0" fontId="0" fillId="0" borderId="130" xfId="0" applyBorder="1">
      <alignment horizontal="center" vertical="center"/>
    </xf>
    <xf numFmtId="0" fontId="7" fillId="0" borderId="62" xfId="0" applyFont="1" applyBorder="1" applyAlignment="1">
      <alignment horizontal="center"/>
    </xf>
    <xf numFmtId="0" fontId="0" fillId="0" borderId="129" xfId="0" applyBorder="1">
      <alignment horizontal="center" vertical="center"/>
    </xf>
    <xf numFmtId="0" fontId="0" fillId="0" borderId="118" xfId="0" applyBorder="1" applyAlignment="1">
      <alignment horizontal="center"/>
    </xf>
    <xf numFmtId="0" fontId="0" fillId="0" borderId="131" xfId="0" applyBorder="1">
      <alignment horizontal="center" vertical="center"/>
    </xf>
    <xf numFmtId="0" fontId="0" fillId="24" borderId="61" xfId="0" applyFill="1" applyBorder="1" applyAlignment="1">
      <alignment horizontal="center"/>
    </xf>
    <xf numFmtId="0" fontId="0" fillId="37" borderId="61" xfId="0" applyFill="1" applyBorder="1" applyAlignment="1">
      <alignment horizontal="center"/>
    </xf>
    <xf numFmtId="0" fontId="10" fillId="31" borderId="61" xfId="0" applyFont="1" applyFill="1" applyBorder="1" applyAlignment="1">
      <alignment horizontal="center"/>
    </xf>
    <xf numFmtId="0" fontId="8" fillId="31" borderId="61" xfId="0" applyFont="1" applyFill="1" applyBorder="1" applyAlignment="1">
      <alignment horizontal="center"/>
    </xf>
    <xf numFmtId="0" fontId="0" fillId="0" borderId="61" xfId="0" applyBorder="1">
      <alignment horizontal="center" vertical="center"/>
    </xf>
    <xf numFmtId="0" fontId="7" fillId="39" borderId="61" xfId="0" applyFont="1" applyFill="1" applyBorder="1" applyAlignment="1">
      <alignment horizontal="center"/>
    </xf>
    <xf numFmtId="0" fontId="0" fillId="0" borderId="129" xfId="0" applyBorder="1" applyAlignment="1">
      <alignment horizontal="left"/>
    </xf>
    <xf numFmtId="0" fontId="0" fillId="0" borderId="121" xfId="0" applyBorder="1">
      <alignment horizontal="center" vertical="center"/>
    </xf>
    <xf numFmtId="2" fontId="0" fillId="0" borderId="123" xfId="0" applyNumberFormat="1" applyBorder="1" applyAlignment="1">
      <alignment horizontal="center"/>
    </xf>
    <xf numFmtId="0" fontId="0" fillId="0" borderId="123" xfId="0" applyBorder="1" applyAlignment="1" applyProtection="1">
      <alignment horizontal="center"/>
      <protection locked="0"/>
    </xf>
    <xf numFmtId="0" fontId="4" fillId="0" borderId="123" xfId="0" applyFont="1" applyBorder="1" applyAlignment="1">
      <alignment horizontal="center"/>
    </xf>
    <xf numFmtId="0" fontId="6" fillId="0" borderId="68" xfId="0" applyFont="1" applyBorder="1" applyAlignment="1">
      <alignment horizontal="left"/>
    </xf>
    <xf numFmtId="0" fontId="8" fillId="32" borderId="123" xfId="0" applyFont="1" applyFill="1" applyBorder="1" applyAlignment="1">
      <alignment horizontal="center"/>
    </xf>
    <xf numFmtId="0" fontId="6" fillId="24" borderId="68" xfId="0" applyFont="1" applyFill="1" applyBorder="1" applyAlignment="1">
      <alignment horizontal="left"/>
    </xf>
    <xf numFmtId="49" fontId="4" fillId="33" borderId="61" xfId="0" applyNumberFormat="1" applyFont="1" applyFill="1" applyBorder="1" applyAlignment="1">
      <alignment horizontal="center"/>
    </xf>
    <xf numFmtId="0" fontId="10" fillId="34" borderId="61" xfId="0" applyFont="1" applyFill="1" applyBorder="1" applyAlignment="1">
      <alignment horizontal="center"/>
    </xf>
    <xf numFmtId="0" fontId="0" fillId="0" borderId="62" xfId="0" applyBorder="1">
      <alignment horizontal="center" vertical="center"/>
    </xf>
    <xf numFmtId="49" fontId="6" fillId="25" borderId="61" xfId="0" applyNumberFormat="1" applyFont="1" applyFill="1" applyBorder="1" applyAlignment="1">
      <alignment horizontal="center"/>
    </xf>
    <xf numFmtId="0" fontId="10" fillId="35" borderId="61" xfId="0" applyFont="1" applyFill="1" applyBorder="1" applyAlignment="1">
      <alignment horizontal="center"/>
    </xf>
    <xf numFmtId="49" fontId="6" fillId="36" borderId="61" xfId="0" applyNumberFormat="1" applyFont="1" applyFill="1" applyBorder="1" applyAlignment="1">
      <alignment horizontal="center"/>
    </xf>
    <xf numFmtId="0" fontId="4" fillId="37" borderId="61" xfId="0" applyFont="1" applyFill="1" applyBorder="1" applyAlignment="1">
      <alignment horizontal="center"/>
    </xf>
    <xf numFmtId="49" fontId="4" fillId="38" borderId="61" xfId="0" applyNumberFormat="1" applyFont="1" applyFill="1" applyBorder="1" applyAlignment="1">
      <alignment horizontal="center"/>
    </xf>
    <xf numFmtId="49" fontId="4" fillId="24" borderId="61" xfId="0" applyNumberFormat="1" applyFont="1" applyFill="1" applyBorder="1" applyAlignment="1">
      <alignment horizontal="center"/>
    </xf>
    <xf numFmtId="49" fontId="10" fillId="31" borderId="61" xfId="0" applyNumberFormat="1" applyFont="1" applyFill="1" applyBorder="1" applyAlignment="1">
      <alignment horizontal="center"/>
    </xf>
    <xf numFmtId="0" fontId="4" fillId="0" borderId="61" xfId="0" applyFont="1" applyBorder="1" applyAlignment="1">
      <alignment horizontal="center"/>
    </xf>
    <xf numFmtId="49" fontId="6" fillId="39" borderId="61" xfId="0" applyNumberFormat="1" applyFont="1" applyFill="1" applyBorder="1" applyAlignment="1">
      <alignment horizontal="center"/>
    </xf>
    <xf numFmtId="0" fontId="0" fillId="0" borderId="61" xfId="0" applyBorder="1" applyAlignment="1">
      <alignment horizontal="left"/>
    </xf>
    <xf numFmtId="49" fontId="4" fillId="40" borderId="61" xfId="0" applyNumberFormat="1" applyFont="1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6" fillId="44" borderId="114" xfId="0" applyFont="1" applyFill="1" applyBorder="1" applyAlignment="1">
      <alignment horizontal="left"/>
    </xf>
    <xf numFmtId="0" fontId="6" fillId="25" borderId="114" xfId="0" applyFont="1" applyFill="1" applyBorder="1">
      <alignment horizontal="center" vertical="center"/>
    </xf>
    <xf numFmtId="0" fontId="7" fillId="25" borderId="95" xfId="0" applyFont="1" applyFill="1" applyBorder="1">
      <alignment horizontal="center" vertical="center"/>
    </xf>
    <xf numFmtId="0" fontId="6" fillId="29" borderId="114" xfId="0" applyFont="1" applyFill="1" applyBorder="1" applyAlignment="1">
      <alignment horizontal="left"/>
    </xf>
    <xf numFmtId="0" fontId="6" fillId="29" borderId="95" xfId="0" applyFont="1" applyFill="1" applyBorder="1" applyAlignment="1">
      <alignment horizontal="left"/>
    </xf>
    <xf numFmtId="0" fontId="7" fillId="29" borderId="95" xfId="0" applyFont="1" applyFill="1" applyBorder="1">
      <alignment horizontal="center" vertical="center"/>
    </xf>
    <xf numFmtId="0" fontId="7" fillId="29" borderId="108" xfId="0" applyFont="1" applyFill="1" applyBorder="1">
      <alignment horizontal="center" vertical="center"/>
    </xf>
    <xf numFmtId="0" fontId="6" fillId="37" borderId="114" xfId="0" applyFont="1" applyFill="1" applyBorder="1" applyAlignment="1">
      <alignment horizontal="left"/>
    </xf>
    <xf numFmtId="0" fontId="6" fillId="37" borderId="95" xfId="0" applyFont="1" applyFill="1" applyBorder="1" applyAlignment="1">
      <alignment horizontal="left"/>
    </xf>
    <xf numFmtId="0" fontId="0" fillId="37" borderId="95" xfId="0" applyFill="1" applyBorder="1">
      <alignment horizontal="center" vertical="center"/>
    </xf>
    <xf numFmtId="0" fontId="6" fillId="45" borderId="114" xfId="0" applyFont="1" applyFill="1" applyBorder="1" applyAlignment="1">
      <alignment horizontal="left"/>
    </xf>
    <xf numFmtId="0" fontId="0" fillId="45" borderId="95" xfId="0" applyFill="1" applyBorder="1">
      <alignment horizontal="center" vertical="center"/>
    </xf>
    <xf numFmtId="0" fontId="7" fillId="45" borderId="95" xfId="0" applyFont="1" applyFill="1" applyBorder="1">
      <alignment horizontal="center" vertical="center"/>
    </xf>
    <xf numFmtId="0" fontId="7" fillId="45" borderId="108" xfId="0" applyFont="1" applyFill="1" applyBorder="1">
      <alignment horizontal="center" vertical="center"/>
    </xf>
    <xf numFmtId="0" fontId="6" fillId="24" borderId="114" xfId="0" applyFont="1" applyFill="1" applyBorder="1">
      <alignment horizontal="center" vertical="center"/>
    </xf>
    <xf numFmtId="0" fontId="0" fillId="24" borderId="95" xfId="0" applyFill="1" applyBorder="1">
      <alignment horizontal="center" vertical="center"/>
    </xf>
    <xf numFmtId="0" fontId="7" fillId="24" borderId="95" xfId="0" applyFont="1" applyFill="1" applyBorder="1">
      <alignment horizontal="center" vertical="center"/>
    </xf>
    <xf numFmtId="0" fontId="6" fillId="40" borderId="114" xfId="0" applyFont="1" applyFill="1" applyBorder="1" applyAlignment="1">
      <alignment horizontal="left"/>
    </xf>
    <xf numFmtId="0" fontId="7" fillId="40" borderId="95" xfId="0" applyFont="1" applyFill="1" applyBorder="1">
      <alignment horizontal="center" vertical="center"/>
    </xf>
    <xf numFmtId="0" fontId="0" fillId="40" borderId="108" xfId="0" applyFill="1" applyBorder="1">
      <alignment horizontal="center" vertical="center"/>
    </xf>
    <xf numFmtId="0" fontId="0" fillId="46" borderId="91" xfId="0" applyFill="1" applyBorder="1">
      <alignment horizontal="center" vertical="center"/>
    </xf>
    <xf numFmtId="0" fontId="7" fillId="46" borderId="91" xfId="0" applyFont="1" applyFill="1" applyBorder="1">
      <alignment horizontal="center" vertical="center"/>
    </xf>
    <xf numFmtId="0" fontId="7" fillId="46" borderId="89" xfId="0" applyFont="1" applyFill="1" applyBorder="1">
      <alignment horizontal="center" vertical="center"/>
    </xf>
    <xf numFmtId="0" fontId="6" fillId="0" borderId="90" xfId="0" applyFont="1" applyBorder="1" applyAlignment="1">
      <alignment horizontal="left" vertical="center"/>
    </xf>
    <xf numFmtId="0" fontId="7" fillId="0" borderId="91" xfId="0" applyFont="1" applyBorder="1">
      <alignment horizontal="center" vertical="center"/>
    </xf>
    <xf numFmtId="0" fontId="7" fillId="0" borderId="89" xfId="0" applyFont="1" applyBorder="1">
      <alignment horizontal="center" vertical="center"/>
    </xf>
    <xf numFmtId="0" fontId="6" fillId="39" borderId="87" xfId="0" applyFont="1" applyFill="1" applyBorder="1" applyAlignment="1">
      <alignment horizontal="left"/>
    </xf>
    <xf numFmtId="0" fontId="6" fillId="47" borderId="88" xfId="0" applyFont="1" applyFill="1" applyBorder="1">
      <alignment horizontal="center" vertical="center"/>
    </xf>
    <xf numFmtId="0" fontId="7" fillId="47" borderId="93" xfId="0" applyFont="1" applyFill="1" applyBorder="1">
      <alignment horizontal="center" vertical="center"/>
    </xf>
    <xf numFmtId="0" fontId="7" fillId="47" borderId="124" xfId="0" applyFont="1" applyFill="1" applyBorder="1">
      <alignment horizontal="center" vertical="center"/>
    </xf>
    <xf numFmtId="0" fontId="7" fillId="47" borderId="133" xfId="0" applyFont="1" applyFill="1" applyBorder="1">
      <alignment horizontal="center" vertical="center"/>
    </xf>
    <xf numFmtId="0" fontId="6" fillId="0" borderId="120" xfId="0" applyFont="1" applyBorder="1" applyAlignment="1">
      <alignment horizontal="left" vertical="center"/>
    </xf>
    <xf numFmtId="0" fontId="7" fillId="0" borderId="124" xfId="0" applyFont="1" applyBorder="1">
      <alignment horizontal="center" vertical="center"/>
    </xf>
    <xf numFmtId="0" fontId="7" fillId="0" borderId="124" xfId="0" applyFont="1" applyBorder="1" applyAlignment="1">
      <alignment horizontal="left"/>
    </xf>
    <xf numFmtId="0" fontId="7" fillId="0" borderId="88" xfId="0" applyFont="1" applyBorder="1" applyAlignment="1">
      <alignment horizontal="left"/>
    </xf>
    <xf numFmtId="0" fontId="0" fillId="0" borderId="93" xfId="0" applyBorder="1">
      <alignment horizontal="center" vertical="center"/>
    </xf>
    <xf numFmtId="0" fontId="7" fillId="0" borderId="93" xfId="0" applyFont="1" applyBorder="1" applyAlignment="1">
      <alignment horizontal="left"/>
    </xf>
    <xf numFmtId="0" fontId="6" fillId="26" borderId="123" xfId="0" applyFont="1" applyFill="1" applyBorder="1" applyAlignment="1">
      <alignment horizontal="left"/>
    </xf>
    <xf numFmtId="0" fontId="6" fillId="26" borderId="124" xfId="0" applyFont="1" applyFill="1" applyBorder="1">
      <alignment horizontal="center" vertical="center"/>
    </xf>
    <xf numFmtId="0" fontId="0" fillId="26" borderId="124" xfId="0" applyFill="1" applyBorder="1">
      <alignment horizontal="center" vertical="center"/>
    </xf>
    <xf numFmtId="0" fontId="7" fillId="26" borderId="124" xfId="0" applyFont="1" applyFill="1" applyBorder="1">
      <alignment horizontal="center" vertical="center"/>
    </xf>
    <xf numFmtId="0" fontId="7" fillId="78" borderId="133" xfId="0" applyFont="1" applyFill="1" applyBorder="1">
      <alignment horizontal="center" vertical="center"/>
    </xf>
    <xf numFmtId="0" fontId="7" fillId="0" borderId="93" xfId="0" applyFont="1" applyBorder="1">
      <alignment horizontal="center" vertical="center"/>
    </xf>
    <xf numFmtId="0" fontId="7" fillId="0" borderId="94" xfId="0" applyFont="1" applyBorder="1">
      <alignment horizontal="center" vertical="center"/>
    </xf>
    <xf numFmtId="0" fontId="7" fillId="48" borderId="88" xfId="0" applyFont="1" applyFill="1" applyBorder="1" applyAlignment="1">
      <alignment horizontal="left" vertical="center"/>
    </xf>
    <xf numFmtId="0" fontId="7" fillId="48" borderId="93" xfId="0" applyFont="1" applyFill="1" applyBorder="1">
      <alignment horizontal="center" vertical="center"/>
    </xf>
    <xf numFmtId="0" fontId="0" fillId="89" borderId="99" xfId="56" applyFont="1" applyBorder="1" applyAlignment="1">
      <alignment horizontal="left" vertical="center"/>
    </xf>
    <xf numFmtId="0" fontId="0" fillId="89" borderId="101" xfId="56" applyFont="1" applyBorder="1">
      <alignment horizontal="center" vertical="center"/>
    </xf>
    <xf numFmtId="0" fontId="0" fillId="89" borderId="100" xfId="56" applyFont="1" applyBorder="1">
      <alignment horizontal="center" vertical="center"/>
    </xf>
    <xf numFmtId="0" fontId="0" fillId="0" borderId="92" xfId="0" applyBorder="1">
      <alignment horizontal="center" vertical="center"/>
    </xf>
    <xf numFmtId="0" fontId="4" fillId="0" borderId="92" xfId="0" applyFont="1" applyBorder="1" applyAlignment="1">
      <alignment horizontal="center"/>
    </xf>
    <xf numFmtId="0" fontId="7" fillId="0" borderId="92" xfId="0" applyFont="1" applyBorder="1">
      <alignment horizontal="center" vertical="center"/>
    </xf>
    <xf numFmtId="0" fontId="7" fillId="0" borderId="96" xfId="0" applyFont="1" applyBorder="1">
      <alignment horizontal="center" vertical="center"/>
    </xf>
    <xf numFmtId="0" fontId="0" fillId="0" borderId="96" xfId="0" applyBorder="1">
      <alignment horizontal="center" vertical="center"/>
    </xf>
    <xf numFmtId="0" fontId="4" fillId="0" borderId="96" xfId="0" applyFont="1" applyBorder="1" applyAlignment="1">
      <alignment horizontal="center"/>
    </xf>
    <xf numFmtId="0" fontId="4" fillId="0" borderId="99" xfId="0" applyFont="1" applyBorder="1" applyAlignment="1">
      <alignment horizontal="left" vertical="center"/>
    </xf>
    <xf numFmtId="0" fontId="59" fillId="0" borderId="104" xfId="0" applyFont="1" applyBorder="1" applyAlignment="1">
      <alignment horizontal="left" vertical="center"/>
    </xf>
    <xf numFmtId="0" fontId="4" fillId="0" borderId="101" xfId="0" applyFont="1" applyBorder="1" applyAlignment="1">
      <alignment horizontal="left" vertical="center"/>
    </xf>
    <xf numFmtId="0" fontId="59" fillId="0" borderId="134" xfId="0" applyFont="1" applyBorder="1" applyAlignment="1">
      <alignment horizontal="left" vertical="center"/>
    </xf>
    <xf numFmtId="0" fontId="13" fillId="0" borderId="101" xfId="0" applyFont="1" applyBorder="1">
      <alignment horizontal="center" vertical="center"/>
    </xf>
    <xf numFmtId="0" fontId="4" fillId="0" borderId="101" xfId="0" applyFont="1" applyBorder="1">
      <alignment horizontal="center" vertical="center"/>
    </xf>
    <xf numFmtId="0" fontId="59" fillId="0" borderId="99" xfId="0" applyFont="1" applyBorder="1" applyAlignment="1">
      <alignment horizontal="left" vertical="center"/>
    </xf>
    <xf numFmtId="0" fontId="0" fillId="0" borderId="101" xfId="0" applyBorder="1" applyAlignment="1">
      <alignment horizontal="left" vertical="center"/>
    </xf>
    <xf numFmtId="0" fontId="0" fillId="0" borderId="100" xfId="0" applyBorder="1" applyAlignment="1">
      <alignment horizontal="left" vertical="center"/>
    </xf>
    <xf numFmtId="0" fontId="59" fillId="0" borderId="102" xfId="0" applyFont="1" applyBorder="1" applyAlignment="1">
      <alignment horizontal="left" vertical="center"/>
    </xf>
    <xf numFmtId="0" fontId="6" fillId="0" borderId="113" xfId="0" applyFont="1" applyBorder="1">
      <alignment horizontal="center" vertical="center"/>
    </xf>
    <xf numFmtId="0" fontId="0" fillId="0" borderId="128" xfId="0" applyBorder="1" applyAlignment="1" applyProtection="1">
      <alignment horizontal="center"/>
      <protection locked="0"/>
    </xf>
    <xf numFmtId="0" fontId="6" fillId="51" borderId="128" xfId="0" applyFont="1" applyFill="1" applyBorder="1">
      <alignment horizontal="center" vertical="center"/>
    </xf>
    <xf numFmtId="0" fontId="0" fillId="70" borderId="128" xfId="0" applyFill="1" applyBorder="1">
      <alignment horizontal="center" vertical="center"/>
    </xf>
    <xf numFmtId="0" fontId="0" fillId="51" borderId="128" xfId="0" applyFill="1" applyBorder="1">
      <alignment horizontal="center" vertical="center"/>
    </xf>
    <xf numFmtId="0" fontId="0" fillId="51" borderId="111" xfId="0" applyFill="1" applyBorder="1" applyProtection="1">
      <alignment horizontal="center" vertical="center"/>
      <protection locked="0"/>
    </xf>
    <xf numFmtId="0" fontId="0" fillId="0" borderId="126" xfId="0" applyBorder="1" applyAlignment="1">
      <alignment horizontal="left" vertical="center"/>
    </xf>
    <xf numFmtId="0" fontId="0" fillId="51" borderId="126" xfId="32" applyFont="1" applyFill="1" applyBorder="1" applyAlignment="1">
      <alignment horizontal="center" vertical="center"/>
    </xf>
    <xf numFmtId="0" fontId="0" fillId="51" borderId="103" xfId="48" applyFont="1" applyFill="1" applyBorder="1">
      <alignment horizontal="center" vertical="center"/>
    </xf>
    <xf numFmtId="0" fontId="0" fillId="51" borderId="126" xfId="43" applyFont="1" applyFill="1" applyBorder="1">
      <alignment horizontal="center" vertical="center"/>
    </xf>
    <xf numFmtId="0" fontId="0" fillId="51" borderId="126" xfId="0" applyFill="1" applyBorder="1">
      <alignment horizontal="center" vertical="center"/>
    </xf>
    <xf numFmtId="0" fontId="0" fillId="51" borderId="126" xfId="44" applyFont="1" applyFill="1" applyBorder="1">
      <alignment horizontal="center" vertical="center"/>
    </xf>
    <xf numFmtId="0" fontId="4" fillId="24" borderId="92" xfId="0" applyFont="1" applyFill="1" applyBorder="1" applyAlignment="1">
      <alignment horizontal="left" vertical="center"/>
    </xf>
    <xf numFmtId="0" fontId="0" fillId="24" borderId="96" xfId="0" applyFill="1" applyBorder="1">
      <alignment horizontal="center" vertical="center"/>
    </xf>
    <xf numFmtId="0" fontId="0" fillId="43" borderId="111" xfId="0" applyFill="1" applyBorder="1" applyAlignment="1" applyProtection="1">
      <alignment horizontal="center"/>
      <protection locked="0"/>
    </xf>
    <xf numFmtId="0" fontId="0" fillId="0" borderId="123" xfId="0" applyBorder="1" applyAlignment="1">
      <alignment horizontal="left" vertical="center"/>
    </xf>
    <xf numFmtId="1" fontId="0" fillId="51" borderId="123" xfId="0" applyNumberFormat="1" applyFill="1" applyBorder="1">
      <alignment horizontal="center" vertical="center"/>
    </xf>
    <xf numFmtId="1" fontId="0" fillId="51" borderId="123" xfId="32" applyNumberFormat="1" applyFont="1" applyFill="1" applyBorder="1" applyAlignment="1">
      <alignment horizontal="center" vertical="center"/>
    </xf>
    <xf numFmtId="0" fontId="0" fillId="51" borderId="123" xfId="44" applyFont="1" applyFill="1" applyBorder="1">
      <alignment horizontal="center" vertical="center"/>
    </xf>
    <xf numFmtId="0" fontId="0" fillId="43" borderId="96" xfId="0" applyFill="1" applyBorder="1" applyAlignment="1" applyProtection="1">
      <alignment horizontal="center"/>
      <protection locked="0"/>
    </xf>
    <xf numFmtId="0" fontId="7" fillId="0" borderId="96" xfId="0" applyFont="1" applyBorder="1" applyAlignment="1">
      <alignment horizontal="left" vertical="center"/>
    </xf>
    <xf numFmtId="0" fontId="0" fillId="51" borderId="96" xfId="0" applyFill="1" applyBorder="1">
      <alignment horizontal="center" vertical="center"/>
    </xf>
    <xf numFmtId="0" fontId="0" fillId="55" borderId="96" xfId="0" applyFill="1" applyBorder="1">
      <alignment horizontal="center" vertical="center"/>
    </xf>
    <xf numFmtId="0" fontId="0" fillId="0" borderId="96" xfId="0" applyBorder="1" applyAlignment="1">
      <alignment horizontal="left" vertical="center"/>
    </xf>
    <xf numFmtId="0" fontId="0" fillId="51" borderId="96" xfId="43" applyFont="1" applyFill="1" applyBorder="1">
      <alignment horizontal="center" vertical="center"/>
    </xf>
    <xf numFmtId="0" fontId="0" fillId="51" borderId="96" xfId="44" applyFont="1" applyFill="1" applyBorder="1">
      <alignment horizontal="center" vertical="center"/>
    </xf>
    <xf numFmtId="1" fontId="0" fillId="51" borderId="96" xfId="0" applyNumberFormat="1" applyFill="1" applyBorder="1">
      <alignment horizontal="center" vertical="center"/>
    </xf>
    <xf numFmtId="1" fontId="0" fillId="55" borderId="96" xfId="0" applyNumberFormat="1" applyFill="1" applyBorder="1">
      <alignment horizontal="center" vertical="center"/>
    </xf>
    <xf numFmtId="1" fontId="0" fillId="51" borderId="96" xfId="32" applyNumberFormat="1" applyFont="1" applyFill="1" applyBorder="1" applyAlignment="1">
      <alignment horizontal="center" vertical="center"/>
    </xf>
    <xf numFmtId="0" fontId="7" fillId="53" borderId="96" xfId="43" applyBorder="1">
      <alignment horizontal="center" vertical="center"/>
    </xf>
    <xf numFmtId="0" fontId="0" fillId="76" borderId="96" xfId="44" applyFont="1" applyFill="1" applyBorder="1">
      <alignment horizontal="center" vertical="center"/>
    </xf>
    <xf numFmtId="1" fontId="0" fillId="51" borderId="96" xfId="44" applyNumberFormat="1" applyFont="1" applyFill="1" applyBorder="1">
      <alignment horizontal="center" vertical="center"/>
    </xf>
    <xf numFmtId="0" fontId="0" fillId="55" borderId="96" xfId="43" applyFont="1" applyFill="1" applyBorder="1">
      <alignment horizontal="center" vertical="center"/>
    </xf>
    <xf numFmtId="0" fontId="0" fillId="51" borderId="96" xfId="49" applyFont="1" applyFill="1" applyBorder="1">
      <alignment horizontal="center" vertical="center"/>
    </xf>
    <xf numFmtId="0" fontId="0" fillId="43" borderId="112" xfId="0" applyFill="1" applyBorder="1" applyAlignment="1" applyProtection="1">
      <alignment horizontal="center"/>
      <protection locked="0"/>
    </xf>
    <xf numFmtId="0" fontId="0" fillId="0" borderId="112" xfId="0" applyBorder="1" applyAlignment="1">
      <alignment horizontal="left" vertical="center"/>
    </xf>
    <xf numFmtId="0" fontId="0" fillId="51" borderId="92" xfId="43" applyFont="1" applyFill="1" applyBorder="1">
      <alignment horizontal="center" vertical="center"/>
    </xf>
    <xf numFmtId="0" fontId="0" fillId="55" borderId="92" xfId="44" applyFont="1" applyFill="1" applyBorder="1">
      <alignment horizontal="center" vertical="center"/>
    </xf>
    <xf numFmtId="1" fontId="0" fillId="51" borderId="92" xfId="0" applyNumberFormat="1" applyFill="1" applyBorder="1">
      <alignment horizontal="center" vertical="center"/>
    </xf>
    <xf numFmtId="0" fontId="0" fillId="51" borderId="92" xfId="46" applyFont="1" applyFill="1" applyBorder="1">
      <alignment horizontal="center" vertical="center"/>
    </xf>
    <xf numFmtId="0" fontId="0" fillId="51" borderId="92" xfId="44" applyFont="1" applyFill="1" applyBorder="1">
      <alignment horizontal="center" vertical="center"/>
    </xf>
    <xf numFmtId="0" fontId="7" fillId="86" borderId="92" xfId="44" applyBorder="1">
      <alignment horizontal="center" vertical="center"/>
    </xf>
    <xf numFmtId="1" fontId="0" fillId="51" borderId="92" xfId="32" applyNumberFormat="1" applyFont="1" applyFill="1" applyBorder="1" applyAlignment="1">
      <alignment horizontal="center" vertical="center"/>
    </xf>
    <xf numFmtId="1" fontId="0" fillId="51" borderId="112" xfId="20" applyNumberFormat="1" applyFont="1" applyFill="1" applyBorder="1" applyAlignment="1">
      <alignment horizontal="center" vertical="center"/>
    </xf>
    <xf numFmtId="0" fontId="0" fillId="51" borderId="111" xfId="32" applyFont="1" applyFill="1" applyBorder="1" applyAlignment="1">
      <alignment horizontal="center" vertical="center"/>
    </xf>
    <xf numFmtId="0" fontId="4" fillId="24" borderId="128" xfId="0" applyFont="1" applyFill="1" applyBorder="1" applyAlignment="1" applyProtection="1">
      <alignment horizontal="left"/>
      <protection locked="0"/>
    </xf>
    <xf numFmtId="0" fontId="4" fillId="24" borderId="128" xfId="0" applyFont="1" applyFill="1" applyBorder="1">
      <alignment horizontal="center" vertical="center"/>
    </xf>
    <xf numFmtId="0" fontId="0" fillId="43" borderId="120" xfId="0" applyFill="1" applyBorder="1" applyAlignment="1" applyProtection="1">
      <alignment horizontal="center"/>
      <protection locked="0"/>
    </xf>
    <xf numFmtId="0" fontId="0" fillId="0" borderId="111" xfId="0" applyBorder="1" applyAlignment="1">
      <alignment horizontal="left" vertical="center"/>
    </xf>
    <xf numFmtId="0" fontId="0" fillId="51" borderId="113" xfId="48" applyFont="1" applyFill="1" applyBorder="1">
      <alignment horizontal="center" vertical="center"/>
    </xf>
    <xf numFmtId="0" fontId="0" fillId="51" borderId="111" xfId="43" applyFont="1" applyFill="1" applyBorder="1">
      <alignment horizontal="center" vertical="center"/>
    </xf>
    <xf numFmtId="0" fontId="0" fillId="55" borderId="111" xfId="43" applyFont="1" applyFill="1" applyBorder="1">
      <alignment horizontal="center" vertical="center"/>
    </xf>
    <xf numFmtId="0" fontId="0" fillId="51" borderId="111" xfId="0" applyFill="1" applyBorder="1">
      <alignment horizontal="center" vertical="center"/>
    </xf>
    <xf numFmtId="0" fontId="0" fillId="55" borderId="111" xfId="44" applyFont="1" applyFill="1" applyBorder="1">
      <alignment horizontal="center" vertical="center"/>
    </xf>
    <xf numFmtId="0" fontId="0" fillId="51" borderId="135" xfId="0" applyFill="1" applyBorder="1">
      <alignment horizontal="center" vertical="center"/>
    </xf>
    <xf numFmtId="0" fontId="7" fillId="86" borderId="136" xfId="44" applyBorder="1">
      <alignment horizontal="center" vertical="center"/>
    </xf>
    <xf numFmtId="49" fontId="0" fillId="51" borderId="137" xfId="0" applyNumberFormat="1" applyFill="1" applyBorder="1">
      <alignment horizontal="center" vertical="center"/>
    </xf>
    <xf numFmtId="0" fontId="0" fillId="51" borderId="137" xfId="0" applyFill="1" applyBorder="1">
      <alignment horizontal="center" vertical="center"/>
    </xf>
    <xf numFmtId="0" fontId="0" fillId="51" borderId="138" xfId="0" applyFill="1" applyBorder="1">
      <alignment horizontal="center" vertical="center"/>
    </xf>
    <xf numFmtId="0" fontId="0" fillId="0" borderId="137" xfId="0" applyBorder="1">
      <alignment horizontal="center" vertical="center"/>
    </xf>
    <xf numFmtId="173" fontId="0" fillId="0" borderId="137" xfId="0" applyNumberFormat="1" applyBorder="1">
      <alignment horizontal="center" vertical="center"/>
    </xf>
    <xf numFmtId="0" fontId="0" fillId="0" borderId="139" xfId="0" applyBorder="1">
      <alignment horizontal="center" vertical="center"/>
    </xf>
    <xf numFmtId="0" fontId="0" fillId="51" borderId="136" xfId="20" applyFont="1" applyFill="1" applyBorder="1" applyAlignment="1">
      <alignment horizontal="center" vertical="center"/>
    </xf>
    <xf numFmtId="0" fontId="0" fillId="76" borderId="136" xfId="48" applyFont="1" applyFill="1" applyBorder="1">
      <alignment horizontal="center" vertical="center"/>
    </xf>
    <xf numFmtId="49" fontId="0" fillId="51" borderId="136" xfId="0" applyNumberFormat="1" applyFill="1" applyBorder="1">
      <alignment horizontal="center" vertical="center"/>
    </xf>
    <xf numFmtId="0" fontId="0" fillId="76" borderId="136" xfId="0" applyFill="1" applyBorder="1">
      <alignment horizontal="center" vertical="center"/>
    </xf>
    <xf numFmtId="49" fontId="0" fillId="51" borderId="138" xfId="0" applyNumberFormat="1" applyFill="1" applyBorder="1">
      <alignment horizontal="center" vertical="center"/>
    </xf>
    <xf numFmtId="0" fontId="0" fillId="43" borderId="140" xfId="0" applyFill="1" applyBorder="1" applyAlignment="1" applyProtection="1">
      <alignment horizontal="center"/>
      <protection locked="0"/>
    </xf>
    <xf numFmtId="0" fontId="0" fillId="0" borderId="141" xfId="0" applyBorder="1" applyAlignment="1">
      <alignment vertical="center"/>
    </xf>
    <xf numFmtId="0" fontId="7" fillId="53" borderId="141" xfId="43" applyBorder="1">
      <alignment horizontal="center" vertical="center"/>
    </xf>
    <xf numFmtId="0" fontId="0" fillId="0" borderId="141" xfId="0" applyBorder="1">
      <alignment horizontal="center" vertical="center"/>
    </xf>
    <xf numFmtId="0" fontId="0" fillId="51" borderId="141" xfId="43" applyFont="1" applyFill="1" applyBorder="1">
      <alignment horizontal="center" vertical="center"/>
    </xf>
    <xf numFmtId="0" fontId="0" fillId="51" borderId="141" xfId="32" applyFont="1" applyFill="1" applyBorder="1" applyAlignment="1">
      <alignment horizontal="center" vertical="center"/>
    </xf>
    <xf numFmtId="0" fontId="7" fillId="86" borderId="141" xfId="44" applyBorder="1">
      <alignment horizontal="center" vertical="center"/>
    </xf>
    <xf numFmtId="49" fontId="0" fillId="51" borderId="141" xfId="0" applyNumberFormat="1" applyFill="1" applyBorder="1">
      <alignment horizontal="center" vertical="center"/>
    </xf>
    <xf numFmtId="0" fontId="0" fillId="51" borderId="141" xfId="0" applyFill="1" applyBorder="1">
      <alignment horizontal="center" vertical="center"/>
    </xf>
    <xf numFmtId="0" fontId="0" fillId="51" borderId="142" xfId="43" applyFont="1" applyFill="1" applyBorder="1">
      <alignment horizontal="center" vertical="center"/>
    </xf>
    <xf numFmtId="0" fontId="0" fillId="51" borderId="143" xfId="0" applyFill="1" applyBorder="1">
      <alignment horizontal="center" vertical="center"/>
    </xf>
    <xf numFmtId="0" fontId="7" fillId="0" borderId="136" xfId="43" applyFill="1" applyBorder="1">
      <alignment horizontal="center" vertical="center"/>
    </xf>
    <xf numFmtId="0" fontId="0" fillId="51" borderId="144" xfId="53" applyFont="1" applyFill="1" applyBorder="1">
      <alignment horizontal="center" vertical="center"/>
    </xf>
    <xf numFmtId="0" fontId="0" fillId="51" borderId="144" xfId="48" applyFont="1" applyFill="1" applyBorder="1">
      <alignment horizontal="center" vertical="center"/>
    </xf>
    <xf numFmtId="0" fontId="4" fillId="0" borderId="125" xfId="0" applyFont="1" applyBorder="1" applyAlignment="1">
      <alignment horizontal="left" vertical="center"/>
    </xf>
    <xf numFmtId="0" fontId="0" fillId="0" borderId="132" xfId="0" applyBorder="1" applyAlignment="1">
      <alignment horizontal="left"/>
    </xf>
    <xf numFmtId="0" fontId="4" fillId="0" borderId="105" xfId="0" applyFont="1" applyBorder="1" applyAlignment="1">
      <alignment vertical="center"/>
    </xf>
    <xf numFmtId="0" fontId="0" fillId="0" borderId="132" xfId="0" applyBorder="1">
      <alignment horizontal="center" vertical="center"/>
    </xf>
    <xf numFmtId="0" fontId="4" fillId="0" borderId="127" xfId="0" applyFont="1" applyBorder="1" applyAlignment="1">
      <alignment horizontal="left" vertical="center"/>
    </xf>
    <xf numFmtId="0" fontId="4" fillId="0" borderId="127" xfId="0" applyFont="1" applyBorder="1" applyAlignment="1">
      <alignment horizontal="left"/>
    </xf>
    <xf numFmtId="0" fontId="4" fillId="0" borderId="106" xfId="0" applyFont="1" applyBorder="1" applyAlignment="1">
      <alignment vertical="center"/>
    </xf>
    <xf numFmtId="0" fontId="0" fillId="0" borderId="91" xfId="0" applyBorder="1">
      <alignment horizontal="center" vertical="center"/>
    </xf>
    <xf numFmtId="0" fontId="4" fillId="0" borderId="114" xfId="0" applyFont="1" applyBorder="1" applyAlignment="1">
      <alignment vertical="center"/>
    </xf>
    <xf numFmtId="0" fontId="13" fillId="0" borderId="93" xfId="0" applyFont="1" applyBorder="1">
      <alignment horizontal="center" vertical="center"/>
    </xf>
    <xf numFmtId="0" fontId="0" fillId="0" borderId="108" xfId="0" applyBorder="1">
      <alignment horizontal="center" vertical="center"/>
    </xf>
    <xf numFmtId="0" fontId="4" fillId="0" borderId="90" xfId="0" applyFont="1" applyBorder="1" applyAlignment="1">
      <alignment horizontal="left" vertical="center"/>
    </xf>
    <xf numFmtId="0" fontId="13" fillId="0" borderId="91" xfId="0" applyFont="1" applyBorder="1">
      <alignment horizontal="center" vertical="center"/>
    </xf>
    <xf numFmtId="0" fontId="4" fillId="0" borderId="91" xfId="0" applyFont="1" applyBorder="1">
      <alignment horizontal="center" vertical="center"/>
    </xf>
    <xf numFmtId="0" fontId="4" fillId="0" borderId="145" xfId="0" applyFont="1" applyBorder="1" applyAlignment="1">
      <alignment horizontal="left" vertical="center"/>
    </xf>
    <xf numFmtId="0" fontId="0" fillId="0" borderId="114" xfId="0" applyBorder="1" applyAlignment="1">
      <alignment vertical="center"/>
    </xf>
    <xf numFmtId="0" fontId="4" fillId="0" borderId="114" xfId="0" applyFont="1" applyBorder="1">
      <alignment horizontal="center" vertical="center"/>
    </xf>
    <xf numFmtId="0" fontId="0" fillId="0" borderId="93" xfId="0" applyBorder="1" applyAlignment="1">
      <alignment horizontal="left" vertical="center"/>
    </xf>
    <xf numFmtId="0" fontId="4" fillId="0" borderId="146" xfId="0" applyFont="1" applyBorder="1" applyAlignment="1">
      <alignment horizontal="left" vertical="center"/>
    </xf>
    <xf numFmtId="0" fontId="0" fillId="0" borderId="147" xfId="0" applyBorder="1">
      <alignment horizontal="center" vertical="center"/>
    </xf>
    <xf numFmtId="0" fontId="0" fillId="0" borderId="148" xfId="0" applyBorder="1" applyAlignment="1">
      <alignment vertical="center"/>
    </xf>
    <xf numFmtId="0" fontId="0" fillId="0" borderId="149" xfId="0" applyBorder="1">
      <alignment horizontal="center" vertical="center"/>
    </xf>
    <xf numFmtId="0" fontId="4" fillId="0" borderId="148" xfId="0" applyFont="1" applyBorder="1">
      <alignment horizontal="center" vertical="center"/>
    </xf>
    <xf numFmtId="0" fontId="0" fillId="0" borderId="147" xfId="0" applyBorder="1" applyAlignment="1">
      <alignment horizontal="left" vertical="center"/>
    </xf>
    <xf numFmtId="0" fontId="13" fillId="0" borderId="147" xfId="0" applyFont="1" applyBorder="1">
      <alignment horizontal="center" vertical="center"/>
    </xf>
    <xf numFmtId="0" fontId="4" fillId="0" borderId="147" xfId="0" applyFont="1" applyBorder="1" applyAlignment="1">
      <alignment horizontal="left" vertical="center"/>
    </xf>
    <xf numFmtId="0" fontId="0" fillId="0" borderId="92" xfId="0" applyBorder="1" applyAlignment="1" applyProtection="1">
      <alignment horizontal="center"/>
      <protection locked="0"/>
    </xf>
    <xf numFmtId="0" fontId="6" fillId="0" borderId="92" xfId="0" applyFont="1" applyBorder="1" applyAlignment="1">
      <alignment horizontal="center"/>
    </xf>
    <xf numFmtId="0" fontId="0" fillId="24" borderId="110" xfId="0" applyFill="1" applyBorder="1" applyAlignment="1" applyProtection="1">
      <alignment horizontal="center"/>
      <protection locked="0"/>
    </xf>
    <xf numFmtId="0" fontId="7" fillId="53" borderId="111" xfId="43" applyBorder="1">
      <alignment horizontal="center" vertical="center"/>
    </xf>
    <xf numFmtId="49" fontId="0" fillId="51" borderId="111" xfId="0" applyNumberFormat="1" applyFill="1" applyBorder="1">
      <alignment horizontal="center" vertical="center"/>
    </xf>
    <xf numFmtId="0" fontId="0" fillId="51" borderId="111" xfId="44" applyFont="1" applyFill="1" applyBorder="1">
      <alignment horizontal="center" vertical="center"/>
    </xf>
    <xf numFmtId="0" fontId="0" fillId="43" borderId="150" xfId="0" applyFill="1" applyBorder="1" applyAlignment="1" applyProtection="1">
      <alignment horizontal="center"/>
      <protection locked="0"/>
    </xf>
    <xf numFmtId="0" fontId="7" fillId="53" borderId="138" xfId="43" applyBorder="1">
      <alignment horizontal="center" vertical="center"/>
    </xf>
    <xf numFmtId="0" fontId="0" fillId="43" borderId="151" xfId="0" applyFill="1" applyBorder="1" applyAlignment="1" applyProtection="1">
      <alignment horizontal="center"/>
      <protection locked="0"/>
    </xf>
    <xf numFmtId="0" fontId="0" fillId="51" borderId="141" xfId="53" applyFont="1" applyFill="1" applyBorder="1">
      <alignment horizontal="center" vertical="center"/>
    </xf>
    <xf numFmtId="0" fontId="0" fillId="51" borderId="141" xfId="48" applyFont="1" applyFill="1" applyBorder="1">
      <alignment horizontal="center" vertical="center"/>
    </xf>
    <xf numFmtId="0" fontId="7" fillId="55" borderId="141" xfId="45" applyBorder="1">
      <alignment horizontal="center" vertical="center"/>
    </xf>
    <xf numFmtId="0" fontId="7" fillId="89" borderId="141" xfId="56" applyBorder="1">
      <alignment horizontal="center" vertical="center"/>
    </xf>
    <xf numFmtId="0" fontId="7" fillId="79" borderId="141" xfId="56" applyFill="1" applyBorder="1">
      <alignment horizontal="center" vertical="center"/>
    </xf>
    <xf numFmtId="49" fontId="0" fillId="55" borderId="141" xfId="0" applyNumberFormat="1" applyFill="1" applyBorder="1">
      <alignment horizontal="center" vertical="center"/>
    </xf>
    <xf numFmtId="49" fontId="0" fillId="55" borderId="143" xfId="0" applyNumberFormat="1" applyFill="1" applyBorder="1">
      <alignment horizontal="center" vertical="center"/>
    </xf>
    <xf numFmtId="0" fontId="0" fillId="51" borderId="111" xfId="48" applyFont="1" applyFill="1" applyBorder="1">
      <alignment horizontal="center" vertical="center"/>
    </xf>
    <xf numFmtId="0" fontId="7" fillId="53" borderId="116" xfId="43" applyBorder="1">
      <alignment horizontal="center" vertical="center"/>
    </xf>
    <xf numFmtId="0" fontId="0" fillId="51" borderId="136" xfId="46" applyFont="1" applyFill="1" applyBorder="1">
      <alignment horizontal="center" vertical="center"/>
    </xf>
    <xf numFmtId="0" fontId="0" fillId="51" borderId="136" xfId="45" applyFont="1" applyFill="1" applyBorder="1">
      <alignment horizontal="center" vertical="center"/>
    </xf>
    <xf numFmtId="0" fontId="0" fillId="51" borderId="141" xfId="0" applyFill="1" applyBorder="1" applyAlignment="1">
      <alignment horizontal="left" vertical="center"/>
    </xf>
    <xf numFmtId="0" fontId="7" fillId="54" borderId="141" xfId="50" applyBorder="1">
      <alignment horizontal="center" vertical="center"/>
    </xf>
    <xf numFmtId="0" fontId="7" fillId="0" borderId="141" xfId="53" applyBorder="1">
      <alignment horizontal="center" vertical="center"/>
    </xf>
    <xf numFmtId="0" fontId="7" fillId="55" borderId="143" xfId="45" applyBorder="1">
      <alignment horizontal="center" vertical="center"/>
    </xf>
    <xf numFmtId="0" fontId="0" fillId="51" borderId="111" xfId="0" applyFill="1" applyBorder="1" applyAlignment="1">
      <alignment horizontal="left" vertical="center" wrapText="1"/>
    </xf>
    <xf numFmtId="0" fontId="0" fillId="51" borderId="123" xfId="0" applyFill="1" applyBorder="1">
      <alignment horizontal="center" vertical="center"/>
    </xf>
    <xf numFmtId="49" fontId="0" fillId="51" borderId="123" xfId="0" applyNumberFormat="1" applyFill="1" applyBorder="1">
      <alignment horizontal="center" vertical="center"/>
    </xf>
    <xf numFmtId="0" fontId="0" fillId="55" borderId="123" xfId="44" applyFont="1" applyFill="1" applyBorder="1">
      <alignment horizontal="center" vertical="center"/>
    </xf>
    <xf numFmtId="0" fontId="7" fillId="53" borderId="123" xfId="43" applyBorder="1">
      <alignment horizontal="center" vertical="center"/>
    </xf>
    <xf numFmtId="0" fontId="7" fillId="53" borderId="118" xfId="43" applyBorder="1">
      <alignment horizontal="center" vertical="center"/>
    </xf>
    <xf numFmtId="0" fontId="7" fillId="86" borderId="138" xfId="44" applyBorder="1">
      <alignment horizontal="center" vertical="center"/>
    </xf>
    <xf numFmtId="49" fontId="0" fillId="0" borderId="141" xfId="0" applyNumberFormat="1" applyBorder="1">
      <alignment horizontal="center" vertical="center"/>
    </xf>
    <xf numFmtId="0" fontId="0" fillId="51" borderId="141" xfId="44" applyFont="1" applyFill="1" applyBorder="1">
      <alignment horizontal="center" vertical="center"/>
    </xf>
    <xf numFmtId="0" fontId="0" fillId="55" borderId="141" xfId="0" applyFill="1" applyBorder="1">
      <alignment horizontal="center" vertical="center"/>
    </xf>
    <xf numFmtId="0" fontId="7" fillId="52" borderId="141" xfId="48" applyBorder="1">
      <alignment horizontal="center" vertical="center"/>
    </xf>
    <xf numFmtId="0" fontId="7" fillId="52" borderId="143" xfId="48" applyBorder="1">
      <alignment horizontal="center" vertical="center"/>
    </xf>
    <xf numFmtId="49" fontId="0" fillId="51" borderId="116" xfId="0" applyNumberFormat="1" applyFill="1" applyBorder="1">
      <alignment horizontal="center" vertical="center"/>
    </xf>
    <xf numFmtId="0" fontId="7" fillId="0" borderId="136" xfId="53" applyBorder="1">
      <alignment horizontal="center" vertical="center"/>
    </xf>
    <xf numFmtId="0" fontId="0" fillId="75" borderId="111" xfId="44" applyFont="1" applyFill="1" applyBorder="1">
      <alignment horizontal="center" vertical="center"/>
    </xf>
    <xf numFmtId="49" fontId="0" fillId="56" borderId="111" xfId="0" applyNumberFormat="1" applyFill="1" applyBorder="1">
      <alignment horizontal="center" vertical="center"/>
    </xf>
    <xf numFmtId="0" fontId="0" fillId="51" borderId="111" xfId="46" applyFont="1" applyFill="1" applyBorder="1">
      <alignment horizontal="center" vertical="center"/>
    </xf>
    <xf numFmtId="0" fontId="7" fillId="89" borderId="111" xfId="56" applyBorder="1">
      <alignment horizontal="center" vertical="center"/>
    </xf>
    <xf numFmtId="0" fontId="0" fillId="51" borderId="143" xfId="44" applyFont="1" applyFill="1" applyBorder="1">
      <alignment horizontal="center" vertical="center"/>
    </xf>
    <xf numFmtId="0" fontId="6" fillId="0" borderId="136" xfId="0" applyFont="1" applyBorder="1" applyAlignment="1">
      <alignment horizontal="left"/>
    </xf>
    <xf numFmtId="0" fontId="7" fillId="0" borderId="114" xfId="0" applyFont="1" applyBorder="1">
      <alignment horizontal="center" vertical="center"/>
    </xf>
    <xf numFmtId="0" fontId="0" fillId="0" borderId="136" xfId="0" applyBorder="1" applyAlignment="1">
      <alignment horizontal="center"/>
    </xf>
    <xf numFmtId="0" fontId="0" fillId="43" borderId="114" xfId="0" applyFill="1" applyBorder="1" applyAlignment="1" applyProtection="1">
      <alignment horizontal="center"/>
      <protection locked="0"/>
    </xf>
    <xf numFmtId="0" fontId="0" fillId="0" borderId="114" xfId="0" applyBorder="1" applyAlignment="1">
      <alignment horizontal="left"/>
    </xf>
    <xf numFmtId="0" fontId="0" fillId="0" borderId="93" xfId="0" applyBorder="1" applyAlignment="1">
      <alignment horizontal="left"/>
    </xf>
    <xf numFmtId="0" fontId="7" fillId="0" borderId="89" xfId="0" applyFont="1" applyBorder="1" applyAlignment="1">
      <alignment horizontal="left"/>
    </xf>
    <xf numFmtId="0" fontId="7" fillId="0" borderId="91" xfId="0" applyFont="1" applyBorder="1" applyAlignment="1">
      <alignment horizontal="left"/>
    </xf>
    <xf numFmtId="0" fontId="7" fillId="0" borderId="108" xfId="0" applyFont="1" applyBorder="1" applyAlignment="1">
      <alignment horizontal="left"/>
    </xf>
    <xf numFmtId="0" fontId="6" fillId="0" borderId="114" xfId="0" applyFont="1" applyBorder="1" applyAlignment="1">
      <alignment horizontal="left"/>
    </xf>
    <xf numFmtId="0" fontId="21" fillId="0" borderId="136" xfId="0" applyFont="1" applyBorder="1" applyAlignment="1" applyProtection="1">
      <alignment horizontal="center"/>
      <protection locked="0"/>
    </xf>
    <xf numFmtId="0" fontId="0" fillId="0" borderId="152" xfId="0" applyBorder="1" applyAlignment="1">
      <alignment horizontal="left"/>
    </xf>
    <xf numFmtId="0" fontId="0" fillId="0" borderId="153" xfId="0" applyBorder="1" applyAlignment="1">
      <alignment horizontal="left"/>
    </xf>
    <xf numFmtId="0" fontId="7" fillId="0" borderId="154" xfId="0" applyFont="1" applyBorder="1" applyAlignment="1">
      <alignment horizontal="left"/>
    </xf>
    <xf numFmtId="0" fontId="4" fillId="0" borderId="141" xfId="0" applyFont="1" applyBorder="1" applyAlignment="1" applyProtection="1">
      <alignment horizontal="center"/>
      <protection locked="0"/>
    </xf>
    <xf numFmtId="0" fontId="6" fillId="0" borderId="141" xfId="0" applyFont="1" applyBorder="1" applyAlignment="1">
      <alignment horizontal="center"/>
    </xf>
    <xf numFmtId="0" fontId="0" fillId="0" borderId="155" xfId="0" applyBorder="1" applyAlignment="1">
      <alignment vertical="center"/>
    </xf>
    <xf numFmtId="0" fontId="0" fillId="51" borderId="156" xfId="0" applyFill="1" applyBorder="1" applyAlignment="1" applyProtection="1">
      <alignment horizontal="left" vertical="center"/>
      <protection locked="0"/>
    </xf>
    <xf numFmtId="0" fontId="0" fillId="51" borderId="116" xfId="0" applyFill="1" applyBorder="1">
      <alignment horizontal="center" vertical="center"/>
    </xf>
    <xf numFmtId="0" fontId="0" fillId="0" borderId="137" xfId="0" applyBorder="1" applyAlignment="1">
      <alignment horizontal="left" vertical="center"/>
    </xf>
    <xf numFmtId="0" fontId="0" fillId="0" borderId="152" xfId="0" applyBorder="1" applyAlignment="1">
      <alignment horizontal="left" vertical="center"/>
    </xf>
    <xf numFmtId="0" fontId="7" fillId="55" borderId="136" xfId="45" applyBorder="1">
      <alignment horizontal="center" vertical="center"/>
    </xf>
    <xf numFmtId="0" fontId="7" fillId="52" borderId="136" xfId="48" applyBorder="1">
      <alignment horizontal="center" vertical="center"/>
    </xf>
    <xf numFmtId="0" fontId="0" fillId="51" borderId="138" xfId="44" applyFont="1" applyFill="1" applyBorder="1">
      <alignment horizontal="center" vertical="center"/>
    </xf>
    <xf numFmtId="0" fontId="63" fillId="0" borderId="137" xfId="0" applyFont="1" applyBorder="1">
      <alignment horizontal="center" vertical="center"/>
    </xf>
    <xf numFmtId="0" fontId="0" fillId="51" borderId="152" xfId="0" applyFill="1" applyBorder="1" applyAlignment="1">
      <alignment horizontal="left" vertical="center"/>
    </xf>
    <xf numFmtId="0" fontId="7" fillId="89" borderId="136" xfId="56" applyBorder="1">
      <alignment horizontal="center" vertical="center"/>
    </xf>
    <xf numFmtId="0" fontId="7" fillId="0" borderId="136" xfId="56" applyFill="1" applyBorder="1">
      <alignment horizontal="center" vertical="center"/>
    </xf>
    <xf numFmtId="0" fontId="51" fillId="56" borderId="136" xfId="46" applyBorder="1">
      <alignment horizontal="center" vertical="center"/>
    </xf>
    <xf numFmtId="0" fontId="0" fillId="51" borderId="138" xfId="48" applyFont="1" applyFill="1" applyBorder="1">
      <alignment horizontal="center" vertical="center"/>
    </xf>
    <xf numFmtId="0" fontId="0" fillId="0" borderId="136" xfId="53" applyFont="1" applyBorder="1">
      <alignment horizontal="center" vertical="center"/>
    </xf>
    <xf numFmtId="0" fontId="0" fillId="51" borderId="157" xfId="0" applyFill="1" applyBorder="1" applyAlignment="1">
      <alignment horizontal="left" vertical="center"/>
    </xf>
    <xf numFmtId="0" fontId="63" fillId="53" borderId="136" xfId="48" applyFont="1" applyFill="1" applyBorder="1">
      <alignment horizontal="center" vertical="center"/>
    </xf>
    <xf numFmtId="0" fontId="0" fillId="51" borderId="119" xfId="0" applyFill="1" applyBorder="1" applyAlignment="1">
      <alignment horizontal="left" vertical="center"/>
    </xf>
    <xf numFmtId="0" fontId="7" fillId="77" borderId="136" xfId="56" applyFill="1" applyBorder="1">
      <alignment horizontal="center" vertical="center"/>
    </xf>
    <xf numFmtId="0" fontId="0" fillId="51" borderId="137" xfId="0" applyFill="1" applyBorder="1" applyAlignment="1">
      <alignment horizontal="left" vertical="center"/>
    </xf>
    <xf numFmtId="0" fontId="0" fillId="57" borderId="136" xfId="48" applyFont="1" applyFill="1" applyBorder="1">
      <alignment horizontal="center" vertical="center"/>
    </xf>
    <xf numFmtId="49" fontId="0" fillId="55" borderId="136" xfId="0" applyNumberFormat="1" applyFill="1" applyBorder="1">
      <alignment horizontal="center" vertical="center"/>
    </xf>
    <xf numFmtId="0" fontId="7" fillId="52" borderId="138" xfId="48" applyBorder="1">
      <alignment horizontal="center" vertical="center"/>
    </xf>
    <xf numFmtId="0" fontId="18" fillId="0" borderId="137" xfId="0" applyFont="1" applyBorder="1" applyAlignment="1" applyProtection="1">
      <alignment horizontal="center"/>
      <protection locked="0"/>
    </xf>
    <xf numFmtId="0" fontId="0" fillId="0" borderId="152" xfId="0" applyBorder="1" applyAlignment="1">
      <alignment vertical="center"/>
    </xf>
    <xf numFmtId="0" fontId="7" fillId="0" borderId="138" xfId="53" applyBorder="1">
      <alignment horizontal="center" vertical="center"/>
    </xf>
    <xf numFmtId="0" fontId="0" fillId="51" borderId="136" xfId="20" applyNumberFormat="1" applyFont="1" applyFill="1" applyBorder="1" applyAlignment="1">
      <alignment horizontal="center" vertical="center"/>
    </xf>
    <xf numFmtId="0" fontId="0" fillId="51" borderId="152" xfId="0" applyFill="1" applyBorder="1" applyAlignment="1">
      <alignment horizontal="left" vertical="center" wrapText="1"/>
    </xf>
    <xf numFmtId="0" fontId="0" fillId="55" borderId="136" xfId="48" applyFont="1" applyFill="1" applyBorder="1">
      <alignment horizontal="center" vertical="center"/>
    </xf>
    <xf numFmtId="49" fontId="0" fillId="76" borderId="136" xfId="0" applyNumberFormat="1" applyFill="1" applyBorder="1">
      <alignment horizontal="center" vertical="center"/>
    </xf>
    <xf numFmtId="0" fontId="0" fillId="53" borderId="136" xfId="0" applyFill="1" applyBorder="1">
      <alignment horizontal="center" vertical="center"/>
    </xf>
    <xf numFmtId="0" fontId="7" fillId="55" borderId="136" xfId="53" applyFill="1" applyBorder="1">
      <alignment horizontal="center" vertical="center"/>
    </xf>
    <xf numFmtId="0" fontId="18" fillId="0" borderId="157" xfId="0" applyFont="1" applyBorder="1" applyAlignment="1" applyProtection="1">
      <alignment horizontal="center"/>
      <protection locked="0"/>
    </xf>
    <xf numFmtId="0" fontId="0" fillId="0" borderId="158" xfId="0" applyBorder="1">
      <alignment horizontal="center" vertical="center"/>
    </xf>
    <xf numFmtId="0" fontId="0" fillId="51" borderId="138" xfId="53" applyFont="1" applyFill="1" applyBorder="1">
      <alignment horizontal="center" vertical="center"/>
    </xf>
    <xf numFmtId="0" fontId="7" fillId="0" borderId="123" xfId="53" applyBorder="1">
      <alignment horizontal="center" vertical="center"/>
    </xf>
    <xf numFmtId="0" fontId="7" fillId="0" borderId="159" xfId="53" applyBorder="1">
      <alignment horizontal="center" vertical="center"/>
    </xf>
    <xf numFmtId="0" fontId="0" fillId="0" borderId="158" xfId="0" applyBorder="1" applyAlignment="1">
      <alignment horizontal="left" vertical="center"/>
    </xf>
    <xf numFmtId="49" fontId="0" fillId="51" borderId="160" xfId="0" applyNumberFormat="1" applyFill="1" applyBorder="1">
      <alignment horizontal="center" vertical="center"/>
    </xf>
    <xf numFmtId="0" fontId="0" fillId="51" borderId="160" xfId="44" applyFont="1" applyFill="1" applyBorder="1">
      <alignment horizontal="center" vertical="center"/>
    </xf>
    <xf numFmtId="0" fontId="0" fillId="51" borderId="160" xfId="0" applyFill="1" applyBorder="1">
      <alignment horizontal="center" vertical="center"/>
    </xf>
    <xf numFmtId="1" fontId="0" fillId="51" borderId="160" xfId="32" applyNumberFormat="1" applyFont="1" applyFill="1" applyBorder="1" applyAlignment="1">
      <alignment horizontal="center" vertical="center"/>
    </xf>
    <xf numFmtId="49" fontId="0" fillId="51" borderId="161" xfId="0" applyNumberFormat="1" applyFill="1" applyBorder="1">
      <alignment horizontal="center" vertical="center"/>
    </xf>
    <xf numFmtId="0" fontId="0" fillId="70" borderId="126" xfId="0" applyFill="1" applyBorder="1">
      <alignment horizontal="center" vertical="center"/>
    </xf>
    <xf numFmtId="0" fontId="18" fillId="0" borderId="119" xfId="0" applyFont="1" applyBorder="1" applyAlignment="1" applyProtection="1">
      <alignment horizontal="center"/>
      <protection locked="0"/>
    </xf>
    <xf numFmtId="49" fontId="0" fillId="51" borderId="109" xfId="0" applyNumberFormat="1" applyFill="1" applyBorder="1">
      <alignment horizontal="center" vertical="center"/>
    </xf>
    <xf numFmtId="0" fontId="0" fillId="51" borderId="109" xfId="48" applyFont="1" applyFill="1" applyBorder="1">
      <alignment horizontal="center" vertical="center"/>
    </xf>
    <xf numFmtId="0" fontId="0" fillId="51" borderId="109" xfId="0" applyFill="1" applyBorder="1">
      <alignment horizontal="center" vertical="center"/>
    </xf>
    <xf numFmtId="0" fontId="0" fillId="57" borderId="109" xfId="48" applyFont="1" applyFill="1" applyBorder="1">
      <alignment horizontal="center" vertical="center"/>
    </xf>
    <xf numFmtId="0" fontId="0" fillId="53" borderId="109" xfId="0" applyFill="1" applyBorder="1">
      <alignment horizontal="center" vertical="center"/>
    </xf>
    <xf numFmtId="0" fontId="0" fillId="0" borderId="109" xfId="20" applyNumberFormat="1" applyFont="1" applyFill="1" applyBorder="1" applyAlignment="1">
      <alignment horizontal="center" vertical="center"/>
    </xf>
    <xf numFmtId="0" fontId="7" fillId="0" borderId="109" xfId="43" applyFill="1" applyBorder="1">
      <alignment horizontal="center" vertical="center"/>
    </xf>
    <xf numFmtId="1" fontId="0" fillId="51" borderId="109" xfId="32" applyNumberFormat="1" applyFont="1" applyFill="1" applyBorder="1" applyAlignment="1">
      <alignment horizontal="center" vertical="center"/>
    </xf>
    <xf numFmtId="1" fontId="0" fillId="51" borderId="162" xfId="32" applyNumberFormat="1" applyFont="1" applyFill="1" applyBorder="1" applyAlignment="1">
      <alignment horizontal="center" vertical="center"/>
    </xf>
    <xf numFmtId="0" fontId="0" fillId="51" borderId="137" xfId="48" applyFont="1" applyFill="1" applyBorder="1">
      <alignment horizontal="center" vertical="center"/>
    </xf>
    <xf numFmtId="0" fontId="0" fillId="51" borderId="137" xfId="44" applyFont="1" applyFill="1" applyBorder="1">
      <alignment horizontal="center" vertical="center"/>
    </xf>
    <xf numFmtId="49" fontId="0" fillId="51" borderId="163" xfId="0" applyNumberFormat="1" applyFill="1" applyBorder="1">
      <alignment horizontal="center" vertical="center"/>
    </xf>
    <xf numFmtId="0" fontId="7" fillId="89" borderId="137" xfId="56" applyBorder="1">
      <alignment horizontal="center" vertical="center"/>
    </xf>
    <xf numFmtId="0" fontId="7" fillId="88" borderId="137" xfId="47" applyBorder="1">
      <alignment horizontal="center" vertical="center"/>
    </xf>
    <xf numFmtId="0" fontId="7" fillId="53" borderId="137" xfId="47" applyFill="1" applyBorder="1">
      <alignment horizontal="center" vertical="center"/>
    </xf>
    <xf numFmtId="0" fontId="7" fillId="53" borderId="137" xfId="43" applyBorder="1">
      <alignment horizontal="center" vertical="center"/>
    </xf>
    <xf numFmtId="0" fontId="0" fillId="53" borderId="137" xfId="48" applyFont="1" applyFill="1" applyBorder="1">
      <alignment horizontal="center" vertical="center"/>
    </xf>
    <xf numFmtId="0" fontId="0" fillId="0" borderId="137" xfId="53" applyFont="1" applyBorder="1">
      <alignment horizontal="center" vertical="center"/>
    </xf>
    <xf numFmtId="0" fontId="61" fillId="60" borderId="137" xfId="51" applyBorder="1">
      <alignment horizontal="center" vertical="center"/>
    </xf>
    <xf numFmtId="0" fontId="61" fillId="60" borderId="163" xfId="51" applyBorder="1">
      <alignment horizontal="center" vertical="center"/>
    </xf>
    <xf numFmtId="0" fontId="0" fillId="53" borderId="137" xfId="0" applyFill="1" applyBorder="1">
      <alignment horizontal="center" vertical="center"/>
    </xf>
    <xf numFmtId="0" fontId="0" fillId="57" borderId="137" xfId="0" applyFill="1" applyBorder="1">
      <alignment horizontal="center" vertical="center"/>
    </xf>
    <xf numFmtId="0" fontId="0" fillId="51" borderId="137" xfId="20" applyNumberFormat="1" applyFont="1" applyFill="1" applyBorder="1" applyAlignment="1">
      <alignment horizontal="center" vertical="center"/>
    </xf>
    <xf numFmtId="1" fontId="0" fillId="51" borderId="137" xfId="32" applyNumberFormat="1" applyFont="1" applyFill="1" applyBorder="1" applyAlignment="1">
      <alignment horizontal="center" vertical="center"/>
    </xf>
    <xf numFmtId="0" fontId="0" fillId="51" borderId="163" xfId="53" applyFont="1" applyFill="1" applyBorder="1">
      <alignment horizontal="center" vertical="center"/>
    </xf>
    <xf numFmtId="0" fontId="0" fillId="57" borderId="137" xfId="48" applyFont="1" applyFill="1" applyBorder="1">
      <alignment horizontal="center" vertical="center"/>
    </xf>
    <xf numFmtId="0" fontId="0" fillId="57" borderId="137" xfId="43" applyFont="1" applyFill="1" applyBorder="1">
      <alignment horizontal="center" vertical="center"/>
    </xf>
    <xf numFmtId="0" fontId="0" fillId="57" borderId="163" xfId="0" applyFill="1" applyBorder="1">
      <alignment horizontal="center" vertical="center"/>
    </xf>
    <xf numFmtId="0" fontId="0" fillId="51" borderId="137" xfId="43" applyFont="1" applyFill="1" applyBorder="1">
      <alignment horizontal="center" vertical="center"/>
    </xf>
    <xf numFmtId="0" fontId="0" fillId="51" borderId="163" xfId="0" applyFill="1" applyBorder="1">
      <alignment horizontal="center" vertical="center"/>
    </xf>
    <xf numFmtId="1" fontId="0" fillId="51" borderId="142" xfId="32" applyNumberFormat="1" applyFont="1" applyFill="1" applyBorder="1" applyAlignment="1">
      <alignment horizontal="center" vertical="center"/>
    </xf>
    <xf numFmtId="0" fontId="0" fillId="51" borderId="164" xfId="0" applyFill="1" applyBorder="1">
      <alignment horizontal="center" vertical="center"/>
    </xf>
    <xf numFmtId="0" fontId="20" fillId="0" borderId="165" xfId="0" applyFont="1" applyBorder="1" applyAlignment="1">
      <alignment vertical="center"/>
    </xf>
    <xf numFmtId="0" fontId="0" fillId="0" borderId="166" xfId="0" applyBorder="1">
      <alignment horizontal="center" vertical="center"/>
    </xf>
    <xf numFmtId="173" fontId="0" fillId="0" borderId="166" xfId="0" applyNumberFormat="1" applyBorder="1">
      <alignment horizontal="center" vertical="center"/>
    </xf>
    <xf numFmtId="0" fontId="4" fillId="0" borderId="111" xfId="0" applyFont="1" applyBorder="1" applyAlignment="1" applyProtection="1">
      <alignment horizontal="center"/>
      <protection locked="0"/>
    </xf>
    <xf numFmtId="0" fontId="0" fillId="0" borderId="167" xfId="0" applyBorder="1" applyAlignment="1">
      <alignment horizontal="left" vertical="center"/>
    </xf>
    <xf numFmtId="0" fontId="0" fillId="51" borderId="109" xfId="51" applyFont="1" applyFill="1" applyBorder="1">
      <alignment horizontal="center" vertical="center"/>
    </xf>
    <xf numFmtId="0" fontId="7" fillId="0" borderId="109" xfId="53" applyBorder="1">
      <alignment horizontal="center" vertical="center"/>
    </xf>
    <xf numFmtId="0" fontId="0" fillId="51" borderId="109" xfId="20" applyNumberFormat="1" applyFont="1" applyFill="1" applyBorder="1" applyAlignment="1">
      <alignment horizontal="center" vertical="center"/>
    </xf>
    <xf numFmtId="0" fontId="7" fillId="51" borderId="109" xfId="48" applyFill="1" applyBorder="1">
      <alignment horizontal="center" vertical="center"/>
    </xf>
    <xf numFmtId="0" fontId="4" fillId="0" borderId="136" xfId="0" applyFont="1" applyBorder="1" applyAlignment="1" applyProtection="1">
      <alignment horizontal="center"/>
      <protection locked="0"/>
    </xf>
    <xf numFmtId="0" fontId="0" fillId="0" borderId="114" xfId="0" applyBorder="1" applyAlignment="1">
      <alignment horizontal="left" vertical="center"/>
    </xf>
    <xf numFmtId="0" fontId="7" fillId="0" borderId="137" xfId="53" applyBorder="1">
      <alignment horizontal="center" vertical="center"/>
    </xf>
    <xf numFmtId="0" fontId="7" fillId="51" borderId="137" xfId="48" applyFill="1" applyBorder="1">
      <alignment horizontal="center" vertical="center"/>
    </xf>
    <xf numFmtId="0" fontId="0" fillId="57" borderId="163" xfId="48" applyFont="1" applyFill="1" applyBorder="1">
      <alignment horizontal="center" vertical="center"/>
    </xf>
    <xf numFmtId="0" fontId="0" fillId="0" borderId="90" xfId="0" applyBorder="1" applyAlignment="1">
      <alignment horizontal="left" vertical="center"/>
    </xf>
    <xf numFmtId="0" fontId="0" fillId="0" borderId="148" xfId="0" applyBorder="1">
      <alignment horizontal="center" vertical="center"/>
    </xf>
    <xf numFmtId="49" fontId="0" fillId="51" borderId="85" xfId="0" applyNumberFormat="1" applyFill="1" applyBorder="1">
      <alignment horizontal="center" vertical="center"/>
    </xf>
    <xf numFmtId="0" fontId="0" fillId="51" borderId="85" xfId="20" applyNumberFormat="1" applyFont="1" applyFill="1" applyBorder="1" applyAlignment="1">
      <alignment horizontal="center" vertical="center"/>
    </xf>
    <xf numFmtId="0" fontId="0" fillId="51" borderId="86" xfId="53" applyFont="1" applyFill="1" applyBorder="1">
      <alignment horizontal="center" vertical="center"/>
    </xf>
    <xf numFmtId="0" fontId="4" fillId="0" borderId="123" xfId="0" applyFont="1" applyBorder="1" applyAlignment="1" applyProtection="1">
      <alignment horizontal="center"/>
      <protection locked="0"/>
    </xf>
    <xf numFmtId="0" fontId="0" fillId="0" borderId="92" xfId="0" applyBorder="1" applyAlignment="1">
      <alignment horizontal="left" vertical="center"/>
    </xf>
    <xf numFmtId="1" fontId="0" fillId="51" borderId="111" xfId="32" applyNumberFormat="1" applyFont="1" applyFill="1" applyBorder="1" applyAlignment="1">
      <alignment horizontal="center" vertical="center"/>
    </xf>
    <xf numFmtId="0" fontId="0" fillId="51" borderId="136" xfId="47" applyFont="1" applyFill="1" applyBorder="1">
      <alignment horizontal="center" vertical="center"/>
    </xf>
    <xf numFmtId="0" fontId="0" fillId="51" borderId="138" xfId="47" applyFont="1" applyFill="1" applyBorder="1">
      <alignment horizontal="center" vertical="center"/>
    </xf>
    <xf numFmtId="0" fontId="0" fillId="51" borderId="141" xfId="47" applyFont="1" applyFill="1" applyBorder="1">
      <alignment horizontal="center" vertical="center"/>
    </xf>
    <xf numFmtId="0" fontId="58" fillId="0" borderId="157" xfId="0" applyFont="1" applyBorder="1" applyAlignment="1"/>
    <xf numFmtId="0" fontId="59" fillId="0" borderId="157" xfId="0" applyFont="1" applyBorder="1" applyAlignment="1">
      <alignment horizontal="left" vertical="center"/>
    </xf>
    <xf numFmtId="49" fontId="0" fillId="55" borderId="137" xfId="0" applyNumberFormat="1" applyFill="1" applyBorder="1">
      <alignment horizontal="center" vertical="center"/>
    </xf>
    <xf numFmtId="0" fontId="0" fillId="51" borderId="109" xfId="44" applyFont="1" applyFill="1" applyBorder="1">
      <alignment horizontal="center" vertical="center"/>
    </xf>
    <xf numFmtId="0" fontId="0" fillId="73" borderId="137" xfId="0" applyFill="1" applyBorder="1" applyAlignment="1"/>
    <xf numFmtId="0" fontId="0" fillId="0" borderId="157" xfId="0" applyBorder="1" applyAlignment="1"/>
    <xf numFmtId="49" fontId="0" fillId="51" borderId="142" xfId="0" applyNumberFormat="1" applyFill="1" applyBorder="1">
      <alignment horizontal="center" vertical="center"/>
    </xf>
    <xf numFmtId="0" fontId="0" fillId="51" borderId="142" xfId="44" applyFont="1" applyFill="1" applyBorder="1">
      <alignment horizontal="center" vertical="center"/>
    </xf>
    <xf numFmtId="49" fontId="0" fillId="51" borderId="157" xfId="0" applyNumberFormat="1" applyFill="1" applyBorder="1">
      <alignment horizontal="center" vertical="center"/>
    </xf>
    <xf numFmtId="0" fontId="0" fillId="51" borderId="157" xfId="0" applyFill="1" applyBorder="1">
      <alignment horizontal="center" vertical="center"/>
    </xf>
    <xf numFmtId="0" fontId="0" fillId="0" borderId="165" xfId="0" applyBorder="1" applyAlignment="1"/>
    <xf numFmtId="0" fontId="0" fillId="51" borderId="119" xfId="0" applyFill="1" applyBorder="1">
      <alignment horizontal="center" vertical="center"/>
    </xf>
    <xf numFmtId="0" fontId="7" fillId="52" borderId="119" xfId="48" applyBorder="1">
      <alignment horizontal="center" vertical="center"/>
    </xf>
    <xf numFmtId="0" fontId="0" fillId="71" borderId="157" xfId="0" applyFill="1" applyBorder="1" applyAlignment="1"/>
    <xf numFmtId="0" fontId="0" fillId="73" borderId="109" xfId="0" applyFill="1" applyBorder="1" applyAlignment="1"/>
    <xf numFmtId="0" fontId="0" fillId="55" borderId="142" xfId="0" applyFill="1" applyBorder="1">
      <alignment horizontal="center" vertical="center"/>
    </xf>
    <xf numFmtId="0" fontId="0" fillId="0" borderId="137" xfId="0" applyBorder="1" applyAlignment="1"/>
    <xf numFmtId="0" fontId="0" fillId="71" borderId="142" xfId="0" applyFill="1" applyBorder="1" applyAlignment="1"/>
    <xf numFmtId="0" fontId="0" fillId="0" borderId="105" xfId="0" applyBorder="1" applyAlignment="1">
      <alignment horizontal="left" vertical="center"/>
    </xf>
    <xf numFmtId="0" fontId="0" fillId="0" borderId="107" xfId="0" applyBorder="1">
      <alignment horizontal="center" vertical="center"/>
    </xf>
    <xf numFmtId="0" fontId="0" fillId="0" borderId="127" xfId="0" applyBorder="1" applyAlignment="1">
      <alignment horizontal="left" vertical="center"/>
    </xf>
    <xf numFmtId="0" fontId="0" fillId="0" borderId="132" xfId="0" applyBorder="1" applyAlignment="1">
      <alignment horizontal="left" vertical="center"/>
    </xf>
    <xf numFmtId="0" fontId="0" fillId="0" borderId="156" xfId="0" applyBorder="1">
      <alignment horizontal="center" vertical="center"/>
    </xf>
    <xf numFmtId="0" fontId="0" fillId="0" borderId="168" xfId="0" applyBorder="1">
      <alignment horizontal="center" vertical="center"/>
    </xf>
    <xf numFmtId="0" fontId="0" fillId="0" borderId="169" xfId="0" applyBorder="1">
      <alignment horizontal="center" vertical="center"/>
    </xf>
    <xf numFmtId="0" fontId="0" fillId="0" borderId="170" xfId="0" applyBorder="1">
      <alignment horizontal="center" vertical="center"/>
    </xf>
    <xf numFmtId="0" fontId="0" fillId="0" borderId="171" xfId="0" applyBorder="1">
      <alignment horizontal="center" vertical="center"/>
    </xf>
    <xf numFmtId="0" fontId="0" fillId="0" borderId="145" xfId="0" applyBorder="1">
      <alignment horizontal="center" vertical="center"/>
    </xf>
    <xf numFmtId="0" fontId="0" fillId="0" borderId="124" xfId="0" applyBorder="1" applyAlignment="1">
      <alignment horizontal="left" vertical="center"/>
    </xf>
    <xf numFmtId="0" fontId="0" fillId="0" borderId="114" xfId="0" applyBorder="1">
      <alignment horizontal="center" vertical="center"/>
    </xf>
    <xf numFmtId="0" fontId="0" fillId="0" borderId="172" xfId="0" applyBorder="1">
      <alignment horizontal="center" vertical="center"/>
    </xf>
    <xf numFmtId="0" fontId="0" fillId="0" borderId="173" xfId="0" applyBorder="1" applyAlignment="1">
      <alignment horizontal="left" vertical="center"/>
    </xf>
    <xf numFmtId="0" fontId="0" fillId="0" borderId="146" xfId="0" applyBorder="1">
      <alignment horizontal="center" vertical="center"/>
    </xf>
    <xf numFmtId="0" fontId="0" fillId="0" borderId="148" xfId="0" applyBorder="1" applyAlignment="1">
      <alignment horizontal="left" vertical="center"/>
    </xf>
    <xf numFmtId="0" fontId="0" fillId="0" borderId="174" xfId="0" applyBorder="1">
      <alignment horizontal="center" vertical="center"/>
    </xf>
    <xf numFmtId="0" fontId="0" fillId="0" borderId="175" xfId="0" applyBorder="1">
      <alignment horizontal="center" vertical="center"/>
    </xf>
    <xf numFmtId="0" fontId="0" fillId="0" borderId="176" xfId="0" applyBorder="1">
      <alignment horizontal="center" vertical="center"/>
    </xf>
    <xf numFmtId="0" fontId="4" fillId="43" borderId="177" xfId="0" applyFont="1" applyFill="1" applyBorder="1" applyAlignment="1">
      <alignment horizontal="center"/>
    </xf>
    <xf numFmtId="0" fontId="0" fillId="0" borderId="177" xfId="0" applyBorder="1" applyAlignment="1">
      <alignment vertical="center"/>
    </xf>
    <xf numFmtId="0" fontId="0" fillId="51" borderId="177" xfId="0" applyFill="1" applyBorder="1">
      <alignment horizontal="center" vertical="center"/>
    </xf>
    <xf numFmtId="0" fontId="0" fillId="51" borderId="177" xfId="48" applyFont="1" applyFill="1" applyBorder="1">
      <alignment horizontal="center" vertical="center"/>
    </xf>
    <xf numFmtId="0" fontId="0" fillId="51" borderId="177" xfId="20" applyNumberFormat="1" applyFont="1" applyFill="1" applyBorder="1" applyAlignment="1">
      <alignment horizontal="center" vertical="center"/>
    </xf>
    <xf numFmtId="0" fontId="4" fillId="43" borderId="136" xfId="0" applyFont="1" applyFill="1" applyBorder="1" applyAlignment="1">
      <alignment horizontal="center"/>
    </xf>
    <xf numFmtId="0" fontId="0" fillId="0" borderId="136" xfId="0" applyBorder="1" applyAlignment="1">
      <alignment vertical="center"/>
    </xf>
    <xf numFmtId="0" fontId="4" fillId="43" borderId="141" xfId="0" applyFont="1" applyFill="1" applyBorder="1" applyAlignment="1">
      <alignment horizontal="center"/>
    </xf>
    <xf numFmtId="0" fontId="0" fillId="51" borderId="141" xfId="51" applyFont="1" applyFill="1" applyBorder="1">
      <alignment horizontal="center" vertical="center"/>
    </xf>
    <xf numFmtId="0" fontId="4" fillId="0" borderId="170" xfId="0" applyFont="1" applyBorder="1" applyAlignment="1">
      <alignment horizontal="center"/>
    </xf>
    <xf numFmtId="0" fontId="4" fillId="0" borderId="178" xfId="0" applyFont="1" applyBorder="1" applyAlignment="1">
      <alignment horizontal="left"/>
    </xf>
    <xf numFmtId="0" fontId="6" fillId="0" borderId="170" xfId="0" applyFont="1" applyBorder="1" applyAlignment="1">
      <alignment horizontal="center"/>
    </xf>
    <xf numFmtId="0" fontId="0" fillId="0" borderId="170" xfId="0" applyBorder="1" applyAlignment="1">
      <alignment horizontal="center"/>
    </xf>
    <xf numFmtId="0" fontId="4" fillId="0" borderId="178" xfId="0" applyFont="1" applyBorder="1" applyAlignment="1">
      <alignment horizontal="center"/>
    </xf>
    <xf numFmtId="0" fontId="6" fillId="0" borderId="179" xfId="0" applyFont="1" applyBorder="1" applyAlignment="1">
      <alignment horizontal="center"/>
    </xf>
    <xf numFmtId="0" fontId="6" fillId="0" borderId="178" xfId="0" applyFont="1" applyBorder="1" applyAlignment="1">
      <alignment horizontal="center"/>
    </xf>
    <xf numFmtId="0" fontId="0" fillId="0" borderId="178" xfId="0" applyBorder="1" applyAlignment="1">
      <alignment horizontal="center"/>
    </xf>
    <xf numFmtId="0" fontId="7" fillId="0" borderId="179" xfId="0" applyFont="1" applyBorder="1" applyAlignment="1">
      <alignment horizontal="left" vertical="center"/>
    </xf>
    <xf numFmtId="0" fontId="6" fillId="0" borderId="179" xfId="0" applyFont="1" applyBorder="1">
      <alignment horizontal="center" vertical="center"/>
    </xf>
    <xf numFmtId="0" fontId="6" fillId="0" borderId="178" xfId="0" applyFont="1" applyBorder="1">
      <alignment horizontal="center" vertical="center"/>
    </xf>
    <xf numFmtId="0" fontId="6" fillId="0" borderId="132" xfId="0" applyFont="1" applyBorder="1">
      <alignment horizontal="center" vertical="center"/>
    </xf>
    <xf numFmtId="0" fontId="7" fillId="0" borderId="132" xfId="0" applyFont="1" applyBorder="1">
      <alignment horizontal="center" vertical="center"/>
    </xf>
    <xf numFmtId="0" fontId="7" fillId="0" borderId="130" xfId="0" applyFont="1" applyBorder="1">
      <alignment horizontal="center" vertical="center"/>
    </xf>
    <xf numFmtId="0" fontId="4" fillId="0" borderId="150" xfId="0" applyFont="1" applyBorder="1" applyAlignment="1">
      <alignment horizontal="center"/>
    </xf>
    <xf numFmtId="0" fontId="7" fillId="0" borderId="114" xfId="0" applyFont="1" applyBorder="1" applyAlignment="1">
      <alignment horizontal="left" vertical="center"/>
    </xf>
    <xf numFmtId="0" fontId="7" fillId="0" borderId="172" xfId="0" applyFont="1" applyBorder="1" applyAlignment="1">
      <alignment horizontal="left" vertical="center"/>
    </xf>
    <xf numFmtId="0" fontId="7" fillId="0" borderId="177" xfId="0" applyFont="1" applyBorder="1">
      <alignment horizontal="center" vertical="center"/>
    </xf>
    <xf numFmtId="0" fontId="7" fillId="0" borderId="177" xfId="0" applyFont="1" applyBorder="1" applyAlignment="1">
      <alignment horizontal="left" vertical="center"/>
    </xf>
    <xf numFmtId="0" fontId="0" fillId="55" borderId="177" xfId="45" applyFont="1" applyBorder="1">
      <alignment horizontal="center" vertical="center"/>
    </xf>
    <xf numFmtId="0" fontId="0" fillId="55" borderId="177" xfId="0" applyFill="1" applyBorder="1">
      <alignment horizontal="center" vertical="center"/>
    </xf>
    <xf numFmtId="0" fontId="0" fillId="54" borderId="177" xfId="0" applyFill="1" applyBorder="1">
      <alignment horizontal="center" vertical="center"/>
    </xf>
    <xf numFmtId="0" fontId="0" fillId="53" borderId="177" xfId="0" applyFill="1" applyBorder="1">
      <alignment horizontal="center" vertical="center"/>
    </xf>
    <xf numFmtId="0" fontId="0" fillId="0" borderId="170" xfId="0" applyBorder="1" applyAlignment="1"/>
    <xf numFmtId="0" fontId="4" fillId="0" borderId="179" xfId="0" applyFont="1" applyBorder="1" applyAlignment="1">
      <alignment horizontal="left"/>
    </xf>
    <xf numFmtId="0" fontId="0" fillId="0" borderId="179" xfId="0" applyBorder="1" applyAlignment="1"/>
    <xf numFmtId="0" fontId="0" fillId="0" borderId="178" xfId="0" applyBorder="1" applyAlignment="1"/>
    <xf numFmtId="0" fontId="4" fillId="0" borderId="170" xfId="0" applyFont="1" applyBorder="1" applyAlignment="1">
      <alignment horizontal="left"/>
    </xf>
    <xf numFmtId="0" fontId="0" fillId="0" borderId="171" xfId="0" applyBorder="1" applyAlignment="1"/>
    <xf numFmtId="0" fontId="0" fillId="0" borderId="145" xfId="0" applyBorder="1" applyAlignment="1">
      <alignment horizontal="center"/>
    </xf>
    <xf numFmtId="0" fontId="4" fillId="0" borderId="114" xfId="0" applyFont="1" applyBorder="1" applyAlignment="1">
      <alignment horizontal="left"/>
    </xf>
    <xf numFmtId="0" fontId="0" fillId="0" borderId="108" xfId="0" applyBorder="1" applyAlignment="1">
      <alignment horizontal="left"/>
    </xf>
    <xf numFmtId="0" fontId="4" fillId="0" borderId="108" xfId="0" applyFont="1" applyBorder="1" applyAlignment="1">
      <alignment horizontal="left"/>
    </xf>
    <xf numFmtId="0" fontId="0" fillId="0" borderId="114" xfId="0" applyBorder="1" applyAlignment="1">
      <alignment horizontal="center"/>
    </xf>
    <xf numFmtId="0" fontId="0" fillId="0" borderId="172" xfId="0" applyBorder="1" applyAlignment="1"/>
    <xf numFmtId="0" fontId="0" fillId="0" borderId="146" xfId="0" applyBorder="1" applyAlignment="1">
      <alignment horizontal="center"/>
    </xf>
    <xf numFmtId="0" fontId="4" fillId="0" borderId="148" xfId="0" applyFont="1" applyBorder="1" applyAlignment="1">
      <alignment horizontal="left"/>
    </xf>
    <xf numFmtId="0" fontId="7" fillId="0" borderId="147" xfId="0" applyFont="1" applyBorder="1" applyAlignment="1">
      <alignment horizontal="left" vertical="center"/>
    </xf>
    <xf numFmtId="0" fontId="7" fillId="0" borderId="147" xfId="0" applyFont="1" applyBorder="1">
      <alignment horizontal="center" vertical="center"/>
    </xf>
    <xf numFmtId="0" fontId="7" fillId="0" borderId="149" xfId="0" applyFont="1" applyBorder="1">
      <alignment horizontal="center" vertical="center"/>
    </xf>
    <xf numFmtId="0" fontId="7" fillId="0" borderId="148" xfId="0" applyFont="1" applyBorder="1" applyAlignment="1">
      <alignment horizontal="left" vertical="center"/>
    </xf>
    <xf numFmtId="0" fontId="7" fillId="0" borderId="147" xfId="0" applyFont="1" applyBorder="1" applyAlignment="1">
      <alignment horizontal="left"/>
    </xf>
    <xf numFmtId="0" fontId="7" fillId="0" borderId="149" xfId="0" applyFont="1" applyBorder="1" applyAlignment="1">
      <alignment horizontal="left" vertical="center"/>
    </xf>
    <xf numFmtId="0" fontId="0" fillId="0" borderId="147" xfId="0" applyBorder="1" applyAlignment="1">
      <alignment horizontal="left"/>
    </xf>
    <xf numFmtId="0" fontId="0" fillId="0" borderId="176" xfId="0" applyBorder="1" applyAlignment="1"/>
    <xf numFmtId="0" fontId="0" fillId="51" borderId="177" xfId="0" applyFill="1" applyBorder="1" applyAlignment="1">
      <alignment horizontal="left" vertical="center"/>
    </xf>
    <xf numFmtId="49" fontId="0" fillId="51" borderId="177" xfId="0" applyNumberFormat="1" applyFill="1" applyBorder="1">
      <alignment horizontal="center" vertical="center"/>
    </xf>
    <xf numFmtId="0" fontId="7" fillId="54" borderId="177" xfId="50" applyBorder="1">
      <alignment horizontal="center" vertical="center"/>
    </xf>
    <xf numFmtId="49" fontId="0" fillId="58" borderId="177" xfId="0" applyNumberFormat="1" applyFill="1" applyBorder="1">
      <alignment horizontal="center" vertical="center"/>
    </xf>
    <xf numFmtId="0" fontId="7" fillId="52" borderId="177" xfId="48" applyBorder="1">
      <alignment horizontal="center" vertical="center"/>
    </xf>
    <xf numFmtId="0" fontId="0" fillId="51" borderId="136" xfId="0" applyFill="1" applyBorder="1" applyAlignment="1">
      <alignment horizontal="left" vertical="center"/>
    </xf>
    <xf numFmtId="0" fontId="0" fillId="55" borderId="141" xfId="48" applyFont="1" applyFill="1" applyBorder="1">
      <alignment horizontal="center" vertical="center"/>
    </xf>
    <xf numFmtId="0" fontId="0" fillId="51" borderId="136" xfId="51" applyFont="1" applyFill="1" applyBorder="1">
      <alignment horizontal="center" vertical="center"/>
    </xf>
    <xf numFmtId="0" fontId="0" fillId="53" borderId="136" xfId="48" applyFont="1" applyFill="1" applyBorder="1">
      <alignment horizontal="center" vertical="center"/>
    </xf>
    <xf numFmtId="0" fontId="0" fillId="53" borderId="136" xfId="47" applyFont="1" applyFill="1" applyBorder="1">
      <alignment horizontal="center" vertical="center"/>
    </xf>
    <xf numFmtId="0" fontId="0" fillId="0" borderId="124" xfId="0" applyBorder="1" applyAlignment="1"/>
    <xf numFmtId="0" fontId="0" fillId="0" borderId="180" xfId="0" applyBorder="1" applyAlignment="1"/>
    <xf numFmtId="0" fontId="0" fillId="0" borderId="148" xfId="0" applyBorder="1" applyAlignment="1">
      <alignment horizontal="left"/>
    </xf>
    <xf numFmtId="0" fontId="0" fillId="0" borderId="147" xfId="0" applyBorder="1" applyAlignment="1"/>
    <xf numFmtId="0" fontId="0" fillId="0" borderId="149" xfId="0" applyBorder="1" applyAlignment="1">
      <alignment horizontal="left"/>
    </xf>
    <xf numFmtId="0" fontId="0" fillId="0" borderId="148" xfId="0" applyBorder="1" applyAlignment="1">
      <alignment horizontal="center"/>
    </xf>
    <xf numFmtId="0" fontId="4" fillId="43" borderId="109" xfId="0" applyFont="1" applyFill="1" applyBorder="1" applyAlignment="1">
      <alignment horizontal="center"/>
    </xf>
    <xf numFmtId="0" fontId="0" fillId="0" borderId="109" xfId="0" applyBorder="1" applyAlignment="1">
      <alignment vertical="center"/>
    </xf>
    <xf numFmtId="0" fontId="4" fillId="43" borderId="137" xfId="0" applyFont="1" applyFill="1" applyBorder="1" applyAlignment="1">
      <alignment horizontal="center"/>
    </xf>
    <xf numFmtId="0" fontId="0" fillId="51" borderId="137" xfId="46" applyFont="1" applyFill="1" applyBorder="1">
      <alignment horizontal="center" vertical="center"/>
    </xf>
    <xf numFmtId="0" fontId="59" fillId="0" borderId="119" xfId="0" applyFont="1" applyBorder="1" applyAlignment="1">
      <alignment horizontal="left" vertical="center"/>
    </xf>
    <xf numFmtId="0" fontId="61" fillId="60" borderId="109" xfId="51" applyBorder="1">
      <alignment horizontal="center" vertical="center"/>
    </xf>
    <xf numFmtId="0" fontId="0" fillId="55" borderId="163" xfId="0" applyFill="1" applyBorder="1">
      <alignment horizontal="center" vertical="center"/>
    </xf>
    <xf numFmtId="0" fontId="0" fillId="55" borderId="137" xfId="48" applyFont="1" applyFill="1" applyBorder="1">
      <alignment horizontal="center" vertical="center"/>
    </xf>
    <xf numFmtId="0" fontId="4" fillId="43" borderId="142" xfId="0" applyFont="1" applyFill="1" applyBorder="1" applyAlignment="1">
      <alignment horizontal="center"/>
    </xf>
    <xf numFmtId="0" fontId="0" fillId="51" borderId="142" xfId="48" applyFont="1" applyFill="1" applyBorder="1">
      <alignment horizontal="center" vertical="center"/>
    </xf>
    <xf numFmtId="0" fontId="0" fillId="52" borderId="137" xfId="48" applyFont="1" applyBorder="1">
      <alignment horizontal="center" vertical="center"/>
    </xf>
    <xf numFmtId="0" fontId="0" fillId="52" borderId="137" xfId="0" applyFill="1" applyBorder="1">
      <alignment horizontal="center" vertical="center"/>
    </xf>
    <xf numFmtId="0" fontId="0" fillId="52" borderId="137" xfId="46" applyFont="1" applyFill="1" applyBorder="1">
      <alignment horizontal="center" vertical="center"/>
    </xf>
    <xf numFmtId="0" fontId="0" fillId="52" borderId="137" xfId="44" applyFont="1" applyFill="1" applyBorder="1">
      <alignment horizontal="center" vertical="center"/>
    </xf>
    <xf numFmtId="0" fontId="7" fillId="52" borderId="137" xfId="48" applyBorder="1">
      <alignment horizontal="center" vertical="center"/>
    </xf>
    <xf numFmtId="0" fontId="0" fillId="52" borderId="163" xfId="0" applyFill="1" applyBorder="1">
      <alignment horizontal="center" vertical="center"/>
    </xf>
    <xf numFmtId="0" fontId="3" fillId="0" borderId="114" xfId="0" applyFont="1" applyBorder="1" applyAlignment="1">
      <alignment horizontal="left"/>
    </xf>
    <xf numFmtId="0" fontId="4" fillId="0" borderId="93" xfId="0" applyFont="1" applyBorder="1">
      <alignment horizontal="center" vertical="center"/>
    </xf>
    <xf numFmtId="167" fontId="9" fillId="0" borderId="148" xfId="0" applyNumberFormat="1" applyFont="1" applyBorder="1" applyAlignment="1">
      <alignment horizontal="center"/>
    </xf>
    <xf numFmtId="0" fontId="7" fillId="51" borderId="177" xfId="0" applyFont="1" applyFill="1" applyBorder="1" applyAlignment="1">
      <alignment vertical="center"/>
    </xf>
    <xf numFmtId="0" fontId="0" fillId="51" borderId="177" xfId="32" applyFont="1" applyFill="1" applyBorder="1" applyAlignment="1">
      <alignment horizontal="center" vertical="center"/>
    </xf>
    <xf numFmtId="0" fontId="0" fillId="51" borderId="181" xfId="0" applyFill="1" applyBorder="1">
      <alignment horizontal="center" vertical="center"/>
    </xf>
    <xf numFmtId="0" fontId="7" fillId="51" borderId="136" xfId="0" applyFont="1" applyFill="1" applyBorder="1" applyAlignment="1">
      <alignment vertical="center"/>
    </xf>
    <xf numFmtId="0" fontId="0" fillId="51" borderId="136" xfId="0" applyFill="1" applyBorder="1" applyAlignment="1">
      <alignment vertical="center"/>
    </xf>
    <xf numFmtId="0" fontId="0" fillId="51" borderId="138" xfId="43" applyFont="1" applyFill="1" applyBorder="1">
      <alignment horizontal="center" vertical="center"/>
    </xf>
    <xf numFmtId="0" fontId="0" fillId="55" borderId="136" xfId="45" applyFont="1" applyBorder="1">
      <alignment horizontal="center" vertical="center"/>
    </xf>
    <xf numFmtId="49" fontId="7" fillId="0" borderId="182" xfId="0" applyNumberFormat="1" applyFont="1" applyBorder="1">
      <alignment horizontal="center" vertical="center"/>
    </xf>
    <xf numFmtId="0" fontId="0" fillId="0" borderId="183" xfId="0" applyBorder="1">
      <alignment horizontal="center" vertical="center"/>
    </xf>
    <xf numFmtId="0" fontId="0" fillId="0" borderId="184" xfId="0" applyBorder="1">
      <alignment horizontal="center" vertical="center"/>
    </xf>
    <xf numFmtId="0" fontId="3" fillId="0" borderId="152" xfId="0" applyFont="1" applyBorder="1">
      <alignment horizontal="center" vertical="center"/>
    </xf>
    <xf numFmtId="0" fontId="3" fillId="0" borderId="154" xfId="0" applyFont="1" applyBorder="1" applyAlignment="1">
      <alignment horizontal="left" vertical="center"/>
    </xf>
    <xf numFmtId="0" fontId="3" fillId="0" borderId="152" xfId="0" applyFont="1" applyBorder="1" applyAlignment="1">
      <alignment horizontal="left" vertical="center"/>
    </xf>
    <xf numFmtId="0" fontId="3" fillId="0" borderId="154" xfId="0" applyFont="1" applyBorder="1">
      <alignment horizontal="center" vertical="center"/>
    </xf>
    <xf numFmtId="49" fontId="3" fillId="0" borderId="152" xfId="0" applyNumberFormat="1" applyFont="1" applyBorder="1">
      <alignment horizontal="center" vertical="center"/>
    </xf>
    <xf numFmtId="0" fontId="3" fillId="0" borderId="153" xfId="0" applyFont="1" applyBorder="1" applyAlignment="1">
      <alignment horizontal="left" vertical="center"/>
    </xf>
    <xf numFmtId="0" fontId="3" fillId="0" borderId="153" xfId="0" applyFont="1" applyBorder="1">
      <alignment horizontal="center" vertical="center"/>
    </xf>
    <xf numFmtId="49" fontId="7" fillId="0" borderId="152" xfId="0" applyNumberFormat="1" applyFont="1" applyBorder="1">
      <alignment horizontal="center" vertical="center"/>
    </xf>
    <xf numFmtId="0" fontId="7" fillId="0" borderId="153" xfId="0" applyFont="1" applyBorder="1">
      <alignment horizontal="center" vertical="center"/>
    </xf>
    <xf numFmtId="0" fontId="7" fillId="0" borderId="154" xfId="0" applyFont="1" applyBorder="1">
      <alignment horizontal="center" vertical="center"/>
    </xf>
    <xf numFmtId="0" fontId="9" fillId="0" borderId="153" xfId="0" applyFont="1" applyBorder="1">
      <alignment horizontal="center" vertical="center"/>
    </xf>
    <xf numFmtId="0" fontId="9" fillId="0" borderId="185" xfId="0" applyFont="1" applyBorder="1">
      <alignment horizontal="center" vertical="center"/>
    </xf>
    <xf numFmtId="0" fontId="14" fillId="0" borderId="154" xfId="0" applyFont="1" applyBorder="1">
      <alignment horizontal="center" vertical="center"/>
    </xf>
    <xf numFmtId="49" fontId="14" fillId="0" borderId="152" xfId="0" applyNumberFormat="1" applyFont="1" applyBorder="1">
      <alignment horizontal="center" vertical="center"/>
    </xf>
    <xf numFmtId="0" fontId="14" fillId="0" borderId="153" xfId="0" applyFont="1" applyBorder="1">
      <alignment horizontal="center" vertical="center"/>
    </xf>
    <xf numFmtId="49" fontId="7" fillId="0" borderId="158" xfId="0" applyNumberFormat="1" applyFont="1" applyBorder="1">
      <alignment horizontal="center" vertical="center"/>
    </xf>
    <xf numFmtId="0" fontId="7" fillId="0" borderId="166" xfId="0" applyFont="1" applyBorder="1">
      <alignment horizontal="center" vertical="center"/>
    </xf>
    <xf numFmtId="0" fontId="7" fillId="0" borderId="186" xfId="0" applyFont="1" applyBorder="1">
      <alignment horizontal="center" vertical="center"/>
    </xf>
    <xf numFmtId="0" fontId="9" fillId="0" borderId="166" xfId="0" applyFont="1" applyBorder="1">
      <alignment horizontal="center" vertical="center"/>
    </xf>
    <xf numFmtId="0" fontId="9" fillId="0" borderId="187" xfId="0" applyFont="1" applyBorder="1">
      <alignment horizontal="center" vertical="center"/>
    </xf>
    <xf numFmtId="0" fontId="7" fillId="0" borderId="152" xfId="0" applyFont="1" applyBorder="1">
      <alignment horizontal="center" vertical="center"/>
    </xf>
    <xf numFmtId="49" fontId="7" fillId="0" borderId="153" xfId="0" applyNumberFormat="1" applyFont="1" applyBorder="1">
      <alignment horizontal="center" vertical="center"/>
    </xf>
    <xf numFmtId="49" fontId="0" fillId="0" borderId="182" xfId="0" applyNumberFormat="1" applyBorder="1">
      <alignment horizontal="center" vertical="center"/>
    </xf>
    <xf numFmtId="49" fontId="0" fillId="0" borderId="152" xfId="0" applyNumberFormat="1" applyBorder="1">
      <alignment horizontal="center" vertical="center"/>
    </xf>
    <xf numFmtId="49" fontId="0" fillId="0" borderId="158" xfId="0" applyNumberFormat="1" applyBorder="1">
      <alignment horizontal="center" vertical="center"/>
    </xf>
    <xf numFmtId="0" fontId="0" fillId="0" borderId="186" xfId="0" applyBorder="1">
      <alignment horizontal="center" vertical="center"/>
    </xf>
    <xf numFmtId="49" fontId="0" fillId="0" borderId="153" xfId="0" applyNumberFormat="1" applyBorder="1">
      <alignment horizontal="center" vertical="center"/>
    </xf>
    <xf numFmtId="0" fontId="6" fillId="0" borderId="157" xfId="0" applyFont="1" applyBorder="1" applyAlignment="1">
      <alignment horizontal="center"/>
    </xf>
    <xf numFmtId="0" fontId="0" fillId="51" borderId="137" xfId="0" applyFill="1" applyBorder="1" applyAlignment="1">
      <alignment horizontal="left" vertical="center" wrapText="1"/>
    </xf>
    <xf numFmtId="0" fontId="0" fillId="0" borderId="137" xfId="0" applyBorder="1" applyAlignment="1">
      <alignment vertical="center"/>
    </xf>
    <xf numFmtId="0" fontId="0" fillId="0" borderId="137" xfId="48" applyFont="1" applyFill="1" applyBorder="1">
      <alignment horizontal="center" vertical="center"/>
    </xf>
    <xf numFmtId="0" fontId="4" fillId="0" borderId="137" xfId="0" applyFont="1" applyBorder="1" applyAlignment="1">
      <alignment horizontal="center"/>
    </xf>
    <xf numFmtId="0" fontId="4" fillId="0" borderId="188" xfId="0" applyFont="1" applyBorder="1" applyAlignment="1">
      <alignment horizontal="left" vertical="center"/>
    </xf>
    <xf numFmtId="0" fontId="0" fillId="0" borderId="189" xfId="0" applyBorder="1" applyAlignment="1">
      <alignment horizontal="left" vertical="center"/>
    </xf>
    <xf numFmtId="0" fontId="4" fillId="0" borderId="190" xfId="0" applyFont="1" applyBorder="1" applyAlignment="1">
      <alignment horizontal="left" vertical="center"/>
    </xf>
    <xf numFmtId="0" fontId="4" fillId="0" borderId="157" xfId="0" applyFont="1" applyBorder="1" applyAlignment="1">
      <alignment horizontal="center"/>
    </xf>
    <xf numFmtId="0" fontId="4" fillId="0" borderId="191" xfId="0" applyFont="1" applyBorder="1" applyAlignment="1">
      <alignment horizontal="left"/>
    </xf>
    <xf numFmtId="0" fontId="0" fillId="0" borderId="192" xfId="0" applyBorder="1" applyAlignment="1">
      <alignment horizontal="left" vertical="center"/>
    </xf>
    <xf numFmtId="49" fontId="0" fillId="0" borderId="193" xfId="0" applyNumberFormat="1" applyBorder="1" applyAlignment="1">
      <alignment horizontal="left"/>
    </xf>
    <xf numFmtId="0" fontId="0" fillId="0" borderId="194" xfId="0" applyBorder="1" applyAlignment="1">
      <alignment horizontal="left" vertical="center"/>
    </xf>
    <xf numFmtId="0" fontId="0" fillId="0" borderId="133" xfId="0" applyBorder="1" applyAlignment="1">
      <alignment horizontal="left"/>
    </xf>
    <xf numFmtId="0" fontId="0" fillId="0" borderId="120" xfId="0" applyBorder="1" applyAlignment="1">
      <alignment horizontal="left"/>
    </xf>
    <xf numFmtId="0" fontId="0" fillId="0" borderId="124" xfId="0" applyBorder="1" applyAlignment="1">
      <alignment horizontal="left"/>
    </xf>
    <xf numFmtId="0" fontId="0" fillId="0" borderId="180" xfId="0" applyBorder="1">
      <alignment horizontal="center" vertical="center"/>
    </xf>
    <xf numFmtId="49" fontId="0" fillId="0" borderId="124" xfId="0" applyNumberFormat="1" applyBorder="1" applyAlignment="1">
      <alignment horizontal="left" vertical="center"/>
    </xf>
    <xf numFmtId="49" fontId="0" fillId="0" borderId="194" xfId="0" applyNumberFormat="1" applyBorder="1" applyAlignment="1">
      <alignment horizontal="left" vertical="center"/>
    </xf>
    <xf numFmtId="49" fontId="0" fillId="0" borderId="193" xfId="0" applyNumberFormat="1" applyBorder="1" applyAlignment="1">
      <alignment horizontal="left" vertical="center"/>
    </xf>
    <xf numFmtId="0" fontId="4" fillId="0" borderId="124" xfId="0" applyFont="1" applyBorder="1" applyAlignment="1">
      <alignment horizontal="left"/>
    </xf>
    <xf numFmtId="0" fontId="0" fillId="0" borderId="133" xfId="0" applyBorder="1" applyAlignment="1">
      <alignment horizontal="left" vertical="center"/>
    </xf>
    <xf numFmtId="0" fontId="0" fillId="0" borderId="120" xfId="0" applyBorder="1" applyAlignment="1">
      <alignment horizontal="left" vertical="center"/>
    </xf>
    <xf numFmtId="0" fontId="4" fillId="0" borderId="120" xfId="0" applyFont="1" applyBorder="1" applyAlignment="1">
      <alignment horizontal="left"/>
    </xf>
    <xf numFmtId="0" fontId="3" fillId="0" borderId="137" xfId="0" applyFont="1" applyBorder="1" applyAlignment="1">
      <alignment horizontal="center"/>
    </xf>
    <xf numFmtId="0" fontId="0" fillId="0" borderId="195" xfId="0" applyBorder="1" applyAlignment="1">
      <alignment horizontal="left" vertical="center"/>
    </xf>
    <xf numFmtId="49" fontId="0" fillId="0" borderId="196" xfId="0" applyNumberFormat="1" applyBorder="1" applyAlignment="1">
      <alignment horizontal="left"/>
    </xf>
    <xf numFmtId="0" fontId="4" fillId="0" borderId="197" xfId="0" applyFont="1" applyBorder="1" applyAlignment="1" applyProtection="1">
      <alignment horizontal="center"/>
      <protection locked="0"/>
    </xf>
    <xf numFmtId="0" fontId="0" fillId="0" borderId="197" xfId="0" applyBorder="1" applyAlignment="1">
      <alignment horizontal="left"/>
    </xf>
    <xf numFmtId="0" fontId="4" fillId="0" borderId="137" xfId="0" applyFont="1" applyBorder="1" applyAlignment="1" applyProtection="1">
      <alignment horizontal="center"/>
      <protection locked="0"/>
    </xf>
    <xf numFmtId="0" fontId="4" fillId="0" borderId="137" xfId="0" applyFont="1" applyBorder="1" applyAlignment="1">
      <alignment horizontal="left"/>
    </xf>
    <xf numFmtId="0" fontId="0" fillId="51" borderId="198" xfId="0" applyFill="1" applyBorder="1">
      <alignment horizontal="center" vertical="center"/>
    </xf>
    <xf numFmtId="0" fontId="0" fillId="0" borderId="137" xfId="0" applyBorder="1" applyAlignment="1" applyProtection="1">
      <alignment horizontal="center"/>
      <protection locked="0"/>
    </xf>
    <xf numFmtId="0" fontId="0" fillId="0" borderId="137" xfId="0" applyBorder="1" applyAlignment="1">
      <alignment horizontal="left"/>
    </xf>
    <xf numFmtId="0" fontId="4" fillId="0" borderId="137" xfId="0" applyFont="1" applyBorder="1" applyAlignment="1">
      <alignment vertical="center"/>
    </xf>
    <xf numFmtId="0" fontId="33" fillId="7" borderId="199" xfId="24" applyBorder="1" applyAlignment="1">
      <alignment horizontal="center" vertical="center"/>
    </xf>
    <xf numFmtId="0" fontId="3" fillId="0" borderId="137" xfId="0" applyFont="1" applyBorder="1" applyAlignment="1" applyProtection="1">
      <alignment horizontal="center"/>
      <protection locked="0"/>
    </xf>
    <xf numFmtId="0" fontId="7" fillId="86" borderId="137" xfId="44" applyBorder="1">
      <alignment horizontal="center" vertical="center"/>
    </xf>
    <xf numFmtId="0" fontId="7" fillId="54" borderId="137" xfId="50" applyBorder="1">
      <alignment horizontal="center" vertical="center"/>
    </xf>
    <xf numFmtId="1" fontId="30" fillId="17" borderId="199" xfId="21" applyNumberFormat="1" applyBorder="1" applyAlignment="1">
      <alignment horizontal="center" vertical="center"/>
    </xf>
    <xf numFmtId="0" fontId="7" fillId="58" borderId="200" xfId="33" applyBorder="1">
      <alignment horizontal="center" vertical="center"/>
    </xf>
    <xf numFmtId="0" fontId="30" fillId="17" borderId="199" xfId="21" applyBorder="1" applyAlignment="1">
      <alignment horizontal="center" vertical="center"/>
    </xf>
    <xf numFmtId="0" fontId="4" fillId="0" borderId="201" xfId="0" applyFont="1" applyBorder="1">
      <alignment horizontal="center" vertical="center"/>
    </xf>
    <xf numFmtId="0" fontId="0" fillId="51" borderId="198" xfId="48" applyFont="1" applyFill="1" applyBorder="1">
      <alignment horizontal="center" vertical="center"/>
    </xf>
    <xf numFmtId="0" fontId="0" fillId="51" borderId="137" xfId="33" applyFont="1" applyFill="1" applyBorder="1">
      <alignment horizontal="center" vertical="center"/>
    </xf>
    <xf numFmtId="49" fontId="0" fillId="51" borderId="198" xfId="0" applyNumberFormat="1" applyFill="1" applyBorder="1">
      <alignment horizontal="center" vertical="center"/>
    </xf>
    <xf numFmtId="0" fontId="7" fillId="0" borderId="137" xfId="0" applyFont="1" applyBorder="1" applyAlignment="1">
      <alignment vertical="center"/>
    </xf>
    <xf numFmtId="0" fontId="7" fillId="51" borderId="137" xfId="0" applyFont="1" applyFill="1" applyBorder="1" applyAlignment="1">
      <alignment vertical="center"/>
    </xf>
    <xf numFmtId="0" fontId="4" fillId="0" borderId="202" xfId="0" applyFont="1" applyBorder="1" applyAlignment="1">
      <alignment horizontal="center"/>
    </xf>
    <xf numFmtId="0" fontId="3" fillId="0" borderId="120" xfId="0" applyFont="1" applyBorder="1" applyAlignment="1">
      <alignment horizontal="left" vertical="center"/>
    </xf>
    <xf numFmtId="0" fontId="3" fillId="0" borderId="124" xfId="0" applyFont="1" applyBorder="1" applyAlignment="1">
      <alignment horizontal="left" vertical="center"/>
    </xf>
    <xf numFmtId="0" fontId="3" fillId="0" borderId="133" xfId="0" applyFont="1" applyBorder="1" applyAlignment="1">
      <alignment horizontal="left" vertical="center"/>
    </xf>
    <xf numFmtId="17" fontId="4" fillId="0" borderId="124" xfId="0" applyNumberFormat="1" applyFont="1" applyBorder="1" applyAlignment="1">
      <alignment horizontal="left"/>
    </xf>
    <xf numFmtId="17" fontId="3" fillId="0" borderId="120" xfId="0" applyNumberFormat="1" applyFont="1" applyBorder="1" applyAlignment="1">
      <alignment horizontal="left" vertical="center"/>
    </xf>
    <xf numFmtId="0" fontId="4" fillId="0" borderId="203" xfId="0" applyFont="1" applyBorder="1" applyAlignment="1">
      <alignment horizontal="center"/>
    </xf>
    <xf numFmtId="0" fontId="3" fillId="0" borderId="191" xfId="0" applyFont="1" applyBorder="1" applyAlignment="1">
      <alignment horizontal="left"/>
    </xf>
    <xf numFmtId="0" fontId="4" fillId="0" borderId="204" xfId="0" applyFont="1" applyBorder="1" applyAlignment="1">
      <alignment horizontal="center"/>
    </xf>
    <xf numFmtId="0" fontId="3" fillId="0" borderId="205" xfId="0" applyFont="1" applyBorder="1" applyAlignment="1">
      <alignment horizontal="center"/>
    </xf>
    <xf numFmtId="0" fontId="4" fillId="0" borderId="123" xfId="0" applyFont="1" applyBorder="1" applyAlignment="1" applyProtection="1">
      <alignment horizontal="left"/>
      <protection locked="0"/>
    </xf>
    <xf numFmtId="0" fontId="0" fillId="0" borderId="206" xfId="0" applyBorder="1" applyAlignment="1" applyProtection="1">
      <alignment horizontal="center"/>
      <protection locked="0"/>
    </xf>
    <xf numFmtId="0" fontId="0" fillId="0" borderId="200" xfId="0" applyBorder="1" applyAlignment="1" applyProtection="1">
      <alignment horizontal="center"/>
      <protection locked="0"/>
    </xf>
    <xf numFmtId="0" fontId="0" fillId="43" borderId="200" xfId="0" applyFill="1" applyBorder="1" applyAlignment="1">
      <alignment horizontal="center"/>
    </xf>
    <xf numFmtId="0" fontId="46" fillId="0" borderId="200" xfId="0" applyFont="1" applyBorder="1" applyAlignment="1">
      <alignment horizontal="left" vertical="center"/>
    </xf>
    <xf numFmtId="0" fontId="0" fillId="24" borderId="200" xfId="0" applyFill="1" applyBorder="1" applyAlignment="1" applyProtection="1">
      <alignment horizontal="center"/>
      <protection locked="0"/>
    </xf>
    <xf numFmtId="0" fontId="4" fillId="24" borderId="200" xfId="0" applyFont="1" applyFill="1" applyBorder="1">
      <alignment horizontal="center" vertical="center"/>
    </xf>
    <xf numFmtId="0" fontId="0" fillId="24" borderId="207" xfId="0" applyFill="1" applyBorder="1">
      <alignment horizontal="center" vertical="center"/>
    </xf>
    <xf numFmtId="0" fontId="0" fillId="0" borderId="208" xfId="0" applyBorder="1" applyAlignment="1" applyProtection="1">
      <alignment horizontal="center"/>
      <protection locked="0"/>
    </xf>
    <xf numFmtId="0" fontId="0" fillId="0" borderId="133" xfId="0" applyBorder="1">
      <alignment horizontal="center" vertical="center"/>
    </xf>
    <xf numFmtId="49" fontId="0" fillId="0" borderId="193" xfId="0" applyNumberFormat="1" applyBorder="1" applyAlignment="1"/>
    <xf numFmtId="0" fontId="0" fillId="0" borderId="197" xfId="0" applyBorder="1" applyAlignment="1" applyProtection="1">
      <alignment horizontal="center"/>
      <protection locked="0"/>
    </xf>
    <xf numFmtId="0" fontId="0" fillId="0" borderId="197" xfId="0" applyBorder="1" applyAlignment="1">
      <alignment horizontal="left" vertical="center"/>
    </xf>
    <xf numFmtId="0" fontId="0" fillId="0" borderId="137" xfId="0" applyBorder="1" applyAlignment="1" applyProtection="1">
      <alignment horizontal="left"/>
      <protection locked="0"/>
    </xf>
    <xf numFmtId="0" fontId="0" fillId="0" borderId="157" xfId="0" applyBorder="1" applyAlignment="1" applyProtection="1">
      <alignment horizontal="center"/>
      <protection locked="0"/>
    </xf>
    <xf numFmtId="0" fontId="0" fillId="0" borderId="157" xfId="0" applyBorder="1" applyAlignment="1">
      <alignment horizontal="left" vertical="center"/>
    </xf>
    <xf numFmtId="0" fontId="0" fillId="0" borderId="119" xfId="0" applyBorder="1">
      <alignment horizontal="center" vertical="center"/>
    </xf>
    <xf numFmtId="0" fontId="0" fillId="0" borderId="209" xfId="0" applyBorder="1" applyAlignment="1">
      <alignment vertical="center"/>
    </xf>
    <xf numFmtId="49" fontId="0" fillId="51" borderId="118" xfId="0" applyNumberFormat="1" applyFill="1" applyBorder="1">
      <alignment horizontal="center" vertical="center"/>
    </xf>
    <xf numFmtId="0" fontId="0" fillId="0" borderId="142" xfId="0" applyBorder="1">
      <alignment horizontal="center" vertical="center"/>
    </xf>
    <xf numFmtId="0" fontId="0" fillId="0" borderId="142" xfId="0" applyBorder="1" applyAlignment="1">
      <alignment vertical="center"/>
    </xf>
    <xf numFmtId="49" fontId="0" fillId="51" borderId="210" xfId="0" applyNumberFormat="1" applyFill="1" applyBorder="1">
      <alignment horizontal="center" vertical="center"/>
    </xf>
    <xf numFmtId="49" fontId="0" fillId="51" borderId="211" xfId="0" applyNumberFormat="1" applyFill="1" applyBorder="1">
      <alignment horizontal="center" vertical="center"/>
    </xf>
    <xf numFmtId="0" fontId="6" fillId="80" borderId="193" xfId="0" applyFont="1" applyFill="1" applyBorder="1" applyAlignment="1">
      <alignment horizontal="left"/>
    </xf>
    <xf numFmtId="0" fontId="6" fillId="25" borderId="193" xfId="0" applyFont="1" applyFill="1" applyBorder="1">
      <alignment horizontal="center" vertical="center"/>
    </xf>
    <xf numFmtId="0" fontId="7" fillId="25" borderId="191" xfId="0" applyFont="1" applyFill="1" applyBorder="1">
      <alignment horizontal="center" vertical="center"/>
    </xf>
    <xf numFmtId="0" fontId="6" fillId="29" borderId="193" xfId="0" applyFont="1" applyFill="1" applyBorder="1" applyAlignment="1">
      <alignment horizontal="left"/>
    </xf>
    <xf numFmtId="0" fontId="6" fillId="29" borderId="191" xfId="0" applyFont="1" applyFill="1" applyBorder="1" applyAlignment="1">
      <alignment horizontal="left"/>
    </xf>
    <xf numFmtId="0" fontId="7" fillId="29" borderId="191" xfId="0" applyFont="1" applyFill="1" applyBorder="1">
      <alignment horizontal="center" vertical="center"/>
    </xf>
    <xf numFmtId="0" fontId="7" fillId="29" borderId="192" xfId="0" applyFont="1" applyFill="1" applyBorder="1">
      <alignment horizontal="center" vertical="center"/>
    </xf>
    <xf numFmtId="0" fontId="6" fillId="37" borderId="193" xfId="0" applyFont="1" applyFill="1" applyBorder="1" applyAlignment="1">
      <alignment horizontal="left"/>
    </xf>
    <xf numFmtId="0" fontId="6" fillId="37" borderId="191" xfId="0" applyFont="1" applyFill="1" applyBorder="1" applyAlignment="1">
      <alignment horizontal="left"/>
    </xf>
    <xf numFmtId="0" fontId="0" fillId="37" borderId="191" xfId="0" applyFill="1" applyBorder="1">
      <alignment horizontal="center" vertical="center"/>
    </xf>
    <xf numFmtId="0" fontId="6" fillId="45" borderId="193" xfId="0" applyFont="1" applyFill="1" applyBorder="1" applyAlignment="1">
      <alignment horizontal="left"/>
    </xf>
    <xf numFmtId="0" fontId="0" fillId="45" borderId="191" xfId="0" applyFill="1" applyBorder="1">
      <alignment horizontal="center" vertical="center"/>
    </xf>
    <xf numFmtId="0" fontId="7" fillId="45" borderId="191" xfId="0" applyFont="1" applyFill="1" applyBorder="1">
      <alignment horizontal="center" vertical="center"/>
    </xf>
    <xf numFmtId="0" fontId="7" fillId="45" borderId="192" xfId="0" applyFont="1" applyFill="1" applyBorder="1">
      <alignment horizontal="center" vertical="center"/>
    </xf>
    <xf numFmtId="0" fontId="6" fillId="24" borderId="193" xfId="0" applyFont="1" applyFill="1" applyBorder="1">
      <alignment horizontal="center" vertical="center"/>
    </xf>
    <xf numFmtId="0" fontId="0" fillId="24" borderId="191" xfId="0" applyFill="1" applyBorder="1">
      <alignment horizontal="center" vertical="center"/>
    </xf>
    <xf numFmtId="0" fontId="7" fillId="24" borderId="191" xfId="0" applyFont="1" applyFill="1" applyBorder="1">
      <alignment horizontal="center" vertical="center"/>
    </xf>
    <xf numFmtId="0" fontId="6" fillId="40" borderId="193" xfId="0" applyFont="1" applyFill="1" applyBorder="1" applyAlignment="1">
      <alignment horizontal="left"/>
    </xf>
    <xf numFmtId="0" fontId="7" fillId="40" borderId="191" xfId="0" applyFont="1" applyFill="1" applyBorder="1">
      <alignment horizontal="center" vertical="center"/>
    </xf>
    <xf numFmtId="0" fontId="0" fillId="40" borderId="192" xfId="0" applyFill="1" applyBorder="1">
      <alignment horizontal="center" vertical="center"/>
    </xf>
    <xf numFmtId="0" fontId="0" fillId="46" borderId="212" xfId="0" applyFill="1" applyBorder="1">
      <alignment horizontal="center" vertical="center"/>
    </xf>
    <xf numFmtId="0" fontId="7" fillId="46" borderId="212" xfId="0" applyFont="1" applyFill="1" applyBorder="1">
      <alignment horizontal="center" vertical="center"/>
    </xf>
    <xf numFmtId="0" fontId="7" fillId="46" borderId="213" xfId="0" applyFont="1" applyFill="1" applyBorder="1">
      <alignment horizontal="center" vertical="center"/>
    </xf>
    <xf numFmtId="0" fontId="6" fillId="0" borderId="214" xfId="0" applyFont="1" applyBorder="1" applyAlignment="1">
      <alignment horizontal="left" vertical="center"/>
    </xf>
    <xf numFmtId="0" fontId="7" fillId="0" borderId="212" xfId="0" applyFont="1" applyBorder="1">
      <alignment horizontal="center" vertical="center"/>
    </xf>
    <xf numFmtId="0" fontId="7" fillId="0" borderId="213" xfId="0" applyFont="1" applyBorder="1">
      <alignment horizontal="center" vertical="center"/>
    </xf>
    <xf numFmtId="0" fontId="6" fillId="39" borderId="200" xfId="0" applyFont="1" applyFill="1" applyBorder="1" applyAlignment="1">
      <alignment horizontal="left"/>
    </xf>
    <xf numFmtId="0" fontId="6" fillId="47" borderId="193" xfId="0" applyFont="1" applyFill="1" applyBorder="1">
      <alignment horizontal="center" vertical="center"/>
    </xf>
    <xf numFmtId="0" fontId="7" fillId="47" borderId="191" xfId="0" applyFont="1" applyFill="1" applyBorder="1">
      <alignment horizontal="center" vertical="center"/>
    </xf>
    <xf numFmtId="0" fontId="7" fillId="0" borderId="193" xfId="0" applyFont="1" applyBorder="1" applyAlignment="1">
      <alignment horizontal="left"/>
    </xf>
    <xf numFmtId="0" fontId="0" fillId="0" borderId="191" xfId="0" applyBorder="1">
      <alignment horizontal="center" vertical="center"/>
    </xf>
    <xf numFmtId="0" fontId="7" fillId="0" borderId="191" xfId="0" applyFont="1" applyBorder="1" applyAlignment="1">
      <alignment horizontal="left"/>
    </xf>
    <xf numFmtId="0" fontId="7" fillId="26" borderId="133" xfId="0" applyFont="1" applyFill="1" applyBorder="1">
      <alignment horizontal="center" vertical="center"/>
    </xf>
    <xf numFmtId="0" fontId="7" fillId="0" borderId="191" xfId="0" applyFont="1" applyBorder="1">
      <alignment horizontal="center" vertical="center"/>
    </xf>
    <xf numFmtId="0" fontId="7" fillId="0" borderId="192" xfId="0" applyFont="1" applyBorder="1">
      <alignment horizontal="center" vertical="center"/>
    </xf>
    <xf numFmtId="0" fontId="7" fillId="48" borderId="193" xfId="0" applyFont="1" applyFill="1" applyBorder="1" applyAlignment="1">
      <alignment horizontal="left" vertical="center"/>
    </xf>
    <xf numFmtId="0" fontId="7" fillId="48" borderId="191" xfId="0" applyFont="1" applyFill="1" applyBorder="1">
      <alignment horizontal="center" vertical="center"/>
    </xf>
    <xf numFmtId="0" fontId="7" fillId="48" borderId="192" xfId="0" applyFont="1" applyFill="1" applyBorder="1">
      <alignment horizontal="center" vertical="center"/>
    </xf>
    <xf numFmtId="0" fontId="0" fillId="89" borderId="152" xfId="56" applyFont="1" applyBorder="1" applyAlignment="1">
      <alignment horizontal="left" vertical="center"/>
    </xf>
    <xf numFmtId="0" fontId="0" fillId="0" borderId="201" xfId="0" applyBorder="1">
      <alignment horizontal="center" vertical="center"/>
    </xf>
    <xf numFmtId="0" fontId="4" fillId="0" borderId="201" xfId="0" applyFont="1" applyBorder="1" applyAlignment="1">
      <alignment horizontal="center"/>
    </xf>
    <xf numFmtId="0" fontId="7" fillId="0" borderId="201" xfId="0" applyFont="1" applyBorder="1">
      <alignment horizontal="center" vertical="center"/>
    </xf>
    <xf numFmtId="0" fontId="7" fillId="0" borderId="200" xfId="0" applyFont="1" applyBorder="1">
      <alignment horizontal="center" vertical="center"/>
    </xf>
    <xf numFmtId="0" fontId="0" fillId="0" borderId="200" xfId="0" applyBorder="1">
      <alignment horizontal="center" vertical="center"/>
    </xf>
    <xf numFmtId="0" fontId="4" fillId="0" borderId="200" xfId="0" applyFont="1" applyBorder="1" applyAlignment="1">
      <alignment horizontal="center"/>
    </xf>
    <xf numFmtId="0" fontId="4" fillId="0" borderId="152" xfId="0" applyFont="1" applyBorder="1" applyAlignment="1">
      <alignment horizontal="left" vertical="center"/>
    </xf>
    <xf numFmtId="0" fontId="0" fillId="0" borderId="152" xfId="0" applyBorder="1">
      <alignment horizontal="center" vertical="center"/>
    </xf>
    <xf numFmtId="0" fontId="59" fillId="0" borderId="163" xfId="0" applyFont="1" applyBorder="1" applyAlignment="1">
      <alignment horizontal="left" vertical="center"/>
    </xf>
    <xf numFmtId="0" fontId="4" fillId="0" borderId="215" xfId="0" applyFont="1" applyBorder="1" applyAlignment="1">
      <alignment horizontal="left" vertical="center"/>
    </xf>
    <xf numFmtId="0" fontId="0" fillId="0" borderId="154" xfId="0" applyBorder="1">
      <alignment horizontal="center" vertical="center"/>
    </xf>
    <xf numFmtId="0" fontId="59" fillId="0" borderId="185" xfId="0" applyFont="1" applyBorder="1" applyAlignment="1">
      <alignment horizontal="left" vertical="center"/>
    </xf>
    <xf numFmtId="0" fontId="0" fillId="0" borderId="215" xfId="0" applyBorder="1">
      <alignment horizontal="center" vertical="center"/>
    </xf>
    <xf numFmtId="0" fontId="13" fillId="0" borderId="215" xfId="0" applyFont="1" applyBorder="1">
      <alignment horizontal="center" vertical="center"/>
    </xf>
    <xf numFmtId="0" fontId="4" fillId="0" borderId="215" xfId="0" applyFont="1" applyBorder="1">
      <alignment horizontal="center" vertical="center"/>
    </xf>
    <xf numFmtId="0" fontId="59" fillId="0" borderId="152" xfId="0" applyFont="1" applyBorder="1" applyAlignment="1">
      <alignment horizontal="left" vertical="center"/>
    </xf>
    <xf numFmtId="0" fontId="0" fillId="0" borderId="215" xfId="0" applyBorder="1" applyAlignment="1">
      <alignment horizontal="left" vertical="center"/>
    </xf>
    <xf numFmtId="0" fontId="0" fillId="0" borderId="154" xfId="0" applyBorder="1" applyAlignment="1">
      <alignment horizontal="left" vertical="center"/>
    </xf>
    <xf numFmtId="0" fontId="59" fillId="0" borderId="187" xfId="0" applyFont="1" applyBorder="1" applyAlignment="1">
      <alignment horizontal="left" vertical="center"/>
    </xf>
    <xf numFmtId="0" fontId="59" fillId="0" borderId="216" xfId="0" applyFont="1" applyBorder="1" applyAlignment="1">
      <alignment horizontal="left" vertical="center"/>
    </xf>
    <xf numFmtId="0" fontId="0" fillId="0" borderId="186" xfId="0" applyBorder="1" applyAlignment="1">
      <alignment horizontal="left" vertical="center"/>
    </xf>
    <xf numFmtId="0" fontId="6" fillId="0" borderId="137" xfId="0" applyFont="1" applyBorder="1">
      <alignment horizontal="center" vertical="center"/>
    </xf>
    <xf numFmtId="0" fontId="0" fillId="0" borderId="217" xfId="0" applyBorder="1" applyAlignment="1" applyProtection="1">
      <alignment horizontal="center"/>
      <protection locked="0"/>
    </xf>
    <xf numFmtId="0" fontId="6" fillId="51" borderId="217" xfId="0" applyFont="1" applyFill="1" applyBorder="1">
      <alignment horizontal="center" vertical="center"/>
    </xf>
    <xf numFmtId="0" fontId="0" fillId="70" borderId="217" xfId="0" applyFill="1" applyBorder="1">
      <alignment horizontal="center" vertical="center"/>
    </xf>
    <xf numFmtId="0" fontId="0" fillId="51" borderId="217" xfId="0" applyFill="1" applyBorder="1">
      <alignment horizontal="center" vertical="center"/>
    </xf>
    <xf numFmtId="0" fontId="0" fillId="51" borderId="218" xfId="0" applyFill="1" applyBorder="1">
      <alignment horizontal="center" vertical="center"/>
    </xf>
    <xf numFmtId="0" fontId="0" fillId="51" borderId="206" xfId="0" applyFill="1" applyBorder="1" applyProtection="1">
      <alignment horizontal="center" vertical="center"/>
      <protection locked="0"/>
    </xf>
    <xf numFmtId="0" fontId="0" fillId="0" borderId="219" xfId="0" applyBorder="1" applyAlignment="1">
      <alignment horizontal="left" vertical="center"/>
    </xf>
    <xf numFmtId="0" fontId="0" fillId="51" borderId="219" xfId="32" applyFont="1" applyFill="1" applyBorder="1" applyAlignment="1">
      <alignment horizontal="center" vertical="center"/>
    </xf>
    <xf numFmtId="0" fontId="0" fillId="51" borderId="220" xfId="48" applyFont="1" applyFill="1" applyBorder="1">
      <alignment horizontal="center" vertical="center"/>
    </xf>
    <xf numFmtId="0" fontId="0" fillId="51" borderId="219" xfId="43" applyFont="1" applyFill="1" applyBorder="1">
      <alignment horizontal="center" vertical="center"/>
    </xf>
    <xf numFmtId="0" fontId="0" fillId="52" borderId="219" xfId="43" applyFont="1" applyFill="1" applyBorder="1">
      <alignment horizontal="center" vertical="center"/>
    </xf>
    <xf numFmtId="49" fontId="0" fillId="55" borderId="206" xfId="0" applyNumberFormat="1" applyFill="1" applyBorder="1">
      <alignment horizontal="center" vertical="center"/>
    </xf>
    <xf numFmtId="49" fontId="0" fillId="51" borderId="206" xfId="0" applyNumberFormat="1" applyFill="1" applyBorder="1">
      <alignment horizontal="center" vertical="center"/>
    </xf>
    <xf numFmtId="0" fontId="7" fillId="55" borderId="219" xfId="45" applyBorder="1">
      <alignment horizontal="center" vertical="center"/>
    </xf>
    <xf numFmtId="0" fontId="0" fillId="51" borderId="219" xfId="0" applyFill="1" applyBorder="1">
      <alignment horizontal="center" vertical="center"/>
    </xf>
    <xf numFmtId="0" fontId="0" fillId="51" borderId="221" xfId="0" applyFill="1" applyBorder="1">
      <alignment horizontal="center" vertical="center"/>
    </xf>
    <xf numFmtId="0" fontId="4" fillId="24" borderId="201" xfId="0" applyFont="1" applyFill="1" applyBorder="1" applyAlignment="1">
      <alignment horizontal="left" vertical="center"/>
    </xf>
    <xf numFmtId="0" fontId="0" fillId="24" borderId="200" xfId="0" applyFill="1" applyBorder="1">
      <alignment horizontal="center" vertical="center"/>
    </xf>
    <xf numFmtId="0" fontId="0" fillId="43" borderId="206" xfId="0" applyFill="1" applyBorder="1" applyAlignment="1" applyProtection="1">
      <alignment horizontal="center"/>
      <protection locked="0"/>
    </xf>
    <xf numFmtId="1" fontId="0" fillId="51" borderId="118" xfId="0" applyNumberFormat="1" applyFill="1" applyBorder="1">
      <alignment horizontal="center" vertical="center"/>
    </xf>
    <xf numFmtId="0" fontId="0" fillId="43" borderId="200" xfId="0" applyFill="1" applyBorder="1" applyAlignment="1" applyProtection="1">
      <alignment horizontal="center"/>
      <protection locked="0"/>
    </xf>
    <xf numFmtId="0" fontId="7" fillId="0" borderId="200" xfId="0" applyFont="1" applyBorder="1" applyAlignment="1">
      <alignment horizontal="left" vertical="center"/>
    </xf>
    <xf numFmtId="0" fontId="0" fillId="51" borderId="200" xfId="0" applyFill="1" applyBorder="1">
      <alignment horizontal="center" vertical="center"/>
    </xf>
    <xf numFmtId="0" fontId="0" fillId="55" borderId="200" xfId="0" applyFill="1" applyBorder="1">
      <alignment horizontal="center" vertical="center"/>
    </xf>
    <xf numFmtId="0" fontId="7" fillId="55" borderId="200" xfId="45" applyBorder="1">
      <alignment horizontal="center" vertical="center"/>
    </xf>
    <xf numFmtId="0" fontId="0" fillId="51" borderId="207" xfId="0" applyFill="1" applyBorder="1">
      <alignment horizontal="center" vertical="center"/>
    </xf>
    <xf numFmtId="0" fontId="0" fillId="0" borderId="200" xfId="0" applyBorder="1" applyAlignment="1">
      <alignment horizontal="left" vertical="center"/>
    </xf>
    <xf numFmtId="0" fontId="0" fillId="51" borderId="200" xfId="44" applyFont="1" applyFill="1" applyBorder="1">
      <alignment horizontal="center" vertical="center"/>
    </xf>
    <xf numFmtId="1" fontId="0" fillId="51" borderId="200" xfId="0" applyNumberFormat="1" applyFill="1" applyBorder="1">
      <alignment horizontal="center" vertical="center"/>
    </xf>
    <xf numFmtId="1" fontId="0" fillId="51" borderId="200" xfId="32" applyNumberFormat="1" applyFont="1" applyFill="1" applyBorder="1" applyAlignment="1">
      <alignment horizontal="center" vertical="center"/>
    </xf>
    <xf numFmtId="0" fontId="0" fillId="51" borderId="200" xfId="43" applyFont="1" applyFill="1" applyBorder="1">
      <alignment horizontal="center" vertical="center"/>
    </xf>
    <xf numFmtId="1" fontId="0" fillId="51" borderId="207" xfId="0" applyNumberFormat="1" applyFill="1" applyBorder="1">
      <alignment horizontal="center" vertical="center"/>
    </xf>
    <xf numFmtId="1" fontId="0" fillId="51" borderId="200" xfId="44" applyNumberFormat="1" applyFont="1" applyFill="1" applyBorder="1">
      <alignment horizontal="center" vertical="center"/>
    </xf>
    <xf numFmtId="0" fontId="0" fillId="51" borderId="200" xfId="48" applyFont="1" applyFill="1" applyBorder="1">
      <alignment horizontal="center" vertical="center"/>
    </xf>
    <xf numFmtId="0" fontId="7" fillId="52" borderId="200" xfId="48" applyBorder="1">
      <alignment horizontal="center" vertical="center"/>
    </xf>
    <xf numFmtId="0" fontId="7" fillId="16" borderId="222" xfId="20" applyFont="1" applyBorder="1" applyAlignment="1">
      <alignment horizontal="center" vertical="center"/>
    </xf>
    <xf numFmtId="0" fontId="0" fillId="51" borderId="200" xfId="49" applyFont="1" applyFill="1" applyBorder="1">
      <alignment horizontal="center" vertical="center"/>
    </xf>
    <xf numFmtId="1" fontId="0" fillId="55" borderId="200" xfId="32" applyNumberFormat="1" applyFont="1" applyFill="1" applyBorder="1" applyAlignment="1">
      <alignment horizontal="center" vertical="center"/>
    </xf>
    <xf numFmtId="0" fontId="7" fillId="52" borderId="222" xfId="48" applyBorder="1">
      <alignment horizontal="center" vertical="center"/>
    </xf>
    <xf numFmtId="0" fontId="0" fillId="43" borderId="208" xfId="0" applyFill="1" applyBorder="1" applyAlignment="1" applyProtection="1">
      <alignment horizontal="center"/>
      <protection locked="0"/>
    </xf>
    <xf numFmtId="0" fontId="0" fillId="0" borderId="208" xfId="0" applyBorder="1" applyAlignment="1">
      <alignment horizontal="left" vertical="center"/>
    </xf>
    <xf numFmtId="1" fontId="0" fillId="51" borderId="201" xfId="0" applyNumberFormat="1" applyFill="1" applyBorder="1">
      <alignment horizontal="center" vertical="center"/>
    </xf>
    <xf numFmtId="0" fontId="0" fillId="51" borderId="201" xfId="46" applyFont="1" applyFill="1" applyBorder="1">
      <alignment horizontal="center" vertical="center"/>
    </xf>
    <xf numFmtId="0" fontId="0" fillId="51" borderId="201" xfId="44" applyFont="1" applyFill="1" applyBorder="1">
      <alignment horizontal="center" vertical="center"/>
    </xf>
    <xf numFmtId="0" fontId="0" fillId="55" borderId="201" xfId="45" applyFont="1" applyBorder="1">
      <alignment horizontal="center" vertical="center"/>
    </xf>
    <xf numFmtId="0" fontId="7" fillId="86" borderId="201" xfId="44" applyBorder="1">
      <alignment horizontal="center" vertical="center"/>
    </xf>
    <xf numFmtId="0" fontId="0" fillId="51" borderId="201" xfId="43" applyFont="1" applyFill="1" applyBorder="1">
      <alignment horizontal="center" vertical="center"/>
    </xf>
    <xf numFmtId="1" fontId="0" fillId="51" borderId="201" xfId="32" applyNumberFormat="1" applyFont="1" applyFill="1" applyBorder="1" applyAlignment="1">
      <alignment horizontal="center" vertical="center"/>
    </xf>
    <xf numFmtId="0" fontId="7" fillId="55" borderId="208" xfId="45" applyBorder="1">
      <alignment horizontal="center" vertical="center"/>
    </xf>
    <xf numFmtId="1" fontId="0" fillId="51" borderId="208" xfId="20" applyNumberFormat="1" applyFont="1" applyFill="1" applyBorder="1" applyAlignment="1">
      <alignment horizontal="center" vertical="center"/>
    </xf>
    <xf numFmtId="1" fontId="0" fillId="51" borderId="223" xfId="0" applyNumberFormat="1" applyFill="1" applyBorder="1">
      <alignment horizontal="center" vertical="center"/>
    </xf>
    <xf numFmtId="0" fontId="4" fillId="24" borderId="217" xfId="0" applyFont="1" applyFill="1" applyBorder="1" applyAlignment="1" applyProtection="1">
      <alignment horizontal="left"/>
      <protection locked="0"/>
    </xf>
    <xf numFmtId="0" fontId="4" fillId="24" borderId="217" xfId="0" applyFont="1" applyFill="1" applyBorder="1">
      <alignment horizontal="center" vertical="center"/>
    </xf>
    <xf numFmtId="0" fontId="0" fillId="0" borderId="206" xfId="0" applyBorder="1" applyAlignment="1">
      <alignment horizontal="left" vertical="center"/>
    </xf>
    <xf numFmtId="0" fontId="0" fillId="51" borderId="206" xfId="32" applyFont="1" applyFill="1" applyBorder="1" applyAlignment="1">
      <alignment horizontal="center" vertical="center"/>
    </xf>
    <xf numFmtId="0" fontId="7" fillId="53" borderId="206" xfId="43" applyBorder="1">
      <alignment horizontal="center" vertical="center"/>
    </xf>
    <xf numFmtId="0" fontId="0" fillId="0" borderId="206" xfId="0" applyBorder="1">
      <alignment horizontal="center" vertical="center"/>
    </xf>
    <xf numFmtId="0" fontId="0" fillId="51" borderId="206" xfId="43" applyFont="1" applyFill="1" applyBorder="1">
      <alignment horizontal="center" vertical="center"/>
    </xf>
    <xf numFmtId="0" fontId="0" fillId="51" borderId="224" xfId="0" applyFill="1" applyBorder="1">
      <alignment horizontal="center" vertical="center"/>
    </xf>
    <xf numFmtId="1" fontId="0" fillId="55" borderId="200" xfId="0" applyNumberFormat="1" applyFill="1" applyBorder="1">
      <alignment horizontal="center" vertical="center"/>
    </xf>
    <xf numFmtId="0" fontId="0" fillId="51" borderId="220" xfId="0" applyFill="1" applyBorder="1">
      <alignment horizontal="center" vertical="center"/>
    </xf>
    <xf numFmtId="0" fontId="0" fillId="0" borderId="225" xfId="0" applyBorder="1">
      <alignment horizontal="center" vertical="center"/>
    </xf>
    <xf numFmtId="0" fontId="0" fillId="51" borderId="200" xfId="20" applyFont="1" applyFill="1" applyBorder="1" applyAlignment="1">
      <alignment horizontal="center" vertical="center"/>
    </xf>
    <xf numFmtId="0" fontId="6" fillId="51" borderId="206" xfId="43" applyFont="1" applyFill="1" applyBorder="1">
      <alignment horizontal="center" vertical="center"/>
    </xf>
    <xf numFmtId="49" fontId="0" fillId="51" borderId="207" xfId="0" applyNumberFormat="1" applyFill="1" applyBorder="1">
      <alignment horizontal="center" vertical="center"/>
    </xf>
    <xf numFmtId="0" fontId="0" fillId="0" borderId="208" xfId="0" applyBorder="1" applyAlignment="1">
      <alignment vertical="center"/>
    </xf>
    <xf numFmtId="0" fontId="0" fillId="51" borderId="208" xfId="32" applyFont="1" applyFill="1" applyBorder="1" applyAlignment="1">
      <alignment horizontal="center" vertical="center"/>
    </xf>
    <xf numFmtId="0" fontId="0" fillId="51" borderId="208" xfId="43" applyFont="1" applyFill="1" applyBorder="1">
      <alignment horizontal="center" vertical="center"/>
    </xf>
    <xf numFmtId="0" fontId="0" fillId="51" borderId="208" xfId="0" applyFill="1" applyBorder="1">
      <alignment horizontal="center" vertical="center"/>
    </xf>
    <xf numFmtId="49" fontId="0" fillId="51" borderId="208" xfId="0" applyNumberFormat="1" applyFill="1" applyBorder="1">
      <alignment horizontal="center" vertical="center"/>
    </xf>
    <xf numFmtId="0" fontId="0" fillId="51" borderId="223" xfId="0" applyFill="1" applyBorder="1">
      <alignment horizontal="center" vertical="center"/>
    </xf>
    <xf numFmtId="49" fontId="0" fillId="51" borderId="200" xfId="0" applyNumberFormat="1" applyFill="1" applyBorder="1">
      <alignment horizontal="center" vertical="center"/>
    </xf>
    <xf numFmtId="0" fontId="4" fillId="0" borderId="226" xfId="0" applyFont="1" applyBorder="1" applyAlignment="1">
      <alignment horizontal="left" vertical="center"/>
    </xf>
    <xf numFmtId="0" fontId="0" fillId="0" borderId="227" xfId="0" applyBorder="1" applyAlignment="1">
      <alignment horizontal="left"/>
    </xf>
    <xf numFmtId="0" fontId="4" fillId="0" borderId="188" xfId="0" applyFont="1" applyBorder="1" applyAlignment="1">
      <alignment vertical="center"/>
    </xf>
    <xf numFmtId="0" fontId="0" fillId="0" borderId="227" xfId="0" applyBorder="1">
      <alignment horizontal="center" vertical="center"/>
    </xf>
    <xf numFmtId="0" fontId="4" fillId="0" borderId="228" xfId="0" applyFont="1" applyBorder="1" applyAlignment="1">
      <alignment horizontal="left" vertical="center"/>
    </xf>
    <xf numFmtId="0" fontId="4" fillId="0" borderId="228" xfId="0" applyFont="1" applyBorder="1" applyAlignment="1">
      <alignment horizontal="left"/>
    </xf>
    <xf numFmtId="0" fontId="4" fillId="0" borderId="190" xfId="0" applyFont="1" applyBorder="1" applyAlignment="1">
      <alignment vertical="center"/>
    </xf>
    <xf numFmtId="0" fontId="0" fillId="0" borderId="190" xfId="0" applyBorder="1">
      <alignment horizontal="center" vertical="center"/>
    </xf>
    <xf numFmtId="0" fontId="0" fillId="0" borderId="229" xfId="0" applyBorder="1">
      <alignment horizontal="center" vertical="center"/>
    </xf>
    <xf numFmtId="0" fontId="4" fillId="0" borderId="230" xfId="0" applyFont="1" applyBorder="1" applyAlignment="1">
      <alignment horizontal="left" vertical="center"/>
    </xf>
    <xf numFmtId="0" fontId="0" fillId="0" borderId="212" xfId="0" applyBorder="1">
      <alignment horizontal="center" vertical="center"/>
    </xf>
    <xf numFmtId="0" fontId="4" fillId="0" borderId="193" xfId="0" applyFont="1" applyBorder="1" applyAlignment="1">
      <alignment vertical="center"/>
    </xf>
    <xf numFmtId="0" fontId="13" fillId="0" borderId="191" xfId="0" applyFont="1" applyBorder="1">
      <alignment horizontal="center" vertical="center"/>
    </xf>
    <xf numFmtId="0" fontId="0" fillId="0" borderId="192" xfId="0" applyBorder="1">
      <alignment horizontal="center" vertical="center"/>
    </xf>
    <xf numFmtId="0" fontId="4" fillId="0" borderId="214" xfId="0" applyFont="1" applyBorder="1" applyAlignment="1">
      <alignment horizontal="left" vertical="center"/>
    </xf>
    <xf numFmtId="0" fontId="13" fillId="0" borderId="212" xfId="0" applyFont="1" applyBorder="1">
      <alignment horizontal="center" vertical="center"/>
    </xf>
    <xf numFmtId="0" fontId="4" fillId="0" borderId="212" xfId="0" applyFont="1" applyBorder="1">
      <alignment horizontal="center" vertical="center"/>
    </xf>
    <xf numFmtId="0" fontId="4" fillId="0" borderId="203" xfId="0" applyFont="1" applyBorder="1" applyAlignment="1">
      <alignment horizontal="left" vertical="center"/>
    </xf>
    <xf numFmtId="0" fontId="0" fillId="0" borderId="193" xfId="0" applyBorder="1" applyAlignment="1">
      <alignment vertical="center"/>
    </xf>
    <xf numFmtId="0" fontId="4" fillId="0" borderId="193" xfId="0" applyFont="1" applyBorder="1">
      <alignment horizontal="center" vertical="center"/>
    </xf>
    <xf numFmtId="0" fontId="0" fillId="0" borderId="191" xfId="0" applyBorder="1" applyAlignment="1">
      <alignment horizontal="left" vertical="center"/>
    </xf>
    <xf numFmtId="0" fontId="0" fillId="0" borderId="231" xfId="0" applyBorder="1">
      <alignment horizontal="center" vertical="center"/>
    </xf>
    <xf numFmtId="0" fontId="4" fillId="0" borderId="204" xfId="0" applyFont="1" applyBorder="1" applyAlignment="1">
      <alignment horizontal="left" vertical="center"/>
    </xf>
    <xf numFmtId="0" fontId="0" fillId="0" borderId="205" xfId="0" applyBorder="1">
      <alignment horizontal="center" vertical="center"/>
    </xf>
    <xf numFmtId="0" fontId="0" fillId="0" borderId="196" xfId="0" applyBorder="1" applyAlignment="1">
      <alignment vertical="center"/>
    </xf>
    <xf numFmtId="0" fontId="0" fillId="0" borderId="232" xfId="0" applyBorder="1">
      <alignment horizontal="center" vertical="center"/>
    </xf>
    <xf numFmtId="0" fontId="4" fillId="0" borderId="196" xfId="0" applyFont="1" applyBorder="1">
      <alignment horizontal="center" vertical="center"/>
    </xf>
    <xf numFmtId="0" fontId="0" fillId="0" borderId="205" xfId="0" applyBorder="1" applyAlignment="1">
      <alignment horizontal="left" vertical="center"/>
    </xf>
    <xf numFmtId="0" fontId="13" fillId="0" borderId="205" xfId="0" applyFont="1" applyBorder="1">
      <alignment horizontal="center" vertical="center"/>
    </xf>
    <xf numFmtId="0" fontId="4" fillId="0" borderId="205" xfId="0" applyFont="1" applyBorder="1" applyAlignment="1">
      <alignment horizontal="left" vertical="center"/>
    </xf>
    <xf numFmtId="0" fontId="0" fillId="0" borderId="233" xfId="0" applyBorder="1">
      <alignment horizontal="center" vertical="center"/>
    </xf>
    <xf numFmtId="0" fontId="0" fillId="0" borderId="201" xfId="0" applyBorder="1" applyAlignment="1" applyProtection="1">
      <alignment horizontal="center"/>
      <protection locked="0"/>
    </xf>
    <xf numFmtId="0" fontId="6" fillId="0" borderId="201" xfId="0" applyFont="1" applyBorder="1" applyAlignment="1">
      <alignment horizontal="center"/>
    </xf>
    <xf numFmtId="0" fontId="0" fillId="24" borderId="202" xfId="0" applyFill="1" applyBorder="1" applyAlignment="1" applyProtection="1">
      <alignment horizontal="center"/>
      <protection locked="0"/>
    </xf>
    <xf numFmtId="0" fontId="0" fillId="51" borderId="206" xfId="0" applyFill="1" applyBorder="1">
      <alignment horizontal="center" vertical="center"/>
    </xf>
    <xf numFmtId="0" fontId="0" fillId="51" borderId="206" xfId="44" applyFont="1" applyFill="1" applyBorder="1">
      <alignment horizontal="center" vertical="center"/>
    </xf>
    <xf numFmtId="49" fontId="0" fillId="51" borderId="224" xfId="0" applyNumberFormat="1" applyFill="1" applyBorder="1">
      <alignment horizontal="center" vertical="center"/>
    </xf>
    <xf numFmtId="0" fontId="0" fillId="43" borderId="234" xfId="0" applyFill="1" applyBorder="1" applyAlignment="1" applyProtection="1">
      <alignment horizontal="center"/>
      <protection locked="0"/>
    </xf>
    <xf numFmtId="0" fontId="7" fillId="53" borderId="200" xfId="43" applyBorder="1">
      <alignment horizontal="center" vertical="center"/>
    </xf>
    <xf numFmtId="0" fontId="0" fillId="55" borderId="200" xfId="20" applyFont="1" applyFill="1" applyBorder="1" applyAlignment="1">
      <alignment horizontal="center" vertical="center"/>
    </xf>
    <xf numFmtId="0" fontId="0" fillId="43" borderId="235" xfId="0" applyFill="1" applyBorder="1" applyAlignment="1" applyProtection="1">
      <alignment horizontal="center"/>
      <protection locked="0"/>
    </xf>
    <xf numFmtId="49" fontId="0" fillId="55" borderId="208" xfId="0" applyNumberFormat="1" applyFill="1" applyBorder="1">
      <alignment horizontal="center" vertical="center"/>
    </xf>
    <xf numFmtId="0" fontId="0" fillId="51" borderId="208" xfId="53" applyFont="1" applyFill="1" applyBorder="1">
      <alignment horizontal="center" vertical="center"/>
    </xf>
    <xf numFmtId="49" fontId="0" fillId="53" borderId="208" xfId="0" applyNumberFormat="1" applyFill="1" applyBorder="1">
      <alignment horizontal="center" vertical="center"/>
    </xf>
    <xf numFmtId="0" fontId="0" fillId="51" borderId="208" xfId="48" applyFont="1" applyFill="1" applyBorder="1">
      <alignment horizontal="center" vertical="center"/>
    </xf>
    <xf numFmtId="0" fontId="7" fillId="52" borderId="208" xfId="48" applyBorder="1">
      <alignment horizontal="center" vertical="center"/>
    </xf>
    <xf numFmtId="49" fontId="0" fillId="51" borderId="223" xfId="0" applyNumberFormat="1" applyFill="1" applyBorder="1">
      <alignment horizontal="center" vertical="center"/>
    </xf>
    <xf numFmtId="0" fontId="0" fillId="51" borderId="206" xfId="48" applyFont="1" applyFill="1" applyBorder="1">
      <alignment horizontal="center" vertical="center"/>
    </xf>
    <xf numFmtId="0" fontId="0" fillId="51" borderId="200" xfId="46" applyFont="1" applyFill="1" applyBorder="1">
      <alignment horizontal="center" vertical="center"/>
    </xf>
    <xf numFmtId="0" fontId="0" fillId="51" borderId="200" xfId="45" applyFont="1" applyFill="1" applyBorder="1">
      <alignment horizontal="center" vertical="center"/>
    </xf>
    <xf numFmtId="0" fontId="0" fillId="51" borderId="208" xfId="0" applyFill="1" applyBorder="1" applyAlignment="1">
      <alignment horizontal="left" vertical="center"/>
    </xf>
    <xf numFmtId="0" fontId="0" fillId="55" borderId="208" xfId="48" applyFont="1" applyFill="1" applyBorder="1">
      <alignment horizontal="center" vertical="center"/>
    </xf>
    <xf numFmtId="0" fontId="7" fillId="54" borderId="208" xfId="50" applyBorder="1">
      <alignment horizontal="center" vertical="center"/>
    </xf>
    <xf numFmtId="0" fontId="0" fillId="0" borderId="208" xfId="53" applyFont="1" applyBorder="1">
      <alignment horizontal="center" vertical="center"/>
    </xf>
    <xf numFmtId="0" fontId="7" fillId="0" borderId="208" xfId="53" applyBorder="1">
      <alignment horizontal="center" vertical="center"/>
    </xf>
    <xf numFmtId="0" fontId="0" fillId="0" borderId="208" xfId="0" applyBorder="1">
      <alignment horizontal="center" vertical="center"/>
    </xf>
    <xf numFmtId="0" fontId="0" fillId="51" borderId="223" xfId="53" applyFont="1" applyFill="1" applyBorder="1">
      <alignment horizontal="center" vertical="center"/>
    </xf>
    <xf numFmtId="0" fontId="0" fillId="51" borderId="206" xfId="0" applyFill="1" applyBorder="1" applyAlignment="1">
      <alignment horizontal="left" vertical="center" wrapText="1"/>
    </xf>
    <xf numFmtId="0" fontId="0" fillId="53" borderId="123" xfId="0" applyFill="1" applyBorder="1">
      <alignment horizontal="center" vertical="center"/>
    </xf>
    <xf numFmtId="0" fontId="0" fillId="53" borderId="123" xfId="44" applyFont="1" applyFill="1" applyBorder="1">
      <alignment horizontal="center" vertical="center"/>
    </xf>
    <xf numFmtId="0" fontId="7" fillId="86" borderId="123" xfId="44" applyBorder="1">
      <alignment horizontal="center" vertical="center"/>
    </xf>
    <xf numFmtId="0" fontId="7" fillId="52" borderId="123" xfId="48" applyBorder="1">
      <alignment horizontal="center" vertical="center"/>
    </xf>
    <xf numFmtId="0" fontId="0" fillId="55" borderId="200" xfId="48" applyFont="1" applyFill="1" applyBorder="1">
      <alignment horizontal="center" vertical="center"/>
    </xf>
    <xf numFmtId="0" fontId="0" fillId="56" borderId="206" xfId="0" applyFill="1" applyBorder="1">
      <alignment horizontal="center" vertical="center"/>
    </xf>
    <xf numFmtId="0" fontId="0" fillId="75" borderId="206" xfId="0" applyFill="1" applyBorder="1">
      <alignment horizontal="center" vertical="center"/>
    </xf>
    <xf numFmtId="49" fontId="0" fillId="75" borderId="206" xfId="0" applyNumberFormat="1" applyFill="1" applyBorder="1">
      <alignment horizontal="center" vertical="center"/>
    </xf>
    <xf numFmtId="0" fontId="0" fillId="75" borderId="206" xfId="44" applyFont="1" applyFill="1" applyBorder="1">
      <alignment horizontal="center" vertical="center"/>
    </xf>
    <xf numFmtId="0" fontId="7" fillId="86" borderId="206" xfId="44" applyBorder="1">
      <alignment horizontal="center" vertical="center"/>
    </xf>
    <xf numFmtId="0" fontId="0" fillId="56" borderId="206" xfId="44" applyFont="1" applyFill="1" applyBorder="1">
      <alignment horizontal="center" vertical="center"/>
    </xf>
    <xf numFmtId="49" fontId="0" fillId="56" borderId="206" xfId="0" applyNumberFormat="1" applyFill="1" applyBorder="1">
      <alignment horizontal="center" vertical="center"/>
    </xf>
    <xf numFmtId="0" fontId="0" fillId="51" borderId="208" xfId="44" applyFont="1" applyFill="1" applyBorder="1">
      <alignment horizontal="center" vertical="center"/>
    </xf>
    <xf numFmtId="0" fontId="0" fillId="51" borderId="206" xfId="46" applyFont="1" applyFill="1" applyBorder="1">
      <alignment horizontal="center" vertical="center"/>
    </xf>
    <xf numFmtId="0" fontId="0" fillId="51" borderId="223" xfId="44" applyFont="1" applyFill="1" applyBorder="1">
      <alignment horizontal="center" vertical="center"/>
    </xf>
    <xf numFmtId="0" fontId="6" fillId="0" borderId="200" xfId="0" applyFont="1" applyBorder="1" applyAlignment="1">
      <alignment horizontal="left"/>
    </xf>
    <xf numFmtId="0" fontId="7" fillId="0" borderId="193" xfId="0" applyFont="1" applyBorder="1">
      <alignment horizontal="center" vertical="center"/>
    </xf>
    <xf numFmtId="0" fontId="0" fillId="0" borderId="200" xfId="0" applyBorder="1" applyAlignment="1">
      <alignment horizontal="center"/>
    </xf>
    <xf numFmtId="0" fontId="0" fillId="43" borderId="193" xfId="0" applyFill="1" applyBorder="1" applyAlignment="1" applyProtection="1">
      <alignment horizontal="center"/>
      <protection locked="0"/>
    </xf>
    <xf numFmtId="0" fontId="0" fillId="0" borderId="193" xfId="0" applyBorder="1" applyAlignment="1">
      <alignment horizontal="left"/>
    </xf>
    <xf numFmtId="0" fontId="0" fillId="0" borderId="191" xfId="0" applyBorder="1" applyAlignment="1">
      <alignment horizontal="left"/>
    </xf>
    <xf numFmtId="0" fontId="0" fillId="0" borderId="214" xfId="0" applyBorder="1" applyAlignment="1">
      <alignment horizontal="left"/>
    </xf>
    <xf numFmtId="0" fontId="0" fillId="0" borderId="212" xfId="0" applyBorder="1" applyAlignment="1">
      <alignment horizontal="left"/>
    </xf>
    <xf numFmtId="0" fontId="7" fillId="0" borderId="213" xfId="0" applyFont="1" applyBorder="1" applyAlignment="1">
      <alignment horizontal="left"/>
    </xf>
    <xf numFmtId="0" fontId="7" fillId="0" borderId="212" xfId="0" applyFont="1" applyBorder="1" applyAlignment="1">
      <alignment horizontal="left"/>
    </xf>
    <xf numFmtId="0" fontId="7" fillId="0" borderId="192" xfId="0" applyFont="1" applyBorder="1" applyAlignment="1">
      <alignment horizontal="left"/>
    </xf>
    <xf numFmtId="0" fontId="6" fillId="0" borderId="193" xfId="0" applyFont="1" applyBorder="1" applyAlignment="1">
      <alignment horizontal="left"/>
    </xf>
    <xf numFmtId="0" fontId="21" fillId="0" borderId="200" xfId="0" applyFont="1" applyBorder="1" applyAlignment="1" applyProtection="1">
      <alignment horizontal="center"/>
      <protection locked="0"/>
    </xf>
    <xf numFmtId="0" fontId="0" fillId="0" borderId="215" xfId="0" applyBorder="1" applyAlignment="1">
      <alignment horizontal="left"/>
    </xf>
    <xf numFmtId="0" fontId="4" fillId="0" borderId="208" xfId="0" applyFont="1" applyBorder="1" applyAlignment="1" applyProtection="1">
      <alignment horizontal="center"/>
      <protection locked="0"/>
    </xf>
    <xf numFmtId="0" fontId="6" fillId="0" borderId="208" xfId="0" applyFont="1" applyBorder="1" applyAlignment="1">
      <alignment horizontal="center"/>
    </xf>
    <xf numFmtId="0" fontId="0" fillId="0" borderId="236" xfId="0" applyBorder="1" applyAlignment="1">
      <alignment vertical="center"/>
    </xf>
    <xf numFmtId="0" fontId="0" fillId="51" borderId="237" xfId="0" applyFill="1" applyBorder="1" applyAlignment="1" applyProtection="1">
      <alignment horizontal="left" vertical="center"/>
      <protection locked="0"/>
    </xf>
    <xf numFmtId="0" fontId="7" fillId="0" borderId="206" xfId="53" applyBorder="1">
      <alignment horizontal="center" vertical="center"/>
    </xf>
    <xf numFmtId="0" fontId="7" fillId="52" borderId="206" xfId="48" applyBorder="1">
      <alignment horizontal="center" vertical="center"/>
    </xf>
    <xf numFmtId="0" fontId="0" fillId="51" borderId="224" xfId="48" applyFont="1" applyFill="1" applyBorder="1">
      <alignment horizontal="center" vertical="center"/>
    </xf>
    <xf numFmtId="0" fontId="0" fillId="55" borderId="200" xfId="44" applyFont="1" applyFill="1" applyBorder="1">
      <alignment horizontal="center" vertical="center"/>
    </xf>
    <xf numFmtId="0" fontId="0" fillId="55" borderId="200" xfId="45" applyFont="1" applyBorder="1">
      <alignment horizontal="center" vertical="center"/>
    </xf>
    <xf numFmtId="49" fontId="0" fillId="52" borderId="200" xfId="0" applyNumberFormat="1" applyFill="1" applyBorder="1">
      <alignment horizontal="center" vertical="center"/>
    </xf>
    <xf numFmtId="0" fontId="0" fillId="51" borderId="207" xfId="48" applyFont="1" applyFill="1" applyBorder="1">
      <alignment horizontal="center" vertical="center"/>
    </xf>
    <xf numFmtId="0" fontId="0" fillId="89" borderId="200" xfId="56" applyFont="1" applyBorder="1">
      <alignment horizontal="center" vertical="center"/>
    </xf>
    <xf numFmtId="0" fontId="0" fillId="52" borderId="200" xfId="44" applyFont="1" applyFill="1" applyBorder="1">
      <alignment horizontal="center" vertical="center"/>
    </xf>
    <xf numFmtId="0" fontId="0" fillId="0" borderId="200" xfId="53" applyFont="1" applyBorder="1">
      <alignment horizontal="center" vertical="center"/>
    </xf>
    <xf numFmtId="0" fontId="7" fillId="89" borderId="200" xfId="56" applyBorder="1">
      <alignment horizontal="center" vertical="center"/>
    </xf>
    <xf numFmtId="0" fontId="0" fillId="57" borderId="200" xfId="48" applyFont="1" applyFill="1" applyBorder="1">
      <alignment horizontal="center" vertical="center"/>
    </xf>
    <xf numFmtId="0" fontId="0" fillId="0" borderId="200" xfId="48" applyFont="1" applyFill="1" applyBorder="1">
      <alignment horizontal="center" vertical="center"/>
    </xf>
    <xf numFmtId="0" fontId="7" fillId="51" borderId="200" xfId="48" applyFill="1" applyBorder="1">
      <alignment horizontal="center" vertical="center"/>
    </xf>
    <xf numFmtId="0" fontId="0" fillId="52" borderId="200" xfId="0" applyFill="1" applyBorder="1">
      <alignment horizontal="center" vertical="center"/>
    </xf>
    <xf numFmtId="49" fontId="0" fillId="52" borderId="207" xfId="0" applyNumberFormat="1" applyFill="1" applyBorder="1">
      <alignment horizontal="center" vertical="center"/>
    </xf>
    <xf numFmtId="0" fontId="7" fillId="55" borderId="238" xfId="45" applyBorder="1">
      <alignment horizontal="center" vertical="center"/>
    </xf>
    <xf numFmtId="0" fontId="7" fillId="0" borderId="200" xfId="53" applyBorder="1">
      <alignment horizontal="center" vertical="center"/>
    </xf>
    <xf numFmtId="0" fontId="0" fillId="51" borderId="200" xfId="20" applyNumberFormat="1" applyFont="1" applyFill="1" applyBorder="1" applyAlignment="1">
      <alignment horizontal="center" vertical="center"/>
    </xf>
    <xf numFmtId="0" fontId="0" fillId="54" borderId="200" xfId="0" applyFill="1" applyBorder="1">
      <alignment horizontal="center" vertical="center"/>
    </xf>
    <xf numFmtId="0" fontId="0" fillId="76" borderId="200" xfId="0" applyFill="1" applyBorder="1">
      <alignment horizontal="center" vertical="center"/>
    </xf>
    <xf numFmtId="0" fontId="7" fillId="55" borderId="200" xfId="53" applyFill="1" applyBorder="1">
      <alignment horizontal="center" vertical="center"/>
    </xf>
    <xf numFmtId="0" fontId="7" fillId="86" borderId="200" xfId="44" applyBorder="1">
      <alignment horizontal="center" vertical="center"/>
    </xf>
    <xf numFmtId="0" fontId="0" fillId="57" borderId="200" xfId="0" applyFill="1" applyBorder="1">
      <alignment horizontal="center" vertical="center"/>
    </xf>
    <xf numFmtId="0" fontId="0" fillId="52" borderId="200" xfId="48" applyFont="1" applyBorder="1">
      <alignment horizontal="center" vertical="center"/>
    </xf>
    <xf numFmtId="0" fontId="7" fillId="52" borderId="207" xfId="48" applyBorder="1">
      <alignment horizontal="center" vertical="center"/>
    </xf>
    <xf numFmtId="0" fontId="0" fillId="51" borderId="207" xfId="53" applyFont="1" applyFill="1" applyBorder="1">
      <alignment horizontal="center" vertical="center"/>
    </xf>
    <xf numFmtId="0" fontId="7" fillId="0" borderId="207" xfId="53" applyBorder="1">
      <alignment horizontal="center" vertical="center"/>
    </xf>
    <xf numFmtId="0" fontId="0" fillId="51" borderId="123" xfId="48" applyFont="1" applyFill="1" applyBorder="1">
      <alignment horizontal="center" vertical="center"/>
    </xf>
    <xf numFmtId="49" fontId="0" fillId="51" borderId="64" xfId="0" applyNumberFormat="1" applyFill="1" applyBorder="1">
      <alignment horizontal="center" vertical="center"/>
    </xf>
    <xf numFmtId="49" fontId="0" fillId="51" borderId="159" xfId="0" applyNumberFormat="1" applyFill="1" applyBorder="1">
      <alignment horizontal="center" vertical="center"/>
    </xf>
    <xf numFmtId="0" fontId="18" fillId="0" borderId="220" xfId="0" applyFont="1" applyBorder="1" applyAlignment="1" applyProtection="1">
      <alignment horizontal="center"/>
      <protection locked="0"/>
    </xf>
    <xf numFmtId="0" fontId="0" fillId="0" borderId="216" xfId="0" applyBorder="1" applyAlignment="1">
      <alignment horizontal="left" vertical="center"/>
    </xf>
    <xf numFmtId="49" fontId="0" fillId="51" borderId="238" xfId="0" applyNumberFormat="1" applyFill="1" applyBorder="1">
      <alignment horizontal="center" vertical="center"/>
    </xf>
    <xf numFmtId="0" fontId="0" fillId="51" borderId="238" xfId="44" applyFont="1" applyFill="1" applyBorder="1">
      <alignment horizontal="center" vertical="center"/>
    </xf>
    <xf numFmtId="0" fontId="0" fillId="51" borderId="200" xfId="53" applyFont="1" applyFill="1" applyBorder="1">
      <alignment horizontal="center" vertical="center"/>
    </xf>
    <xf numFmtId="0" fontId="0" fillId="51" borderId="239" xfId="48" applyFont="1" applyFill="1" applyBorder="1">
      <alignment horizontal="center" vertical="center"/>
    </xf>
    <xf numFmtId="0" fontId="0" fillId="70" borderId="219" xfId="0" applyFill="1" applyBorder="1">
      <alignment horizontal="center" vertical="center"/>
    </xf>
    <xf numFmtId="0" fontId="0" fillId="51" borderId="240" xfId="0" applyFill="1" applyBorder="1">
      <alignment horizontal="center" vertical="center"/>
    </xf>
    <xf numFmtId="49" fontId="0" fillId="51" borderId="72" xfId="0" applyNumberFormat="1" applyFill="1" applyBorder="1">
      <alignment horizontal="center" vertical="center"/>
    </xf>
    <xf numFmtId="0" fontId="0" fillId="51" borderId="72" xfId="0" applyFill="1" applyBorder="1">
      <alignment horizontal="center" vertical="center"/>
    </xf>
    <xf numFmtId="0" fontId="0" fillId="51" borderId="72" xfId="44" applyFont="1" applyFill="1" applyBorder="1">
      <alignment horizontal="center" vertical="center"/>
    </xf>
    <xf numFmtId="49" fontId="0" fillId="51" borderId="79" xfId="0" applyNumberFormat="1" applyFill="1" applyBorder="1">
      <alignment horizontal="center" vertical="center"/>
    </xf>
    <xf numFmtId="0" fontId="0" fillId="76" borderId="137" xfId="0" applyFill="1" applyBorder="1">
      <alignment horizontal="center" vertical="center"/>
    </xf>
    <xf numFmtId="0" fontId="0" fillId="55" borderId="137" xfId="45" applyFont="1" applyBorder="1">
      <alignment horizontal="center" vertical="center"/>
    </xf>
    <xf numFmtId="1" fontId="0" fillId="51" borderId="137" xfId="0" applyNumberFormat="1" applyFill="1" applyBorder="1">
      <alignment horizontal="center" vertical="center"/>
    </xf>
    <xf numFmtId="0" fontId="7" fillId="57" borderId="137" xfId="53" applyFill="1" applyBorder="1">
      <alignment horizontal="center" vertical="center"/>
    </xf>
    <xf numFmtId="0" fontId="0" fillId="57" borderId="137" xfId="53" applyFont="1" applyFill="1" applyBorder="1">
      <alignment horizontal="center" vertical="center"/>
    </xf>
    <xf numFmtId="0" fontId="0" fillId="51" borderId="142" xfId="0" applyFill="1" applyBorder="1">
      <alignment horizontal="center" vertical="center"/>
    </xf>
    <xf numFmtId="0" fontId="20" fillId="0" borderId="241" xfId="0" applyFont="1" applyBorder="1" applyAlignment="1">
      <alignment vertical="center"/>
    </xf>
    <xf numFmtId="0" fontId="0" fillId="51" borderId="242" xfId="0" applyFill="1" applyBorder="1">
      <alignment horizontal="center" vertical="center"/>
    </xf>
    <xf numFmtId="0" fontId="0" fillId="0" borderId="243" xfId="0" applyBorder="1">
      <alignment horizontal="center" vertical="center"/>
    </xf>
    <xf numFmtId="173" fontId="0" fillId="0" borderId="243" xfId="0" applyNumberFormat="1" applyBorder="1">
      <alignment horizontal="center" vertical="center"/>
    </xf>
    <xf numFmtId="0" fontId="4" fillId="0" borderId="70" xfId="0" applyFont="1" applyBorder="1" applyAlignment="1" applyProtection="1">
      <alignment horizontal="center"/>
      <protection locked="0"/>
    </xf>
    <xf numFmtId="0" fontId="0" fillId="0" borderId="69" xfId="0" applyBorder="1" applyAlignment="1">
      <alignment horizontal="left" vertical="center"/>
    </xf>
    <xf numFmtId="0" fontId="0" fillId="51" borderId="197" xfId="43" applyFont="1" applyFill="1" applyBorder="1">
      <alignment horizontal="center" vertical="center"/>
    </xf>
    <xf numFmtId="0" fontId="4" fillId="0" borderId="200" xfId="0" applyFont="1" applyBorder="1" applyAlignment="1" applyProtection="1">
      <alignment horizontal="center"/>
      <protection locked="0"/>
    </xf>
    <xf numFmtId="0" fontId="0" fillId="0" borderId="193" xfId="0" applyBorder="1" applyAlignment="1">
      <alignment horizontal="left" vertical="center"/>
    </xf>
    <xf numFmtId="0" fontId="0" fillId="0" borderId="214" xfId="0" applyBorder="1" applyAlignment="1">
      <alignment horizontal="left" vertical="center"/>
    </xf>
    <xf numFmtId="0" fontId="0" fillId="0" borderId="196" xfId="0" applyBorder="1">
      <alignment horizontal="center" vertical="center"/>
    </xf>
    <xf numFmtId="0" fontId="0" fillId="51" borderId="244" xfId="48" applyFont="1" applyFill="1" applyBorder="1">
      <alignment horizontal="center" vertical="center"/>
    </xf>
    <xf numFmtId="0" fontId="0" fillId="0" borderId="244" xfId="0" applyBorder="1">
      <alignment horizontal="center" vertical="center"/>
    </xf>
    <xf numFmtId="49" fontId="0" fillId="51" borderId="245" xfId="0" applyNumberFormat="1" applyFill="1" applyBorder="1">
      <alignment horizontal="center" vertical="center"/>
    </xf>
    <xf numFmtId="0" fontId="0" fillId="0" borderId="201" xfId="0" applyBorder="1" applyAlignment="1">
      <alignment horizontal="left" vertical="center"/>
    </xf>
    <xf numFmtId="0" fontId="0" fillId="51" borderId="200" xfId="47" applyFont="1" applyFill="1" applyBorder="1">
      <alignment horizontal="center" vertical="center"/>
    </xf>
    <xf numFmtId="0" fontId="0" fillId="51" borderId="207" xfId="47" applyFont="1" applyFill="1" applyBorder="1">
      <alignment horizontal="center" vertical="center"/>
    </xf>
    <xf numFmtId="0" fontId="0" fillId="51" borderId="208" xfId="47" applyFont="1" applyFill="1" applyBorder="1">
      <alignment horizontal="center" vertical="center"/>
    </xf>
    <xf numFmtId="1" fontId="0" fillId="51" borderId="197" xfId="32" applyNumberFormat="1" applyFont="1" applyFill="1" applyBorder="1" applyAlignment="1">
      <alignment horizontal="center" vertical="center"/>
    </xf>
    <xf numFmtId="0" fontId="7" fillId="52" borderId="197" xfId="48" applyBorder="1">
      <alignment horizontal="center" vertical="center"/>
    </xf>
    <xf numFmtId="49" fontId="0" fillId="51" borderId="164" xfId="0" applyNumberFormat="1" applyFill="1" applyBorder="1">
      <alignment horizontal="center" vertical="center"/>
    </xf>
    <xf numFmtId="0" fontId="0" fillId="0" borderId="241" xfId="0" applyBorder="1" applyAlignment="1"/>
    <xf numFmtId="0" fontId="59" fillId="0" borderId="214" xfId="0" applyFont="1" applyBorder="1" applyAlignment="1">
      <alignment horizontal="left" vertical="center"/>
    </xf>
    <xf numFmtId="0" fontId="7" fillId="86" borderId="119" xfId="44" applyBorder="1">
      <alignment horizontal="center" vertical="center"/>
    </xf>
    <xf numFmtId="49" fontId="0" fillId="51" borderId="119" xfId="0" applyNumberFormat="1" applyFill="1" applyBorder="1">
      <alignment horizontal="center" vertical="center"/>
    </xf>
    <xf numFmtId="0" fontId="59" fillId="0" borderId="201" xfId="0" applyFont="1" applyBorder="1" applyAlignment="1">
      <alignment horizontal="left" vertical="center"/>
    </xf>
    <xf numFmtId="0" fontId="0" fillId="73" borderId="197" xfId="0" applyFill="1" applyBorder="1" applyAlignment="1"/>
    <xf numFmtId="0" fontId="0" fillId="55" borderId="157" xfId="0" applyFill="1" applyBorder="1">
      <alignment horizontal="center" vertical="center"/>
    </xf>
    <xf numFmtId="0" fontId="0" fillId="0" borderId="73" xfId="0" applyBorder="1">
      <alignment horizontal="center" vertical="center"/>
    </xf>
    <xf numFmtId="0" fontId="0" fillId="0" borderId="76" xfId="0" applyBorder="1">
      <alignment horizontal="center" vertical="center"/>
    </xf>
    <xf numFmtId="0" fontId="0" fillId="0" borderId="78" xfId="0" applyBorder="1">
      <alignment horizontal="center" vertical="center"/>
    </xf>
    <xf numFmtId="0" fontId="0" fillId="0" borderId="75" xfId="0" applyBorder="1" applyAlignment="1">
      <alignment horizontal="left" vertical="center"/>
    </xf>
    <xf numFmtId="0" fontId="0" fillId="0" borderId="77" xfId="0" applyBorder="1" applyAlignment="1">
      <alignment horizontal="left" vertical="center"/>
    </xf>
    <xf numFmtId="0" fontId="0" fillId="0" borderId="66" xfId="0" applyBorder="1">
      <alignment horizontal="center" vertical="center"/>
    </xf>
    <xf numFmtId="0" fontId="0" fillId="0" borderId="246" xfId="0" applyBorder="1">
      <alignment horizontal="center" vertical="center"/>
    </xf>
    <xf numFmtId="0" fontId="0" fillId="0" borderId="247" xfId="0" applyBorder="1">
      <alignment horizontal="center" vertical="center"/>
    </xf>
    <xf numFmtId="0" fontId="0" fillId="0" borderId="248" xfId="0" applyBorder="1">
      <alignment horizontal="center" vertical="center"/>
    </xf>
    <xf numFmtId="0" fontId="0" fillId="0" borderId="203" xfId="0" applyBorder="1">
      <alignment horizontal="center" vertical="center"/>
    </xf>
    <xf numFmtId="0" fontId="0" fillId="0" borderId="193" xfId="0" applyBorder="1">
      <alignment horizontal="center" vertical="center"/>
    </xf>
    <xf numFmtId="0" fontId="0" fillId="0" borderId="249" xfId="0" applyBorder="1">
      <alignment horizontal="center" vertical="center"/>
    </xf>
    <xf numFmtId="0" fontId="0" fillId="0" borderId="250" xfId="0" applyBorder="1" applyAlignment="1">
      <alignment horizontal="left" vertical="center"/>
    </xf>
    <xf numFmtId="0" fontId="0" fillId="0" borderId="204" xfId="0" applyBorder="1">
      <alignment horizontal="center" vertical="center"/>
    </xf>
    <xf numFmtId="0" fontId="0" fillId="0" borderId="196" xfId="0" applyBorder="1" applyAlignment="1">
      <alignment horizontal="left" vertical="center"/>
    </xf>
    <xf numFmtId="0" fontId="0" fillId="0" borderId="195" xfId="0" applyBorder="1">
      <alignment horizontal="center" vertical="center"/>
    </xf>
    <xf numFmtId="0" fontId="0" fillId="0" borderId="251" xfId="0" applyBorder="1">
      <alignment horizontal="center" vertical="center"/>
    </xf>
    <xf numFmtId="0" fontId="4" fillId="43" borderId="252" xfId="0" applyFont="1" applyFill="1" applyBorder="1" applyAlignment="1">
      <alignment horizontal="center"/>
    </xf>
    <xf numFmtId="0" fontId="0" fillId="0" borderId="252" xfId="0" applyBorder="1" applyAlignment="1">
      <alignment vertical="center"/>
    </xf>
    <xf numFmtId="0" fontId="0" fillId="51" borderId="252" xfId="0" applyFill="1" applyBorder="1">
      <alignment horizontal="center" vertical="center"/>
    </xf>
    <xf numFmtId="0" fontId="0" fillId="51" borderId="252" xfId="48" applyFont="1" applyFill="1" applyBorder="1">
      <alignment horizontal="center" vertical="center"/>
    </xf>
    <xf numFmtId="0" fontId="0" fillId="51" borderId="252" xfId="20" applyNumberFormat="1" applyFont="1" applyFill="1" applyBorder="1" applyAlignment="1">
      <alignment horizontal="center" vertical="center"/>
    </xf>
    <xf numFmtId="0" fontId="0" fillId="51" borderId="253" xfId="0" applyFill="1" applyBorder="1">
      <alignment horizontal="center" vertical="center"/>
    </xf>
    <xf numFmtId="0" fontId="4" fillId="43" borderId="200" xfId="0" applyFont="1" applyFill="1" applyBorder="1" applyAlignment="1">
      <alignment horizontal="center"/>
    </xf>
    <xf numFmtId="0" fontId="0" fillId="0" borderId="200" xfId="0" applyBorder="1" applyAlignment="1">
      <alignment vertical="center"/>
    </xf>
    <xf numFmtId="0" fontId="4" fillId="43" borderId="208" xfId="0" applyFont="1" applyFill="1" applyBorder="1" applyAlignment="1">
      <alignment horizontal="center"/>
    </xf>
    <xf numFmtId="0" fontId="0" fillId="51" borderId="208" xfId="51" applyFont="1" applyFill="1" applyBorder="1">
      <alignment horizontal="center" vertical="center"/>
    </xf>
    <xf numFmtId="0" fontId="4" fillId="0" borderId="248" xfId="0" applyFont="1" applyBorder="1" applyAlignment="1">
      <alignment horizontal="center"/>
    </xf>
    <xf numFmtId="0" fontId="4" fillId="0" borderId="254" xfId="0" applyFont="1" applyBorder="1" applyAlignment="1">
      <alignment horizontal="left"/>
    </xf>
    <xf numFmtId="0" fontId="6" fillId="0" borderId="248" xfId="0" applyFont="1" applyBorder="1" applyAlignment="1">
      <alignment horizontal="center"/>
    </xf>
    <xf numFmtId="0" fontId="0" fillId="0" borderId="248" xfId="0" applyBorder="1" applyAlignment="1">
      <alignment horizontal="center"/>
    </xf>
    <xf numFmtId="0" fontId="4" fillId="0" borderId="254" xfId="0" applyFont="1" applyBorder="1" applyAlignment="1">
      <alignment horizontal="center"/>
    </xf>
    <xf numFmtId="0" fontId="6" fillId="0" borderId="255" xfId="0" applyFont="1" applyBorder="1" applyAlignment="1">
      <alignment horizontal="center"/>
    </xf>
    <xf numFmtId="0" fontId="6" fillId="0" borderId="254" xfId="0" applyFont="1" applyBorder="1" applyAlignment="1">
      <alignment horizontal="center"/>
    </xf>
    <xf numFmtId="0" fontId="0" fillId="0" borderId="254" xfId="0" applyBorder="1" applyAlignment="1">
      <alignment horizontal="center"/>
    </xf>
    <xf numFmtId="0" fontId="7" fillId="0" borderId="255" xfId="0" applyFont="1" applyBorder="1" applyAlignment="1">
      <alignment horizontal="left" vertical="center"/>
    </xf>
    <xf numFmtId="0" fontId="6" fillId="0" borderId="255" xfId="0" applyFont="1" applyBorder="1">
      <alignment horizontal="center" vertical="center"/>
    </xf>
    <xf numFmtId="0" fontId="6" fillId="0" borderId="254" xfId="0" applyFont="1" applyBorder="1">
      <alignment horizontal="center" vertical="center"/>
    </xf>
    <xf numFmtId="0" fontId="4" fillId="0" borderId="234" xfId="0" applyFont="1" applyBorder="1" applyAlignment="1">
      <alignment horizontal="center"/>
    </xf>
    <xf numFmtId="0" fontId="7" fillId="0" borderId="193" xfId="0" applyFont="1" applyBorder="1" applyAlignment="1">
      <alignment horizontal="left" vertical="center"/>
    </xf>
    <xf numFmtId="0" fontId="7" fillId="0" borderId="191" xfId="0" applyFont="1" applyBorder="1" applyAlignment="1">
      <alignment horizontal="left" vertical="center"/>
    </xf>
    <xf numFmtId="0" fontId="7" fillId="0" borderId="249" xfId="0" applyFont="1" applyBorder="1" applyAlignment="1">
      <alignment horizontal="left" vertical="center"/>
    </xf>
    <xf numFmtId="0" fontId="4" fillId="0" borderId="201" xfId="0" applyFont="1" applyBorder="1" applyAlignment="1" applyProtection="1">
      <alignment horizontal="center"/>
      <protection locked="0"/>
    </xf>
    <xf numFmtId="0" fontId="7" fillId="0" borderId="252" xfId="0" applyFont="1" applyBorder="1">
      <alignment horizontal="center" vertical="center"/>
    </xf>
    <xf numFmtId="0" fontId="7" fillId="0" borderId="252" xfId="0" applyFont="1" applyBorder="1" applyAlignment="1">
      <alignment horizontal="left" vertical="center"/>
    </xf>
    <xf numFmtId="0" fontId="7" fillId="52" borderId="252" xfId="48" applyBorder="1">
      <alignment horizontal="center" vertical="center"/>
    </xf>
    <xf numFmtId="0" fontId="0" fillId="0" borderId="248" xfId="0" applyBorder="1" applyAlignment="1"/>
    <xf numFmtId="0" fontId="4" fillId="0" borderId="255" xfId="0" applyFont="1" applyBorder="1" applyAlignment="1">
      <alignment horizontal="left"/>
    </xf>
    <xf numFmtId="0" fontId="0" fillId="0" borderId="255" xfId="0" applyBorder="1" applyAlignment="1"/>
    <xf numFmtId="0" fontId="0" fillId="0" borderId="254" xfId="0" applyBorder="1" applyAlignment="1"/>
    <xf numFmtId="0" fontId="4" fillId="0" borderId="248" xfId="0" applyFont="1" applyBorder="1" applyAlignment="1">
      <alignment horizontal="left"/>
    </xf>
    <xf numFmtId="0" fontId="0" fillId="0" borderId="256" xfId="0" applyBorder="1" applyAlignment="1"/>
    <xf numFmtId="0" fontId="0" fillId="0" borderId="203" xfId="0" applyBorder="1" applyAlignment="1">
      <alignment horizontal="center"/>
    </xf>
    <xf numFmtId="0" fontId="4" fillId="0" borderId="193" xfId="0" applyFont="1" applyBorder="1" applyAlignment="1">
      <alignment horizontal="left"/>
    </xf>
    <xf numFmtId="0" fontId="0" fillId="0" borderId="191" xfId="0" applyBorder="1" applyAlignment="1"/>
    <xf numFmtId="0" fontId="0" fillId="0" borderId="192" xfId="0" applyBorder="1" applyAlignment="1">
      <alignment horizontal="left"/>
    </xf>
    <xf numFmtId="0" fontId="4" fillId="0" borderId="191" xfId="0" applyFont="1" applyBorder="1" applyAlignment="1"/>
    <xf numFmtId="0" fontId="4" fillId="0" borderId="192" xfId="0" applyFont="1" applyBorder="1" applyAlignment="1">
      <alignment horizontal="left"/>
    </xf>
    <xf numFmtId="0" fontId="0" fillId="0" borderId="193" xfId="0" applyBorder="1" applyAlignment="1">
      <alignment horizontal="center"/>
    </xf>
    <xf numFmtId="0" fontId="0" fillId="0" borderId="249" xfId="0" applyBorder="1" applyAlignment="1"/>
    <xf numFmtId="0" fontId="4" fillId="0" borderId="214" xfId="0" applyFont="1" applyBorder="1" applyAlignment="1">
      <alignment horizontal="left"/>
    </xf>
    <xf numFmtId="0" fontId="0" fillId="0" borderId="212" xfId="0" applyBorder="1" applyAlignment="1"/>
    <xf numFmtId="0" fontId="0" fillId="0" borderId="213" xfId="0" applyBorder="1" applyAlignment="1">
      <alignment horizontal="left"/>
    </xf>
    <xf numFmtId="0" fontId="9" fillId="0" borderId="214" xfId="0" applyFont="1" applyBorder="1" applyAlignment="1">
      <alignment horizontal="center"/>
    </xf>
    <xf numFmtId="0" fontId="0" fillId="0" borderId="231" xfId="0" applyBorder="1" applyAlignment="1"/>
    <xf numFmtId="0" fontId="0" fillId="0" borderId="204" xfId="0" applyBorder="1" applyAlignment="1">
      <alignment horizontal="center"/>
    </xf>
    <xf numFmtId="0" fontId="4" fillId="0" borderId="196" xfId="0" applyFont="1" applyBorder="1" applyAlignment="1">
      <alignment horizontal="left"/>
    </xf>
    <xf numFmtId="0" fontId="7" fillId="0" borderId="205" xfId="0" applyFont="1" applyBorder="1" applyAlignment="1">
      <alignment horizontal="left" vertical="center"/>
    </xf>
    <xf numFmtId="0" fontId="7" fillId="0" borderId="205" xfId="0" applyFont="1" applyBorder="1">
      <alignment horizontal="center" vertical="center"/>
    </xf>
    <xf numFmtId="0" fontId="7" fillId="0" borderId="232" xfId="0" applyFont="1" applyBorder="1">
      <alignment horizontal="center" vertical="center"/>
    </xf>
    <xf numFmtId="0" fontId="7" fillId="0" borderId="196" xfId="0" applyFont="1" applyBorder="1" applyAlignment="1">
      <alignment horizontal="left" vertical="center"/>
    </xf>
    <xf numFmtId="0" fontId="7" fillId="0" borderId="205" xfId="0" applyFont="1" applyBorder="1" applyAlignment="1">
      <alignment horizontal="left"/>
    </xf>
    <xf numFmtId="0" fontId="7" fillId="0" borderId="232" xfId="0" applyFont="1" applyBorder="1" applyAlignment="1">
      <alignment horizontal="left" vertical="center"/>
    </xf>
    <xf numFmtId="0" fontId="0" fillId="0" borderId="205" xfId="0" applyBorder="1" applyAlignment="1">
      <alignment horizontal="left"/>
    </xf>
    <xf numFmtId="0" fontId="0" fillId="51" borderId="252" xfId="0" applyFill="1" applyBorder="1" applyAlignment="1">
      <alignment horizontal="left" vertical="center"/>
    </xf>
    <xf numFmtId="49" fontId="0" fillId="51" borderId="252" xfId="0" applyNumberFormat="1" applyFill="1" applyBorder="1">
      <alignment horizontal="center" vertical="center"/>
    </xf>
    <xf numFmtId="0" fontId="7" fillId="55" borderId="252" xfId="45" applyBorder="1">
      <alignment horizontal="center" vertical="center"/>
    </xf>
    <xf numFmtId="0" fontId="7" fillId="58" borderId="252" xfId="33" applyBorder="1">
      <alignment horizontal="center" vertical="center"/>
    </xf>
    <xf numFmtId="0" fontId="0" fillId="51" borderId="252" xfId="44" applyFont="1" applyFill="1" applyBorder="1">
      <alignment horizontal="center" vertical="center"/>
    </xf>
    <xf numFmtId="49" fontId="0" fillId="51" borderId="253" xfId="0" applyNumberFormat="1" applyFill="1" applyBorder="1">
      <alignment horizontal="center" vertical="center"/>
    </xf>
    <xf numFmtId="0" fontId="0" fillId="51" borderId="200" xfId="0" applyFill="1" applyBorder="1" applyAlignment="1">
      <alignment horizontal="left" vertical="center"/>
    </xf>
    <xf numFmtId="0" fontId="0" fillId="51" borderId="200" xfId="51" applyFont="1" applyFill="1" applyBorder="1">
      <alignment horizontal="center" vertical="center"/>
    </xf>
    <xf numFmtId="0" fontId="0" fillId="55" borderId="252" xfId="43" applyFont="1" applyFill="1" applyBorder="1">
      <alignment horizontal="center" vertical="center"/>
    </xf>
    <xf numFmtId="0" fontId="0" fillId="51" borderId="207" xfId="51" applyFont="1" applyFill="1" applyBorder="1">
      <alignment horizontal="center" vertical="center"/>
    </xf>
    <xf numFmtId="0" fontId="7" fillId="86" borderId="208" xfId="44" applyBorder="1">
      <alignment horizontal="center" vertical="center"/>
    </xf>
    <xf numFmtId="0" fontId="0" fillId="51" borderId="223" xfId="48" applyFont="1" applyFill="1" applyBorder="1">
      <alignment horizontal="center" vertical="center"/>
    </xf>
    <xf numFmtId="0" fontId="9" fillId="51" borderId="222" xfId="20" applyFont="1" applyFill="1" applyBorder="1" applyAlignment="1">
      <alignment horizontal="center" vertical="center"/>
    </xf>
    <xf numFmtId="0" fontId="0" fillId="0" borderId="196" xfId="0" applyBorder="1" applyAlignment="1">
      <alignment horizontal="left"/>
    </xf>
    <xf numFmtId="0" fontId="0" fillId="0" borderId="205" xfId="0" applyBorder="1" applyAlignment="1"/>
    <xf numFmtId="0" fontId="0" fillId="0" borderId="232" xfId="0" applyBorder="1" applyAlignment="1">
      <alignment horizontal="left"/>
    </xf>
    <xf numFmtId="0" fontId="0" fillId="0" borderId="196" xfId="0" applyBorder="1" applyAlignment="1">
      <alignment horizontal="center"/>
    </xf>
    <xf numFmtId="0" fontId="0" fillId="0" borderId="233" xfId="0" applyBorder="1" applyAlignment="1"/>
    <xf numFmtId="0" fontId="4" fillId="43" borderId="197" xfId="0" applyFont="1" applyFill="1" applyBorder="1" applyAlignment="1">
      <alignment horizontal="center"/>
    </xf>
    <xf numFmtId="0" fontId="0" fillId="0" borderId="197" xfId="0" applyBorder="1" applyAlignment="1">
      <alignment vertical="center"/>
    </xf>
    <xf numFmtId="0" fontId="4" fillId="43" borderId="238" xfId="0" applyFont="1" applyFill="1" applyBorder="1" applyAlignment="1">
      <alignment horizontal="center"/>
    </xf>
    <xf numFmtId="0" fontId="0" fillId="52" borderId="238" xfId="48" applyFont="1" applyBorder="1">
      <alignment horizontal="center" vertical="center"/>
    </xf>
    <xf numFmtId="0" fontId="7" fillId="52" borderId="238" xfId="48" applyBorder="1">
      <alignment horizontal="center" vertical="center"/>
    </xf>
    <xf numFmtId="0" fontId="0" fillId="51" borderId="238" xfId="46" applyFont="1" applyFill="1" applyBorder="1">
      <alignment horizontal="center" vertical="center"/>
    </xf>
    <xf numFmtId="0" fontId="0" fillId="55" borderId="238" xfId="0" applyFill="1" applyBorder="1">
      <alignment horizontal="center" vertical="center"/>
    </xf>
    <xf numFmtId="0" fontId="7" fillId="86" borderId="238" xfId="44" applyBorder="1">
      <alignment horizontal="center" vertical="center"/>
    </xf>
    <xf numFmtId="0" fontId="7" fillId="89" borderId="244" xfId="56" applyBorder="1">
      <alignment horizontal="center" vertical="center"/>
    </xf>
    <xf numFmtId="0" fontId="4" fillId="43" borderId="244" xfId="0" applyFont="1" applyFill="1" applyBorder="1" applyAlignment="1">
      <alignment horizontal="center"/>
    </xf>
    <xf numFmtId="0" fontId="7" fillId="52" borderId="244" xfId="48" applyBorder="1">
      <alignment horizontal="center" vertical="center"/>
    </xf>
    <xf numFmtId="0" fontId="3" fillId="0" borderId="193" xfId="0" applyFont="1" applyBorder="1" applyAlignment="1">
      <alignment horizontal="left"/>
    </xf>
    <xf numFmtId="0" fontId="4" fillId="0" borderId="191" xfId="0" applyFont="1" applyBorder="1">
      <alignment horizontal="center" vertical="center"/>
    </xf>
    <xf numFmtId="167" fontId="9" fillId="0" borderId="196" xfId="0" applyNumberFormat="1" applyFont="1" applyBorder="1" applyAlignment="1">
      <alignment horizontal="center"/>
    </xf>
    <xf numFmtId="0" fontId="7" fillId="51" borderId="252" xfId="0" applyFont="1" applyFill="1" applyBorder="1" applyAlignment="1">
      <alignment vertical="center"/>
    </xf>
    <xf numFmtId="0" fontId="0" fillId="51" borderId="252" xfId="32" applyFont="1" applyFill="1" applyBorder="1" applyAlignment="1">
      <alignment horizontal="center" vertical="center"/>
    </xf>
    <xf numFmtId="0" fontId="0" fillId="51" borderId="252" xfId="43" applyFont="1" applyFill="1" applyBorder="1">
      <alignment horizontal="center" vertical="center"/>
    </xf>
    <xf numFmtId="0" fontId="7" fillId="51" borderId="200" xfId="0" applyFont="1" applyFill="1" applyBorder="1" applyAlignment="1">
      <alignment vertical="center"/>
    </xf>
    <xf numFmtId="0" fontId="51" fillId="56" borderId="200" xfId="46" applyBorder="1">
      <alignment horizontal="center" vertical="center"/>
    </xf>
    <xf numFmtId="0" fontId="0" fillId="51" borderId="200" xfId="0" applyFill="1" applyBorder="1" applyAlignment="1">
      <alignment vertical="center"/>
    </xf>
    <xf numFmtId="0" fontId="0" fillId="51" borderId="207" xfId="43" applyFont="1" applyFill="1" applyBorder="1">
      <alignment horizontal="center" vertical="center"/>
    </xf>
    <xf numFmtId="0" fontId="4" fillId="43" borderId="201" xfId="0" applyFont="1" applyFill="1" applyBorder="1" applyAlignment="1">
      <alignment horizontal="center"/>
    </xf>
    <xf numFmtId="0" fontId="0" fillId="51" borderId="201" xfId="0" applyFill="1" applyBorder="1">
      <alignment horizontal="center" vertical="center"/>
    </xf>
    <xf numFmtId="49" fontId="0" fillId="51" borderId="201" xfId="0" applyNumberFormat="1" applyFill="1" applyBorder="1">
      <alignment horizontal="center" vertical="center"/>
    </xf>
    <xf numFmtId="0" fontId="0" fillId="51" borderId="257" xfId="48" applyFont="1" applyFill="1" applyBorder="1">
      <alignment horizontal="center" vertical="center"/>
    </xf>
    <xf numFmtId="0" fontId="4" fillId="0" borderId="258" xfId="0" applyFont="1" applyBorder="1" applyAlignment="1">
      <alignment horizontal="center"/>
    </xf>
    <xf numFmtId="49" fontId="7" fillId="0" borderId="259" xfId="0" applyNumberFormat="1" applyFont="1" applyBorder="1">
      <alignment horizontal="center" vertical="center"/>
    </xf>
    <xf numFmtId="0" fontId="0" fillId="0" borderId="260" xfId="0" applyBorder="1">
      <alignment horizontal="center" vertical="center"/>
    </xf>
    <xf numFmtId="0" fontId="4" fillId="0" borderId="260" xfId="0" applyFont="1" applyBorder="1" applyAlignment="1">
      <alignment horizontal="left"/>
    </xf>
    <xf numFmtId="0" fontId="3" fillId="0" borderId="261" xfId="0" applyFont="1" applyBorder="1" applyAlignment="1">
      <alignment horizontal="left" vertical="center"/>
    </xf>
    <xf numFmtId="0" fontId="3" fillId="0" borderId="261" xfId="0" applyFont="1" applyBorder="1">
      <alignment horizontal="center" vertical="center"/>
    </xf>
    <xf numFmtId="0" fontId="3" fillId="0" borderId="215" xfId="0" applyFont="1" applyBorder="1" applyAlignment="1">
      <alignment horizontal="left" vertical="center"/>
    </xf>
    <xf numFmtId="0" fontId="3" fillId="0" borderId="215" xfId="0" applyFont="1" applyBorder="1">
      <alignment horizontal="center" vertical="center"/>
    </xf>
    <xf numFmtId="0" fontId="7" fillId="0" borderId="215" xfId="0" applyFont="1" applyBorder="1">
      <alignment horizontal="center" vertical="center"/>
    </xf>
    <xf numFmtId="0" fontId="7" fillId="0" borderId="261" xfId="0" applyFont="1" applyBorder="1">
      <alignment horizontal="center" vertical="center"/>
    </xf>
    <xf numFmtId="0" fontId="9" fillId="0" borderId="215" xfId="0" applyFont="1" applyBorder="1">
      <alignment horizontal="center" vertical="center"/>
    </xf>
    <xf numFmtId="0" fontId="0" fillId="0" borderId="216" xfId="0" applyBorder="1">
      <alignment horizontal="center" vertical="center"/>
    </xf>
    <xf numFmtId="0" fontId="14" fillId="0" borderId="261" xfId="0" applyFont="1" applyBorder="1">
      <alignment horizontal="center" vertical="center"/>
    </xf>
    <xf numFmtId="0" fontId="14" fillId="0" borderId="215" xfId="0" applyFont="1" applyBorder="1">
      <alignment horizontal="center" vertical="center"/>
    </xf>
    <xf numFmtId="49" fontId="0" fillId="0" borderId="216" xfId="0" applyNumberFormat="1" applyBorder="1">
      <alignment horizontal="center" vertical="center"/>
    </xf>
    <xf numFmtId="0" fontId="9" fillId="0" borderId="54" xfId="0" applyFont="1" applyBorder="1">
      <alignment horizontal="center" vertical="center"/>
    </xf>
    <xf numFmtId="49" fontId="0" fillId="0" borderId="215" xfId="0" applyNumberFormat="1" applyBorder="1">
      <alignment horizontal="center" vertical="center"/>
    </xf>
    <xf numFmtId="49" fontId="0" fillId="0" borderId="262" xfId="0" applyNumberFormat="1" applyBorder="1">
      <alignment horizontal="center" vertical="center"/>
    </xf>
    <xf numFmtId="0" fontId="6" fillId="0" borderId="220" xfId="0" applyFont="1" applyBorder="1" applyAlignment="1">
      <alignment horizontal="center"/>
    </xf>
    <xf numFmtId="0" fontId="7" fillId="51" borderId="137" xfId="43" applyFill="1" applyBorder="1">
      <alignment horizontal="center" vertical="center"/>
    </xf>
    <xf numFmtId="0" fontId="7" fillId="58" borderId="137" xfId="33" applyBorder="1">
      <alignment horizontal="center" vertical="center"/>
    </xf>
    <xf numFmtId="49" fontId="0" fillId="53" borderId="137" xfId="0" applyNumberFormat="1" applyFill="1" applyBorder="1">
      <alignment horizontal="center" vertical="center"/>
    </xf>
    <xf numFmtId="49" fontId="36" fillId="17" borderId="263" xfId="34" applyNumberFormat="1" applyBorder="1" applyAlignment="1">
      <alignment horizontal="center" vertical="center"/>
    </xf>
    <xf numFmtId="0" fontId="4" fillId="0" borderId="248" xfId="0" applyFont="1" applyBorder="1" applyAlignment="1">
      <alignment horizontal="left" vertical="center"/>
    </xf>
    <xf numFmtId="0" fontId="0" fillId="0" borderId="254" xfId="0" applyBorder="1" applyAlignment="1">
      <alignment horizontal="left" vertical="center"/>
    </xf>
    <xf numFmtId="0" fontId="4" fillId="0" borderId="255" xfId="0" applyFont="1" applyBorder="1" applyAlignment="1">
      <alignment horizontal="left" vertical="center"/>
    </xf>
    <xf numFmtId="0" fontId="0" fillId="0" borderId="264" xfId="0" applyBorder="1" applyAlignment="1">
      <alignment horizontal="left" vertical="center"/>
    </xf>
    <xf numFmtId="0" fontId="0" fillId="51" borderId="265" xfId="0" applyFill="1" applyBorder="1">
      <alignment horizontal="center" vertical="center"/>
    </xf>
    <xf numFmtId="0" fontId="7" fillId="54" borderId="200" xfId="50" applyBorder="1">
      <alignment horizontal="center" vertical="center"/>
    </xf>
    <xf numFmtId="0" fontId="0" fillId="53" borderId="200" xfId="43" applyFont="1" applyBorder="1">
      <alignment horizontal="center" vertical="center"/>
    </xf>
    <xf numFmtId="0" fontId="4" fillId="0" borderId="266" xfId="0" applyFont="1" applyBorder="1" applyAlignment="1">
      <alignment horizontal="center"/>
    </xf>
    <xf numFmtId="0" fontId="0" fillId="0" borderId="252" xfId="0" applyBorder="1" applyAlignment="1" applyProtection="1">
      <alignment horizontal="center"/>
      <protection locked="0"/>
    </xf>
    <xf numFmtId="0" fontId="0" fillId="51" borderId="207" xfId="44" applyFont="1" applyFill="1" applyBorder="1">
      <alignment horizontal="center" vertical="center"/>
    </xf>
    <xf numFmtId="0" fontId="7" fillId="53" borderId="208" xfId="43" applyBorder="1">
      <alignment horizontal="center" vertical="center"/>
    </xf>
    <xf numFmtId="0" fontId="0" fillId="51" borderId="163" xfId="48" applyFont="1" applyFill="1" applyBorder="1">
      <alignment horizontal="center" vertical="center"/>
    </xf>
    <xf numFmtId="0" fontId="0" fillId="0" borderId="220" xfId="0" applyBorder="1" applyAlignment="1" applyProtection="1">
      <alignment horizontal="center"/>
      <protection locked="0"/>
    </xf>
    <xf numFmtId="0" fontId="0" fillId="0" borderId="220" xfId="0" applyBorder="1" applyAlignment="1">
      <alignment horizontal="left" vertical="center"/>
    </xf>
    <xf numFmtId="49" fontId="0" fillId="51" borderId="267" xfId="0" applyNumberFormat="1" applyFill="1" applyBorder="1">
      <alignment horizontal="center" vertical="center"/>
    </xf>
    <xf numFmtId="49" fontId="0" fillId="51" borderId="268" xfId="0" applyNumberFormat="1" applyFill="1" applyBorder="1">
      <alignment horizontal="center" vertical="center"/>
    </xf>
    <xf numFmtId="0" fontId="0" fillId="51" borderId="268" xfId="0" applyFill="1" applyBorder="1">
      <alignment horizontal="center" vertical="center"/>
    </xf>
    <xf numFmtId="0" fontId="6" fillId="44" borderId="193" xfId="0" applyFont="1" applyFill="1" applyBorder="1" applyAlignment="1">
      <alignment horizontal="left"/>
    </xf>
    <xf numFmtId="0" fontId="0" fillId="0" borderId="261" xfId="0" applyBorder="1">
      <alignment horizontal="center" vertical="center"/>
    </xf>
    <xf numFmtId="0" fontId="59" fillId="0" borderId="269" xfId="0" applyFont="1" applyBorder="1" applyAlignment="1">
      <alignment horizontal="left" vertical="center"/>
    </xf>
    <xf numFmtId="0" fontId="59" fillId="0" borderId="270" xfId="0" applyFont="1" applyBorder="1" applyAlignment="1">
      <alignment horizontal="left" vertical="center"/>
    </xf>
    <xf numFmtId="0" fontId="0" fillId="0" borderId="261" xfId="0" applyBorder="1" applyAlignment="1">
      <alignment horizontal="left" vertical="center"/>
    </xf>
    <xf numFmtId="0" fontId="6" fillId="0" borderId="238" xfId="0" applyFont="1" applyBorder="1">
      <alignment horizontal="center" vertical="center"/>
    </xf>
    <xf numFmtId="0" fontId="0" fillId="51" borderId="252" xfId="0" applyFill="1" applyBorder="1" applyProtection="1">
      <alignment horizontal="center" vertical="center"/>
      <protection locked="0"/>
    </xf>
    <xf numFmtId="0" fontId="0" fillId="0" borderId="67" xfId="0" applyBorder="1" applyAlignment="1">
      <alignment horizontal="left" vertical="center"/>
    </xf>
    <xf numFmtId="0" fontId="0" fillId="51" borderId="67" xfId="32" applyFont="1" applyFill="1" applyBorder="1" applyAlignment="1">
      <alignment horizontal="center" vertical="center"/>
    </xf>
    <xf numFmtId="0" fontId="0" fillId="51" borderId="67" xfId="43" applyFont="1" applyFill="1" applyBorder="1">
      <alignment horizontal="center" vertical="center"/>
    </xf>
    <xf numFmtId="0" fontId="7" fillId="52" borderId="67" xfId="48" applyBorder="1">
      <alignment horizontal="center" vertical="center"/>
    </xf>
    <xf numFmtId="0" fontId="0" fillId="43" borderId="252" xfId="0" applyFill="1" applyBorder="1" applyAlignment="1" applyProtection="1">
      <alignment horizontal="center"/>
      <protection locked="0"/>
    </xf>
    <xf numFmtId="1" fontId="0" fillId="51" borderId="200" xfId="20" applyNumberFormat="1" applyFont="1" applyFill="1" applyBorder="1" applyAlignment="1">
      <alignment horizontal="center" vertical="center"/>
    </xf>
    <xf numFmtId="0" fontId="0" fillId="51" borderId="208" xfId="20" applyFont="1" applyFill="1" applyBorder="1" applyAlignment="1">
      <alignment horizontal="center" vertical="center"/>
    </xf>
    <xf numFmtId="0" fontId="0" fillId="51" borderId="208" xfId="46" applyFont="1" applyFill="1" applyBorder="1">
      <alignment horizontal="center" vertical="center"/>
    </xf>
    <xf numFmtId="0" fontId="61" fillId="60" borderId="208" xfId="51" applyBorder="1">
      <alignment horizontal="center" vertical="center"/>
    </xf>
    <xf numFmtId="0" fontId="0" fillId="0" borderId="252" xfId="0" applyBorder="1" applyAlignment="1">
      <alignment horizontal="left" vertical="center"/>
    </xf>
    <xf numFmtId="0" fontId="7" fillId="53" borderId="67" xfId="43" applyBorder="1">
      <alignment horizontal="center" vertical="center"/>
    </xf>
    <xf numFmtId="0" fontId="0" fillId="52" borderId="67" xfId="32" applyFont="1" applyFill="1" applyBorder="1" applyAlignment="1">
      <alignment horizontal="center" vertical="center"/>
    </xf>
    <xf numFmtId="0" fontId="0" fillId="0" borderId="238" xfId="0" applyBorder="1">
      <alignment horizontal="center" vertical="center"/>
    </xf>
    <xf numFmtId="173" fontId="0" fillId="0" borderId="238" xfId="0" applyNumberFormat="1" applyBorder="1">
      <alignment horizontal="center" vertical="center"/>
    </xf>
    <xf numFmtId="49" fontId="0" fillId="53" borderId="252" xfId="0" applyNumberFormat="1" applyFill="1" applyBorder="1">
      <alignment horizontal="center" vertical="center"/>
    </xf>
    <xf numFmtId="0" fontId="0" fillId="0" borderId="252" xfId="0" applyBorder="1">
      <alignment horizontal="center" vertical="center"/>
    </xf>
    <xf numFmtId="0" fontId="0" fillId="52" borderId="208" xfId="32" applyFont="1" applyFill="1" applyBorder="1" applyAlignment="1">
      <alignment horizontal="center" vertical="center"/>
    </xf>
    <xf numFmtId="0" fontId="0" fillId="52" borderId="208" xfId="43" applyFont="1" applyFill="1" applyBorder="1">
      <alignment horizontal="center" vertical="center"/>
    </xf>
    <xf numFmtId="49" fontId="0" fillId="52" borderId="208" xfId="0" applyNumberFormat="1" applyFill="1" applyBorder="1">
      <alignment horizontal="center" vertical="center"/>
    </xf>
    <xf numFmtId="0" fontId="0" fillId="52" borderId="208" xfId="0" applyFill="1" applyBorder="1">
      <alignment horizontal="center" vertical="center"/>
    </xf>
    <xf numFmtId="0" fontId="0" fillId="54" borderId="208" xfId="32" applyFont="1" applyFill="1" applyBorder="1" applyAlignment="1">
      <alignment horizontal="center" vertical="center"/>
    </xf>
    <xf numFmtId="0" fontId="0" fillId="54" borderId="208" xfId="43" applyFont="1" applyFill="1" applyBorder="1">
      <alignment horizontal="center" vertical="center"/>
    </xf>
    <xf numFmtId="0" fontId="0" fillId="54" borderId="223" xfId="0" applyFill="1" applyBorder="1">
      <alignment horizontal="center" vertical="center"/>
    </xf>
    <xf numFmtId="0" fontId="0" fillId="51" borderId="137" xfId="32" applyFont="1" applyFill="1" applyBorder="1" applyAlignment="1">
      <alignment horizontal="center" vertical="center"/>
    </xf>
    <xf numFmtId="0" fontId="4" fillId="0" borderId="73" xfId="0" applyFont="1" applyBorder="1" applyAlignment="1">
      <alignment horizontal="left" vertical="center"/>
    </xf>
    <xf numFmtId="0" fontId="0" fillId="0" borderId="77" xfId="0" applyBorder="1" applyAlignment="1">
      <alignment horizontal="left"/>
    </xf>
    <xf numFmtId="0" fontId="4" fillId="0" borderId="248" xfId="0" applyFont="1" applyBorder="1" applyAlignment="1">
      <alignment vertical="center"/>
    </xf>
    <xf numFmtId="0" fontId="0" fillId="0" borderId="77" xfId="0" applyBorder="1">
      <alignment horizontal="center" vertical="center"/>
    </xf>
    <xf numFmtId="0" fontId="4" fillId="0" borderId="76" xfId="0" applyFont="1" applyBorder="1" applyAlignment="1">
      <alignment horizontal="left" vertical="center"/>
    </xf>
    <xf numFmtId="0" fontId="4" fillId="0" borderId="76" xfId="0" applyFont="1" applyBorder="1" applyAlignment="1">
      <alignment horizontal="left"/>
    </xf>
    <xf numFmtId="0" fontId="4" fillId="0" borderId="255" xfId="0" applyFont="1" applyBorder="1" applyAlignment="1">
      <alignment vertical="center"/>
    </xf>
    <xf numFmtId="0" fontId="0" fillId="0" borderId="255" xfId="0" applyBorder="1">
      <alignment horizontal="center" vertical="center"/>
    </xf>
    <xf numFmtId="0" fontId="0" fillId="0" borderId="256" xfId="0" applyBorder="1">
      <alignment horizontal="center" vertical="center"/>
    </xf>
    <xf numFmtId="0" fontId="0" fillId="24" borderId="266" xfId="0" applyFill="1" applyBorder="1" applyAlignment="1" applyProtection="1">
      <alignment horizontal="center"/>
      <protection locked="0"/>
    </xf>
    <xf numFmtId="0" fontId="7" fillId="55" borderId="207" xfId="45" applyBorder="1">
      <alignment horizontal="center" vertical="center"/>
    </xf>
    <xf numFmtId="0" fontId="7" fillId="53" borderId="252" xfId="43" applyBorder="1">
      <alignment horizontal="center" vertical="center"/>
    </xf>
    <xf numFmtId="0" fontId="0" fillId="53" borderId="252" xfId="44" applyFont="1" applyFill="1" applyBorder="1">
      <alignment horizontal="center" vertical="center"/>
    </xf>
    <xf numFmtId="0" fontId="7" fillId="52" borderId="253" xfId="48" applyBorder="1">
      <alignment horizontal="center" vertical="center"/>
    </xf>
    <xf numFmtId="0" fontId="0" fillId="51" borderId="252" xfId="0" applyFill="1" applyBorder="1" applyAlignment="1">
      <alignment horizontal="left" vertical="center" wrapText="1"/>
    </xf>
    <xf numFmtId="0" fontId="0" fillId="55" borderId="123" xfId="0" applyFill="1" applyBorder="1">
      <alignment horizontal="center" vertical="center"/>
    </xf>
    <xf numFmtId="0" fontId="7" fillId="0" borderId="252" xfId="53" applyBorder="1">
      <alignment horizontal="center" vertical="center"/>
    </xf>
    <xf numFmtId="0" fontId="7" fillId="0" borderId="253" xfId="53" applyBorder="1">
      <alignment horizontal="center" vertical="center"/>
    </xf>
    <xf numFmtId="0" fontId="7" fillId="53" borderId="208" xfId="48" applyFill="1" applyBorder="1">
      <alignment horizontal="center" vertical="center"/>
    </xf>
    <xf numFmtId="0" fontId="7" fillId="0" borderId="208" xfId="48" applyFill="1" applyBorder="1">
      <alignment horizontal="center" vertical="center"/>
    </xf>
    <xf numFmtId="0" fontId="7" fillId="55" borderId="208" xfId="48" applyFill="1" applyBorder="1">
      <alignment horizontal="center" vertical="center"/>
    </xf>
    <xf numFmtId="0" fontId="7" fillId="52" borderId="223" xfId="48" applyBorder="1">
      <alignment horizontal="center" vertical="center"/>
    </xf>
    <xf numFmtId="0" fontId="0" fillId="51" borderId="252" xfId="46" applyFont="1" applyFill="1" applyBorder="1">
      <alignment horizontal="center" vertical="center"/>
    </xf>
    <xf numFmtId="0" fontId="7" fillId="0" borderId="271" xfId="0" applyFont="1" applyBorder="1" applyAlignment="1">
      <alignment horizontal="left"/>
    </xf>
    <xf numFmtId="0" fontId="6" fillId="0" borderId="271" xfId="0" applyFont="1" applyBorder="1" applyAlignment="1">
      <alignment horizontal="left"/>
    </xf>
    <xf numFmtId="0" fontId="7" fillId="0" borderId="261" xfId="0" applyFont="1" applyBorder="1" applyAlignment="1">
      <alignment horizontal="left"/>
    </xf>
    <xf numFmtId="0" fontId="0" fillId="0" borderId="272" xfId="0" applyBorder="1" applyAlignment="1">
      <alignment vertical="center"/>
    </xf>
    <xf numFmtId="0" fontId="0" fillId="51" borderId="273" xfId="0" applyFill="1" applyBorder="1" applyAlignment="1" applyProtection="1">
      <alignment horizontal="left" vertical="center"/>
      <protection locked="0"/>
    </xf>
    <xf numFmtId="0" fontId="7" fillId="89" borderId="252" xfId="56" applyBorder="1">
      <alignment horizontal="center" vertical="center"/>
    </xf>
    <xf numFmtId="0" fontId="0" fillId="60" borderId="200" xfId="48" applyFont="1" applyFill="1" applyBorder="1">
      <alignment horizontal="center" vertical="center"/>
    </xf>
    <xf numFmtId="0" fontId="0" fillId="60" borderId="200" xfId="0" applyFill="1" applyBorder="1">
      <alignment horizontal="center" vertical="center"/>
    </xf>
    <xf numFmtId="0" fontId="7" fillId="60" borderId="200" xfId="48" applyFill="1" applyBorder="1">
      <alignment horizontal="center" vertical="center"/>
    </xf>
    <xf numFmtId="0" fontId="61" fillId="60" borderId="207" xfId="51" applyBorder="1">
      <alignment horizontal="center" vertical="center"/>
    </xf>
    <xf numFmtId="0" fontId="0" fillId="54" borderId="200" xfId="48" applyFont="1" applyFill="1" applyBorder="1">
      <alignment horizontal="center" vertical="center"/>
    </xf>
    <xf numFmtId="0" fontId="0" fillId="51" borderId="220" xfId="0" applyFill="1" applyBorder="1" applyAlignment="1">
      <alignment horizontal="left" vertical="center"/>
    </xf>
    <xf numFmtId="0" fontId="7" fillId="55" borderId="142" xfId="45" applyBorder="1">
      <alignment horizontal="center" vertical="center"/>
    </xf>
    <xf numFmtId="0" fontId="7" fillId="88" borderId="200" xfId="47" applyBorder="1">
      <alignment horizontal="center" vertical="center"/>
    </xf>
    <xf numFmtId="0" fontId="0" fillId="76" borderId="200" xfId="48" applyFont="1" applyFill="1" applyBorder="1">
      <alignment horizontal="center" vertical="center"/>
    </xf>
    <xf numFmtId="0" fontId="7" fillId="89" borderId="207" xfId="56" applyBorder="1">
      <alignment horizontal="center" vertical="center"/>
    </xf>
    <xf numFmtId="0" fontId="7" fillId="52" borderId="200" xfId="50" applyFill="1" applyBorder="1">
      <alignment horizontal="center" vertical="center"/>
    </xf>
    <xf numFmtId="0" fontId="0" fillId="51" borderId="207" xfId="20" applyFont="1" applyFill="1" applyBorder="1" applyAlignment="1">
      <alignment horizontal="center" vertical="center"/>
    </xf>
    <xf numFmtId="0" fontId="7" fillId="53" borderId="200" xfId="48" applyFill="1" applyBorder="1">
      <alignment horizontal="center" vertical="center"/>
    </xf>
    <xf numFmtId="49" fontId="0" fillId="55" borderId="200" xfId="0" applyNumberFormat="1" applyFill="1" applyBorder="1">
      <alignment horizontal="center" vertical="center"/>
    </xf>
    <xf numFmtId="0" fontId="7" fillId="53" borderId="207" xfId="43" applyBorder="1">
      <alignment horizontal="center" vertical="center"/>
    </xf>
    <xf numFmtId="0" fontId="0" fillId="51" borderId="123" xfId="20" applyFont="1" applyFill="1" applyBorder="1" applyAlignment="1">
      <alignment horizontal="center" vertical="center"/>
    </xf>
    <xf numFmtId="0" fontId="0" fillId="51" borderId="123" xfId="43" applyFont="1" applyFill="1" applyBorder="1">
      <alignment horizontal="center" vertical="center"/>
    </xf>
    <xf numFmtId="0" fontId="0" fillId="51" borderId="274" xfId="0" applyFill="1" applyBorder="1">
      <alignment horizontal="center" vertical="center"/>
    </xf>
    <xf numFmtId="49" fontId="0" fillId="51" borderId="274" xfId="0" applyNumberFormat="1" applyFill="1" applyBorder="1">
      <alignment horizontal="center" vertical="center"/>
    </xf>
    <xf numFmtId="0" fontId="18" fillId="0" borderId="274" xfId="0" applyFont="1" applyBorder="1" applyAlignment="1" applyProtection="1">
      <alignment horizontal="center"/>
      <protection locked="0"/>
    </xf>
    <xf numFmtId="0" fontId="0" fillId="51" borderId="197" xfId="20" applyFont="1" applyFill="1" applyBorder="1" applyAlignment="1">
      <alignment horizontal="center" vertical="center"/>
    </xf>
    <xf numFmtId="0" fontId="0" fillId="51" borderId="197" xfId="0" applyFill="1" applyBorder="1">
      <alignment horizontal="center" vertical="center"/>
    </xf>
    <xf numFmtId="0" fontId="0" fillId="51" borderId="197" xfId="48" applyFont="1" applyFill="1" applyBorder="1">
      <alignment horizontal="center" vertical="center"/>
    </xf>
    <xf numFmtId="0" fontId="0" fillId="51" borderId="197" xfId="20" applyNumberFormat="1" applyFont="1" applyFill="1" applyBorder="1" applyAlignment="1">
      <alignment horizontal="center" vertical="center"/>
    </xf>
    <xf numFmtId="0" fontId="0" fillId="51" borderId="137" xfId="20" applyFont="1" applyFill="1" applyBorder="1" applyAlignment="1">
      <alignment horizontal="center" vertical="center"/>
    </xf>
    <xf numFmtId="0" fontId="7" fillId="55" borderId="137" xfId="45" applyBorder="1">
      <alignment horizontal="center" vertical="center"/>
    </xf>
    <xf numFmtId="0" fontId="7" fillId="88" borderId="163" xfId="47" applyBorder="1">
      <alignment horizontal="center" vertical="center"/>
    </xf>
    <xf numFmtId="0" fontId="20" fillId="0" borderId="275" xfId="0" applyFont="1" applyBorder="1" applyAlignment="1">
      <alignment vertical="center"/>
    </xf>
    <xf numFmtId="0" fontId="0" fillId="70" borderId="137" xfId="0" applyFill="1" applyBorder="1">
      <alignment horizontal="center" vertical="center"/>
    </xf>
    <xf numFmtId="0" fontId="0" fillId="0" borderId="54" xfId="0" applyBorder="1">
      <alignment horizontal="center" vertical="center"/>
    </xf>
    <xf numFmtId="173" fontId="0" fillId="0" borderId="54" xfId="0" applyNumberFormat="1" applyBorder="1">
      <alignment horizontal="center" vertical="center"/>
    </xf>
    <xf numFmtId="0" fontId="4" fillId="0" borderId="252" xfId="0" applyFont="1" applyBorder="1" applyAlignment="1" applyProtection="1">
      <alignment horizontal="center"/>
      <protection locked="0"/>
    </xf>
    <xf numFmtId="0" fontId="0" fillId="0" borderId="248" xfId="0" applyBorder="1" applyAlignment="1">
      <alignment horizontal="left" vertical="center"/>
    </xf>
    <xf numFmtId="0" fontId="7" fillId="52" borderId="64" xfId="48" applyBorder="1">
      <alignment horizontal="center" vertical="center"/>
    </xf>
    <xf numFmtId="0" fontId="0" fillId="51" borderId="64" xfId="0" applyFill="1" applyBorder="1">
      <alignment horizontal="center" vertical="center"/>
    </xf>
    <xf numFmtId="0" fontId="0" fillId="57" borderId="197" xfId="48" applyFont="1" applyFill="1" applyBorder="1">
      <alignment horizontal="center" vertical="center"/>
    </xf>
    <xf numFmtId="0" fontId="0" fillId="53" borderId="197" xfId="48" applyFont="1" applyFill="1" applyBorder="1">
      <alignment horizontal="center" vertical="center"/>
    </xf>
    <xf numFmtId="0" fontId="7" fillId="53" borderId="197" xfId="43" applyBorder="1">
      <alignment horizontal="center" vertical="center"/>
    </xf>
    <xf numFmtId="0" fontId="7" fillId="0" borderId="197" xfId="53" applyBorder="1">
      <alignment horizontal="center" vertical="center"/>
    </xf>
    <xf numFmtId="0" fontId="0" fillId="51" borderId="197" xfId="51" applyFont="1" applyFill="1" applyBorder="1">
      <alignment horizontal="center" vertical="center"/>
    </xf>
    <xf numFmtId="0" fontId="7" fillId="52" borderId="79" xfId="48" applyBorder="1">
      <alignment horizontal="center" vertical="center"/>
    </xf>
    <xf numFmtId="0" fontId="6" fillId="0" borderId="62" xfId="0" applyFont="1" applyBorder="1" applyAlignment="1">
      <alignment horizontal="center"/>
    </xf>
    <xf numFmtId="1" fontId="0" fillId="51" borderId="244" xfId="32" applyNumberFormat="1" applyFont="1" applyFill="1" applyBorder="1" applyAlignment="1">
      <alignment horizontal="center" vertical="center"/>
    </xf>
    <xf numFmtId="0" fontId="0" fillId="51" borderId="245" xfId="0" applyFill="1" applyBorder="1">
      <alignment horizontal="center" vertical="center"/>
    </xf>
    <xf numFmtId="0" fontId="0" fillId="51" borderId="123" xfId="47" applyFont="1" applyFill="1" applyBorder="1">
      <alignment horizontal="center" vertical="center"/>
    </xf>
    <xf numFmtId="0" fontId="0" fillId="51" borderId="118" xfId="47" applyFont="1" applyFill="1" applyBorder="1">
      <alignment horizontal="center" vertical="center"/>
    </xf>
    <xf numFmtId="0" fontId="58" fillId="0" borderId="220" xfId="0" applyFont="1" applyBorder="1" applyAlignment="1"/>
    <xf numFmtId="0" fontId="59" fillId="0" borderId="220" xfId="0" applyFont="1" applyBorder="1" applyAlignment="1">
      <alignment horizontal="left" vertical="center"/>
    </xf>
    <xf numFmtId="49" fontId="0" fillId="51" borderId="197" xfId="0" applyNumberFormat="1" applyFill="1" applyBorder="1">
      <alignment horizontal="center" vertical="center"/>
    </xf>
    <xf numFmtId="0" fontId="0" fillId="0" borderId="220" xfId="0" applyBorder="1">
      <alignment horizontal="center" vertical="center"/>
    </xf>
    <xf numFmtId="173" fontId="0" fillId="0" borderId="220" xfId="0" applyNumberFormat="1" applyBorder="1">
      <alignment horizontal="center" vertical="center"/>
    </xf>
    <xf numFmtId="0" fontId="0" fillId="0" borderId="220" xfId="0" applyBorder="1" applyAlignment="1"/>
    <xf numFmtId="0" fontId="0" fillId="71" borderId="220" xfId="0" applyFill="1" applyBorder="1" applyAlignment="1"/>
    <xf numFmtId="0" fontId="7" fillId="55" borderId="197" xfId="45" applyBorder="1">
      <alignment horizontal="center" vertical="center"/>
    </xf>
    <xf numFmtId="0" fontId="0" fillId="0" borderId="197" xfId="0" applyBorder="1">
      <alignment horizontal="center" vertical="center"/>
    </xf>
    <xf numFmtId="0" fontId="7" fillId="89" borderId="197" xfId="56" applyBorder="1">
      <alignment horizontal="center" vertical="center"/>
    </xf>
    <xf numFmtId="49" fontId="0" fillId="55" borderId="197" xfId="0" applyNumberFormat="1" applyFill="1" applyBorder="1">
      <alignment horizontal="center" vertical="center"/>
    </xf>
    <xf numFmtId="0" fontId="0" fillId="0" borderId="276" xfId="0" applyBorder="1">
      <alignment horizontal="center" vertical="center"/>
    </xf>
    <xf numFmtId="0" fontId="0" fillId="0" borderId="254" xfId="0" applyBorder="1">
      <alignment horizontal="center" vertical="center"/>
    </xf>
    <xf numFmtId="0" fontId="0" fillId="0" borderId="255" xfId="0" applyBorder="1" applyAlignment="1">
      <alignment horizontal="left" vertical="center"/>
    </xf>
    <xf numFmtId="0" fontId="0" fillId="0" borderId="273" xfId="0" applyBorder="1">
      <alignment horizontal="center" vertical="center"/>
    </xf>
    <xf numFmtId="0" fontId="0" fillId="0" borderId="277" xfId="0" applyBorder="1">
      <alignment horizontal="center" vertical="center"/>
    </xf>
    <xf numFmtId="0" fontId="0" fillId="0" borderId="278" xfId="0" applyBorder="1">
      <alignment horizontal="center" vertical="center"/>
    </xf>
    <xf numFmtId="0" fontId="0" fillId="0" borderId="279" xfId="0" applyBorder="1">
      <alignment horizontal="center" vertical="center"/>
    </xf>
    <xf numFmtId="0" fontId="4" fillId="43" borderId="280" xfId="0" applyFont="1" applyFill="1" applyBorder="1" applyAlignment="1">
      <alignment horizontal="center"/>
    </xf>
    <xf numFmtId="0" fontId="0" fillId="0" borderId="280" xfId="0" applyBorder="1" applyAlignment="1">
      <alignment vertical="center"/>
    </xf>
    <xf numFmtId="0" fontId="0" fillId="51" borderId="280" xfId="0" applyFill="1" applyBorder="1">
      <alignment horizontal="center" vertical="center"/>
    </xf>
    <xf numFmtId="0" fontId="0" fillId="51" borderId="280" xfId="20" applyNumberFormat="1" applyFont="1" applyFill="1" applyBorder="1" applyAlignment="1">
      <alignment horizontal="center" vertical="center"/>
    </xf>
    <xf numFmtId="0" fontId="0" fillId="51" borderId="280" xfId="48" applyFont="1" applyFill="1" applyBorder="1">
      <alignment horizontal="center" vertical="center"/>
    </xf>
    <xf numFmtId="0" fontId="0" fillId="51" borderId="281" xfId="0" applyFill="1" applyBorder="1">
      <alignment horizontal="center" vertical="center"/>
    </xf>
    <xf numFmtId="0" fontId="4" fillId="0" borderId="279" xfId="0" applyFont="1" applyBorder="1" applyAlignment="1">
      <alignment horizontal="center"/>
    </xf>
    <xf numFmtId="0" fontId="4" fillId="0" borderId="282" xfId="0" applyFont="1" applyBorder="1" applyAlignment="1">
      <alignment horizontal="left"/>
    </xf>
    <xf numFmtId="0" fontId="6" fillId="0" borderId="279" xfId="0" applyFont="1" applyBorder="1" applyAlignment="1">
      <alignment horizontal="center"/>
    </xf>
    <xf numFmtId="0" fontId="0" fillId="0" borderId="279" xfId="0" applyBorder="1" applyAlignment="1">
      <alignment horizontal="center"/>
    </xf>
    <xf numFmtId="0" fontId="4" fillId="0" borderId="282" xfId="0" applyFont="1" applyBorder="1" applyAlignment="1">
      <alignment horizontal="center"/>
    </xf>
    <xf numFmtId="0" fontId="6" fillId="0" borderId="283" xfId="0" applyFont="1" applyBorder="1" applyAlignment="1">
      <alignment horizontal="center"/>
    </xf>
    <xf numFmtId="0" fontId="6" fillId="0" borderId="282" xfId="0" applyFont="1" applyBorder="1" applyAlignment="1">
      <alignment horizontal="center"/>
    </xf>
    <xf numFmtId="0" fontId="0" fillId="0" borderId="282" xfId="0" applyBorder="1" applyAlignment="1">
      <alignment horizontal="center"/>
    </xf>
    <xf numFmtId="0" fontId="7" fillId="0" borderId="283" xfId="0" applyFont="1" applyBorder="1" applyAlignment="1">
      <alignment horizontal="left" vertical="center"/>
    </xf>
    <xf numFmtId="0" fontId="6" fillId="0" borderId="283" xfId="0" applyFont="1" applyBorder="1">
      <alignment horizontal="center" vertical="center"/>
    </xf>
    <xf numFmtId="0" fontId="6" fillId="0" borderId="282" xfId="0" applyFont="1" applyBorder="1">
      <alignment horizontal="center" vertical="center"/>
    </xf>
    <xf numFmtId="0" fontId="7" fillId="0" borderId="280" xfId="0" applyFont="1" applyBorder="1">
      <alignment horizontal="center" vertical="center"/>
    </xf>
    <xf numFmtId="0" fontId="7" fillId="0" borderId="280" xfId="0" applyFont="1" applyBorder="1" applyAlignment="1">
      <alignment horizontal="left" vertical="center"/>
    </xf>
    <xf numFmtId="0" fontId="7" fillId="52" borderId="280" xfId="48" applyBorder="1">
      <alignment horizontal="center" vertical="center"/>
    </xf>
    <xf numFmtId="0" fontId="0" fillId="0" borderId="279" xfId="0" applyBorder="1" applyAlignment="1"/>
    <xf numFmtId="0" fontId="4" fillId="0" borderId="283" xfId="0" applyFont="1" applyBorder="1" applyAlignment="1">
      <alignment horizontal="left"/>
    </xf>
    <xf numFmtId="0" fontId="0" fillId="0" borderId="283" xfId="0" applyBorder="1" applyAlignment="1"/>
    <xf numFmtId="0" fontId="0" fillId="0" borderId="282" xfId="0" applyBorder="1" applyAlignment="1"/>
    <xf numFmtId="0" fontId="4" fillId="0" borderId="279" xfId="0" applyFont="1" applyBorder="1" applyAlignment="1">
      <alignment horizontal="left"/>
    </xf>
    <xf numFmtId="0" fontId="0" fillId="0" borderId="284" xfId="0" applyBorder="1" applyAlignment="1"/>
    <xf numFmtId="0" fontId="0" fillId="51" borderId="280" xfId="0" applyFill="1" applyBorder="1" applyAlignment="1">
      <alignment horizontal="left" vertical="center"/>
    </xf>
    <xf numFmtId="0" fontId="0" fillId="51" borderId="280" xfId="44" applyFont="1" applyFill="1" applyBorder="1">
      <alignment horizontal="center" vertical="center"/>
    </xf>
    <xf numFmtId="49" fontId="0" fillId="51" borderId="281" xfId="0" applyNumberFormat="1" applyFill="1" applyBorder="1">
      <alignment horizontal="center" vertical="center"/>
    </xf>
    <xf numFmtId="0" fontId="61" fillId="60" borderId="200" xfId="51" applyBorder="1">
      <alignment horizontal="center" vertical="center"/>
    </xf>
    <xf numFmtId="0" fontId="0" fillId="51" borderId="197" xfId="44" applyFont="1" applyFill="1" applyBorder="1">
      <alignment horizontal="center" vertical="center"/>
    </xf>
    <xf numFmtId="0" fontId="7" fillId="51" borderId="280" xfId="0" applyFont="1" applyFill="1" applyBorder="1" applyAlignment="1">
      <alignment vertical="center"/>
    </xf>
    <xf numFmtId="0" fontId="0" fillId="51" borderId="280" xfId="32" applyFont="1" applyFill="1" applyBorder="1" applyAlignment="1">
      <alignment horizontal="center" vertical="center"/>
    </xf>
    <xf numFmtId="49" fontId="7" fillId="0" borderId="275" xfId="0" applyNumberFormat="1" applyFont="1" applyBorder="1">
      <alignment horizontal="center" vertical="center"/>
    </xf>
    <xf numFmtId="0" fontId="0" fillId="0" borderId="285" xfId="0" applyBorder="1">
      <alignment horizontal="center" vertical="center"/>
    </xf>
    <xf numFmtId="0" fontId="0" fillId="0" borderId="286" xfId="0" applyBorder="1">
      <alignment horizontal="center" vertical="center"/>
    </xf>
    <xf numFmtId="49" fontId="0" fillId="0" borderId="275" xfId="0" applyNumberFormat="1" applyBorder="1">
      <alignment horizontal="center" vertical="center"/>
    </xf>
    <xf numFmtId="0" fontId="4" fillId="0" borderId="287" xfId="0" applyFont="1" applyBorder="1" applyAlignment="1">
      <alignment horizontal="left" vertical="center"/>
    </xf>
    <xf numFmtId="0" fontId="0" fillId="0" borderId="288" xfId="0" applyBorder="1" applyAlignment="1">
      <alignment horizontal="left" vertical="center"/>
    </xf>
    <xf numFmtId="0" fontId="4" fillId="0" borderId="289" xfId="0" applyFont="1" applyBorder="1" applyAlignment="1">
      <alignment horizontal="left" vertical="center"/>
    </xf>
    <xf numFmtId="0" fontId="4" fillId="0" borderId="290" xfId="0" applyFont="1" applyBorder="1" applyAlignment="1" applyProtection="1">
      <alignment horizontal="center"/>
      <protection locked="0"/>
    </xf>
    <xf numFmtId="0" fontId="0" fillId="0" borderId="290" xfId="0" applyBorder="1" applyAlignment="1">
      <alignment horizontal="left"/>
    </xf>
    <xf numFmtId="0" fontId="0" fillId="51" borderId="291" xfId="43" applyFont="1" applyFill="1" applyBorder="1">
      <alignment horizontal="center" vertical="center"/>
    </xf>
    <xf numFmtId="0" fontId="0" fillId="51" borderId="291" xfId="0" applyFill="1" applyBorder="1">
      <alignment horizontal="center" vertical="center"/>
    </xf>
    <xf numFmtId="0" fontId="0" fillId="51" borderId="292" xfId="0" applyFill="1" applyBorder="1">
      <alignment horizontal="center" vertical="center"/>
    </xf>
    <xf numFmtId="0" fontId="0" fillId="53" borderId="137" xfId="43" applyFont="1" applyBorder="1">
      <alignment horizontal="center" vertical="center"/>
    </xf>
    <xf numFmtId="0" fontId="7" fillId="52" borderId="198" xfId="48" applyBorder="1">
      <alignment horizontal="center" vertical="center"/>
    </xf>
    <xf numFmtId="0" fontId="7" fillId="86" borderId="198" xfId="44" applyBorder="1">
      <alignment horizontal="center" vertical="center"/>
    </xf>
    <xf numFmtId="0" fontId="7" fillId="53" borderId="198" xfId="43" applyBorder="1">
      <alignment horizontal="center" vertical="center"/>
    </xf>
    <xf numFmtId="0" fontId="7" fillId="0" borderId="198" xfId="53" applyBorder="1">
      <alignment horizontal="center" vertical="center"/>
    </xf>
    <xf numFmtId="0" fontId="4" fillId="0" borderId="293" xfId="0" applyFont="1" applyBorder="1" applyAlignment="1">
      <alignment horizontal="center"/>
    </xf>
    <xf numFmtId="0" fontId="0" fillId="0" borderId="294" xfId="0" applyBorder="1" applyAlignment="1" applyProtection="1">
      <alignment horizontal="center"/>
      <protection locked="0"/>
    </xf>
    <xf numFmtId="0" fontId="0" fillId="0" borderId="290" xfId="0" applyBorder="1" applyAlignment="1" applyProtection="1">
      <alignment horizontal="center"/>
      <protection locked="0"/>
    </xf>
    <xf numFmtId="0" fontId="0" fillId="0" borderId="290" xfId="0" applyBorder="1" applyAlignment="1">
      <alignment horizontal="left" vertical="center"/>
    </xf>
    <xf numFmtId="49" fontId="0" fillId="51" borderId="295" xfId="0" applyNumberFormat="1" applyFill="1" applyBorder="1">
      <alignment horizontal="center" vertical="center"/>
    </xf>
    <xf numFmtId="0" fontId="7" fillId="78" borderId="124" xfId="0" applyFont="1" applyFill="1" applyBorder="1">
      <alignment horizontal="center" vertical="center"/>
    </xf>
    <xf numFmtId="0" fontId="0" fillId="0" borderId="296" xfId="0" applyBorder="1" applyAlignment="1" applyProtection="1">
      <alignment horizontal="center"/>
      <protection locked="0"/>
    </xf>
    <xf numFmtId="0" fontId="6" fillId="51" borderId="296" xfId="0" applyFont="1" applyFill="1" applyBorder="1">
      <alignment horizontal="center" vertical="center"/>
    </xf>
    <xf numFmtId="0" fontId="0" fillId="51" borderId="296" xfId="0" applyFill="1" applyBorder="1">
      <alignment horizontal="center" vertical="center"/>
    </xf>
    <xf numFmtId="0" fontId="0" fillId="70" borderId="296" xfId="0" applyFill="1" applyBorder="1">
      <alignment horizontal="center" vertical="center"/>
    </xf>
    <xf numFmtId="0" fontId="0" fillId="51" borderId="294" xfId="0" applyFill="1" applyBorder="1" applyProtection="1">
      <alignment horizontal="center" vertical="center"/>
      <protection locked="0"/>
    </xf>
    <xf numFmtId="0" fontId="0" fillId="0" borderId="297" xfId="0" applyBorder="1" applyAlignment="1">
      <alignment horizontal="left" vertical="center"/>
    </xf>
    <xf numFmtId="0" fontId="0" fillId="51" borderId="297" xfId="32" applyFont="1" applyFill="1" applyBorder="1" applyAlignment="1">
      <alignment horizontal="center" vertical="center"/>
    </xf>
    <xf numFmtId="0" fontId="0" fillId="51" borderId="294" xfId="43" applyFont="1" applyFill="1" applyBorder="1">
      <alignment horizontal="center" vertical="center"/>
    </xf>
    <xf numFmtId="0" fontId="0" fillId="51" borderId="297" xfId="43" applyFont="1" applyFill="1" applyBorder="1">
      <alignment horizontal="center" vertical="center"/>
    </xf>
    <xf numFmtId="0" fontId="7" fillId="55" borderId="297" xfId="45" applyBorder="1">
      <alignment horizontal="center" vertical="center"/>
    </xf>
    <xf numFmtId="0" fontId="0" fillId="55" borderId="297" xfId="45" applyFont="1" applyBorder="1">
      <alignment horizontal="center" vertical="center"/>
    </xf>
    <xf numFmtId="0" fontId="0" fillId="43" borderId="294" xfId="0" applyFill="1" applyBorder="1" applyAlignment="1" applyProtection="1">
      <alignment horizontal="center"/>
      <protection locked="0"/>
    </xf>
    <xf numFmtId="0" fontId="7" fillId="55" borderId="123" xfId="45" applyBorder="1">
      <alignment horizontal="center" vertical="center"/>
    </xf>
    <xf numFmtId="0" fontId="7" fillId="0" borderId="200" xfId="48" applyFill="1" applyBorder="1">
      <alignment horizontal="center" vertical="center"/>
    </xf>
    <xf numFmtId="0" fontId="7" fillId="0" borderId="207" xfId="48" applyFill="1" applyBorder="1">
      <alignment horizontal="center" vertical="center"/>
    </xf>
    <xf numFmtId="0" fontId="0" fillId="82" borderId="200" xfId="44" applyFont="1" applyFill="1" applyBorder="1">
      <alignment horizontal="center" vertical="center"/>
    </xf>
    <xf numFmtId="0" fontId="4" fillId="24" borderId="296" xfId="0" applyFont="1" applyFill="1" applyBorder="1" applyAlignment="1" applyProtection="1">
      <alignment horizontal="left"/>
      <protection locked="0"/>
    </xf>
    <xf numFmtId="0" fontId="4" fillId="24" borderId="296" xfId="0" applyFont="1" applyFill="1" applyBorder="1">
      <alignment horizontal="center" vertical="center"/>
    </xf>
    <xf numFmtId="0" fontId="0" fillId="0" borderId="294" xfId="0" applyBorder="1" applyAlignment="1">
      <alignment horizontal="left" vertical="center"/>
    </xf>
    <xf numFmtId="0" fontId="0" fillId="51" borderId="294" xfId="32" applyFont="1" applyFill="1" applyBorder="1" applyAlignment="1">
      <alignment horizontal="center" vertical="center"/>
    </xf>
    <xf numFmtId="0" fontId="0" fillId="51" borderId="294" xfId="0" applyFill="1" applyBorder="1">
      <alignment horizontal="center" vertical="center"/>
    </xf>
    <xf numFmtId="0" fontId="0" fillId="51" borderId="294" xfId="44" applyFont="1" applyFill="1" applyBorder="1">
      <alignment horizontal="center" vertical="center"/>
    </xf>
    <xf numFmtId="0" fontId="0" fillId="55" borderId="294" xfId="43" applyFont="1" applyFill="1" applyBorder="1">
      <alignment horizontal="center" vertical="center"/>
    </xf>
    <xf numFmtId="49" fontId="0" fillId="51" borderId="294" xfId="0" applyNumberFormat="1" applyFill="1" applyBorder="1">
      <alignment horizontal="center" vertical="center"/>
    </xf>
    <xf numFmtId="0" fontId="0" fillId="56" borderId="294" xfId="43" applyFont="1" applyFill="1" applyBorder="1">
      <alignment horizontal="center" vertical="center"/>
    </xf>
    <xf numFmtId="0" fontId="0" fillId="56" borderId="294" xfId="32" applyFont="1" applyFill="1" applyBorder="1" applyAlignment="1">
      <alignment horizontal="center" vertical="center"/>
    </xf>
    <xf numFmtId="0" fontId="0" fillId="52" borderId="294" xfId="0" applyFill="1" applyBorder="1">
      <alignment horizontal="center" vertical="center"/>
    </xf>
    <xf numFmtId="0" fontId="0" fillId="52" borderId="294" xfId="43" applyFont="1" applyFill="1" applyBorder="1">
      <alignment horizontal="center" vertical="center"/>
    </xf>
    <xf numFmtId="0" fontId="0" fillId="52" borderId="294" xfId="32" applyFont="1" applyFill="1" applyBorder="1" applyAlignment="1">
      <alignment horizontal="center" vertical="center"/>
    </xf>
    <xf numFmtId="0" fontId="0" fillId="52" borderId="298" xfId="0" applyFill="1" applyBorder="1">
      <alignment horizontal="center" vertical="center"/>
    </xf>
    <xf numFmtId="0" fontId="0" fillId="75" borderId="208" xfId="43" applyFont="1" applyFill="1" applyBorder="1">
      <alignment horizontal="center" vertical="center"/>
    </xf>
    <xf numFmtId="0" fontId="0" fillId="75" borderId="208" xfId="32" applyFont="1" applyFill="1" applyBorder="1" applyAlignment="1">
      <alignment horizontal="center" vertical="center"/>
    </xf>
    <xf numFmtId="0" fontId="0" fillId="51" borderId="297" xfId="44" applyFont="1" applyFill="1" applyBorder="1">
      <alignment horizontal="center" vertical="center"/>
    </xf>
    <xf numFmtId="0" fontId="4" fillId="0" borderId="299" xfId="0" applyFont="1" applyBorder="1" applyAlignment="1">
      <alignment horizontal="left" vertical="center"/>
    </xf>
    <xf numFmtId="0" fontId="0" fillId="0" borderId="300" xfId="0" applyBorder="1" applyAlignment="1">
      <alignment horizontal="left"/>
    </xf>
    <xf numFmtId="0" fontId="4" fillId="0" borderId="287" xfId="0" applyFont="1" applyBorder="1" applyAlignment="1">
      <alignment vertical="center"/>
    </xf>
    <xf numFmtId="0" fontId="0" fillId="0" borderId="300" xfId="0" applyBorder="1">
      <alignment horizontal="center" vertical="center"/>
    </xf>
    <xf numFmtId="0" fontId="4" fillId="0" borderId="301" xfId="0" applyFont="1" applyBorder="1" applyAlignment="1">
      <alignment horizontal="left" vertical="center"/>
    </xf>
    <xf numFmtId="0" fontId="4" fillId="0" borderId="301" xfId="0" applyFont="1" applyBorder="1" applyAlignment="1">
      <alignment horizontal="left"/>
    </xf>
    <xf numFmtId="0" fontId="4" fillId="0" borderId="289" xfId="0" applyFont="1" applyBorder="1" applyAlignment="1">
      <alignment vertical="center"/>
    </xf>
    <xf numFmtId="0" fontId="0" fillId="0" borderId="289" xfId="0" applyBorder="1">
      <alignment horizontal="center" vertical="center"/>
    </xf>
    <xf numFmtId="0" fontId="0" fillId="0" borderId="302" xfId="0" applyBorder="1">
      <alignment horizontal="center" vertical="center"/>
    </xf>
    <xf numFmtId="0" fontId="0" fillId="24" borderId="293" xfId="0" applyFill="1" applyBorder="1" applyAlignment="1" applyProtection="1">
      <alignment horizontal="center"/>
      <protection locked="0"/>
    </xf>
    <xf numFmtId="49" fontId="0" fillId="51" borderId="298" xfId="0" applyNumberFormat="1" applyFill="1" applyBorder="1">
      <alignment horizontal="center" vertical="center"/>
    </xf>
    <xf numFmtId="0" fontId="0" fillId="55" borderId="208" xfId="43" applyFont="1" applyFill="1" applyBorder="1">
      <alignment horizontal="center" vertical="center"/>
    </xf>
    <xf numFmtId="0" fontId="7" fillId="89" borderId="208" xfId="56" applyBorder="1">
      <alignment horizontal="center" vertical="center"/>
    </xf>
    <xf numFmtId="0" fontId="7" fillId="52" borderId="294" xfId="48" applyBorder="1">
      <alignment horizontal="center" vertical="center"/>
    </xf>
    <xf numFmtId="49" fontId="0" fillId="52" borderId="294" xfId="0" applyNumberFormat="1" applyFill="1" applyBorder="1">
      <alignment horizontal="center" vertical="center"/>
    </xf>
    <xf numFmtId="0" fontId="0" fillId="52" borderId="294" xfId="44" applyFont="1" applyFill="1" applyBorder="1">
      <alignment horizontal="center" vertical="center"/>
    </xf>
    <xf numFmtId="0" fontId="0" fillId="52" borderId="200" xfId="20" applyFont="1" applyFill="1" applyBorder="1" applyAlignment="1">
      <alignment horizontal="center" vertical="center"/>
    </xf>
    <xf numFmtId="49" fontId="0" fillId="52" borderId="298" xfId="0" applyNumberFormat="1" applyFill="1" applyBorder="1">
      <alignment horizontal="center" vertical="center"/>
    </xf>
    <xf numFmtId="0" fontId="0" fillId="76" borderId="208" xfId="48" applyFont="1" applyFill="1" applyBorder="1">
      <alignment horizontal="center" vertical="center"/>
    </xf>
    <xf numFmtId="0" fontId="0" fillId="51" borderId="294" xfId="0" applyFill="1" applyBorder="1" applyAlignment="1">
      <alignment horizontal="left" vertical="center" wrapText="1"/>
    </xf>
    <xf numFmtId="0" fontId="7" fillId="89" borderId="123" xfId="56" applyBorder="1">
      <alignment horizontal="center" vertical="center"/>
    </xf>
    <xf numFmtId="49" fontId="0" fillId="55" borderId="123" xfId="0" applyNumberFormat="1" applyFill="1" applyBorder="1">
      <alignment horizontal="center" vertical="center"/>
    </xf>
    <xf numFmtId="0" fontId="7" fillId="54" borderId="123" xfId="50" applyBorder="1">
      <alignment horizontal="center" vertical="center"/>
    </xf>
    <xf numFmtId="0" fontId="7" fillId="0" borderId="201" xfId="53" applyBorder="1">
      <alignment horizontal="center" vertical="center"/>
    </xf>
    <xf numFmtId="0" fontId="0" fillId="89" borderId="208" xfId="56" applyFont="1" applyBorder="1">
      <alignment horizontal="center" vertical="center"/>
    </xf>
    <xf numFmtId="0" fontId="7" fillId="52" borderId="298" xfId="48" applyBorder="1">
      <alignment horizontal="center" vertical="center"/>
    </xf>
    <xf numFmtId="0" fontId="0" fillId="51" borderId="294" xfId="48" applyFont="1" applyFill="1" applyBorder="1">
      <alignment horizontal="center" vertical="center"/>
    </xf>
    <xf numFmtId="0" fontId="0" fillId="51" borderId="294" xfId="46" applyFont="1" applyFill="1" applyBorder="1">
      <alignment horizontal="center" vertical="center"/>
    </xf>
    <xf numFmtId="0" fontId="7" fillId="55" borderId="294" xfId="45" applyBorder="1">
      <alignment horizontal="center" vertical="center"/>
    </xf>
    <xf numFmtId="0" fontId="0" fillId="55" borderId="200" xfId="43" applyFont="1" applyFill="1" applyBorder="1">
      <alignment horizontal="center" vertical="center"/>
    </xf>
    <xf numFmtId="0" fontId="0" fillId="0" borderId="291" xfId="0" applyBorder="1" applyAlignment="1">
      <alignment vertical="center"/>
    </xf>
    <xf numFmtId="0" fontId="0" fillId="51" borderId="303" xfId="0" applyFill="1" applyBorder="1" applyAlignment="1" applyProtection="1">
      <alignment horizontal="left" vertical="center"/>
      <protection locked="0"/>
    </xf>
    <xf numFmtId="0" fontId="0" fillId="51" borderId="298" xfId="48" applyFont="1" applyFill="1" applyBorder="1">
      <alignment horizontal="center" vertical="center"/>
    </xf>
    <xf numFmtId="0" fontId="7" fillId="55" borderId="200" xfId="48" applyFill="1" applyBorder="1">
      <alignment horizontal="center" vertical="center"/>
    </xf>
    <xf numFmtId="0" fontId="0" fillId="53" borderId="200" xfId="0" applyFill="1" applyBorder="1">
      <alignment horizontal="center" vertical="center"/>
    </xf>
    <xf numFmtId="0" fontId="0" fillId="53" borderId="200" xfId="48" applyFont="1" applyFill="1" applyBorder="1">
      <alignment horizontal="center" vertical="center"/>
    </xf>
    <xf numFmtId="49" fontId="0" fillId="53" borderId="200" xfId="0" applyNumberFormat="1" applyFill="1" applyBorder="1">
      <alignment horizontal="center" vertical="center"/>
    </xf>
    <xf numFmtId="0" fontId="0" fillId="51" borderId="200" xfId="32" applyFont="1" applyFill="1" applyBorder="1" applyAlignment="1">
      <alignment horizontal="center" vertical="center"/>
    </xf>
    <xf numFmtId="0" fontId="7" fillId="81" borderId="200" xfId="56" applyFill="1" applyBorder="1">
      <alignment horizontal="center" vertical="center"/>
    </xf>
    <xf numFmtId="0" fontId="7" fillId="51" borderId="207" xfId="48" applyFill="1" applyBorder="1">
      <alignment horizontal="center" vertical="center"/>
    </xf>
    <xf numFmtId="49" fontId="0" fillId="55" borderId="207" xfId="0" applyNumberFormat="1" applyFill="1" applyBorder="1">
      <alignment horizontal="center" vertical="center"/>
    </xf>
    <xf numFmtId="0" fontId="7" fillId="51" borderId="200" xfId="47" applyFill="1" applyBorder="1">
      <alignment horizontal="center" vertical="center"/>
    </xf>
    <xf numFmtId="0" fontId="0" fillId="55" borderId="200" xfId="53" applyFont="1" applyFill="1" applyBorder="1">
      <alignment horizontal="center" vertical="center"/>
    </xf>
    <xf numFmtId="0" fontId="7" fillId="88" borderId="207" xfId="47" applyBorder="1">
      <alignment horizontal="center" vertical="center"/>
    </xf>
    <xf numFmtId="0" fontId="18" fillId="0" borderId="304" xfId="0" applyFont="1" applyBorder="1" applyAlignment="1" applyProtection="1">
      <alignment horizontal="center"/>
      <protection locked="0"/>
    </xf>
    <xf numFmtId="0" fontId="0" fillId="0" borderId="305" xfId="0" applyBorder="1" applyAlignment="1">
      <alignment horizontal="left" vertical="center"/>
    </xf>
    <xf numFmtId="49" fontId="0" fillId="51" borderId="306" xfId="0" applyNumberFormat="1" applyFill="1" applyBorder="1">
      <alignment horizontal="center" vertical="center"/>
    </xf>
    <xf numFmtId="0" fontId="0" fillId="51" borderId="306" xfId="48" applyFont="1" applyFill="1" applyBorder="1">
      <alignment horizontal="center" vertical="center"/>
    </xf>
    <xf numFmtId="0" fontId="0" fillId="51" borderId="306" xfId="0" applyFill="1" applyBorder="1">
      <alignment horizontal="center" vertical="center"/>
    </xf>
    <xf numFmtId="1" fontId="0" fillId="51" borderId="306" xfId="32" applyNumberFormat="1" applyFont="1" applyFill="1" applyBorder="1" applyAlignment="1">
      <alignment horizontal="center" vertical="center"/>
    </xf>
    <xf numFmtId="49" fontId="0" fillId="51" borderId="307" xfId="0" applyNumberFormat="1" applyFill="1" applyBorder="1">
      <alignment horizontal="center" vertical="center"/>
    </xf>
    <xf numFmtId="0" fontId="59" fillId="0" borderId="137" xfId="0" applyFont="1" applyBorder="1" applyAlignment="1">
      <alignment horizontal="left" vertical="center"/>
    </xf>
    <xf numFmtId="49" fontId="0" fillId="57" borderId="201" xfId="0" applyNumberFormat="1" applyFill="1" applyBorder="1">
      <alignment horizontal="center" vertical="center"/>
    </xf>
    <xf numFmtId="0" fontId="0" fillId="51" borderId="201" xfId="53" applyFont="1" applyFill="1" applyBorder="1">
      <alignment horizontal="center" vertical="center"/>
    </xf>
    <xf numFmtId="0" fontId="0" fillId="51" borderId="201" xfId="48" applyFont="1" applyFill="1" applyBorder="1">
      <alignment horizontal="center" vertical="center"/>
    </xf>
    <xf numFmtId="0" fontId="0" fillId="51" borderId="290" xfId="0" applyFill="1" applyBorder="1">
      <alignment horizontal="center" vertical="center"/>
    </xf>
    <xf numFmtId="0" fontId="0" fillId="0" borderId="290" xfId="0" applyBorder="1">
      <alignment horizontal="center" vertical="center"/>
    </xf>
    <xf numFmtId="0" fontId="0" fillId="55" borderId="290" xfId="0" applyFill="1" applyBorder="1">
      <alignment horizontal="center" vertical="center"/>
    </xf>
    <xf numFmtId="0" fontId="0" fillId="51" borderId="290" xfId="48" applyFont="1" applyFill="1" applyBorder="1">
      <alignment horizontal="center" vertical="center"/>
    </xf>
    <xf numFmtId="0" fontId="0" fillId="51" borderId="308" xfId="53" applyFont="1" applyFill="1" applyBorder="1">
      <alignment horizontal="center" vertical="center"/>
    </xf>
    <xf numFmtId="0" fontId="7" fillId="53" borderId="290" xfId="43" applyBorder="1">
      <alignment horizontal="center" vertical="center"/>
    </xf>
    <xf numFmtId="0" fontId="20" fillId="0" borderId="309" xfId="0" applyFont="1" applyBorder="1" applyAlignment="1">
      <alignment vertical="center"/>
    </xf>
    <xf numFmtId="0" fontId="0" fillId="70" borderId="142" xfId="0" applyFill="1" applyBorder="1">
      <alignment horizontal="center" vertical="center"/>
    </xf>
    <xf numFmtId="0" fontId="0" fillId="70" borderId="164" xfId="0" applyFill="1" applyBorder="1">
      <alignment horizontal="center" vertical="center"/>
    </xf>
    <xf numFmtId="0" fontId="4" fillId="0" borderId="294" xfId="0" applyFont="1" applyBorder="1" applyAlignment="1" applyProtection="1">
      <alignment horizontal="center"/>
      <protection locked="0"/>
    </xf>
    <xf numFmtId="0" fontId="7" fillId="0" borderId="306" xfId="53" applyBorder="1">
      <alignment horizontal="center" vertical="center"/>
    </xf>
    <xf numFmtId="0" fontId="0" fillId="51" borderId="306" xfId="44" applyFont="1" applyFill="1" applyBorder="1">
      <alignment horizontal="center" vertical="center"/>
    </xf>
    <xf numFmtId="0" fontId="0" fillId="51" borderId="306" xfId="43" applyFont="1" applyFill="1" applyBorder="1">
      <alignment horizontal="center" vertical="center"/>
    </xf>
    <xf numFmtId="49" fontId="0" fillId="51" borderId="310" xfId="0" applyNumberFormat="1" applyFill="1" applyBorder="1">
      <alignment horizontal="center" vertical="center"/>
    </xf>
    <xf numFmtId="49" fontId="0" fillId="51" borderId="308" xfId="0" applyNumberFormat="1" applyFill="1" applyBorder="1">
      <alignment horizontal="center" vertical="center"/>
    </xf>
    <xf numFmtId="0" fontId="7" fillId="0" borderId="238" xfId="53" applyBorder="1">
      <alignment horizontal="center" vertical="center"/>
    </xf>
    <xf numFmtId="0" fontId="6" fillId="0" borderId="307" xfId="0" applyFont="1" applyBorder="1" applyAlignment="1">
      <alignment horizontal="center"/>
    </xf>
    <xf numFmtId="0" fontId="0" fillId="51" borderId="118" xfId="0" applyFill="1" applyBorder="1">
      <alignment horizontal="center" vertical="center"/>
    </xf>
    <xf numFmtId="0" fontId="7" fillId="88" borderId="208" xfId="47" applyBorder="1">
      <alignment horizontal="center" vertical="center"/>
    </xf>
    <xf numFmtId="1" fontId="0" fillId="51" borderId="290" xfId="32" applyNumberFormat="1" applyFont="1" applyFill="1" applyBorder="1" applyAlignment="1">
      <alignment horizontal="center" vertical="center"/>
    </xf>
    <xf numFmtId="49" fontId="0" fillId="53" borderId="290" xfId="0" applyNumberFormat="1" applyFill="1" applyBorder="1">
      <alignment horizontal="center" vertical="center"/>
    </xf>
    <xf numFmtId="0" fontId="0" fillId="53" borderId="290" xfId="0" applyFill="1" applyBorder="1">
      <alignment horizontal="center" vertical="center"/>
    </xf>
    <xf numFmtId="49" fontId="0" fillId="51" borderId="290" xfId="0" applyNumberFormat="1" applyFill="1" applyBorder="1">
      <alignment horizontal="center" vertical="center"/>
    </xf>
    <xf numFmtId="0" fontId="0" fillId="57" borderId="290" xfId="0" applyFill="1" applyBorder="1">
      <alignment horizontal="center" vertical="center"/>
    </xf>
    <xf numFmtId="0" fontId="7" fillId="53" borderId="308" xfId="43" applyBorder="1">
      <alignment horizontal="center" vertical="center"/>
    </xf>
    <xf numFmtId="0" fontId="0" fillId="55" borderId="137" xfId="0" applyFill="1" applyBorder="1">
      <alignment horizontal="center" vertical="center"/>
    </xf>
    <xf numFmtId="0" fontId="0" fillId="0" borderId="157" xfId="0" applyBorder="1">
      <alignment horizontal="center" vertical="center"/>
    </xf>
    <xf numFmtId="173" fontId="0" fillId="0" borderId="157" xfId="0" applyNumberFormat="1" applyBorder="1">
      <alignment horizontal="center" vertical="center"/>
    </xf>
    <xf numFmtId="0" fontId="0" fillId="0" borderId="311" xfId="0" applyBorder="1" applyAlignment="1"/>
    <xf numFmtId="0" fontId="7" fillId="89" borderId="119" xfId="56" applyBorder="1">
      <alignment horizontal="center" vertical="center"/>
    </xf>
    <xf numFmtId="0" fontId="0" fillId="0" borderId="296" xfId="0" applyBorder="1">
      <alignment horizontal="center" vertical="center"/>
    </xf>
    <xf numFmtId="0" fontId="0" fillId="73" borderId="290" xfId="0" applyFill="1" applyBorder="1" applyAlignment="1"/>
    <xf numFmtId="0" fontId="7" fillId="52" borderId="290" xfId="48" applyBorder="1">
      <alignment horizontal="center" vertical="center"/>
    </xf>
    <xf numFmtId="49" fontId="0" fillId="55" borderId="290" xfId="0" applyNumberFormat="1" applyFill="1" applyBorder="1">
      <alignment horizontal="center" vertical="center"/>
    </xf>
    <xf numFmtId="0" fontId="7" fillId="89" borderId="290" xfId="56" applyBorder="1">
      <alignment horizontal="center" vertical="center"/>
    </xf>
    <xf numFmtId="0" fontId="0" fillId="0" borderId="299" xfId="0" applyBorder="1">
      <alignment horizontal="center" vertical="center"/>
    </xf>
    <xf numFmtId="0" fontId="0" fillId="0" borderId="301" xfId="0" applyBorder="1">
      <alignment horizontal="center" vertical="center"/>
    </xf>
    <xf numFmtId="0" fontId="0" fillId="0" borderId="312" xfId="0" applyBorder="1">
      <alignment horizontal="center" vertical="center"/>
    </xf>
    <xf numFmtId="0" fontId="0" fillId="0" borderId="313" xfId="0" applyBorder="1">
      <alignment horizontal="center" vertical="center"/>
    </xf>
    <xf numFmtId="0" fontId="0" fillId="0" borderId="314" xfId="0" applyBorder="1">
      <alignment horizontal="center" vertical="center"/>
    </xf>
    <xf numFmtId="0" fontId="0" fillId="0" borderId="287" xfId="0" applyBorder="1" applyAlignment="1">
      <alignment horizontal="left" vertical="center"/>
    </xf>
    <xf numFmtId="0" fontId="0" fillId="0" borderId="288" xfId="0" applyBorder="1">
      <alignment horizontal="center" vertical="center"/>
    </xf>
    <xf numFmtId="0" fontId="0" fillId="0" borderId="289" xfId="0" applyBorder="1" applyAlignment="1">
      <alignment horizontal="left" vertical="center"/>
    </xf>
    <xf numFmtId="0" fontId="0" fillId="0" borderId="301" xfId="0" applyBorder="1" applyAlignment="1">
      <alignment horizontal="left" vertical="center"/>
    </xf>
    <xf numFmtId="0" fontId="0" fillId="0" borderId="300" xfId="0" applyBorder="1" applyAlignment="1">
      <alignment horizontal="left" vertical="center"/>
    </xf>
    <xf numFmtId="0" fontId="0" fillId="0" borderId="303" xfId="0" applyBorder="1">
      <alignment horizontal="center" vertical="center"/>
    </xf>
    <xf numFmtId="0" fontId="0" fillId="0" borderId="315" xfId="0" applyBorder="1">
      <alignment horizontal="center" vertical="center"/>
    </xf>
    <xf numFmtId="0" fontId="0" fillId="0" borderId="316" xfId="0" applyBorder="1">
      <alignment horizontal="center" vertical="center"/>
    </xf>
    <xf numFmtId="0" fontId="0" fillId="0" borderId="317" xfId="0" applyBorder="1">
      <alignment horizontal="center" vertical="center"/>
    </xf>
    <xf numFmtId="0" fontId="4" fillId="43" borderId="318" xfId="0" applyFont="1" applyFill="1" applyBorder="1" applyAlignment="1">
      <alignment horizontal="center"/>
    </xf>
    <xf numFmtId="0" fontId="0" fillId="0" borderId="318" xfId="0" applyBorder="1" applyAlignment="1">
      <alignment vertical="center"/>
    </xf>
    <xf numFmtId="0" fontId="0" fillId="51" borderId="318" xfId="0" applyFill="1" applyBorder="1">
      <alignment horizontal="center" vertical="center"/>
    </xf>
    <xf numFmtId="0" fontId="0" fillId="51" borderId="318" xfId="20" applyNumberFormat="1" applyFont="1" applyFill="1" applyBorder="1" applyAlignment="1">
      <alignment horizontal="center" vertical="center"/>
    </xf>
    <xf numFmtId="0" fontId="0" fillId="51" borderId="318" xfId="48" applyFont="1" applyFill="1" applyBorder="1">
      <alignment horizontal="center" vertical="center"/>
    </xf>
    <xf numFmtId="0" fontId="0" fillId="51" borderId="319" xfId="0" applyFill="1" applyBorder="1">
      <alignment horizontal="center" vertical="center"/>
    </xf>
    <xf numFmtId="0" fontId="4" fillId="0" borderId="299" xfId="0" applyFont="1" applyBorder="1" applyAlignment="1">
      <alignment horizontal="center"/>
    </xf>
    <xf numFmtId="0" fontId="4" fillId="0" borderId="317" xfId="0" applyFont="1" applyBorder="1" applyAlignment="1">
      <alignment horizontal="center"/>
    </xf>
    <xf numFmtId="0" fontId="4" fillId="0" borderId="320" xfId="0" applyFont="1" applyBorder="1" applyAlignment="1">
      <alignment horizontal="left"/>
    </xf>
    <xf numFmtId="0" fontId="6" fillId="0" borderId="317" xfId="0" applyFont="1" applyBorder="1" applyAlignment="1">
      <alignment horizontal="center"/>
    </xf>
    <xf numFmtId="0" fontId="0" fillId="0" borderId="317" xfId="0" applyBorder="1" applyAlignment="1">
      <alignment horizontal="center"/>
    </xf>
    <xf numFmtId="0" fontId="4" fillId="0" borderId="320" xfId="0" applyFont="1" applyBorder="1" applyAlignment="1">
      <alignment horizontal="center"/>
    </xf>
    <xf numFmtId="0" fontId="6" fillId="0" borderId="321" xfId="0" applyFont="1" applyBorder="1" applyAlignment="1">
      <alignment horizontal="center"/>
    </xf>
    <xf numFmtId="0" fontId="6" fillId="0" borderId="320" xfId="0" applyFont="1" applyBorder="1" applyAlignment="1">
      <alignment horizontal="center"/>
    </xf>
    <xf numFmtId="0" fontId="0" fillId="0" borderId="320" xfId="0" applyBorder="1" applyAlignment="1">
      <alignment horizontal="center"/>
    </xf>
    <xf numFmtId="0" fontId="7" fillId="0" borderId="321" xfId="0" applyFont="1" applyBorder="1" applyAlignment="1">
      <alignment horizontal="left" vertical="center"/>
    </xf>
    <xf numFmtId="0" fontId="6" fillId="0" borderId="321" xfId="0" applyFont="1" applyBorder="1">
      <alignment horizontal="center" vertical="center"/>
    </xf>
    <xf numFmtId="0" fontId="6" fillId="0" borderId="320" xfId="0" applyFont="1" applyBorder="1">
      <alignment horizontal="center" vertical="center"/>
    </xf>
    <xf numFmtId="0" fontId="6" fillId="0" borderId="300" xfId="0" applyFont="1" applyBorder="1">
      <alignment horizontal="center" vertical="center"/>
    </xf>
    <xf numFmtId="0" fontId="7" fillId="0" borderId="300" xfId="0" applyFont="1" applyBorder="1">
      <alignment horizontal="center" vertical="center"/>
    </xf>
    <xf numFmtId="0" fontId="7" fillId="0" borderId="313" xfId="0" applyFont="1" applyBorder="1">
      <alignment horizontal="center" vertical="center"/>
    </xf>
    <xf numFmtId="0" fontId="7" fillId="0" borderId="318" xfId="0" applyFont="1" applyBorder="1">
      <alignment horizontal="center" vertical="center"/>
    </xf>
    <xf numFmtId="0" fontId="0" fillId="0" borderId="318" xfId="0" applyBorder="1" applyAlignment="1">
      <alignment horizontal="left" vertical="center"/>
    </xf>
    <xf numFmtId="0" fontId="0" fillId="55" borderId="318" xfId="45" applyFont="1" applyBorder="1">
      <alignment horizontal="center" vertical="center"/>
    </xf>
    <xf numFmtId="0" fontId="0" fillId="0" borderId="317" xfId="0" applyBorder="1" applyAlignment="1"/>
    <xf numFmtId="0" fontId="4" fillId="0" borderId="321" xfId="0" applyFont="1" applyBorder="1" applyAlignment="1">
      <alignment horizontal="left"/>
    </xf>
    <xf numFmtId="0" fontId="0" fillId="0" borderId="321" xfId="0" applyBorder="1" applyAlignment="1"/>
    <xf numFmtId="0" fontId="0" fillId="0" borderId="320" xfId="0" applyBorder="1" applyAlignment="1"/>
    <xf numFmtId="0" fontId="4" fillId="0" borderId="317" xfId="0" applyFont="1" applyBorder="1" applyAlignment="1">
      <alignment horizontal="left"/>
    </xf>
    <xf numFmtId="0" fontId="0" fillId="0" borderId="322" xfId="0" applyBorder="1" applyAlignment="1"/>
    <xf numFmtId="0" fontId="0" fillId="51" borderId="318" xfId="0" applyFill="1" applyBorder="1" applyAlignment="1">
      <alignment horizontal="left" vertical="center"/>
    </xf>
    <xf numFmtId="49" fontId="0" fillId="51" borderId="318" xfId="0" applyNumberFormat="1" applyFill="1" applyBorder="1">
      <alignment horizontal="center" vertical="center"/>
    </xf>
    <xf numFmtId="0" fontId="7" fillId="89" borderId="318" xfId="56" applyBorder="1">
      <alignment horizontal="center" vertical="center"/>
    </xf>
    <xf numFmtId="0" fontId="0" fillId="51" borderId="318" xfId="44" applyFont="1" applyFill="1" applyBorder="1">
      <alignment horizontal="center" vertical="center"/>
    </xf>
    <xf numFmtId="0" fontId="61" fillId="60" borderId="318" xfId="51" applyBorder="1">
      <alignment horizontal="center" vertical="center"/>
    </xf>
    <xf numFmtId="0" fontId="61" fillId="60" borderId="319" xfId="51" applyBorder="1">
      <alignment horizontal="center" vertical="center"/>
    </xf>
    <xf numFmtId="0" fontId="0" fillId="55" borderId="200" xfId="51" applyFont="1" applyFill="1" applyBorder="1">
      <alignment horizontal="center" vertical="center"/>
    </xf>
    <xf numFmtId="0" fontId="0" fillId="81" borderId="200" xfId="56" applyFont="1" applyFill="1" applyBorder="1">
      <alignment horizontal="center" vertical="center"/>
    </xf>
    <xf numFmtId="0" fontId="7" fillId="51" borderId="200" xfId="43" applyFill="1" applyBorder="1">
      <alignment horizontal="center" vertical="center"/>
    </xf>
    <xf numFmtId="0" fontId="0" fillId="55" borderId="208" xfId="0" applyFill="1" applyBorder="1">
      <alignment horizontal="center" vertical="center"/>
    </xf>
    <xf numFmtId="0" fontId="0" fillId="76" borderId="208" xfId="47" applyFont="1" applyFill="1" applyBorder="1">
      <alignment horizontal="center" vertical="center"/>
    </xf>
    <xf numFmtId="0" fontId="4" fillId="43" borderId="290" xfId="0" applyFont="1" applyFill="1" applyBorder="1" applyAlignment="1">
      <alignment horizontal="center"/>
    </xf>
    <xf numFmtId="0" fontId="0" fillId="0" borderId="290" xfId="0" applyBorder="1" applyAlignment="1">
      <alignment vertical="center"/>
    </xf>
    <xf numFmtId="0" fontId="0" fillId="51" borderId="308" xfId="0" applyFill="1" applyBorder="1">
      <alignment horizontal="center" vertical="center"/>
    </xf>
    <xf numFmtId="0" fontId="7" fillId="52" borderId="163" xfId="48" applyBorder="1">
      <alignment horizontal="center" vertical="center"/>
    </xf>
    <xf numFmtId="0" fontId="7" fillId="55" borderId="164" xfId="45" applyBorder="1">
      <alignment horizontal="center" vertical="center"/>
    </xf>
    <xf numFmtId="0" fontId="0" fillId="51" borderId="270" xfId="0" applyFill="1" applyBorder="1" applyAlignment="1">
      <alignment horizontal="left" vertical="center"/>
    </xf>
    <xf numFmtId="0" fontId="7" fillId="0" borderId="164" xfId="53" applyBorder="1">
      <alignment horizontal="center" vertical="center"/>
    </xf>
    <xf numFmtId="0" fontId="3" fillId="0" borderId="323" xfId="0" applyFont="1" applyBorder="1" applyAlignment="1">
      <alignment horizontal="left"/>
    </xf>
    <xf numFmtId="0" fontId="4" fillId="0" borderId="324" xfId="0" applyFont="1" applyBorder="1">
      <alignment horizontal="center" vertical="center"/>
    </xf>
    <xf numFmtId="167" fontId="9" fillId="0" borderId="325" xfId="0" applyNumberFormat="1" applyFont="1" applyBorder="1" applyAlignment="1">
      <alignment horizontal="center"/>
    </xf>
    <xf numFmtId="0" fontId="7" fillId="51" borderId="318" xfId="0" applyFont="1" applyFill="1" applyBorder="1" applyAlignment="1">
      <alignment vertical="center"/>
    </xf>
    <xf numFmtId="0" fontId="7" fillId="0" borderId="318" xfId="53" applyBorder="1">
      <alignment horizontal="center" vertical="center"/>
    </xf>
    <xf numFmtId="0" fontId="0" fillId="51" borderId="318" xfId="32" applyFont="1" applyFill="1" applyBorder="1" applyAlignment="1">
      <alignment horizontal="center" vertical="center"/>
    </xf>
    <xf numFmtId="0" fontId="7" fillId="51" borderId="326" xfId="0" applyFont="1" applyFill="1" applyBorder="1" applyAlignment="1">
      <alignment vertical="center"/>
    </xf>
    <xf numFmtId="0" fontId="0" fillId="51" borderId="326" xfId="0" applyFill="1" applyBorder="1" applyAlignment="1">
      <alignment vertical="center"/>
    </xf>
    <xf numFmtId="0" fontId="0" fillId="51" borderId="327" xfId="43" applyFont="1" applyFill="1" applyBorder="1">
      <alignment horizontal="center" vertical="center"/>
    </xf>
    <xf numFmtId="0" fontId="0" fillId="55" borderId="326" xfId="45" applyFont="1" applyBorder="1">
      <alignment horizontal="center" vertical="center"/>
    </xf>
    <xf numFmtId="0" fontId="4" fillId="43" borderId="328" xfId="0" applyFont="1" applyFill="1" applyBorder="1" applyAlignment="1">
      <alignment horizontal="center"/>
    </xf>
    <xf numFmtId="0" fontId="0" fillId="51" borderId="329" xfId="48" applyFont="1" applyFill="1" applyBorder="1">
      <alignment horizontal="center" vertical="center"/>
    </xf>
    <xf numFmtId="49" fontId="7" fillId="0" borderId="309" xfId="0" applyNumberFormat="1" applyFont="1" applyBorder="1">
      <alignment horizontal="center" vertical="center"/>
    </xf>
    <xf numFmtId="0" fontId="0" fillId="0" borderId="330" xfId="0" applyBorder="1">
      <alignment horizontal="center" vertical="center"/>
    </xf>
    <xf numFmtId="0" fontId="0" fillId="0" borderId="331" xfId="0" applyBorder="1">
      <alignment horizontal="center" vertical="center"/>
    </xf>
    <xf numFmtId="0" fontId="3" fillId="0" borderId="270" xfId="0" applyFont="1" applyBorder="1">
      <alignment horizontal="center" vertical="center"/>
    </xf>
    <xf numFmtId="0" fontId="3" fillId="0" borderId="332" xfId="0" applyFont="1" applyBorder="1" applyAlignment="1">
      <alignment horizontal="left" vertical="center"/>
    </xf>
    <xf numFmtId="0" fontId="3" fillId="0" borderId="270" xfId="0" applyFont="1" applyBorder="1" applyAlignment="1">
      <alignment horizontal="left" vertical="center"/>
    </xf>
    <xf numFmtId="0" fontId="3" fillId="0" borderId="332" xfId="0" applyFont="1" applyBorder="1">
      <alignment horizontal="center" vertical="center"/>
    </xf>
    <xf numFmtId="49" fontId="3" fillId="0" borderId="270" xfId="0" applyNumberFormat="1" applyFont="1" applyBorder="1">
      <alignment horizontal="center" vertical="center"/>
    </xf>
    <xf numFmtId="49" fontId="7" fillId="0" borderId="270" xfId="0" applyNumberFormat="1" applyFont="1" applyBorder="1">
      <alignment horizontal="center" vertical="center"/>
    </xf>
    <xf numFmtId="0" fontId="7" fillId="0" borderId="332" xfId="0" applyFont="1" applyBorder="1">
      <alignment horizontal="center" vertical="center"/>
    </xf>
    <xf numFmtId="0" fontId="9" fillId="0" borderId="333" xfId="0" applyFont="1" applyBorder="1">
      <alignment horizontal="center" vertical="center"/>
    </xf>
    <xf numFmtId="0" fontId="14" fillId="0" borderId="332" xfId="0" applyFont="1" applyBorder="1">
      <alignment horizontal="center" vertical="center"/>
    </xf>
    <xf numFmtId="49" fontId="14" fillId="0" borderId="270" xfId="0" applyNumberFormat="1" applyFont="1" applyBorder="1">
      <alignment horizontal="center" vertical="center"/>
    </xf>
    <xf numFmtId="49" fontId="0" fillId="0" borderId="309" xfId="0" applyNumberFormat="1" applyBorder="1">
      <alignment horizontal="center" vertical="center"/>
    </xf>
    <xf numFmtId="49" fontId="0" fillId="0" borderId="270" xfId="0" applyNumberFormat="1" applyBorder="1">
      <alignment horizontal="center" vertical="center"/>
    </xf>
    <xf numFmtId="0" fontId="0" fillId="51" borderId="163" xfId="50" applyFont="1" applyFill="1" applyBorder="1">
      <alignment horizontal="center" vertical="center"/>
    </xf>
    <xf numFmtId="0" fontId="0" fillId="51" borderId="137" xfId="50" applyFont="1" applyFill="1" applyBorder="1">
      <alignment horizontal="center" vertical="center"/>
    </xf>
    <xf numFmtId="0" fontId="4" fillId="0" borderId="317" xfId="0" applyFont="1" applyBorder="1" applyAlignment="1">
      <alignment horizontal="left" vertical="center"/>
    </xf>
    <xf numFmtId="0" fontId="0" fillId="0" borderId="320" xfId="0" applyBorder="1" applyAlignment="1">
      <alignment horizontal="left" vertical="center"/>
    </xf>
    <xf numFmtId="0" fontId="4" fillId="0" borderId="321" xfId="0" applyFont="1" applyBorder="1" applyAlignment="1">
      <alignment horizontal="left" vertical="center"/>
    </xf>
    <xf numFmtId="0" fontId="4" fillId="0" borderId="220" xfId="0" applyFont="1" applyBorder="1" applyAlignment="1">
      <alignment horizontal="center"/>
    </xf>
    <xf numFmtId="0" fontId="4" fillId="0" borderId="324" xfId="0" applyFont="1" applyBorder="1" applyAlignment="1">
      <alignment horizontal="left"/>
    </xf>
    <xf numFmtId="0" fontId="0" fillId="0" borderId="334" xfId="0" applyBorder="1" applyAlignment="1">
      <alignment horizontal="left" vertical="center"/>
    </xf>
    <xf numFmtId="49" fontId="0" fillId="0" borderId="323" xfId="0" applyNumberFormat="1" applyBorder="1" applyAlignment="1">
      <alignment horizontal="left"/>
    </xf>
    <xf numFmtId="49" fontId="0" fillId="0" borderId="323" xfId="0" applyNumberFormat="1" applyBorder="1" applyAlignment="1">
      <alignment horizontal="left" vertical="center"/>
    </xf>
    <xf numFmtId="0" fontId="0" fillId="0" borderId="335" xfId="0" applyBorder="1" applyAlignment="1">
      <alignment horizontal="left" vertical="center"/>
    </xf>
    <xf numFmtId="49" fontId="0" fillId="0" borderId="325" xfId="0" applyNumberFormat="1" applyBorder="1" applyAlignment="1">
      <alignment horizontal="left"/>
    </xf>
    <xf numFmtId="0" fontId="0" fillId="51" borderId="336" xfId="43" applyFont="1" applyFill="1" applyBorder="1">
      <alignment horizontal="center" vertical="center"/>
    </xf>
    <xf numFmtId="0" fontId="0" fillId="51" borderId="336" xfId="0" applyFill="1" applyBorder="1">
      <alignment horizontal="center" vertical="center"/>
    </xf>
    <xf numFmtId="0" fontId="0" fillId="58" borderId="137" xfId="43" applyFont="1" applyFill="1" applyBorder="1">
      <alignment horizontal="center" vertical="center"/>
    </xf>
    <xf numFmtId="0" fontId="4" fillId="0" borderId="328" xfId="0" applyFont="1" applyBorder="1">
      <alignment horizontal="center" vertical="center"/>
    </xf>
    <xf numFmtId="0" fontId="4" fillId="0" borderId="337" xfId="0" applyFont="1" applyBorder="1" applyAlignment="1">
      <alignment horizontal="center"/>
    </xf>
    <xf numFmtId="0" fontId="3" fillId="0" borderId="324" xfId="0" applyFont="1" applyBorder="1" applyAlignment="1">
      <alignment horizontal="left"/>
    </xf>
    <xf numFmtId="0" fontId="4" fillId="0" borderId="338" xfId="0" applyFont="1" applyBorder="1" applyAlignment="1">
      <alignment horizontal="center"/>
    </xf>
    <xf numFmtId="0" fontId="3" fillId="0" borderId="339" xfId="0" applyFont="1" applyBorder="1" applyAlignment="1">
      <alignment horizontal="center"/>
    </xf>
    <xf numFmtId="0" fontId="0" fillId="0" borderId="318" xfId="0" applyBorder="1" applyAlignment="1" applyProtection="1">
      <alignment horizontal="center"/>
      <protection locked="0"/>
    </xf>
    <xf numFmtId="0" fontId="0" fillId="0" borderId="326" xfId="0" applyBorder="1" applyAlignment="1" applyProtection="1">
      <alignment horizontal="center"/>
      <protection locked="0"/>
    </xf>
    <xf numFmtId="0" fontId="0" fillId="43" borderId="326" xfId="0" applyFill="1" applyBorder="1" applyAlignment="1">
      <alignment horizontal="center"/>
    </xf>
    <xf numFmtId="0" fontId="46" fillId="0" borderId="326" xfId="0" applyFont="1" applyBorder="1" applyAlignment="1">
      <alignment horizontal="left" vertical="center"/>
    </xf>
    <xf numFmtId="0" fontId="0" fillId="24" borderId="326" xfId="0" applyFill="1" applyBorder="1" applyAlignment="1" applyProtection="1">
      <alignment horizontal="center"/>
      <protection locked="0"/>
    </xf>
    <xf numFmtId="0" fontId="4" fillId="24" borderId="326" xfId="0" applyFont="1" applyFill="1" applyBorder="1">
      <alignment horizontal="center" vertical="center"/>
    </xf>
    <xf numFmtId="0" fontId="0" fillId="24" borderId="327" xfId="0" applyFill="1" applyBorder="1">
      <alignment horizontal="center" vertical="center"/>
    </xf>
    <xf numFmtId="0" fontId="0" fillId="51" borderId="327" xfId="44" applyFont="1" applyFill="1" applyBorder="1">
      <alignment horizontal="center" vertical="center"/>
    </xf>
    <xf numFmtId="0" fontId="0" fillId="0" borderId="340" xfId="0" applyBorder="1" applyAlignment="1" applyProtection="1">
      <alignment horizontal="center"/>
      <protection locked="0"/>
    </xf>
    <xf numFmtId="0" fontId="7" fillId="53" borderId="340" xfId="43" applyBorder="1">
      <alignment horizontal="center" vertical="center"/>
    </xf>
    <xf numFmtId="49" fontId="0" fillId="0" borderId="323" xfId="0" applyNumberFormat="1" applyBorder="1" applyAlignment="1"/>
    <xf numFmtId="49" fontId="0" fillId="51" borderId="341" xfId="0" applyNumberFormat="1" applyFill="1" applyBorder="1">
      <alignment horizontal="center" vertical="center"/>
    </xf>
    <xf numFmtId="49" fontId="0" fillId="51" borderId="342" xfId="0" applyNumberFormat="1" applyFill="1" applyBorder="1">
      <alignment horizontal="center" vertical="center"/>
    </xf>
    <xf numFmtId="49" fontId="0" fillId="51" borderId="343" xfId="0" applyNumberFormat="1" applyFill="1" applyBorder="1">
      <alignment horizontal="center" vertical="center"/>
    </xf>
    <xf numFmtId="0" fontId="0" fillId="51" borderId="343" xfId="0" applyFill="1" applyBorder="1">
      <alignment horizontal="center" vertical="center"/>
    </xf>
    <xf numFmtId="49" fontId="0" fillId="51" borderId="344" xfId="0" applyNumberFormat="1" applyFill="1" applyBorder="1">
      <alignment horizontal="center" vertical="center"/>
    </xf>
    <xf numFmtId="0" fontId="6" fillId="44" borderId="323" xfId="0" applyFont="1" applyFill="1" applyBorder="1" applyAlignment="1">
      <alignment horizontal="left"/>
    </xf>
    <xf numFmtId="0" fontId="6" fillId="25" borderId="323" xfId="0" applyFont="1" applyFill="1" applyBorder="1">
      <alignment horizontal="center" vertical="center"/>
    </xf>
    <xf numFmtId="0" fontId="7" fillId="25" borderId="324" xfId="0" applyFont="1" applyFill="1" applyBorder="1">
      <alignment horizontal="center" vertical="center"/>
    </xf>
    <xf numFmtId="0" fontId="6" fillId="29" borderId="323" xfId="0" applyFont="1" applyFill="1" applyBorder="1" applyAlignment="1">
      <alignment horizontal="left"/>
    </xf>
    <xf numFmtId="0" fontId="6" fillId="29" borderId="324" xfId="0" applyFont="1" applyFill="1" applyBorder="1" applyAlignment="1">
      <alignment horizontal="left"/>
    </xf>
    <xf numFmtId="0" fontId="7" fillId="29" borderId="324" xfId="0" applyFont="1" applyFill="1" applyBorder="1">
      <alignment horizontal="center" vertical="center"/>
    </xf>
    <xf numFmtId="0" fontId="7" fillId="29" borderId="334" xfId="0" applyFont="1" applyFill="1" applyBorder="1">
      <alignment horizontal="center" vertical="center"/>
    </xf>
    <xf numFmtId="0" fontId="6" fillId="37" borderId="323" xfId="0" applyFont="1" applyFill="1" applyBorder="1" applyAlignment="1">
      <alignment horizontal="left"/>
    </xf>
    <xf numFmtId="0" fontId="6" fillId="37" borderId="324" xfId="0" applyFont="1" applyFill="1" applyBorder="1" applyAlignment="1">
      <alignment horizontal="left"/>
    </xf>
    <xf numFmtId="0" fontId="0" fillId="37" borderId="324" xfId="0" applyFill="1" applyBorder="1">
      <alignment horizontal="center" vertical="center"/>
    </xf>
    <xf numFmtId="0" fontId="6" fillId="45" borderId="323" xfId="0" applyFont="1" applyFill="1" applyBorder="1" applyAlignment="1">
      <alignment horizontal="left"/>
    </xf>
    <xf numFmtId="0" fontId="0" fillId="45" borderId="324" xfId="0" applyFill="1" applyBorder="1">
      <alignment horizontal="center" vertical="center"/>
    </xf>
    <xf numFmtId="0" fontId="7" fillId="45" borderId="324" xfId="0" applyFont="1" applyFill="1" applyBorder="1">
      <alignment horizontal="center" vertical="center"/>
    </xf>
    <xf numFmtId="0" fontId="7" fillId="45" borderId="334" xfId="0" applyFont="1" applyFill="1" applyBorder="1">
      <alignment horizontal="center" vertical="center"/>
    </xf>
    <xf numFmtId="0" fontId="6" fillId="24" borderId="323" xfId="0" applyFont="1" applyFill="1" applyBorder="1">
      <alignment horizontal="center" vertical="center"/>
    </xf>
    <xf numFmtId="0" fontId="0" fillId="24" borderId="324" xfId="0" applyFill="1" applyBorder="1">
      <alignment horizontal="center" vertical="center"/>
    </xf>
    <xf numFmtId="0" fontId="7" fillId="24" borderId="324" xfId="0" applyFont="1" applyFill="1" applyBorder="1">
      <alignment horizontal="center" vertical="center"/>
    </xf>
    <xf numFmtId="0" fontId="6" fillId="40" borderId="323" xfId="0" applyFont="1" applyFill="1" applyBorder="1" applyAlignment="1">
      <alignment horizontal="left"/>
    </xf>
    <xf numFmtId="0" fontId="7" fillId="40" borderId="324" xfId="0" applyFont="1" applyFill="1" applyBorder="1">
      <alignment horizontal="center" vertical="center"/>
    </xf>
    <xf numFmtId="0" fontId="0" fillId="40" borderId="334" xfId="0" applyFill="1" applyBorder="1">
      <alignment horizontal="center" vertical="center"/>
    </xf>
    <xf numFmtId="0" fontId="0" fillId="46" borderId="345" xfId="0" applyFill="1" applyBorder="1">
      <alignment horizontal="center" vertical="center"/>
    </xf>
    <xf numFmtId="0" fontId="7" fillId="46" borderId="345" xfId="0" applyFont="1" applyFill="1" applyBorder="1">
      <alignment horizontal="center" vertical="center"/>
    </xf>
    <xf numFmtId="0" fontId="7" fillId="46" borderId="346" xfId="0" applyFont="1" applyFill="1" applyBorder="1">
      <alignment horizontal="center" vertical="center"/>
    </xf>
    <xf numFmtId="0" fontId="6" fillId="0" borderId="347" xfId="0" applyFont="1" applyBorder="1" applyAlignment="1">
      <alignment horizontal="left" vertical="center"/>
    </xf>
    <xf numFmtId="0" fontId="7" fillId="0" borderId="345" xfId="0" applyFont="1" applyBorder="1">
      <alignment horizontal="center" vertical="center"/>
    </xf>
    <xf numFmtId="0" fontId="7" fillId="0" borderId="346" xfId="0" applyFont="1" applyBorder="1">
      <alignment horizontal="center" vertical="center"/>
    </xf>
    <xf numFmtId="0" fontId="6" fillId="39" borderId="326" xfId="0" applyFont="1" applyFill="1" applyBorder="1" applyAlignment="1">
      <alignment horizontal="left"/>
    </xf>
    <xf numFmtId="0" fontId="6" fillId="47" borderId="323" xfId="0" applyFont="1" applyFill="1" applyBorder="1">
      <alignment horizontal="center" vertical="center"/>
    </xf>
    <xf numFmtId="0" fontId="7" fillId="47" borderId="324" xfId="0" applyFont="1" applyFill="1" applyBorder="1">
      <alignment horizontal="center" vertical="center"/>
    </xf>
    <xf numFmtId="0" fontId="7" fillId="0" borderId="323" xfId="0" applyFont="1" applyBorder="1" applyAlignment="1">
      <alignment horizontal="left"/>
    </xf>
    <xf numFmtId="0" fontId="0" fillId="0" borderId="324" xfId="0" applyBorder="1">
      <alignment horizontal="center" vertical="center"/>
    </xf>
    <xf numFmtId="0" fontId="7" fillId="0" borderId="324" xfId="0" applyFont="1" applyBorder="1" applyAlignment="1">
      <alignment horizontal="left"/>
    </xf>
    <xf numFmtId="0" fontId="7" fillId="0" borderId="324" xfId="0" applyFont="1" applyBorder="1">
      <alignment horizontal="center" vertical="center"/>
    </xf>
    <xf numFmtId="0" fontId="7" fillId="0" borderId="334" xfId="0" applyFont="1" applyBorder="1">
      <alignment horizontal="center" vertical="center"/>
    </xf>
    <xf numFmtId="0" fontId="7" fillId="48" borderId="323" xfId="0" applyFont="1" applyFill="1" applyBorder="1" applyAlignment="1">
      <alignment horizontal="left" vertical="center"/>
    </xf>
    <xf numFmtId="0" fontId="7" fillId="48" borderId="324" xfId="0" applyFont="1" applyFill="1" applyBorder="1">
      <alignment horizontal="center" vertical="center"/>
    </xf>
    <xf numFmtId="0" fontId="7" fillId="48" borderId="334" xfId="0" applyFont="1" applyFill="1" applyBorder="1">
      <alignment horizontal="center" vertical="center"/>
    </xf>
    <xf numFmtId="0" fontId="0" fillId="89" borderId="270" xfId="56" applyFont="1" applyBorder="1" applyAlignment="1">
      <alignment horizontal="left" vertical="center"/>
    </xf>
    <xf numFmtId="0" fontId="0" fillId="0" borderId="328" xfId="0" applyBorder="1">
      <alignment horizontal="center" vertical="center"/>
    </xf>
    <xf numFmtId="0" fontId="4" fillId="0" borderId="328" xfId="0" applyFont="1" applyBorder="1" applyAlignment="1">
      <alignment horizontal="center"/>
    </xf>
    <xf numFmtId="0" fontId="7" fillId="0" borderId="328" xfId="0" applyFont="1" applyBorder="1">
      <alignment horizontal="center" vertical="center"/>
    </xf>
    <xf numFmtId="0" fontId="7" fillId="0" borderId="326" xfId="0" applyFont="1" applyBorder="1">
      <alignment horizontal="center" vertical="center"/>
    </xf>
    <xf numFmtId="0" fontId="0" fillId="0" borderId="326" xfId="0" applyBorder="1">
      <alignment horizontal="center" vertical="center"/>
    </xf>
    <xf numFmtId="0" fontId="4" fillId="0" borderId="326" xfId="0" applyFont="1" applyBorder="1" applyAlignment="1">
      <alignment horizontal="center"/>
    </xf>
    <xf numFmtId="0" fontId="4" fillId="0" borderId="348" xfId="0" applyFont="1" applyBorder="1" applyAlignment="1">
      <alignment horizontal="left" vertical="center"/>
    </xf>
    <xf numFmtId="0" fontId="0" fillId="0" borderId="348" xfId="0" applyBorder="1">
      <alignment horizontal="center" vertical="center"/>
    </xf>
    <xf numFmtId="0" fontId="59" fillId="0" borderId="349" xfId="0" applyFont="1" applyBorder="1" applyAlignment="1">
      <alignment horizontal="left" vertical="center"/>
    </xf>
    <xf numFmtId="0" fontId="59" fillId="0" borderId="348" xfId="0" applyFont="1" applyBorder="1" applyAlignment="1">
      <alignment horizontal="left" vertical="center"/>
    </xf>
    <xf numFmtId="0" fontId="6" fillId="0" borderId="350" xfId="0" applyFont="1" applyBorder="1">
      <alignment horizontal="center" vertical="center"/>
    </xf>
    <xf numFmtId="0" fontId="0" fillId="51" borderId="351" xfId="0" applyFill="1" applyBorder="1">
      <alignment horizontal="center" vertical="center"/>
    </xf>
    <xf numFmtId="0" fontId="0" fillId="51" borderId="352" xfId="0" applyFill="1" applyBorder="1" applyProtection="1">
      <alignment horizontal="center" vertical="center"/>
      <protection locked="0"/>
    </xf>
    <xf numFmtId="0" fontId="0" fillId="0" borderId="353" xfId="0" applyBorder="1" applyAlignment="1">
      <alignment horizontal="left" vertical="center"/>
    </xf>
    <xf numFmtId="0" fontId="0" fillId="51" borderId="353" xfId="32" applyFont="1" applyFill="1" applyBorder="1" applyAlignment="1">
      <alignment horizontal="center" vertical="center"/>
    </xf>
    <xf numFmtId="0" fontId="0" fillId="51" borderId="353" xfId="43" applyFont="1" applyFill="1" applyBorder="1">
      <alignment horizontal="center" vertical="center"/>
    </xf>
    <xf numFmtId="0" fontId="0" fillId="55" borderId="220" xfId="48" applyFont="1" applyFill="1" applyBorder="1">
      <alignment horizontal="center" vertical="center"/>
    </xf>
    <xf numFmtId="0" fontId="7" fillId="55" borderId="353" xfId="45" applyBorder="1">
      <alignment horizontal="center" vertical="center"/>
    </xf>
    <xf numFmtId="0" fontId="0" fillId="51" borderId="354" xfId="0" applyFill="1" applyBorder="1">
      <alignment horizontal="center" vertical="center"/>
    </xf>
    <xf numFmtId="0" fontId="4" fillId="24" borderId="328" xfId="0" applyFont="1" applyFill="1" applyBorder="1" applyAlignment="1">
      <alignment horizontal="left" vertical="center"/>
    </xf>
    <xf numFmtId="0" fontId="0" fillId="24" borderId="326" xfId="0" applyFill="1" applyBorder="1">
      <alignment horizontal="center" vertical="center"/>
    </xf>
    <xf numFmtId="0" fontId="0" fillId="43" borderId="318" xfId="0" applyFill="1" applyBorder="1" applyAlignment="1" applyProtection="1">
      <alignment horizontal="center"/>
      <protection locked="0"/>
    </xf>
    <xf numFmtId="0" fontId="0" fillId="43" borderId="326" xfId="0" applyFill="1" applyBorder="1" applyAlignment="1" applyProtection="1">
      <alignment horizontal="center"/>
      <protection locked="0"/>
    </xf>
    <xf numFmtId="0" fontId="7" fillId="0" borderId="326" xfId="0" applyFont="1" applyBorder="1" applyAlignment="1">
      <alignment horizontal="left" vertical="center"/>
    </xf>
    <xf numFmtId="0" fontId="7" fillId="0" borderId="326" xfId="48" applyFill="1" applyBorder="1">
      <alignment horizontal="center" vertical="center"/>
    </xf>
    <xf numFmtId="0" fontId="0" fillId="51" borderId="326" xfId="0" applyFill="1" applyBorder="1">
      <alignment horizontal="center" vertical="center"/>
    </xf>
    <xf numFmtId="0" fontId="0" fillId="55" borderId="326" xfId="0" applyFill="1" applyBorder="1">
      <alignment horizontal="center" vertical="center"/>
    </xf>
    <xf numFmtId="0" fontId="0" fillId="76" borderId="326" xfId="0" applyFill="1" applyBorder="1">
      <alignment horizontal="center" vertical="center"/>
    </xf>
    <xf numFmtId="0" fontId="0" fillId="51" borderId="327" xfId="0" applyFill="1" applyBorder="1">
      <alignment horizontal="center" vertical="center"/>
    </xf>
    <xf numFmtId="0" fontId="0" fillId="0" borderId="326" xfId="0" applyBorder="1" applyAlignment="1">
      <alignment horizontal="left" vertical="center"/>
    </xf>
    <xf numFmtId="0" fontId="0" fillId="51" borderId="326" xfId="44" applyFont="1" applyFill="1" applyBorder="1">
      <alignment horizontal="center" vertical="center"/>
    </xf>
    <xf numFmtId="1" fontId="0" fillId="51" borderId="326" xfId="0" applyNumberFormat="1" applyFill="1" applyBorder="1">
      <alignment horizontal="center" vertical="center"/>
    </xf>
    <xf numFmtId="0" fontId="0" fillId="51" borderId="326" xfId="43" applyFont="1" applyFill="1" applyBorder="1">
      <alignment horizontal="center" vertical="center"/>
    </xf>
    <xf numFmtId="1" fontId="0" fillId="51" borderId="326" xfId="32" applyNumberFormat="1" applyFont="1" applyFill="1" applyBorder="1" applyAlignment="1">
      <alignment horizontal="center" vertical="center"/>
    </xf>
    <xf numFmtId="1" fontId="0" fillId="51" borderId="326" xfId="20" applyNumberFormat="1" applyFont="1" applyFill="1" applyBorder="1" applyAlignment="1">
      <alignment horizontal="center" vertical="center"/>
    </xf>
    <xf numFmtId="0" fontId="0" fillId="51" borderId="326" xfId="20" applyFont="1" applyFill="1" applyBorder="1" applyAlignment="1">
      <alignment horizontal="center" vertical="center"/>
    </xf>
    <xf numFmtId="0" fontId="0" fillId="55" borderId="326" xfId="20" applyFont="1" applyFill="1" applyBorder="1" applyAlignment="1">
      <alignment horizontal="center" vertical="center"/>
    </xf>
    <xf numFmtId="0" fontId="0" fillId="55" borderId="326" xfId="44" applyFont="1" applyFill="1" applyBorder="1">
      <alignment horizontal="center" vertical="center"/>
    </xf>
    <xf numFmtId="1" fontId="0" fillId="51" borderId="327" xfId="0" applyNumberFormat="1" applyFill="1" applyBorder="1">
      <alignment horizontal="center" vertical="center"/>
    </xf>
    <xf numFmtId="0" fontId="6" fillId="0" borderId="326" xfId="0" applyFont="1" applyBorder="1" applyAlignment="1">
      <alignment horizontal="left" vertical="center"/>
    </xf>
    <xf numFmtId="0" fontId="0" fillId="51" borderId="326" xfId="48" applyFont="1" applyFill="1" applyBorder="1">
      <alignment horizontal="center" vertical="center"/>
    </xf>
    <xf numFmtId="1" fontId="0" fillId="51" borderId="326" xfId="44" applyNumberFormat="1" applyFont="1" applyFill="1" applyBorder="1">
      <alignment horizontal="center" vertical="center"/>
    </xf>
    <xf numFmtId="0" fontId="7" fillId="55" borderId="326" xfId="45" applyBorder="1">
      <alignment horizontal="center" vertical="center"/>
    </xf>
    <xf numFmtId="0" fontId="0" fillId="43" borderId="340" xfId="0" applyFill="1" applyBorder="1" applyAlignment="1" applyProtection="1">
      <alignment horizontal="center"/>
      <protection locked="0"/>
    </xf>
    <xf numFmtId="0" fontId="0" fillId="0" borderId="340" xfId="0" applyBorder="1" applyAlignment="1">
      <alignment horizontal="left" vertical="center"/>
    </xf>
    <xf numFmtId="0" fontId="61" fillId="60" borderId="340" xfId="51" applyBorder="1">
      <alignment horizontal="center" vertical="center"/>
    </xf>
    <xf numFmtId="0" fontId="7" fillId="52" borderId="340" xfId="48" applyBorder="1">
      <alignment horizontal="center" vertical="center"/>
    </xf>
    <xf numFmtId="0" fontId="0" fillId="51" borderId="340" xfId="20" applyFont="1" applyFill="1" applyBorder="1" applyAlignment="1">
      <alignment horizontal="center" vertical="center"/>
    </xf>
    <xf numFmtId="1" fontId="0" fillId="51" borderId="355" xfId="0" applyNumberFormat="1" applyFill="1" applyBorder="1">
      <alignment horizontal="center" vertical="center"/>
    </xf>
    <xf numFmtId="0" fontId="0" fillId="52" borderId="318" xfId="32" applyFont="1" applyFill="1" applyBorder="1" applyAlignment="1">
      <alignment horizontal="center" vertical="center"/>
    </xf>
    <xf numFmtId="0" fontId="0" fillId="52" borderId="318" xfId="43" applyFont="1" applyFill="1" applyBorder="1">
      <alignment horizontal="center" vertical="center"/>
    </xf>
    <xf numFmtId="0" fontId="0" fillId="52" borderId="318" xfId="0" applyFill="1" applyBorder="1">
      <alignment horizontal="center" vertical="center"/>
    </xf>
    <xf numFmtId="0" fontId="0" fillId="52" borderId="318" xfId="44" applyFont="1" applyFill="1" applyBorder="1">
      <alignment horizontal="center" vertical="center"/>
    </xf>
    <xf numFmtId="49" fontId="0" fillId="52" borderId="318" xfId="0" applyNumberFormat="1" applyFill="1" applyBorder="1">
      <alignment horizontal="center" vertical="center"/>
    </xf>
    <xf numFmtId="0" fontId="0" fillId="51" borderId="318" xfId="43" applyFont="1" applyFill="1" applyBorder="1">
      <alignment horizontal="center" vertical="center"/>
    </xf>
    <xf numFmtId="0" fontId="0" fillId="55" borderId="318" xfId="0" applyFill="1" applyBorder="1">
      <alignment horizontal="center" vertical="center"/>
    </xf>
    <xf numFmtId="0" fontId="7" fillId="52" borderId="326" xfId="48" applyBorder="1">
      <alignment horizontal="center" vertical="center"/>
    </xf>
    <xf numFmtId="0" fontId="0" fillId="0" borderId="350" xfId="0" applyBorder="1">
      <alignment horizontal="center" vertical="center"/>
    </xf>
    <xf numFmtId="173" fontId="0" fillId="0" borderId="350" xfId="0" applyNumberFormat="1" applyBorder="1">
      <alignment horizontal="center" vertical="center"/>
    </xf>
    <xf numFmtId="0" fontId="0" fillId="0" borderId="356" xfId="0" applyBorder="1">
      <alignment horizontal="center" vertical="center"/>
    </xf>
    <xf numFmtId="0" fontId="7" fillId="86" borderId="340" xfId="44" applyBorder="1">
      <alignment horizontal="center" vertical="center"/>
    </xf>
    <xf numFmtId="0" fontId="0" fillId="51" borderId="340" xfId="43" applyFont="1" applyFill="1" applyBorder="1">
      <alignment horizontal="center" vertical="center"/>
    </xf>
    <xf numFmtId="0" fontId="7" fillId="89" borderId="326" xfId="56" applyBorder="1">
      <alignment horizontal="center" vertical="center"/>
    </xf>
    <xf numFmtId="49" fontId="0" fillId="51" borderId="327" xfId="0" applyNumberFormat="1" applyFill="1" applyBorder="1">
      <alignment horizontal="center" vertical="center"/>
    </xf>
    <xf numFmtId="0" fontId="0" fillId="43" borderId="357" xfId="0" applyFill="1" applyBorder="1" applyAlignment="1" applyProtection="1">
      <alignment horizontal="center"/>
      <protection locked="0"/>
    </xf>
    <xf numFmtId="0" fontId="0" fillId="0" borderId="328" xfId="0" applyBorder="1" applyAlignment="1">
      <alignment vertical="center"/>
    </xf>
    <xf numFmtId="0" fontId="0" fillId="51" borderId="328" xfId="32" applyFont="1" applyFill="1" applyBorder="1" applyAlignment="1">
      <alignment horizontal="center" vertical="center"/>
    </xf>
    <xf numFmtId="0" fontId="0" fillId="51" borderId="328" xfId="43" applyFont="1" applyFill="1" applyBorder="1">
      <alignment horizontal="center" vertical="center"/>
    </xf>
    <xf numFmtId="0" fontId="7" fillId="55" borderId="328" xfId="45" applyBorder="1">
      <alignment horizontal="center" vertical="center"/>
    </xf>
    <xf numFmtId="0" fontId="0" fillId="51" borderId="328" xfId="0" applyFill="1" applyBorder="1">
      <alignment horizontal="center" vertical="center"/>
    </xf>
    <xf numFmtId="49" fontId="0" fillId="51" borderId="328" xfId="0" applyNumberFormat="1" applyFill="1" applyBorder="1">
      <alignment horizontal="center" vertical="center"/>
    </xf>
    <xf numFmtId="0" fontId="0" fillId="56" borderId="328" xfId="43" applyFont="1" applyFill="1" applyBorder="1">
      <alignment horizontal="center" vertical="center"/>
    </xf>
    <xf numFmtId="0" fontId="0" fillId="51" borderId="329" xfId="0" applyFill="1" applyBorder="1">
      <alignment horizontal="center" vertical="center"/>
    </xf>
    <xf numFmtId="0" fontId="0" fillId="84" borderId="358" xfId="0" applyFill="1" applyBorder="1" applyAlignment="1" applyProtection="1">
      <alignment horizontal="center"/>
      <protection locked="0"/>
    </xf>
    <xf numFmtId="0" fontId="0" fillId="51" borderId="359" xfId="0" applyFill="1" applyBorder="1">
      <alignment horizontal="center" vertical="center"/>
    </xf>
    <xf numFmtId="0" fontId="0" fillId="51" borderId="359" xfId="32" applyFont="1" applyFill="1" applyBorder="1" applyAlignment="1">
      <alignment horizontal="center" vertical="center"/>
    </xf>
    <xf numFmtId="0" fontId="0" fillId="51" borderId="359" xfId="43" applyFont="1" applyFill="1" applyBorder="1">
      <alignment horizontal="center" vertical="center"/>
    </xf>
    <xf numFmtId="0" fontId="0" fillId="51" borderId="360" xfId="43" applyFont="1" applyFill="1" applyBorder="1">
      <alignment horizontal="center" vertical="center"/>
    </xf>
    <xf numFmtId="0" fontId="0" fillId="51" borderId="361" xfId="32" applyFont="1" applyFill="1" applyBorder="1" applyAlignment="1">
      <alignment horizontal="center" vertical="center"/>
    </xf>
    <xf numFmtId="0" fontId="0" fillId="51" borderId="361" xfId="44" applyFont="1" applyFill="1" applyBorder="1">
      <alignment horizontal="center" vertical="center"/>
    </xf>
    <xf numFmtId="0" fontId="0" fillId="51" borderId="361" xfId="43" applyFont="1" applyFill="1" applyBorder="1">
      <alignment horizontal="center" vertical="center"/>
    </xf>
    <xf numFmtId="0" fontId="0" fillId="51" borderId="361" xfId="0" applyFill="1" applyBorder="1">
      <alignment horizontal="center" vertical="center"/>
    </xf>
    <xf numFmtId="1" fontId="0" fillId="51" borderId="361" xfId="0" applyNumberFormat="1" applyFill="1" applyBorder="1">
      <alignment horizontal="center" vertical="center"/>
    </xf>
    <xf numFmtId="1" fontId="0" fillId="51" borderId="361" xfId="44" applyNumberFormat="1" applyFont="1" applyFill="1" applyBorder="1">
      <alignment horizontal="center" vertical="center"/>
    </xf>
    <xf numFmtId="0" fontId="0" fillId="51" borderId="332" xfId="0" applyFill="1" applyBorder="1">
      <alignment horizontal="center" vertical="center"/>
    </xf>
    <xf numFmtId="0" fontId="7" fillId="0" borderId="326" xfId="53" applyBorder="1">
      <alignment horizontal="center" vertical="center"/>
    </xf>
    <xf numFmtId="0" fontId="4" fillId="0" borderId="317" xfId="0" applyFont="1" applyBorder="1" applyAlignment="1">
      <alignment vertical="center"/>
    </xf>
    <xf numFmtId="0" fontId="4" fillId="0" borderId="321" xfId="0" applyFont="1" applyBorder="1" applyAlignment="1">
      <alignment vertical="center"/>
    </xf>
    <xf numFmtId="0" fontId="0" fillId="0" borderId="321" xfId="0" applyBorder="1">
      <alignment horizontal="center" vertical="center"/>
    </xf>
    <xf numFmtId="0" fontId="0" fillId="0" borderId="322" xfId="0" applyBorder="1">
      <alignment horizontal="center" vertical="center"/>
    </xf>
    <xf numFmtId="0" fontId="4" fillId="0" borderId="362" xfId="0" applyFont="1" applyBorder="1" applyAlignment="1">
      <alignment horizontal="left" vertical="center"/>
    </xf>
    <xf numFmtId="0" fontId="0" fillId="0" borderId="345" xfId="0" applyBorder="1">
      <alignment horizontal="center" vertical="center"/>
    </xf>
    <xf numFmtId="0" fontId="4" fillId="0" borderId="323" xfId="0" applyFont="1" applyBorder="1" applyAlignment="1">
      <alignment vertical="center"/>
    </xf>
    <xf numFmtId="0" fontId="13" fillId="0" borderId="324" xfId="0" applyFont="1" applyBorder="1">
      <alignment horizontal="center" vertical="center"/>
    </xf>
    <xf numFmtId="0" fontId="0" fillId="0" borderId="334" xfId="0" applyBorder="1">
      <alignment horizontal="center" vertical="center"/>
    </xf>
    <xf numFmtId="0" fontId="4" fillId="0" borderId="347" xfId="0" applyFont="1" applyBorder="1" applyAlignment="1">
      <alignment horizontal="left" vertical="center"/>
    </xf>
    <xf numFmtId="0" fontId="13" fillId="0" borderId="345" xfId="0" applyFont="1" applyBorder="1">
      <alignment horizontal="center" vertical="center"/>
    </xf>
    <xf numFmtId="0" fontId="4" fillId="0" borderId="345" xfId="0" applyFont="1" applyBorder="1">
      <alignment horizontal="center" vertical="center"/>
    </xf>
    <xf numFmtId="0" fontId="4" fillId="0" borderId="337" xfId="0" applyFont="1" applyBorder="1" applyAlignment="1">
      <alignment horizontal="left" vertical="center"/>
    </xf>
    <xf numFmtId="0" fontId="0" fillId="0" borderId="323" xfId="0" applyBorder="1" applyAlignment="1">
      <alignment vertical="center"/>
    </xf>
    <xf numFmtId="0" fontId="4" fillId="0" borderId="323" xfId="0" applyFont="1" applyBorder="1">
      <alignment horizontal="center" vertical="center"/>
    </xf>
    <xf numFmtId="0" fontId="0" fillId="0" borderId="324" xfId="0" applyBorder="1" applyAlignment="1">
      <alignment horizontal="left" vertical="center"/>
    </xf>
    <xf numFmtId="0" fontId="0" fillId="0" borderId="363" xfId="0" applyBorder="1">
      <alignment horizontal="center" vertical="center"/>
    </xf>
    <xf numFmtId="0" fontId="4" fillId="0" borderId="338" xfId="0" applyFont="1" applyBorder="1" applyAlignment="1">
      <alignment horizontal="left" vertical="center"/>
    </xf>
    <xf numFmtId="0" fontId="0" fillId="0" borderId="339" xfId="0" applyBorder="1">
      <alignment horizontal="center" vertical="center"/>
    </xf>
    <xf numFmtId="0" fontId="0" fillId="0" borderId="325" xfId="0" applyBorder="1" applyAlignment="1">
      <alignment vertical="center"/>
    </xf>
    <xf numFmtId="0" fontId="0" fillId="0" borderId="364" xfId="0" applyBorder="1">
      <alignment horizontal="center" vertical="center"/>
    </xf>
    <xf numFmtId="0" fontId="4" fillId="0" borderId="325" xfId="0" applyFont="1" applyBorder="1">
      <alignment horizontal="center" vertical="center"/>
    </xf>
    <xf numFmtId="0" fontId="0" fillId="0" borderId="339" xfId="0" applyBorder="1" applyAlignment="1">
      <alignment horizontal="left" vertical="center"/>
    </xf>
    <xf numFmtId="0" fontId="13" fillId="0" borderId="339" xfId="0" applyFont="1" applyBorder="1">
      <alignment horizontal="center" vertical="center"/>
    </xf>
    <xf numFmtId="0" fontId="4" fillId="0" borderId="339" xfId="0" applyFont="1" applyBorder="1" applyAlignment="1">
      <alignment horizontal="left" vertical="center"/>
    </xf>
    <xf numFmtId="0" fontId="0" fillId="0" borderId="365" xfId="0" applyBorder="1">
      <alignment horizontal="center" vertical="center"/>
    </xf>
    <xf numFmtId="0" fontId="0" fillId="0" borderId="328" xfId="0" applyBorder="1" applyAlignment="1" applyProtection="1">
      <alignment horizontal="center"/>
      <protection locked="0"/>
    </xf>
    <xf numFmtId="0" fontId="6" fillId="0" borderId="328" xfId="0" applyFont="1" applyBorder="1" applyAlignment="1">
      <alignment horizontal="center"/>
    </xf>
    <xf numFmtId="49" fontId="0" fillId="51" borderId="319" xfId="0" applyNumberFormat="1" applyFill="1" applyBorder="1">
      <alignment horizontal="center" vertical="center"/>
    </xf>
    <xf numFmtId="0" fontId="0" fillId="43" borderId="366" xfId="0" applyFill="1" applyBorder="1" applyAlignment="1" applyProtection="1">
      <alignment horizontal="center"/>
      <protection locked="0"/>
    </xf>
    <xf numFmtId="0" fontId="0" fillId="89" borderId="340" xfId="56" applyFont="1" applyBorder="1">
      <alignment horizontal="center" vertical="center"/>
    </xf>
    <xf numFmtId="0" fontId="7" fillId="53" borderId="326" xfId="43" applyBorder="1">
      <alignment horizontal="center" vertical="center"/>
    </xf>
    <xf numFmtId="0" fontId="0" fillId="43" borderId="367" xfId="0" applyFill="1" applyBorder="1" applyAlignment="1" applyProtection="1">
      <alignment horizontal="center"/>
      <protection locked="0"/>
    </xf>
    <xf numFmtId="0" fontId="7" fillId="89" borderId="340" xfId="56" applyBorder="1">
      <alignment horizontal="center" vertical="center"/>
    </xf>
    <xf numFmtId="49" fontId="0" fillId="51" borderId="340" xfId="0" applyNumberFormat="1" applyFill="1" applyBorder="1">
      <alignment horizontal="center" vertical="center"/>
    </xf>
    <xf numFmtId="49" fontId="0" fillId="0" borderId="340" xfId="0" applyNumberFormat="1" applyBorder="1">
      <alignment horizontal="center" vertical="center"/>
    </xf>
    <xf numFmtId="0" fontId="0" fillId="0" borderId="340" xfId="48" applyFont="1" applyFill="1" applyBorder="1">
      <alignment horizontal="center" vertical="center"/>
    </xf>
    <xf numFmtId="0" fontId="7" fillId="55" borderId="340" xfId="45" applyBorder="1">
      <alignment horizontal="center" vertical="center"/>
    </xf>
    <xf numFmtId="0" fontId="7" fillId="0" borderId="340" xfId="53" applyBorder="1">
      <alignment horizontal="center" vertical="center"/>
    </xf>
    <xf numFmtId="0" fontId="0" fillId="0" borderId="340" xfId="0" applyBorder="1">
      <alignment horizontal="center" vertical="center"/>
    </xf>
    <xf numFmtId="0" fontId="0" fillId="51" borderId="340" xfId="48" applyFont="1" applyFill="1" applyBorder="1">
      <alignment horizontal="center" vertical="center"/>
    </xf>
    <xf numFmtId="49" fontId="0" fillId="51" borderId="355" xfId="0" applyNumberFormat="1" applyFill="1" applyBorder="1">
      <alignment horizontal="center" vertical="center"/>
    </xf>
    <xf numFmtId="0" fontId="0" fillId="51" borderId="326" xfId="46" applyFont="1" applyFill="1" applyBorder="1">
      <alignment horizontal="center" vertical="center"/>
    </xf>
    <xf numFmtId="49" fontId="0" fillId="51" borderId="326" xfId="0" applyNumberFormat="1" applyFill="1" applyBorder="1">
      <alignment horizontal="center" vertical="center"/>
    </xf>
    <xf numFmtId="0" fontId="0" fillId="51" borderId="340" xfId="0" applyFill="1" applyBorder="1" applyAlignment="1">
      <alignment horizontal="left" vertical="center"/>
    </xf>
    <xf numFmtId="0" fontId="0" fillId="55" borderId="340" xfId="48" applyFont="1" applyFill="1" applyBorder="1">
      <alignment horizontal="center" vertical="center"/>
    </xf>
    <xf numFmtId="0" fontId="7" fillId="0" borderId="340" xfId="44" applyFill="1" applyBorder="1">
      <alignment horizontal="center" vertical="center"/>
    </xf>
    <xf numFmtId="0" fontId="0" fillId="51" borderId="355" xfId="53" applyFont="1" applyFill="1" applyBorder="1">
      <alignment horizontal="center" vertical="center"/>
    </xf>
    <xf numFmtId="0" fontId="0" fillId="51" borderId="318" xfId="0" applyFill="1" applyBorder="1" applyAlignment="1">
      <alignment horizontal="left" vertical="center" wrapText="1"/>
    </xf>
    <xf numFmtId="0" fontId="0" fillId="51" borderId="340" xfId="0" applyFill="1" applyBorder="1">
      <alignment horizontal="center" vertical="center"/>
    </xf>
    <xf numFmtId="0" fontId="7" fillId="81" borderId="340" xfId="56" applyFill="1" applyBorder="1">
      <alignment horizontal="center" vertical="center"/>
    </xf>
    <xf numFmtId="0" fontId="7" fillId="52" borderId="318" xfId="48" applyBorder="1">
      <alignment horizontal="center" vertical="center"/>
    </xf>
    <xf numFmtId="0" fontId="7" fillId="55" borderId="318" xfId="45" applyBorder="1">
      <alignment horizontal="center" vertical="center"/>
    </xf>
    <xf numFmtId="0" fontId="7" fillId="86" borderId="318" xfId="44" applyBorder="1">
      <alignment horizontal="center" vertical="center"/>
    </xf>
    <xf numFmtId="0" fontId="0" fillId="51" borderId="340" xfId="44" applyFont="1" applyFill="1" applyBorder="1">
      <alignment horizontal="center" vertical="center"/>
    </xf>
    <xf numFmtId="49" fontId="0" fillId="55" borderId="340" xfId="0" applyNumberFormat="1" applyFill="1" applyBorder="1">
      <alignment horizontal="center" vertical="center"/>
    </xf>
    <xf numFmtId="0" fontId="51" fillId="56" borderId="340" xfId="46" applyBorder="1">
      <alignment horizontal="center" vertical="center"/>
    </xf>
    <xf numFmtId="0" fontId="0" fillId="51" borderId="355" xfId="0" applyFill="1" applyBorder="1">
      <alignment horizontal="center" vertical="center"/>
    </xf>
    <xf numFmtId="0" fontId="0" fillId="51" borderId="318" xfId="46" applyFont="1" applyFill="1" applyBorder="1">
      <alignment horizontal="center" vertical="center"/>
    </xf>
    <xf numFmtId="0" fontId="0" fillId="56" borderId="318" xfId="44" applyFont="1" applyFill="1" applyBorder="1">
      <alignment horizontal="center" vertical="center"/>
    </xf>
    <xf numFmtId="0" fontId="0" fillId="75" borderId="318" xfId="46" applyFont="1" applyFill="1" applyBorder="1">
      <alignment horizontal="center" vertical="center"/>
    </xf>
    <xf numFmtId="0" fontId="0" fillId="75" borderId="318" xfId="44" applyFont="1" applyFill="1" applyBorder="1">
      <alignment horizontal="center" vertical="center"/>
    </xf>
    <xf numFmtId="0" fontId="0" fillId="51" borderId="355" xfId="44" applyFont="1" applyFill="1" applyBorder="1">
      <alignment horizontal="center" vertical="center"/>
    </xf>
    <xf numFmtId="0" fontId="6" fillId="0" borderId="326" xfId="0" applyFont="1" applyBorder="1" applyAlignment="1">
      <alignment horizontal="left"/>
    </xf>
    <xf numFmtId="0" fontId="7" fillId="0" borderId="323" xfId="0" applyFont="1" applyBorder="1">
      <alignment horizontal="center" vertical="center"/>
    </xf>
    <xf numFmtId="0" fontId="0" fillId="0" borderId="326" xfId="0" applyBorder="1" applyAlignment="1">
      <alignment horizontal="center"/>
    </xf>
    <xf numFmtId="0" fontId="0" fillId="43" borderId="323" xfId="0" applyFill="1" applyBorder="1" applyAlignment="1" applyProtection="1">
      <alignment horizontal="center"/>
      <protection locked="0"/>
    </xf>
    <xf numFmtId="0" fontId="0" fillId="0" borderId="323" xfId="0" applyBorder="1" applyAlignment="1">
      <alignment horizontal="left"/>
    </xf>
    <xf numFmtId="0" fontId="0" fillId="0" borderId="324" xfId="0" applyBorder="1" applyAlignment="1">
      <alignment horizontal="left"/>
    </xf>
    <xf numFmtId="0" fontId="0" fillId="0" borderId="347" xfId="0" applyBorder="1" applyAlignment="1">
      <alignment horizontal="left"/>
    </xf>
    <xf numFmtId="0" fontId="0" fillId="0" borderId="345" xfId="0" applyBorder="1" applyAlignment="1">
      <alignment horizontal="left"/>
    </xf>
    <xf numFmtId="0" fontId="7" fillId="0" borderId="346" xfId="0" applyFont="1" applyBorder="1" applyAlignment="1">
      <alignment horizontal="left"/>
    </xf>
    <xf numFmtId="0" fontId="7" fillId="0" borderId="345" xfId="0" applyFont="1" applyBorder="1" applyAlignment="1">
      <alignment horizontal="left"/>
    </xf>
    <xf numFmtId="0" fontId="7" fillId="0" borderId="334" xfId="0" applyFont="1" applyBorder="1" applyAlignment="1">
      <alignment horizontal="left"/>
    </xf>
    <xf numFmtId="0" fontId="6" fillId="0" borderId="323" xfId="0" applyFont="1" applyBorder="1" applyAlignment="1">
      <alignment horizontal="left"/>
    </xf>
    <xf numFmtId="0" fontId="7" fillId="0" borderId="307" xfId="0" applyFont="1" applyBorder="1" applyAlignment="1">
      <alignment horizontal="left"/>
    </xf>
    <xf numFmtId="0" fontId="21" fillId="0" borderId="326" xfId="0" applyFont="1" applyBorder="1" applyAlignment="1" applyProtection="1">
      <alignment horizontal="center"/>
      <protection locked="0"/>
    </xf>
    <xf numFmtId="0" fontId="6" fillId="0" borderId="307" xfId="0" applyFont="1" applyBorder="1" applyAlignment="1">
      <alignment horizontal="left"/>
    </xf>
    <xf numFmtId="0" fontId="0" fillId="0" borderId="348" xfId="0" applyBorder="1" applyAlignment="1">
      <alignment horizontal="left"/>
    </xf>
    <xf numFmtId="0" fontId="4" fillId="0" borderId="340" xfId="0" applyFont="1" applyBorder="1" applyAlignment="1" applyProtection="1">
      <alignment horizontal="center"/>
      <protection locked="0"/>
    </xf>
    <xf numFmtId="0" fontId="6" fillId="0" borderId="340" xfId="0" applyFont="1" applyBorder="1" applyAlignment="1">
      <alignment horizontal="center"/>
    </xf>
    <xf numFmtId="0" fontId="0" fillId="0" borderId="336" xfId="0" applyBorder="1" applyAlignment="1">
      <alignment vertical="center"/>
    </xf>
    <xf numFmtId="0" fontId="0" fillId="51" borderId="368" xfId="0" applyFill="1" applyBorder="1" applyAlignment="1" applyProtection="1">
      <alignment horizontal="left" vertical="center"/>
      <protection locked="0"/>
    </xf>
    <xf numFmtId="0" fontId="0" fillId="89" borderId="318" xfId="56" applyFont="1" applyBorder="1">
      <alignment horizontal="center" vertical="center"/>
    </xf>
    <xf numFmtId="0" fontId="0" fillId="51" borderId="340" xfId="51" applyFont="1" applyFill="1" applyBorder="1">
      <alignment horizontal="center" vertical="center"/>
    </xf>
    <xf numFmtId="0" fontId="0" fillId="51" borderId="319" xfId="48" applyFont="1" applyFill="1" applyBorder="1">
      <alignment horizontal="center" vertical="center"/>
    </xf>
    <xf numFmtId="0" fontId="0" fillId="0" borderId="270" xfId="0" applyBorder="1" applyAlignment="1">
      <alignment horizontal="left" vertical="center"/>
    </xf>
    <xf numFmtId="0" fontId="0" fillId="51" borderId="326" xfId="53" applyFont="1" applyFill="1" applyBorder="1">
      <alignment horizontal="center" vertical="center"/>
    </xf>
    <xf numFmtId="49" fontId="0" fillId="52" borderId="326" xfId="0" applyNumberFormat="1" applyFill="1" applyBorder="1">
      <alignment horizontal="center" vertical="center"/>
    </xf>
    <xf numFmtId="0" fontId="0" fillId="52" borderId="326" xfId="0" applyFill="1" applyBorder="1">
      <alignment horizontal="center" vertical="center"/>
    </xf>
    <xf numFmtId="0" fontId="0" fillId="51" borderId="327" xfId="48" applyFont="1" applyFill="1" applyBorder="1">
      <alignment horizontal="center" vertical="center"/>
    </xf>
    <xf numFmtId="0" fontId="0" fillId="81" borderId="318" xfId="56" applyFont="1" applyFill="1" applyBorder="1">
      <alignment horizontal="center" vertical="center"/>
    </xf>
    <xf numFmtId="0" fontId="7" fillId="58" borderId="326" xfId="33" applyBorder="1">
      <alignment horizontal="center" vertical="center"/>
    </xf>
    <xf numFmtId="0" fontId="51" fillId="56" borderId="326" xfId="46" applyBorder="1">
      <alignment horizontal="center" vertical="center"/>
    </xf>
    <xf numFmtId="0" fontId="7" fillId="86" borderId="326" xfId="44" applyBorder="1">
      <alignment horizontal="center" vertical="center"/>
    </xf>
    <xf numFmtId="0" fontId="0" fillId="53" borderId="326" xfId="48" applyFont="1" applyFill="1" applyBorder="1">
      <alignment horizontal="center" vertical="center"/>
    </xf>
    <xf numFmtId="0" fontId="0" fillId="0" borderId="270" xfId="0" applyBorder="1" applyAlignment="1">
      <alignment vertical="center"/>
    </xf>
    <xf numFmtId="0" fontId="7" fillId="51" borderId="328" xfId="48" applyFill="1" applyBorder="1">
      <alignment horizontal="center" vertical="center"/>
    </xf>
    <xf numFmtId="0" fontId="0" fillId="51" borderId="328" xfId="48" applyFont="1" applyFill="1" applyBorder="1">
      <alignment horizontal="center" vertical="center"/>
    </xf>
    <xf numFmtId="0" fontId="0" fillId="51" borderId="328" xfId="44" applyFont="1" applyFill="1" applyBorder="1">
      <alignment horizontal="center" vertical="center"/>
    </xf>
    <xf numFmtId="49" fontId="0" fillId="51" borderId="329" xfId="0" applyNumberFormat="1" applyFill="1" applyBorder="1">
      <alignment horizontal="center" vertical="center"/>
    </xf>
    <xf numFmtId="0" fontId="0" fillId="51" borderId="137" xfId="51" applyFont="1" applyFill="1" applyBorder="1">
      <alignment horizontal="center" vertical="center"/>
    </xf>
    <xf numFmtId="0" fontId="0" fillId="51" borderId="270" xfId="0" applyFill="1" applyBorder="1" applyAlignment="1">
      <alignment horizontal="left" vertical="center" wrapText="1"/>
    </xf>
    <xf numFmtId="0" fontId="7" fillId="0" borderId="137" xfId="44" applyFill="1" applyBorder="1">
      <alignment horizontal="center" vertical="center"/>
    </xf>
    <xf numFmtId="0" fontId="7" fillId="0" borderId="137" xfId="43" applyFill="1" applyBorder="1">
      <alignment horizontal="center" vertical="center"/>
    </xf>
    <xf numFmtId="0" fontId="0" fillId="0" borderId="357" xfId="0" applyBorder="1" applyAlignment="1">
      <alignment horizontal="left" vertical="center"/>
    </xf>
    <xf numFmtId="49" fontId="0" fillId="51" borderId="369" xfId="0" applyNumberFormat="1" applyFill="1" applyBorder="1">
      <alignment horizontal="center" vertical="center"/>
    </xf>
    <xf numFmtId="0" fontId="0" fillId="51" borderId="369" xfId="0" applyFill="1" applyBorder="1">
      <alignment horizontal="center" vertical="center"/>
    </xf>
    <xf numFmtId="49" fontId="0" fillId="51" borderId="311" xfId="0" applyNumberFormat="1" applyFill="1" applyBorder="1">
      <alignment horizontal="center" vertical="center"/>
    </xf>
    <xf numFmtId="0" fontId="0" fillId="51" borderId="311" xfId="0" applyFill="1" applyBorder="1">
      <alignment horizontal="center" vertical="center"/>
    </xf>
    <xf numFmtId="1" fontId="0" fillId="51" borderId="311" xfId="32" applyNumberFormat="1" applyFont="1" applyFill="1" applyBorder="1" applyAlignment="1">
      <alignment horizontal="center" vertical="center"/>
    </xf>
    <xf numFmtId="0" fontId="7" fillId="0" borderId="370" xfId="53" applyBorder="1">
      <alignment horizontal="center" vertical="center"/>
    </xf>
    <xf numFmtId="0" fontId="0" fillId="0" borderId="137" xfId="43" applyFont="1" applyFill="1" applyBorder="1">
      <alignment horizontal="center" vertical="center"/>
    </xf>
    <xf numFmtId="0" fontId="0" fillId="0" borderId="137" xfId="32" applyFont="1" applyFill="1" applyBorder="1" applyAlignment="1">
      <alignment horizontal="center" vertical="center"/>
    </xf>
    <xf numFmtId="0" fontId="0" fillId="51" borderId="137" xfId="53" applyFont="1" applyFill="1" applyBorder="1">
      <alignment horizontal="center" vertical="center"/>
    </xf>
    <xf numFmtId="0" fontId="0" fillId="88" borderId="137" xfId="47" applyFont="1" applyBorder="1">
      <alignment horizontal="center" vertical="center"/>
    </xf>
    <xf numFmtId="49" fontId="0" fillId="52" borderId="137" xfId="0" applyNumberFormat="1" applyFill="1" applyBorder="1">
      <alignment horizontal="center" vertical="center"/>
    </xf>
    <xf numFmtId="0" fontId="0" fillId="57" borderId="137" xfId="51" applyFont="1" applyFill="1" applyBorder="1">
      <alignment horizontal="center" vertical="center"/>
    </xf>
    <xf numFmtId="0" fontId="18" fillId="0" borderId="369" xfId="0" applyFont="1" applyBorder="1" applyAlignment="1" applyProtection="1">
      <alignment horizontal="center"/>
      <protection locked="0"/>
    </xf>
    <xf numFmtId="49" fontId="0" fillId="57" borderId="137" xfId="0" applyNumberFormat="1" applyFill="1" applyBorder="1">
      <alignment horizontal="center" vertical="center"/>
    </xf>
    <xf numFmtId="0" fontId="18" fillId="0" borderId="370" xfId="0" applyFont="1" applyBorder="1" applyAlignment="1" applyProtection="1">
      <alignment horizontal="center"/>
      <protection locked="0"/>
    </xf>
    <xf numFmtId="0" fontId="0" fillId="57" borderId="137" xfId="20" applyNumberFormat="1" applyFont="1" applyFill="1" applyBorder="1" applyAlignment="1">
      <alignment horizontal="center" vertical="center"/>
    </xf>
    <xf numFmtId="0" fontId="0" fillId="57" borderId="137" xfId="20" applyFont="1" applyFill="1" applyBorder="1" applyAlignment="1">
      <alignment horizontal="center" vertical="center"/>
    </xf>
    <xf numFmtId="0" fontId="0" fillId="0" borderId="370" xfId="0" applyBorder="1" applyAlignment="1">
      <alignment horizontal="left" vertical="center"/>
    </xf>
    <xf numFmtId="0" fontId="0" fillId="51" borderId="370" xfId="48" applyFont="1" applyFill="1" applyBorder="1">
      <alignment horizontal="center" vertical="center"/>
    </xf>
    <xf numFmtId="0" fontId="7" fillId="0" borderId="137" xfId="56" applyFill="1" applyBorder="1">
      <alignment horizontal="center" vertical="center"/>
    </xf>
    <xf numFmtId="0" fontId="0" fillId="70" borderId="369" xfId="0" applyFill="1" applyBorder="1">
      <alignment horizontal="center" vertical="center"/>
    </xf>
    <xf numFmtId="0" fontId="0" fillId="51" borderId="341" xfId="0" applyFill="1" applyBorder="1">
      <alignment horizontal="center" vertical="center"/>
    </xf>
    <xf numFmtId="0" fontId="0" fillId="0" borderId="371" xfId="0" applyBorder="1">
      <alignment horizontal="center" vertical="center"/>
    </xf>
    <xf numFmtId="173" fontId="0" fillId="0" borderId="371" xfId="0" applyNumberFormat="1" applyBorder="1">
      <alignment horizontal="center" vertical="center"/>
    </xf>
    <xf numFmtId="0" fontId="4" fillId="0" borderId="317" xfId="0" applyFont="1" applyBorder="1" applyAlignment="1" applyProtection="1">
      <alignment horizontal="center"/>
      <protection locked="0"/>
    </xf>
    <xf numFmtId="0" fontId="0" fillId="51" borderId="137" xfId="47" applyFont="1" applyFill="1" applyBorder="1">
      <alignment horizontal="center" vertical="center"/>
    </xf>
    <xf numFmtId="0" fontId="0" fillId="53" borderId="137" xfId="44" applyFont="1" applyFill="1" applyBorder="1">
      <alignment horizontal="center" vertical="center"/>
    </xf>
    <xf numFmtId="0" fontId="4" fillId="0" borderId="323" xfId="0" applyFont="1" applyBorder="1" applyAlignment="1" applyProtection="1">
      <alignment horizontal="center"/>
      <protection locked="0"/>
    </xf>
    <xf numFmtId="0" fontId="4" fillId="0" borderId="325" xfId="0" applyFont="1" applyBorder="1" applyAlignment="1" applyProtection="1">
      <alignment horizontal="center"/>
      <protection locked="0"/>
    </xf>
    <xf numFmtId="0" fontId="4" fillId="0" borderId="326" xfId="0" applyFont="1" applyBorder="1" applyAlignment="1" applyProtection="1">
      <alignment horizontal="center"/>
      <protection locked="0"/>
    </xf>
    <xf numFmtId="0" fontId="0" fillId="0" borderId="328" xfId="0" applyBorder="1" applyAlignment="1">
      <alignment horizontal="left" vertical="center"/>
    </xf>
    <xf numFmtId="0" fontId="0" fillId="51" borderId="326" xfId="47" applyFont="1" applyFill="1" applyBorder="1">
      <alignment horizontal="center" vertical="center"/>
    </xf>
    <xf numFmtId="0" fontId="0" fillId="51" borderId="327" xfId="47" applyFont="1" applyFill="1" applyBorder="1">
      <alignment horizontal="center" vertical="center"/>
    </xf>
    <xf numFmtId="49" fontId="0" fillId="53" borderId="340" xfId="0" applyNumberFormat="1" applyFill="1" applyBorder="1">
      <alignment horizontal="center" vertical="center"/>
    </xf>
    <xf numFmtId="0" fontId="0" fillId="0" borderId="340" xfId="53" applyFont="1" applyBorder="1">
      <alignment horizontal="center" vertical="center"/>
    </xf>
    <xf numFmtId="0" fontId="0" fillId="51" borderId="340" xfId="47" applyFont="1" applyFill="1" applyBorder="1">
      <alignment horizontal="center" vertical="center"/>
    </xf>
    <xf numFmtId="0" fontId="58" fillId="0" borderId="369" xfId="0" applyFont="1" applyBorder="1" applyAlignment="1"/>
    <xf numFmtId="0" fontId="59" fillId="0" borderId="369" xfId="0" applyFont="1" applyBorder="1" applyAlignment="1">
      <alignment horizontal="left" vertical="center"/>
    </xf>
    <xf numFmtId="49" fontId="0" fillId="76" borderId="137" xfId="0" applyNumberFormat="1" applyFill="1" applyBorder="1">
      <alignment horizontal="center" vertical="center"/>
    </xf>
    <xf numFmtId="0" fontId="61" fillId="60" borderId="290" xfId="51" applyBorder="1">
      <alignment horizontal="center" vertical="center"/>
    </xf>
    <xf numFmtId="0" fontId="0" fillId="0" borderId="369" xfId="0" applyBorder="1">
      <alignment horizontal="center" vertical="center"/>
    </xf>
    <xf numFmtId="173" fontId="0" fillId="0" borderId="369" xfId="0" applyNumberFormat="1" applyBorder="1">
      <alignment horizontal="center" vertical="center"/>
    </xf>
    <xf numFmtId="0" fontId="0" fillId="0" borderId="369" xfId="0" applyBorder="1" applyAlignment="1"/>
    <xf numFmtId="0" fontId="6" fillId="0" borderId="372" xfId="0" applyFont="1" applyBorder="1" applyAlignment="1"/>
    <xf numFmtId="0" fontId="59" fillId="0" borderId="373" xfId="0" applyFont="1" applyBorder="1" applyAlignment="1">
      <alignment horizontal="left" vertical="center"/>
    </xf>
    <xf numFmtId="0" fontId="7" fillId="0" borderId="370" xfId="43" applyFill="1" applyBorder="1">
      <alignment horizontal="center" vertical="center"/>
    </xf>
    <xf numFmtId="0" fontId="59" fillId="0" borderId="374" xfId="0" applyFont="1" applyBorder="1" applyAlignment="1">
      <alignment horizontal="left" vertical="center"/>
    </xf>
    <xf numFmtId="49" fontId="0" fillId="51" borderId="348" xfId="0" applyNumberFormat="1" applyFill="1" applyBorder="1">
      <alignment horizontal="center" vertical="center"/>
    </xf>
    <xf numFmtId="49" fontId="0" fillId="51" borderId="261" xfId="0" applyNumberFormat="1" applyFill="1" applyBorder="1">
      <alignment horizontal="center" vertical="center"/>
    </xf>
    <xf numFmtId="0" fontId="51" fillId="56" borderId="137" xfId="46" applyBorder="1">
      <alignment horizontal="center" vertical="center"/>
    </xf>
    <xf numFmtId="0" fontId="6" fillId="0" borderId="311" xfId="0" applyFont="1" applyBorder="1" applyAlignment="1"/>
    <xf numFmtId="0" fontId="7" fillId="0" borderId="290" xfId="45" applyFill="1" applyBorder="1">
      <alignment horizontal="center" vertical="center"/>
    </xf>
    <xf numFmtId="0" fontId="7" fillId="0" borderId="290" xfId="43" applyFill="1" applyBorder="1">
      <alignment horizontal="center" vertical="center"/>
    </xf>
    <xf numFmtId="49" fontId="0" fillId="52" borderId="290" xfId="0" applyNumberFormat="1" applyFill="1" applyBorder="1">
      <alignment horizontal="center" vertical="center"/>
    </xf>
    <xf numFmtId="0" fontId="0" fillId="52" borderId="290" xfId="0" applyFill="1" applyBorder="1">
      <alignment horizontal="center" vertical="center"/>
    </xf>
    <xf numFmtId="0" fontId="0" fillId="0" borderId="375" xfId="0" applyBorder="1">
      <alignment horizontal="center" vertical="center"/>
    </xf>
    <xf numFmtId="0" fontId="0" fillId="0" borderId="376" xfId="0" applyBorder="1" applyAlignment="1">
      <alignment horizontal="left" vertical="center"/>
    </xf>
    <xf numFmtId="0" fontId="0" fillId="0" borderId="377" xfId="0" applyBorder="1">
      <alignment horizontal="center" vertical="center"/>
    </xf>
    <xf numFmtId="0" fontId="0" fillId="0" borderId="378" xfId="0" applyBorder="1" applyAlignment="1">
      <alignment horizontal="left" vertical="center"/>
    </xf>
    <xf numFmtId="0" fontId="0" fillId="0" borderId="379" xfId="0" applyBorder="1">
      <alignment horizontal="center" vertical="center"/>
    </xf>
    <xf numFmtId="0" fontId="0" fillId="0" borderId="380" xfId="0" applyBorder="1">
      <alignment horizontal="center" vertical="center"/>
    </xf>
    <xf numFmtId="0" fontId="0" fillId="0" borderId="381" xfId="0" applyBorder="1">
      <alignment horizontal="center" vertical="center"/>
    </xf>
    <xf numFmtId="0" fontId="0" fillId="0" borderId="382" xfId="0" applyBorder="1">
      <alignment horizontal="center" vertical="center"/>
    </xf>
    <xf numFmtId="0" fontId="0" fillId="0" borderId="383" xfId="0" applyBorder="1">
      <alignment horizontal="center" vertical="center"/>
    </xf>
    <xf numFmtId="0" fontId="0" fillId="0" borderId="337" xfId="0" applyBorder="1">
      <alignment horizontal="center" vertical="center"/>
    </xf>
    <xf numFmtId="0" fontId="0" fillId="0" borderId="323" xfId="0" applyBorder="1" applyAlignment="1">
      <alignment horizontal="left" vertical="center"/>
    </xf>
    <xf numFmtId="0" fontId="0" fillId="0" borderId="323" xfId="0" applyBorder="1">
      <alignment horizontal="center" vertical="center"/>
    </xf>
    <xf numFmtId="0" fontId="0" fillId="0" borderId="384" xfId="0" applyBorder="1">
      <alignment horizontal="center" vertical="center"/>
    </xf>
    <xf numFmtId="0" fontId="0" fillId="0" borderId="385" xfId="0" applyBorder="1" applyAlignment="1">
      <alignment horizontal="left" vertical="center"/>
    </xf>
    <xf numFmtId="0" fontId="0" fillId="0" borderId="338" xfId="0" applyBorder="1">
      <alignment horizontal="center" vertical="center"/>
    </xf>
    <xf numFmtId="0" fontId="0" fillId="0" borderId="325" xfId="0" applyBorder="1" applyAlignment="1">
      <alignment horizontal="left" vertical="center"/>
    </xf>
    <xf numFmtId="0" fontId="0" fillId="0" borderId="335" xfId="0" applyBorder="1">
      <alignment horizontal="center" vertical="center"/>
    </xf>
    <xf numFmtId="0" fontId="0" fillId="0" borderId="386" xfId="0" applyBorder="1">
      <alignment horizontal="center" vertical="center"/>
    </xf>
    <xf numFmtId="0" fontId="0" fillId="0" borderId="325" xfId="0" applyBorder="1">
      <alignment horizontal="center" vertical="center"/>
    </xf>
    <xf numFmtId="0" fontId="4" fillId="43" borderId="387" xfId="0" applyFont="1" applyFill="1" applyBorder="1" applyAlignment="1">
      <alignment horizontal="center"/>
    </xf>
    <xf numFmtId="0" fontId="0" fillId="0" borderId="387" xfId="0" applyBorder="1" applyAlignment="1">
      <alignment vertical="center"/>
    </xf>
    <xf numFmtId="0" fontId="0" fillId="51" borderId="387" xfId="0" applyFill="1" applyBorder="1">
      <alignment horizontal="center" vertical="center"/>
    </xf>
    <xf numFmtId="0" fontId="0" fillId="51" borderId="387" xfId="20" applyNumberFormat="1" applyFont="1" applyFill="1" applyBorder="1" applyAlignment="1">
      <alignment horizontal="center" vertical="center"/>
    </xf>
    <xf numFmtId="0" fontId="0" fillId="51" borderId="387" xfId="48" applyFont="1" applyFill="1" applyBorder="1">
      <alignment horizontal="center" vertical="center"/>
    </xf>
    <xf numFmtId="0" fontId="0" fillId="51" borderId="388" xfId="0" applyFill="1" applyBorder="1">
      <alignment horizontal="center" vertical="center"/>
    </xf>
    <xf numFmtId="0" fontId="4" fillId="43" borderId="326" xfId="0" applyFont="1" applyFill="1" applyBorder="1" applyAlignment="1">
      <alignment horizontal="center"/>
    </xf>
    <xf numFmtId="0" fontId="0" fillId="0" borderId="326" xfId="0" applyBorder="1" applyAlignment="1">
      <alignment vertical="center"/>
    </xf>
    <xf numFmtId="0" fontId="0" fillId="51" borderId="326" xfId="20" applyNumberFormat="1" applyFont="1" applyFill="1" applyBorder="1" applyAlignment="1">
      <alignment horizontal="center" vertical="center"/>
    </xf>
    <xf numFmtId="0" fontId="4" fillId="43" borderId="340" xfId="0" applyFont="1" applyFill="1" applyBorder="1" applyAlignment="1">
      <alignment horizontal="center"/>
    </xf>
    <xf numFmtId="0" fontId="0" fillId="0" borderId="340" xfId="0" applyBorder="1" applyAlignment="1">
      <alignment vertical="center"/>
    </xf>
    <xf numFmtId="0" fontId="4" fillId="0" borderId="389" xfId="0" applyFont="1" applyBorder="1" applyAlignment="1">
      <alignment horizontal="center"/>
    </xf>
    <xf numFmtId="0" fontId="4" fillId="0" borderId="382" xfId="0" applyFont="1" applyBorder="1" applyAlignment="1">
      <alignment horizontal="center"/>
    </xf>
    <xf numFmtId="0" fontId="4" fillId="0" borderId="390" xfId="0" applyFont="1" applyBorder="1" applyAlignment="1">
      <alignment horizontal="left"/>
    </xf>
    <xf numFmtId="0" fontId="6" fillId="0" borderId="382" xfId="0" applyFont="1" applyBorder="1" applyAlignment="1">
      <alignment horizontal="center"/>
    </xf>
    <xf numFmtId="0" fontId="0" fillId="0" borderId="382" xfId="0" applyBorder="1" applyAlignment="1">
      <alignment horizontal="center"/>
    </xf>
    <xf numFmtId="0" fontId="4" fillId="0" borderId="390" xfId="0" applyFont="1" applyBorder="1" applyAlignment="1">
      <alignment horizontal="center"/>
    </xf>
    <xf numFmtId="0" fontId="6" fillId="0" borderId="391" xfId="0" applyFont="1" applyBorder="1" applyAlignment="1">
      <alignment horizontal="center"/>
    </xf>
    <xf numFmtId="0" fontId="6" fillId="0" borderId="390" xfId="0" applyFont="1" applyBorder="1" applyAlignment="1">
      <alignment horizontal="center"/>
    </xf>
    <xf numFmtId="0" fontId="0" fillId="0" borderId="390" xfId="0" applyBorder="1" applyAlignment="1">
      <alignment horizontal="center"/>
    </xf>
    <xf numFmtId="0" fontId="7" fillId="0" borderId="391" xfId="0" applyFont="1" applyBorder="1" applyAlignment="1">
      <alignment horizontal="left" vertical="center"/>
    </xf>
    <xf numFmtId="0" fontId="6" fillId="0" borderId="391" xfId="0" applyFont="1" applyBorder="1">
      <alignment horizontal="center" vertical="center"/>
    </xf>
    <xf numFmtId="0" fontId="6" fillId="0" borderId="390" xfId="0" applyFont="1" applyBorder="1">
      <alignment horizontal="center" vertical="center"/>
    </xf>
    <xf numFmtId="0" fontId="4" fillId="0" borderId="366" xfId="0" applyFont="1" applyBorder="1" applyAlignment="1">
      <alignment horizontal="center"/>
    </xf>
    <xf numFmtId="0" fontId="7" fillId="0" borderId="323" xfId="0" applyFont="1" applyBorder="1" applyAlignment="1">
      <alignment horizontal="left" vertical="center"/>
    </xf>
    <xf numFmtId="0" fontId="7" fillId="0" borderId="324" xfId="0" applyFont="1" applyBorder="1" applyAlignment="1">
      <alignment horizontal="left" vertical="center"/>
    </xf>
    <xf numFmtId="0" fontId="7" fillId="0" borderId="384" xfId="0" applyFont="1" applyBorder="1" applyAlignment="1">
      <alignment horizontal="left" vertical="center"/>
    </xf>
    <xf numFmtId="0" fontId="4" fillId="0" borderId="328" xfId="0" applyFont="1" applyBorder="1" applyAlignment="1" applyProtection="1">
      <alignment horizontal="center"/>
      <protection locked="0"/>
    </xf>
    <xf numFmtId="0" fontId="7" fillId="0" borderId="387" xfId="0" applyFont="1" applyBorder="1">
      <alignment horizontal="center" vertical="center"/>
    </xf>
    <xf numFmtId="0" fontId="7" fillId="0" borderId="387" xfId="0" applyFont="1" applyBorder="1" applyAlignment="1">
      <alignment horizontal="left" vertical="center"/>
    </xf>
    <xf numFmtId="0" fontId="7" fillId="0" borderId="387" xfId="53" applyBorder="1">
      <alignment horizontal="center" vertical="center"/>
    </xf>
    <xf numFmtId="0" fontId="0" fillId="0" borderId="382" xfId="0" applyBorder="1" applyAlignment="1"/>
    <xf numFmtId="0" fontId="4" fillId="0" borderId="391" xfId="0" applyFont="1" applyBorder="1" applyAlignment="1">
      <alignment horizontal="left"/>
    </xf>
    <xf numFmtId="0" fontId="0" fillId="0" borderId="391" xfId="0" applyBorder="1" applyAlignment="1"/>
    <xf numFmtId="0" fontId="0" fillId="0" borderId="390" xfId="0" applyBorder="1" applyAlignment="1"/>
    <xf numFmtId="0" fontId="4" fillId="0" borderId="382" xfId="0" applyFont="1" applyBorder="1" applyAlignment="1">
      <alignment horizontal="left"/>
    </xf>
    <xf numFmtId="0" fontId="0" fillId="0" borderId="383" xfId="0" applyBorder="1" applyAlignment="1"/>
    <xf numFmtId="0" fontId="0" fillId="0" borderId="337" xfId="0" applyBorder="1" applyAlignment="1">
      <alignment horizontal="center"/>
    </xf>
    <xf numFmtId="0" fontId="4" fillId="0" borderId="323" xfId="0" applyFont="1" applyBorder="1" applyAlignment="1">
      <alignment horizontal="left"/>
    </xf>
    <xf numFmtId="0" fontId="0" fillId="0" borderId="324" xfId="0" applyBorder="1" applyAlignment="1"/>
    <xf numFmtId="0" fontId="0" fillId="0" borderId="334" xfId="0" applyBorder="1" applyAlignment="1">
      <alignment horizontal="left"/>
    </xf>
    <xf numFmtId="0" fontId="4" fillId="0" borderId="324" xfId="0" applyFont="1" applyBorder="1" applyAlignment="1"/>
    <xf numFmtId="0" fontId="4" fillId="0" borderId="334" xfId="0" applyFont="1" applyBorder="1" applyAlignment="1">
      <alignment horizontal="left"/>
    </xf>
    <xf numFmtId="0" fontId="0" fillId="0" borderId="323" xfId="0" applyBorder="1" applyAlignment="1">
      <alignment horizontal="center"/>
    </xf>
    <xf numFmtId="0" fontId="0" fillId="0" borderId="384" xfId="0" applyBorder="1" applyAlignment="1"/>
    <xf numFmtId="0" fontId="4" fillId="0" borderId="347" xfId="0" applyFont="1" applyBorder="1" applyAlignment="1">
      <alignment horizontal="left"/>
    </xf>
    <xf numFmtId="0" fontId="0" fillId="0" borderId="345" xfId="0" applyBorder="1" applyAlignment="1"/>
    <xf numFmtId="0" fontId="0" fillId="0" borderId="346" xfId="0" applyBorder="1" applyAlignment="1">
      <alignment horizontal="left"/>
    </xf>
    <xf numFmtId="0" fontId="9" fillId="0" borderId="347" xfId="0" applyFont="1" applyBorder="1" applyAlignment="1">
      <alignment horizontal="center"/>
    </xf>
    <xf numFmtId="0" fontId="0" fillId="0" borderId="363" xfId="0" applyBorder="1" applyAlignment="1"/>
    <xf numFmtId="0" fontId="0" fillId="0" borderId="338" xfId="0" applyBorder="1" applyAlignment="1">
      <alignment horizontal="center"/>
    </xf>
    <xf numFmtId="0" fontId="4" fillId="0" borderId="325" xfId="0" applyFont="1" applyBorder="1" applyAlignment="1">
      <alignment horizontal="left"/>
    </xf>
    <xf numFmtId="0" fontId="7" fillId="0" borderId="339" xfId="0" applyFont="1" applyBorder="1" applyAlignment="1">
      <alignment horizontal="left" vertical="center"/>
    </xf>
    <xf numFmtId="0" fontId="7" fillId="0" borderId="339" xfId="0" applyFont="1" applyBorder="1">
      <alignment horizontal="center" vertical="center"/>
    </xf>
    <xf numFmtId="0" fontId="7" fillId="0" borderId="364" xfId="0" applyFont="1" applyBorder="1">
      <alignment horizontal="center" vertical="center"/>
    </xf>
    <xf numFmtId="0" fontId="7" fillId="0" borderId="325" xfId="0" applyFont="1" applyBorder="1" applyAlignment="1">
      <alignment horizontal="left" vertical="center"/>
    </xf>
    <xf numFmtId="0" fontId="7" fillId="0" borderId="339" xfId="0" applyFont="1" applyBorder="1" applyAlignment="1">
      <alignment horizontal="left"/>
    </xf>
    <xf numFmtId="0" fontId="7" fillId="0" borderId="364" xfId="0" applyFont="1" applyBorder="1" applyAlignment="1">
      <alignment horizontal="left" vertical="center"/>
    </xf>
    <xf numFmtId="0" fontId="0" fillId="0" borderId="339" xfId="0" applyBorder="1" applyAlignment="1">
      <alignment horizontal="left"/>
    </xf>
    <xf numFmtId="0" fontId="0" fillId="0" borderId="365" xfId="0" applyBorder="1" applyAlignment="1"/>
    <xf numFmtId="0" fontId="0" fillId="51" borderId="387" xfId="0" applyFill="1" applyBorder="1" applyAlignment="1">
      <alignment horizontal="left" vertical="center"/>
    </xf>
    <xf numFmtId="0" fontId="61" fillId="60" borderId="387" xfId="51" applyBorder="1">
      <alignment horizontal="center" vertical="center"/>
    </xf>
    <xf numFmtId="0" fontId="0" fillId="51" borderId="387" xfId="44" applyFont="1" applyFill="1" applyBorder="1">
      <alignment horizontal="center" vertical="center"/>
    </xf>
    <xf numFmtId="49" fontId="0" fillId="51" borderId="387" xfId="0" applyNumberFormat="1" applyFill="1" applyBorder="1">
      <alignment horizontal="center" vertical="center"/>
    </xf>
    <xf numFmtId="0" fontId="7" fillId="86" borderId="387" xfId="44" applyBorder="1">
      <alignment horizontal="center" vertical="center"/>
    </xf>
    <xf numFmtId="0" fontId="0" fillId="55" borderId="387" xfId="45" applyFont="1" applyBorder="1">
      <alignment horizontal="center" vertical="center"/>
    </xf>
    <xf numFmtId="0" fontId="7" fillId="58" borderId="387" xfId="33" applyBorder="1">
      <alignment horizontal="center" vertical="center"/>
    </xf>
    <xf numFmtId="0" fontId="0" fillId="55" borderId="387" xfId="44" applyFont="1" applyFill="1" applyBorder="1">
      <alignment horizontal="center" vertical="center"/>
    </xf>
    <xf numFmtId="49" fontId="0" fillId="51" borderId="388" xfId="0" applyNumberFormat="1" applyFill="1" applyBorder="1">
      <alignment horizontal="center" vertical="center"/>
    </xf>
    <xf numFmtId="0" fontId="0" fillId="51" borderId="326" xfId="0" applyFill="1" applyBorder="1" applyAlignment="1">
      <alignment horizontal="left" vertical="center"/>
    </xf>
    <xf numFmtId="0" fontId="0" fillId="51" borderId="326" xfId="51" applyFont="1" applyFill="1" applyBorder="1">
      <alignment horizontal="center" vertical="center"/>
    </xf>
    <xf numFmtId="0" fontId="0" fillId="16" borderId="392" xfId="20" applyFont="1" applyBorder="1" applyAlignment="1">
      <alignment horizontal="center" vertical="center"/>
    </xf>
    <xf numFmtId="0" fontId="0" fillId="51" borderId="327" xfId="51" applyFont="1" applyFill="1" applyBorder="1">
      <alignment horizontal="center" vertical="center"/>
    </xf>
    <xf numFmtId="0" fontId="0" fillId="51" borderId="340" xfId="32" applyFont="1" applyFill="1" applyBorder="1" applyAlignment="1">
      <alignment horizontal="center" vertical="center"/>
    </xf>
    <xf numFmtId="0" fontId="0" fillId="51" borderId="355" xfId="48" applyFont="1" applyFill="1" applyBorder="1">
      <alignment horizontal="center" vertical="center"/>
    </xf>
    <xf numFmtId="0" fontId="0" fillId="0" borderId="325" xfId="0" applyBorder="1" applyAlignment="1">
      <alignment horizontal="left"/>
    </xf>
    <xf numFmtId="0" fontId="0" fillId="0" borderId="339" xfId="0" applyBorder="1" applyAlignment="1"/>
    <xf numFmtId="0" fontId="0" fillId="0" borderId="364" xfId="0" applyBorder="1" applyAlignment="1">
      <alignment horizontal="left"/>
    </xf>
    <xf numFmtId="0" fontId="0" fillId="0" borderId="325" xfId="0" applyBorder="1" applyAlignment="1">
      <alignment horizontal="center"/>
    </xf>
    <xf numFmtId="0" fontId="0" fillId="70" borderId="297" xfId="0" applyFill="1" applyBorder="1">
      <alignment horizontal="center" vertical="center"/>
    </xf>
    <xf numFmtId="0" fontId="0" fillId="51" borderId="297" xfId="0" applyFill="1" applyBorder="1">
      <alignment horizontal="center" vertical="center"/>
    </xf>
    <xf numFmtId="0" fontId="59" fillId="0" borderId="347" xfId="0" applyFont="1" applyBorder="1" applyAlignment="1">
      <alignment horizontal="left" vertical="center"/>
    </xf>
    <xf numFmtId="0" fontId="0" fillId="51" borderId="140" xfId="0" applyFill="1" applyBorder="1" applyAlignment="1">
      <alignment horizontal="left" vertical="center"/>
    </xf>
    <xf numFmtId="0" fontId="7" fillId="51" borderId="387" xfId="0" applyFont="1" applyFill="1" applyBorder="1" applyAlignment="1">
      <alignment vertical="center"/>
    </xf>
    <xf numFmtId="0" fontId="0" fillId="51" borderId="387" xfId="32" applyFont="1" applyFill="1" applyBorder="1" applyAlignment="1">
      <alignment horizontal="center" vertical="center"/>
    </xf>
    <xf numFmtId="0" fontId="7" fillId="51" borderId="326" xfId="45" applyFill="1" applyBorder="1">
      <alignment horizontal="center" vertical="center"/>
    </xf>
    <xf numFmtId="0" fontId="0" fillId="0" borderId="270" xfId="0" applyBorder="1">
      <alignment horizontal="center" vertical="center"/>
    </xf>
    <xf numFmtId="0" fontId="4" fillId="0" borderId="382" xfId="0" applyFont="1" applyBorder="1" applyAlignment="1">
      <alignment horizontal="left" vertical="center"/>
    </xf>
    <xf numFmtId="0" fontId="0" fillId="0" borderId="390" xfId="0" applyBorder="1" applyAlignment="1">
      <alignment horizontal="left" vertical="center"/>
    </xf>
    <xf numFmtId="0" fontId="4" fillId="0" borderId="391" xfId="0" applyFont="1" applyBorder="1" applyAlignment="1">
      <alignment horizontal="left" vertical="center"/>
    </xf>
    <xf numFmtId="0" fontId="0" fillId="51" borderId="393" xfId="43" applyFont="1" applyFill="1" applyBorder="1">
      <alignment horizontal="center" vertical="center"/>
    </xf>
    <xf numFmtId="0" fontId="0" fillId="51" borderId="393" xfId="0" applyFill="1" applyBorder="1">
      <alignment horizontal="center" vertical="center"/>
    </xf>
    <xf numFmtId="0" fontId="0" fillId="51" borderId="394" xfId="0" applyFill="1" applyBorder="1">
      <alignment horizontal="center" vertical="center"/>
    </xf>
    <xf numFmtId="0" fontId="4" fillId="0" borderId="395" xfId="0" applyFont="1" applyBorder="1" applyAlignment="1">
      <alignment horizontal="center"/>
    </xf>
    <xf numFmtId="0" fontId="0" fillId="0" borderId="387" xfId="0" applyBorder="1" applyAlignment="1" applyProtection="1">
      <alignment horizontal="center"/>
      <protection locked="0"/>
    </xf>
    <xf numFmtId="0" fontId="0" fillId="53" borderId="340" xfId="48" applyFont="1" applyFill="1" applyBorder="1">
      <alignment horizontal="center" vertical="center"/>
    </xf>
    <xf numFmtId="0" fontId="7" fillId="58" borderId="340" xfId="33" applyBorder="1">
      <alignment horizontal="center" vertical="center"/>
    </xf>
    <xf numFmtId="0" fontId="51" fillId="56" borderId="345" xfId="46" applyBorder="1">
      <alignment horizontal="center" vertical="center"/>
    </xf>
    <xf numFmtId="0" fontId="51" fillId="56" borderId="346" xfId="46" applyBorder="1">
      <alignment horizontal="center" vertical="center"/>
    </xf>
    <xf numFmtId="0" fontId="7" fillId="87" borderId="323" xfId="0" applyFont="1" applyFill="1" applyBorder="1" applyAlignment="1">
      <alignment horizontal="left" vertical="center"/>
    </xf>
    <xf numFmtId="0" fontId="0" fillId="0" borderId="396" xfId="0" applyBorder="1" applyAlignment="1" applyProtection="1">
      <alignment horizontal="center"/>
      <protection locked="0"/>
    </xf>
    <xf numFmtId="0" fontId="6" fillId="51" borderId="396" xfId="0" applyFont="1" applyFill="1" applyBorder="1">
      <alignment horizontal="center" vertical="center"/>
    </xf>
    <xf numFmtId="0" fontId="0" fillId="51" borderId="396" xfId="0" applyFill="1" applyBorder="1">
      <alignment horizontal="center" vertical="center"/>
    </xf>
    <xf numFmtId="0" fontId="0" fillId="70" borderId="396" xfId="0" applyFill="1" applyBorder="1">
      <alignment horizontal="center" vertical="center"/>
    </xf>
    <xf numFmtId="0" fontId="0" fillId="51" borderId="387" xfId="0" applyFill="1" applyBorder="1" applyProtection="1">
      <alignment horizontal="center" vertical="center"/>
      <protection locked="0"/>
    </xf>
    <xf numFmtId="0" fontId="0" fillId="43" borderId="387" xfId="0" applyFill="1" applyBorder="1" applyAlignment="1" applyProtection="1">
      <alignment horizontal="center"/>
      <protection locked="0"/>
    </xf>
    <xf numFmtId="1" fontId="0" fillId="55" borderId="123" xfId="0" applyNumberFormat="1" applyFill="1" applyBorder="1">
      <alignment horizontal="center" vertical="center"/>
    </xf>
    <xf numFmtId="0" fontId="7" fillId="53" borderId="326" xfId="44" applyFill="1" applyBorder="1">
      <alignment horizontal="center" vertical="center"/>
    </xf>
    <xf numFmtId="1" fontId="7" fillId="53" borderId="326" xfId="0" applyNumberFormat="1" applyFont="1" applyFill="1" applyBorder="1">
      <alignment horizontal="center" vertical="center"/>
    </xf>
    <xf numFmtId="1" fontId="0" fillId="55" borderId="326" xfId="32" applyNumberFormat="1" applyFont="1" applyFill="1" applyBorder="1" applyAlignment="1">
      <alignment horizontal="center" vertical="center"/>
    </xf>
    <xf numFmtId="0" fontId="0" fillId="51" borderId="326" xfId="49" applyFont="1" applyFill="1" applyBorder="1">
      <alignment horizontal="center" vertical="center"/>
    </xf>
    <xf numFmtId="0" fontId="0" fillId="55" borderId="326" xfId="49" applyFont="1" applyFill="1" applyBorder="1">
      <alignment horizontal="center" vertical="center"/>
    </xf>
    <xf numFmtId="0" fontId="7" fillId="16" borderId="392" xfId="20" applyFont="1" applyBorder="1" applyAlignment="1">
      <alignment horizontal="center" vertical="center"/>
    </xf>
    <xf numFmtId="0" fontId="0" fillId="51" borderId="340" xfId="46" applyFont="1" applyFill="1" applyBorder="1">
      <alignment horizontal="center" vertical="center"/>
    </xf>
    <xf numFmtId="1" fontId="0" fillId="51" borderId="340" xfId="20" applyNumberFormat="1" applyFont="1" applyFill="1" applyBorder="1" applyAlignment="1">
      <alignment horizontal="center" vertical="center"/>
    </xf>
    <xf numFmtId="0" fontId="0" fillId="55" borderId="340" xfId="0" applyFill="1" applyBorder="1">
      <alignment horizontal="center" vertical="center"/>
    </xf>
    <xf numFmtId="1" fontId="0" fillId="55" borderId="340" xfId="0" applyNumberFormat="1" applyFill="1" applyBorder="1">
      <alignment horizontal="center" vertical="center"/>
    </xf>
    <xf numFmtId="1" fontId="0" fillId="51" borderId="340" xfId="0" applyNumberFormat="1" applyFill="1" applyBorder="1">
      <alignment horizontal="center" vertical="center"/>
    </xf>
    <xf numFmtId="1" fontId="0" fillId="55" borderId="340" xfId="20" applyNumberFormat="1" applyFont="1" applyFill="1" applyBorder="1" applyAlignment="1">
      <alignment horizontal="center" vertical="center"/>
    </xf>
    <xf numFmtId="0" fontId="4" fillId="24" borderId="396" xfId="0" applyFont="1" applyFill="1" applyBorder="1" applyAlignment="1" applyProtection="1">
      <alignment horizontal="left"/>
      <protection locked="0"/>
    </xf>
    <xf numFmtId="0" fontId="4" fillId="24" borderId="396" xfId="0" applyFont="1" applyFill="1" applyBorder="1">
      <alignment horizontal="center" vertical="center"/>
    </xf>
    <xf numFmtId="0" fontId="0" fillId="0" borderId="387" xfId="0" applyBorder="1" applyAlignment="1">
      <alignment horizontal="left" vertical="center"/>
    </xf>
    <xf numFmtId="0" fontId="0" fillId="52" borderId="297" xfId="43" applyFont="1" applyFill="1" applyBorder="1">
      <alignment horizontal="center" vertical="center"/>
    </xf>
    <xf numFmtId="0" fontId="0" fillId="55" borderId="297" xfId="43" applyFont="1" applyFill="1" applyBorder="1">
      <alignment horizontal="center" vertical="center"/>
    </xf>
    <xf numFmtId="0" fontId="7" fillId="53" borderId="297" xfId="43" applyBorder="1">
      <alignment horizontal="center" vertical="center"/>
    </xf>
    <xf numFmtId="0" fontId="0" fillId="51" borderId="387" xfId="43" applyFont="1" applyFill="1" applyBorder="1">
      <alignment horizontal="center" vertical="center"/>
    </xf>
    <xf numFmtId="0" fontId="0" fillId="56" borderId="326" xfId="48" applyFont="1" applyFill="1" applyBorder="1">
      <alignment horizontal="center" vertical="center"/>
    </xf>
    <xf numFmtId="0" fontId="0" fillId="55" borderId="340" xfId="32" applyFont="1" applyFill="1" applyBorder="1" applyAlignment="1">
      <alignment horizontal="center" vertical="center"/>
    </xf>
    <xf numFmtId="0" fontId="0" fillId="53" borderId="340" xfId="32" applyFont="1" applyFill="1" applyBorder="1" applyAlignment="1">
      <alignment horizontal="center" vertical="center"/>
    </xf>
    <xf numFmtId="0" fontId="0" fillId="53" borderId="340" xfId="43" applyFont="1" applyBorder="1">
      <alignment horizontal="center" vertical="center"/>
    </xf>
    <xf numFmtId="0" fontId="0" fillId="51" borderId="334" xfId="48" applyFont="1" applyFill="1" applyBorder="1">
      <alignment horizontal="center" vertical="center"/>
    </xf>
    <xf numFmtId="0" fontId="4" fillId="0" borderId="389" xfId="0" applyFont="1" applyBorder="1" applyAlignment="1">
      <alignment horizontal="left" vertical="center"/>
    </xf>
    <xf numFmtId="0" fontId="4" fillId="0" borderId="382" xfId="0" applyFont="1" applyBorder="1" applyAlignment="1">
      <alignment vertical="center"/>
    </xf>
    <xf numFmtId="0" fontId="4" fillId="0" borderId="391" xfId="0" applyFont="1" applyBorder="1" applyAlignment="1">
      <alignment vertical="center"/>
    </xf>
    <xf numFmtId="0" fontId="0" fillId="0" borderId="391" xfId="0" applyBorder="1">
      <alignment horizontal="center" vertical="center"/>
    </xf>
    <xf numFmtId="0" fontId="0" fillId="24" borderId="395" xfId="0" applyFill="1" applyBorder="1" applyAlignment="1" applyProtection="1">
      <alignment horizontal="center"/>
      <protection locked="0"/>
    </xf>
    <xf numFmtId="0" fontId="0" fillId="51" borderId="340" xfId="53" applyFont="1" applyFill="1" applyBorder="1">
      <alignment horizontal="center" vertical="center"/>
    </xf>
    <xf numFmtId="0" fontId="0" fillId="55" borderId="326" xfId="48" applyFont="1" applyFill="1" applyBorder="1">
      <alignment horizontal="center" vertical="center"/>
    </xf>
    <xf numFmtId="0" fontId="0" fillId="76" borderId="340" xfId="48" applyFont="1" applyFill="1" applyBorder="1">
      <alignment horizontal="center" vertical="center"/>
    </xf>
    <xf numFmtId="0" fontId="0" fillId="51" borderId="387" xfId="0" applyFill="1" applyBorder="1" applyAlignment="1">
      <alignment horizontal="left" vertical="center" wrapText="1"/>
    </xf>
    <xf numFmtId="0" fontId="0" fillId="55" borderId="340" xfId="44" applyFont="1" applyFill="1" applyBorder="1">
      <alignment horizontal="center" vertical="center"/>
    </xf>
    <xf numFmtId="49" fontId="0" fillId="16" borderId="392" xfId="20" applyNumberFormat="1" applyFont="1" applyBorder="1" applyAlignment="1">
      <alignment horizontal="center" vertical="center"/>
    </xf>
    <xf numFmtId="49" fontId="0" fillId="55" borderId="387" xfId="0" applyNumberFormat="1" applyFill="1" applyBorder="1">
      <alignment horizontal="center" vertical="center"/>
    </xf>
    <xf numFmtId="0" fontId="7" fillId="52" borderId="387" xfId="48" applyBorder="1">
      <alignment horizontal="center" vertical="center"/>
    </xf>
    <xf numFmtId="0" fontId="0" fillId="56" borderId="340" xfId="0" applyFill="1" applyBorder="1">
      <alignment horizontal="center" vertical="center"/>
    </xf>
    <xf numFmtId="0" fontId="7" fillId="53" borderId="387" xfId="43" applyBorder="1">
      <alignment horizontal="center" vertical="center"/>
    </xf>
    <xf numFmtId="0" fontId="0" fillId="51" borderId="387" xfId="46" applyFont="1" applyFill="1" applyBorder="1">
      <alignment horizontal="center" vertical="center"/>
    </xf>
    <xf numFmtId="0" fontId="7" fillId="89" borderId="387" xfId="56" applyBorder="1">
      <alignment horizontal="center" vertical="center"/>
    </xf>
    <xf numFmtId="0" fontId="0" fillId="52" borderId="326" xfId="48" applyFont="1" applyBorder="1">
      <alignment horizontal="center" vertical="center"/>
    </xf>
    <xf numFmtId="0" fontId="0" fillId="0" borderId="361" xfId="0" applyBorder="1">
      <alignment horizontal="center" vertical="center"/>
    </xf>
    <xf numFmtId="0" fontId="0" fillId="0" borderId="332" xfId="0" applyBorder="1">
      <alignment horizontal="center" vertical="center"/>
    </xf>
    <xf numFmtId="0" fontId="0" fillId="0" borderId="397" xfId="0" applyBorder="1">
      <alignment horizontal="center" vertical="center"/>
    </xf>
    <xf numFmtId="0" fontId="0" fillId="0" borderId="398" xfId="0" applyBorder="1">
      <alignment horizontal="center" vertical="center"/>
    </xf>
    <xf numFmtId="0" fontId="0" fillId="0" borderId="399" xfId="0" applyBorder="1">
      <alignment horizontal="center" vertical="center"/>
    </xf>
    <xf numFmtId="0" fontId="4" fillId="0" borderId="400" xfId="0" applyFont="1" applyBorder="1" applyAlignment="1" applyProtection="1">
      <alignment horizontal="center"/>
      <protection locked="0"/>
    </xf>
    <xf numFmtId="0" fontId="6" fillId="0" borderId="400" xfId="0" applyFont="1" applyBorder="1" applyAlignment="1">
      <alignment horizontal="center"/>
    </xf>
    <xf numFmtId="0" fontId="0" fillId="0" borderId="393" xfId="0" applyBorder="1" applyAlignment="1">
      <alignment vertical="center"/>
    </xf>
    <xf numFmtId="0" fontId="0" fillId="51" borderId="401" xfId="0" applyFill="1" applyBorder="1" applyAlignment="1" applyProtection="1">
      <alignment horizontal="left" vertical="center"/>
      <protection locked="0"/>
    </xf>
    <xf numFmtId="0" fontId="0" fillId="51" borderId="388" xfId="48" applyFont="1" applyFill="1" applyBorder="1">
      <alignment horizontal="center" vertical="center"/>
    </xf>
    <xf numFmtId="0" fontId="0" fillId="55" borderId="402" xfId="48" applyFont="1" applyFill="1" applyBorder="1">
      <alignment horizontal="center" vertical="center"/>
    </xf>
    <xf numFmtId="0" fontId="0" fillId="90" borderId="387" xfId="56" applyFont="1" applyFill="1" applyBorder="1">
      <alignment horizontal="center" vertical="center"/>
    </xf>
    <xf numFmtId="0" fontId="0" fillId="51" borderId="403" xfId="48" applyFont="1" applyFill="1" applyBorder="1">
      <alignment horizontal="center" vertical="center"/>
    </xf>
    <xf numFmtId="0" fontId="0" fillId="53" borderId="404" xfId="0" applyFill="1" applyBorder="1">
      <alignment horizontal="center" vertical="center"/>
    </xf>
    <xf numFmtId="0" fontId="0" fillId="53" borderId="404" xfId="48" applyFont="1" applyFill="1" applyBorder="1">
      <alignment horizontal="center" vertical="center"/>
    </xf>
    <xf numFmtId="49" fontId="0" fillId="53" borderId="404" xfId="0" applyNumberFormat="1" applyFill="1" applyBorder="1">
      <alignment horizontal="center" vertical="center"/>
    </xf>
    <xf numFmtId="0" fontId="7" fillId="55" borderId="387" xfId="45" applyBorder="1">
      <alignment horizontal="center" vertical="center"/>
    </xf>
    <xf numFmtId="0" fontId="0" fillId="53" borderId="387" xfId="48" applyFont="1" applyFill="1" applyBorder="1">
      <alignment horizontal="center" vertical="center"/>
    </xf>
    <xf numFmtId="49" fontId="0" fillId="53" borderId="387" xfId="0" applyNumberFormat="1" applyFill="1" applyBorder="1">
      <alignment horizontal="center" vertical="center"/>
    </xf>
    <xf numFmtId="0" fontId="0" fillId="53" borderId="387" xfId="0" applyFill="1" applyBorder="1">
      <alignment horizontal="center" vertical="center"/>
    </xf>
    <xf numFmtId="0" fontId="0" fillId="52" borderId="387" xfId="44" applyFont="1" applyFill="1" applyBorder="1">
      <alignment horizontal="center" vertical="center"/>
    </xf>
    <xf numFmtId="0" fontId="0" fillId="52" borderId="404" xfId="0" applyFill="1" applyBorder="1">
      <alignment horizontal="center" vertical="center"/>
    </xf>
    <xf numFmtId="0" fontId="0" fillId="51" borderId="404" xfId="45" applyFont="1" applyFill="1" applyBorder="1">
      <alignment horizontal="center" vertical="center"/>
    </xf>
    <xf numFmtId="0" fontId="7" fillId="55" borderId="402" xfId="45" applyBorder="1">
      <alignment horizontal="center" vertical="center"/>
    </xf>
    <xf numFmtId="0" fontId="0" fillId="83" borderId="404" xfId="48" applyFont="1" applyFill="1" applyBorder="1">
      <alignment horizontal="center" vertical="center"/>
    </xf>
    <xf numFmtId="0" fontId="0" fillId="83" borderId="404" xfId="32" applyFont="1" applyFill="1" applyBorder="1" applyAlignment="1">
      <alignment horizontal="center" vertical="center"/>
    </xf>
    <xf numFmtId="0" fontId="0" fillId="83" borderId="404" xfId="0" applyFill="1" applyBorder="1">
      <alignment horizontal="center" vertical="center"/>
    </xf>
    <xf numFmtId="0" fontId="0" fillId="76" borderId="404" xfId="0" applyFill="1" applyBorder="1">
      <alignment horizontal="center" vertical="center"/>
    </xf>
    <xf numFmtId="49" fontId="0" fillId="51" borderId="405" xfId="0" applyNumberFormat="1" applyFill="1" applyBorder="1">
      <alignment horizontal="center" vertical="center"/>
    </xf>
    <xf numFmtId="0" fontId="7" fillId="55" borderId="405" xfId="45" applyBorder="1">
      <alignment horizontal="center" vertical="center"/>
    </xf>
    <xf numFmtId="0" fontId="0" fillId="0" borderId="405" xfId="0" applyBorder="1">
      <alignment horizontal="center" vertical="center"/>
    </xf>
    <xf numFmtId="0" fontId="59" fillId="0" borderId="406" xfId="0" applyFont="1" applyBorder="1" applyAlignment="1">
      <alignment horizontal="left" vertical="center"/>
    </xf>
    <xf numFmtId="49" fontId="0" fillId="52" borderId="387" xfId="0" applyNumberFormat="1" applyFill="1" applyBorder="1">
      <alignment horizontal="center" vertical="center"/>
    </xf>
    <xf numFmtId="49" fontId="0" fillId="52" borderId="403" xfId="0" applyNumberFormat="1" applyFill="1" applyBorder="1">
      <alignment horizontal="center" vertical="center"/>
    </xf>
    <xf numFmtId="0" fontId="18" fillId="0" borderId="270" xfId="0" applyFont="1" applyBorder="1" applyAlignment="1" applyProtection="1">
      <alignment horizontal="center"/>
      <protection locked="0"/>
    </xf>
    <xf numFmtId="0" fontId="7" fillId="86" borderId="290" xfId="44" applyBorder="1">
      <alignment horizontal="center" vertical="center"/>
    </xf>
    <xf numFmtId="0" fontId="0" fillId="51" borderId="403" xfId="53" applyFont="1" applyFill="1" applyBorder="1">
      <alignment horizontal="center" vertical="center"/>
    </xf>
    <xf numFmtId="49" fontId="0" fillId="51" borderId="402" xfId="0" applyNumberFormat="1" applyFill="1" applyBorder="1">
      <alignment horizontal="center" vertical="center"/>
    </xf>
    <xf numFmtId="0" fontId="7" fillId="53" borderId="402" xfId="43" applyBorder="1">
      <alignment horizontal="center" vertical="center"/>
    </xf>
    <xf numFmtId="0" fontId="7" fillId="53" borderId="403" xfId="43" applyBorder="1">
      <alignment horizontal="center" vertical="center"/>
    </xf>
    <xf numFmtId="49" fontId="0" fillId="55" borderId="407" xfId="0" applyNumberFormat="1" applyFill="1" applyBorder="1">
      <alignment horizontal="center" vertical="center"/>
    </xf>
    <xf numFmtId="0" fontId="0" fillId="52" borderId="404" xfId="44" applyFont="1" applyFill="1" applyBorder="1">
      <alignment horizontal="center" vertical="center"/>
    </xf>
    <xf numFmtId="0" fontId="0" fillId="52" borderId="402" xfId="48" applyFont="1" applyBorder="1">
      <alignment horizontal="center" vertical="center"/>
    </xf>
    <xf numFmtId="0" fontId="7" fillId="52" borderId="404" xfId="53" applyFill="1" applyBorder="1">
      <alignment horizontal="center" vertical="center"/>
    </xf>
    <xf numFmtId="0" fontId="18" fillId="0" borderId="406" xfId="0" applyFont="1" applyBorder="1" applyAlignment="1" applyProtection="1">
      <alignment horizontal="center"/>
      <protection locked="0"/>
    </xf>
    <xf numFmtId="0" fontId="7" fillId="88" borderId="404" xfId="47" applyBorder="1">
      <alignment horizontal="center" vertical="center"/>
    </xf>
    <xf numFmtId="0" fontId="7" fillId="88" borderId="408" xfId="47" applyBorder="1">
      <alignment horizontal="center" vertical="center"/>
    </xf>
    <xf numFmtId="0" fontId="7" fillId="55" borderId="408" xfId="45" applyBorder="1">
      <alignment horizontal="center" vertical="center"/>
    </xf>
    <xf numFmtId="0" fontId="0" fillId="0" borderId="409" xfId="0" applyBorder="1" applyAlignment="1">
      <alignment horizontal="left" vertical="center"/>
    </xf>
    <xf numFmtId="0" fontId="7" fillId="88" borderId="410" xfId="47" applyBorder="1">
      <alignment horizontal="center" vertical="center"/>
    </xf>
    <xf numFmtId="0" fontId="0" fillId="51" borderId="410" xfId="48" applyFont="1" applyFill="1" applyBorder="1">
      <alignment horizontal="center" vertical="center"/>
    </xf>
    <xf numFmtId="0" fontId="0" fillId="51" borderId="410" xfId="44" applyFont="1" applyFill="1" applyBorder="1">
      <alignment horizontal="center" vertical="center"/>
    </xf>
    <xf numFmtId="0" fontId="0" fillId="57" borderId="404" xfId="44" applyFont="1" applyFill="1" applyBorder="1">
      <alignment horizontal="center" vertical="center"/>
    </xf>
    <xf numFmtId="0" fontId="0" fillId="51" borderId="411" xfId="44" applyFont="1" applyFill="1" applyBorder="1">
      <alignment horizontal="center" vertical="center"/>
    </xf>
    <xf numFmtId="0" fontId="0" fillId="0" borderId="142" xfId="0" applyBorder="1" applyAlignment="1">
      <alignment horizontal="left" vertical="center"/>
    </xf>
    <xf numFmtId="0" fontId="0" fillId="51" borderId="412" xfId="44" applyFont="1" applyFill="1" applyBorder="1">
      <alignment horizontal="center" vertical="center"/>
    </xf>
    <xf numFmtId="0" fontId="0" fillId="70" borderId="306" xfId="0" applyFill="1" applyBorder="1">
      <alignment horizontal="center" vertical="center"/>
    </xf>
    <xf numFmtId="0" fontId="0" fillId="51" borderId="413" xfId="0" applyFill="1" applyBorder="1">
      <alignment horizontal="center" vertical="center"/>
    </xf>
    <xf numFmtId="0" fontId="0" fillId="70" borderId="413" xfId="0" applyFill="1" applyBorder="1">
      <alignment horizontal="center" vertical="center"/>
    </xf>
    <xf numFmtId="0" fontId="62" fillId="0" borderId="137" xfId="0" applyFont="1" applyBorder="1" applyAlignment="1">
      <alignment horizontal="left" vertical="center"/>
    </xf>
    <xf numFmtId="0" fontId="0" fillId="57" borderId="137" xfId="44" applyFont="1" applyFill="1" applyBorder="1">
      <alignment horizontal="center" vertical="center"/>
    </xf>
    <xf numFmtId="0" fontId="0" fillId="71" borderId="152" xfId="0" applyFill="1" applyBorder="1" applyAlignment="1"/>
    <xf numFmtId="0" fontId="0" fillId="51" borderId="414" xfId="0" applyFill="1" applyBorder="1">
      <alignment horizontal="center" vertical="center"/>
    </xf>
    <xf numFmtId="0" fontId="20" fillId="0" borderId="137" xfId="0" applyFont="1" applyBorder="1" applyAlignment="1">
      <alignment vertical="center"/>
    </xf>
    <xf numFmtId="0" fontId="0" fillId="51" borderId="310" xfId="0" applyFill="1" applyBorder="1">
      <alignment horizontal="center" vertical="center"/>
    </xf>
    <xf numFmtId="0" fontId="4" fillId="0" borderId="415" xfId="0" applyFont="1" applyBorder="1" applyAlignment="1" applyProtection="1">
      <alignment horizontal="center"/>
      <protection locked="0"/>
    </xf>
    <xf numFmtId="0" fontId="4" fillId="0" borderId="404" xfId="0" applyFont="1" applyBorder="1" applyAlignment="1" applyProtection="1">
      <alignment horizontal="center"/>
      <protection locked="0"/>
    </xf>
    <xf numFmtId="49" fontId="0" fillId="53" borderId="407" xfId="0" applyNumberFormat="1" applyFill="1" applyBorder="1">
      <alignment horizontal="center" vertical="center"/>
    </xf>
    <xf numFmtId="0" fontId="7" fillId="53" borderId="407" xfId="43" applyBorder="1">
      <alignment horizontal="center" vertical="center"/>
    </xf>
    <xf numFmtId="0" fontId="0" fillId="57" borderId="137" xfId="46" applyFont="1" applyFill="1" applyBorder="1">
      <alignment horizontal="center" vertical="center"/>
    </xf>
    <xf numFmtId="0" fontId="0" fillId="0" borderId="416" xfId="0" applyBorder="1" applyAlignment="1">
      <alignment horizontal="left" vertical="center"/>
    </xf>
    <xf numFmtId="0" fontId="71" fillId="51" borderId="123" xfId="43" applyFont="1" applyFill="1" applyBorder="1">
      <alignment horizontal="center" vertical="center"/>
    </xf>
    <xf numFmtId="49" fontId="0" fillId="51" borderId="417" xfId="0" applyNumberFormat="1" applyFill="1" applyBorder="1">
      <alignment horizontal="center" vertical="center"/>
    </xf>
    <xf numFmtId="0" fontId="20" fillId="0" borderId="410" xfId="0" applyFont="1" applyBorder="1" applyAlignment="1">
      <alignment horizontal="left" vertical="center"/>
    </xf>
    <xf numFmtId="1" fontId="0" fillId="51" borderId="418" xfId="32" applyNumberFormat="1" applyFont="1" applyFill="1" applyBorder="1" applyAlignment="1">
      <alignment horizontal="center" vertical="center"/>
    </xf>
    <xf numFmtId="0" fontId="7" fillId="88" borderId="418" xfId="47" applyBorder="1">
      <alignment horizontal="center" vertical="center"/>
    </xf>
    <xf numFmtId="0" fontId="0" fillId="51" borderId="404" xfId="47" applyFont="1" applyFill="1" applyBorder="1">
      <alignment horizontal="center" vertical="center"/>
    </xf>
    <xf numFmtId="0" fontId="0" fillId="51" borderId="403" xfId="47" applyFont="1" applyFill="1" applyBorder="1">
      <alignment horizontal="center" vertical="center"/>
    </xf>
    <xf numFmtId="0" fontId="58" fillId="0" borderId="409" xfId="0" applyFont="1" applyBorder="1" applyAlignment="1"/>
    <xf numFmtId="0" fontId="0" fillId="0" borderId="290" xfId="0" applyBorder="1" applyAlignment="1"/>
    <xf numFmtId="0" fontId="0" fillId="0" borderId="409" xfId="0" applyBorder="1">
      <alignment horizontal="center" vertical="center"/>
    </xf>
    <xf numFmtId="173" fontId="0" fillId="0" borderId="409" xfId="0" applyNumberFormat="1" applyBorder="1">
      <alignment horizontal="center" vertical="center"/>
    </xf>
    <xf numFmtId="0" fontId="0" fillId="0" borderId="409" xfId="0" applyBorder="1" applyAlignment="1"/>
    <xf numFmtId="0" fontId="0" fillId="0" borderId="419" xfId="0" applyBorder="1">
      <alignment horizontal="center" vertical="center"/>
    </xf>
    <xf numFmtId="173" fontId="0" fillId="0" borderId="419" xfId="0" applyNumberFormat="1" applyBorder="1">
      <alignment horizontal="center" vertical="center"/>
    </xf>
    <xf numFmtId="0" fontId="59" fillId="0" borderId="420" xfId="0" applyFont="1" applyBorder="1" applyAlignment="1">
      <alignment horizontal="left" vertical="center"/>
    </xf>
    <xf numFmtId="0" fontId="59" fillId="0" borderId="410" xfId="0" applyFont="1" applyBorder="1" applyAlignment="1">
      <alignment horizontal="left" vertical="center"/>
    </xf>
    <xf numFmtId="0" fontId="0" fillId="71" borderId="409" xfId="0" applyFill="1" applyBorder="1" applyAlignment="1"/>
    <xf numFmtId="0" fontId="0" fillId="51" borderId="409" xfId="0" applyFill="1" applyBorder="1">
      <alignment horizontal="center" vertical="center"/>
    </xf>
    <xf numFmtId="0" fontId="7" fillId="55" borderId="421" xfId="45" applyBorder="1">
      <alignment horizontal="center" vertical="center"/>
    </xf>
    <xf numFmtId="0" fontId="0" fillId="73" borderId="421" xfId="0" applyFill="1" applyBorder="1" applyAlignment="1"/>
    <xf numFmtId="0" fontId="4" fillId="0" borderId="422" xfId="0" applyFont="1" applyBorder="1" applyAlignment="1">
      <alignment horizontal="center"/>
    </xf>
    <xf numFmtId="0" fontId="0" fillId="0" borderId="415" xfId="0" applyBorder="1">
      <alignment horizontal="center" vertical="center"/>
    </xf>
    <xf numFmtId="0" fontId="4" fillId="0" borderId="415" xfId="0" applyFont="1" applyBorder="1" applyAlignment="1">
      <alignment horizontal="center"/>
    </xf>
    <xf numFmtId="0" fontId="4" fillId="0" borderId="423" xfId="0" applyFont="1" applyBorder="1" applyAlignment="1">
      <alignment horizontal="left"/>
    </xf>
    <xf numFmtId="0" fontId="6" fillId="0" borderId="415" xfId="0" applyFont="1" applyBorder="1" applyAlignment="1">
      <alignment horizontal="center"/>
    </xf>
    <xf numFmtId="0" fontId="0" fillId="0" borderId="423" xfId="0" applyBorder="1">
      <alignment horizontal="center" vertical="center"/>
    </xf>
    <xf numFmtId="0" fontId="0" fillId="0" borderId="415" xfId="0" applyBorder="1" applyAlignment="1">
      <alignment horizontal="center"/>
    </xf>
    <xf numFmtId="0" fontId="4" fillId="0" borderId="423" xfId="0" applyFont="1" applyBorder="1" applyAlignment="1">
      <alignment horizontal="center"/>
    </xf>
    <xf numFmtId="0" fontId="6" fillId="0" borderId="424" xfId="0" applyFont="1" applyBorder="1" applyAlignment="1">
      <alignment horizontal="center"/>
    </xf>
    <xf numFmtId="0" fontId="6" fillId="0" borderId="423" xfId="0" applyFont="1" applyBorder="1" applyAlignment="1">
      <alignment horizontal="center"/>
    </xf>
    <xf numFmtId="0" fontId="0" fillId="0" borderId="423" xfId="0" applyBorder="1" applyAlignment="1">
      <alignment horizontal="center"/>
    </xf>
    <xf numFmtId="0" fontId="7" fillId="0" borderId="424" xfId="0" applyFont="1" applyBorder="1" applyAlignment="1">
      <alignment horizontal="left" vertical="center"/>
    </xf>
    <xf numFmtId="0" fontId="6" fillId="0" borderId="424" xfId="0" applyFont="1" applyBorder="1">
      <alignment horizontal="center" vertical="center"/>
    </xf>
    <xf numFmtId="0" fontId="6" fillId="0" borderId="423" xfId="0" applyFont="1" applyBorder="1">
      <alignment horizontal="center" vertical="center"/>
    </xf>
    <xf numFmtId="0" fontId="0" fillId="0" borderId="425" xfId="0" applyBorder="1" applyAlignment="1">
      <alignment horizontal="left" vertical="center"/>
    </xf>
    <xf numFmtId="0" fontId="6" fillId="0" borderId="426" xfId="0" applyFont="1" applyBorder="1">
      <alignment horizontal="center" vertical="center"/>
    </xf>
    <xf numFmtId="0" fontId="7" fillId="0" borderId="426" xfId="0" applyFont="1" applyBorder="1">
      <alignment horizontal="center" vertical="center"/>
    </xf>
    <xf numFmtId="0" fontId="7" fillId="0" borderId="427" xfId="0" applyFont="1" applyBorder="1">
      <alignment horizontal="center" vertical="center"/>
    </xf>
    <xf numFmtId="0" fontId="4" fillId="0" borderId="428" xfId="0" applyFont="1" applyBorder="1" applyAlignment="1">
      <alignment horizontal="center"/>
    </xf>
    <xf numFmtId="0" fontId="7" fillId="0" borderId="399" xfId="0" applyFont="1" applyBorder="1" applyAlignment="1">
      <alignment horizontal="left" vertical="center"/>
    </xf>
    <xf numFmtId="0" fontId="7" fillId="0" borderId="429" xfId="0" applyFont="1" applyBorder="1" applyAlignment="1">
      <alignment horizontal="left" vertical="center"/>
    </xf>
    <xf numFmtId="0" fontId="7" fillId="0" borderId="430" xfId="0" applyFont="1" applyBorder="1" applyAlignment="1">
      <alignment horizontal="left" vertical="center"/>
    </xf>
    <xf numFmtId="0" fontId="4" fillId="0" borderId="410" xfId="0" applyFont="1" applyBorder="1" applyAlignment="1" applyProtection="1">
      <alignment horizontal="center"/>
      <protection locked="0"/>
    </xf>
    <xf numFmtId="0" fontId="7" fillId="51" borderId="387" xfId="48" applyFill="1" applyBorder="1">
      <alignment horizontal="center" vertical="center"/>
    </xf>
    <xf numFmtId="0" fontId="0" fillId="55" borderId="387" xfId="0" applyFill="1" applyBorder="1">
      <alignment horizontal="center" vertical="center"/>
    </xf>
    <xf numFmtId="0" fontId="0" fillId="0" borderId="415" xfId="0" applyBorder="1" applyAlignment="1"/>
    <xf numFmtId="0" fontId="4" fillId="0" borderId="424" xfId="0" applyFont="1" applyBorder="1" applyAlignment="1">
      <alignment horizontal="left"/>
    </xf>
    <xf numFmtId="0" fontId="0" fillId="0" borderId="424" xfId="0" applyBorder="1" applyAlignment="1"/>
    <xf numFmtId="0" fontId="0" fillId="0" borderId="423" xfId="0" applyBorder="1" applyAlignment="1"/>
    <xf numFmtId="0" fontId="4" fillId="0" borderId="415" xfId="0" applyFont="1" applyBorder="1" applyAlignment="1">
      <alignment horizontal="left"/>
    </xf>
    <xf numFmtId="0" fontId="0" fillId="0" borderId="431" xfId="0" applyBorder="1" applyAlignment="1"/>
    <xf numFmtId="0" fontId="0" fillId="0" borderId="432" xfId="0" applyBorder="1" applyAlignment="1">
      <alignment horizontal="center"/>
    </xf>
    <xf numFmtId="0" fontId="4" fillId="0" borderId="399" xfId="0" applyFont="1" applyBorder="1" applyAlignment="1">
      <alignment horizontal="left"/>
    </xf>
    <xf numFmtId="0" fontId="0" fillId="0" borderId="429" xfId="0" applyBorder="1" applyAlignment="1"/>
    <xf numFmtId="0" fontId="0" fillId="0" borderId="402" xfId="0" applyBorder="1" applyAlignment="1">
      <alignment horizontal="left"/>
    </xf>
    <xf numFmtId="0" fontId="4" fillId="0" borderId="429" xfId="0" applyFont="1" applyBorder="1" applyAlignment="1"/>
    <xf numFmtId="0" fontId="4" fillId="0" borderId="402" xfId="0" applyFont="1" applyBorder="1" applyAlignment="1">
      <alignment horizontal="left"/>
    </xf>
    <xf numFmtId="0" fontId="0" fillId="0" borderId="399" xfId="0" applyBorder="1" applyAlignment="1">
      <alignment horizontal="center"/>
    </xf>
    <xf numFmtId="0" fontId="0" fillId="0" borderId="430" xfId="0" applyBorder="1" applyAlignment="1"/>
    <xf numFmtId="0" fontId="4" fillId="0" borderId="420" xfId="0" applyFont="1" applyBorder="1" applyAlignment="1">
      <alignment horizontal="left"/>
    </xf>
    <xf numFmtId="0" fontId="0" fillId="0" borderId="433" xfId="0" applyBorder="1" applyAlignment="1"/>
    <xf numFmtId="0" fontId="0" fillId="0" borderId="434" xfId="0" applyBorder="1" applyAlignment="1">
      <alignment horizontal="left"/>
    </xf>
    <xf numFmtId="0" fontId="9" fillId="0" borderId="420" xfId="0" applyFont="1" applyBorder="1" applyAlignment="1">
      <alignment horizontal="center"/>
    </xf>
    <xf numFmtId="0" fontId="0" fillId="0" borderId="435" xfId="0" applyBorder="1" applyAlignment="1"/>
    <xf numFmtId="0" fontId="0" fillId="0" borderId="436" xfId="0" applyBorder="1" applyAlignment="1">
      <alignment horizontal="center"/>
    </xf>
    <xf numFmtId="0" fontId="4" fillId="0" borderId="416" xfId="0" applyFont="1" applyBorder="1" applyAlignment="1">
      <alignment horizontal="left"/>
    </xf>
    <xf numFmtId="0" fontId="7" fillId="0" borderId="437" xfId="0" applyFont="1" applyBorder="1" applyAlignment="1">
      <alignment horizontal="left" vertical="center"/>
    </xf>
    <xf numFmtId="0" fontId="7" fillId="0" borderId="437" xfId="0" applyFont="1" applyBorder="1">
      <alignment horizontal="center" vertical="center"/>
    </xf>
    <xf numFmtId="0" fontId="7" fillId="0" borderId="438" xfId="0" applyFont="1" applyBorder="1">
      <alignment horizontal="center" vertical="center"/>
    </xf>
    <xf numFmtId="0" fontId="7" fillId="0" borderId="416" xfId="0" applyFont="1" applyBorder="1" applyAlignment="1">
      <alignment horizontal="left" vertical="center"/>
    </xf>
    <xf numFmtId="0" fontId="7" fillId="0" borderId="437" xfId="0" applyFont="1" applyBorder="1" applyAlignment="1">
      <alignment horizontal="left"/>
    </xf>
    <xf numFmtId="0" fontId="7" fillId="0" borderId="438" xfId="0" applyFont="1" applyBorder="1" applyAlignment="1">
      <alignment horizontal="left" vertical="center"/>
    </xf>
    <xf numFmtId="0" fontId="0" fillId="0" borderId="437" xfId="0" applyBorder="1" applyAlignment="1">
      <alignment horizontal="left"/>
    </xf>
    <xf numFmtId="0" fontId="0" fillId="0" borderId="439" xfId="0" applyBorder="1" applyAlignment="1"/>
    <xf numFmtId="0" fontId="4" fillId="43" borderId="404" xfId="0" applyFont="1" applyFill="1" applyBorder="1" applyAlignment="1">
      <alignment horizontal="center"/>
    </xf>
    <xf numFmtId="0" fontId="0" fillId="51" borderId="404" xfId="0" applyFill="1" applyBorder="1" applyAlignment="1">
      <alignment horizontal="left" vertical="center"/>
    </xf>
    <xf numFmtId="0" fontId="0" fillId="55" borderId="404" xfId="44" applyFont="1" applyFill="1" applyBorder="1">
      <alignment horizontal="center" vertical="center"/>
    </xf>
    <xf numFmtId="0" fontId="7" fillId="58" borderId="404" xfId="33" applyBorder="1">
      <alignment horizontal="center" vertical="center"/>
    </xf>
    <xf numFmtId="0" fontId="0" fillId="51" borderId="404" xfId="51" applyFont="1" applyFill="1" applyBorder="1">
      <alignment horizontal="center" vertical="center"/>
    </xf>
    <xf numFmtId="0" fontId="0" fillId="70" borderId="404" xfId="44" applyFont="1" applyFill="1" applyBorder="1">
      <alignment horizontal="center" vertical="center"/>
    </xf>
    <xf numFmtId="0" fontId="0" fillId="55" borderId="440" xfId="20" applyFont="1" applyFill="1" applyBorder="1" applyAlignment="1">
      <alignment horizontal="center" vertical="center"/>
    </xf>
    <xf numFmtId="0" fontId="0" fillId="55" borderId="404" xfId="47" applyFont="1" applyFill="1" applyBorder="1">
      <alignment horizontal="center" vertical="center"/>
    </xf>
    <xf numFmtId="0" fontId="0" fillId="51" borderId="403" xfId="51" applyFont="1" applyFill="1" applyBorder="1">
      <alignment horizontal="center" vertical="center"/>
    </xf>
    <xf numFmtId="0" fontId="4" fillId="43" borderId="400" xfId="0" applyFont="1" applyFill="1" applyBorder="1" applyAlignment="1">
      <alignment horizontal="center"/>
    </xf>
    <xf numFmtId="0" fontId="0" fillId="51" borderId="400" xfId="47" applyFont="1" applyFill="1" applyBorder="1">
      <alignment horizontal="center" vertical="center"/>
    </xf>
    <xf numFmtId="0" fontId="0" fillId="55" borderId="400" xfId="47" applyFont="1" applyFill="1" applyBorder="1">
      <alignment horizontal="center" vertical="center"/>
    </xf>
    <xf numFmtId="0" fontId="0" fillId="51" borderId="441" xfId="48" applyFont="1" applyFill="1" applyBorder="1">
      <alignment horizontal="center" vertical="center"/>
    </xf>
    <xf numFmtId="0" fontId="9" fillId="51" borderId="440" xfId="20" applyFont="1" applyFill="1" applyBorder="1" applyAlignment="1">
      <alignment horizontal="center" vertical="center"/>
    </xf>
    <xf numFmtId="0" fontId="7" fillId="0" borderId="399" xfId="48" applyFill="1" applyBorder="1">
      <alignment horizontal="center" vertical="center"/>
    </xf>
    <xf numFmtId="0" fontId="7" fillId="0" borderId="429" xfId="53" applyBorder="1">
      <alignment horizontal="center" vertical="center"/>
    </xf>
    <xf numFmtId="0" fontId="7" fillId="0" borderId="402" xfId="53" applyBorder="1">
      <alignment horizontal="center" vertical="center"/>
    </xf>
    <xf numFmtId="0" fontId="7" fillId="0" borderId="399" xfId="53" applyBorder="1">
      <alignment horizontal="center" vertical="center"/>
    </xf>
    <xf numFmtId="0" fontId="0" fillId="0" borderId="416" xfId="0" applyBorder="1" applyAlignment="1">
      <alignment horizontal="left"/>
    </xf>
    <xf numFmtId="0" fontId="0" fillId="0" borderId="437" xfId="0" applyBorder="1" applyAlignment="1"/>
    <xf numFmtId="0" fontId="0" fillId="0" borderId="438" xfId="0" applyBorder="1" applyAlignment="1">
      <alignment horizontal="left"/>
    </xf>
    <xf numFmtId="0" fontId="0" fillId="0" borderId="416" xfId="0" applyBorder="1" applyAlignment="1">
      <alignment horizontal="center"/>
    </xf>
    <xf numFmtId="0" fontId="4" fillId="43" borderId="421" xfId="0" applyFont="1" applyFill="1" applyBorder="1" applyAlignment="1">
      <alignment horizontal="center"/>
    </xf>
    <xf numFmtId="0" fontId="0" fillId="0" borderId="421" xfId="0" applyBorder="1" applyAlignment="1">
      <alignment vertical="center"/>
    </xf>
    <xf numFmtId="0" fontId="0" fillId="51" borderId="421" xfId="48" applyFont="1" applyFill="1" applyBorder="1">
      <alignment horizontal="center" vertical="center"/>
    </xf>
    <xf numFmtId="0" fontId="0" fillId="51" borderId="442" xfId="0" applyFill="1" applyBorder="1">
      <alignment horizontal="center" vertical="center"/>
    </xf>
    <xf numFmtId="0" fontId="3" fillId="0" borderId="399" xfId="0" applyFont="1" applyBorder="1" applyAlignment="1">
      <alignment horizontal="left"/>
    </xf>
    <xf numFmtId="0" fontId="4" fillId="0" borderId="429" xfId="0" applyFont="1" applyBorder="1">
      <alignment horizontal="center" vertical="center"/>
    </xf>
    <xf numFmtId="0" fontId="0" fillId="0" borderId="430" xfId="0" applyBorder="1">
      <alignment horizontal="center" vertical="center"/>
    </xf>
    <xf numFmtId="167" fontId="9" fillId="0" borderId="416" xfId="0" applyNumberFormat="1" applyFont="1" applyBorder="1" applyAlignment="1">
      <alignment horizontal="center"/>
    </xf>
    <xf numFmtId="0" fontId="0" fillId="51" borderId="387" xfId="0" applyFill="1" applyBorder="1" applyAlignment="1">
      <alignment vertical="center"/>
    </xf>
    <xf numFmtId="0" fontId="0" fillId="51" borderId="404" xfId="0" applyFill="1" applyBorder="1" applyAlignment="1">
      <alignment vertical="center"/>
    </xf>
    <xf numFmtId="0" fontId="0" fillId="51" borderId="403" xfId="43" applyFont="1" applyFill="1" applyBorder="1">
      <alignment horizontal="center" vertical="center"/>
    </xf>
    <xf numFmtId="0" fontId="3" fillId="0" borderId="443" xfId="0" applyFont="1" applyBorder="1" applyAlignment="1">
      <alignment horizontal="left" vertical="center"/>
    </xf>
    <xf numFmtId="0" fontId="3" fillId="0" borderId="443" xfId="0" applyFont="1" applyBorder="1">
      <alignment horizontal="center" vertical="center"/>
    </xf>
    <xf numFmtId="0" fontId="7" fillId="0" borderId="443" xfId="0" applyFont="1" applyBorder="1">
      <alignment horizontal="center" vertical="center"/>
    </xf>
    <xf numFmtId="0" fontId="9" fillId="0" borderId="443" xfId="0" applyFont="1" applyBorder="1">
      <alignment horizontal="center" vertical="center"/>
    </xf>
    <xf numFmtId="49" fontId="0" fillId="0" borderId="259" xfId="0" applyNumberFormat="1" applyBorder="1">
      <alignment horizontal="center" vertical="center"/>
    </xf>
    <xf numFmtId="0" fontId="14" fillId="0" borderId="443" xfId="0" applyFont="1" applyBorder="1">
      <alignment horizontal="center" vertical="center"/>
    </xf>
    <xf numFmtId="49" fontId="0" fillId="0" borderId="443" xfId="0" applyNumberFormat="1" applyBorder="1">
      <alignment horizontal="center" vertical="center"/>
    </xf>
    <xf numFmtId="0" fontId="4" fillId="0" borderId="444" xfId="0" applyFont="1" applyBorder="1" applyAlignment="1">
      <alignment horizontal="left" vertical="center"/>
    </xf>
    <xf numFmtId="0" fontId="0" fillId="0" borderId="445" xfId="0" applyBorder="1" applyAlignment="1">
      <alignment horizontal="left" vertical="center"/>
    </xf>
    <xf numFmtId="0" fontId="0" fillId="0" borderId="446" xfId="0" applyBorder="1" applyAlignment="1">
      <alignment horizontal="left" vertical="center"/>
    </xf>
    <xf numFmtId="0" fontId="4" fillId="0" borderId="445" xfId="0" applyFont="1" applyBorder="1" applyAlignment="1">
      <alignment horizontal="left" vertical="center"/>
    </xf>
    <xf numFmtId="0" fontId="4" fillId="0" borderId="409" xfId="0" applyFont="1" applyBorder="1" applyAlignment="1">
      <alignment horizontal="center"/>
    </xf>
    <xf numFmtId="0" fontId="4" fillId="0" borderId="429" xfId="0" applyFont="1" applyBorder="1" applyAlignment="1">
      <alignment horizontal="left"/>
    </xf>
    <xf numFmtId="0" fontId="0" fillId="0" borderId="402" xfId="0" applyBorder="1" applyAlignment="1">
      <alignment horizontal="left" vertical="center"/>
    </xf>
    <xf numFmtId="0" fontId="0" fillId="0" borderId="447" xfId="0" applyBorder="1" applyAlignment="1">
      <alignment horizontal="left" vertical="center"/>
    </xf>
    <xf numFmtId="49" fontId="0" fillId="0" borderId="399" xfId="0" applyNumberFormat="1" applyBorder="1" applyAlignment="1">
      <alignment horizontal="left"/>
    </xf>
    <xf numFmtId="49" fontId="0" fillId="0" borderId="399" xfId="0" applyNumberFormat="1" applyBorder="1" applyAlignment="1">
      <alignment horizontal="left" vertical="center"/>
    </xf>
    <xf numFmtId="0" fontId="0" fillId="0" borderId="448" xfId="0" applyBorder="1" applyAlignment="1">
      <alignment horizontal="left" vertical="center"/>
    </xf>
    <xf numFmtId="49" fontId="0" fillId="0" borderId="416" xfId="0" applyNumberFormat="1" applyBorder="1" applyAlignment="1">
      <alignment horizontal="left"/>
    </xf>
    <xf numFmtId="0" fontId="4" fillId="0" borderId="449" xfId="0" applyFont="1" applyBorder="1" applyAlignment="1" applyProtection="1">
      <alignment horizontal="center"/>
      <protection locked="0"/>
    </xf>
    <xf numFmtId="0" fontId="0" fillId="0" borderId="449" xfId="0" applyBorder="1" applyAlignment="1">
      <alignment horizontal="left"/>
    </xf>
    <xf numFmtId="0" fontId="4" fillId="0" borderId="410" xfId="0" applyFont="1" applyBorder="1">
      <alignment horizontal="center" vertical="center"/>
    </xf>
    <xf numFmtId="0" fontId="4" fillId="0" borderId="450" xfId="0" applyFont="1" applyBorder="1" applyAlignment="1">
      <alignment horizontal="center"/>
    </xf>
    <xf numFmtId="0" fontId="4" fillId="0" borderId="432" xfId="0" applyFont="1" applyBorder="1" applyAlignment="1">
      <alignment horizontal="center"/>
    </xf>
    <xf numFmtId="0" fontId="3" fillId="0" borderId="429" xfId="0" applyFont="1" applyBorder="1" applyAlignment="1">
      <alignment horizontal="left"/>
    </xf>
    <xf numFmtId="0" fontId="4" fillId="0" borderId="436" xfId="0" applyFont="1" applyBorder="1" applyAlignment="1">
      <alignment horizontal="center"/>
    </xf>
    <xf numFmtId="0" fontId="3" fillId="0" borderId="437" xfId="0" applyFont="1" applyBorder="1" applyAlignment="1">
      <alignment horizontal="center"/>
    </xf>
    <xf numFmtId="0" fontId="0" fillId="0" borderId="451" xfId="0" applyBorder="1" applyAlignment="1" applyProtection="1">
      <alignment horizontal="center"/>
      <protection locked="0"/>
    </xf>
    <xf numFmtId="0" fontId="0" fillId="0" borderId="451" xfId="0" applyBorder="1" applyAlignment="1">
      <alignment vertical="center"/>
    </xf>
    <xf numFmtId="0" fontId="0" fillId="0" borderId="404" xfId="0" applyBorder="1" applyAlignment="1" applyProtection="1">
      <alignment horizontal="center"/>
      <protection locked="0"/>
    </xf>
    <xf numFmtId="0" fontId="0" fillId="0" borderId="404" xfId="0" applyBorder="1" applyAlignment="1">
      <alignment vertical="center"/>
    </xf>
    <xf numFmtId="0" fontId="0" fillId="43" borderId="404" xfId="0" applyFill="1" applyBorder="1" applyAlignment="1">
      <alignment horizontal="center"/>
    </xf>
    <xf numFmtId="0" fontId="46" fillId="0" borderId="404" xfId="0" applyFont="1" applyBorder="1" applyAlignment="1">
      <alignment horizontal="left" vertical="center"/>
    </xf>
    <xf numFmtId="0" fontId="0" fillId="24" borderId="404" xfId="0" applyFill="1" applyBorder="1" applyAlignment="1" applyProtection="1">
      <alignment horizontal="center"/>
      <protection locked="0"/>
    </xf>
    <xf numFmtId="0" fontId="4" fillId="24" borderId="404" xfId="0" applyFont="1" applyFill="1" applyBorder="1">
      <alignment horizontal="center" vertical="center"/>
    </xf>
    <xf numFmtId="0" fontId="0" fillId="24" borderId="403" xfId="0" applyFill="1" applyBorder="1">
      <alignment horizontal="center" vertical="center"/>
    </xf>
    <xf numFmtId="0" fontId="0" fillId="51" borderId="403" xfId="44" applyFont="1" applyFill="1" applyBorder="1">
      <alignment horizontal="center" vertical="center"/>
    </xf>
    <xf numFmtId="0" fontId="0" fillId="0" borderId="400" xfId="0" applyBorder="1" applyAlignment="1" applyProtection="1">
      <alignment horizontal="center"/>
      <protection locked="0"/>
    </xf>
    <xf numFmtId="0" fontId="7" fillId="54" borderId="400" xfId="50" applyBorder="1">
      <alignment horizontal="center" vertical="center"/>
    </xf>
    <xf numFmtId="49" fontId="0" fillId="0" borderId="399" xfId="0" applyNumberFormat="1" applyBorder="1" applyAlignment="1"/>
    <xf numFmtId="0" fontId="0" fillId="0" borderId="449" xfId="0" applyBorder="1" applyAlignment="1" applyProtection="1">
      <alignment horizontal="center"/>
      <protection locked="0"/>
    </xf>
    <xf numFmtId="0" fontId="0" fillId="0" borderId="449" xfId="0" applyBorder="1" applyAlignment="1">
      <alignment horizontal="left" vertical="center"/>
    </xf>
    <xf numFmtId="49" fontId="0" fillId="51" borderId="452" xfId="0" applyNumberFormat="1" applyFill="1" applyBorder="1">
      <alignment horizontal="center" vertical="center"/>
    </xf>
    <xf numFmtId="49" fontId="0" fillId="51" borderId="453" xfId="0" applyNumberFormat="1" applyFill="1" applyBorder="1">
      <alignment horizontal="center" vertical="center"/>
    </xf>
    <xf numFmtId="0" fontId="0" fillId="51" borderId="453" xfId="0" applyFill="1" applyBorder="1">
      <alignment horizontal="center" vertical="center"/>
    </xf>
    <xf numFmtId="49" fontId="0" fillId="51" borderId="454" xfId="0" applyNumberFormat="1" applyFill="1" applyBorder="1">
      <alignment horizontal="center" vertical="center"/>
    </xf>
    <xf numFmtId="0" fontId="6" fillId="44" borderId="399" xfId="0" applyFont="1" applyFill="1" applyBorder="1" applyAlignment="1">
      <alignment horizontal="left"/>
    </xf>
    <xf numFmtId="0" fontId="6" fillId="25" borderId="399" xfId="0" applyFont="1" applyFill="1" applyBorder="1">
      <alignment horizontal="center" vertical="center"/>
    </xf>
    <xf numFmtId="0" fontId="7" fillId="25" borderId="429" xfId="0" applyFont="1" applyFill="1" applyBorder="1">
      <alignment horizontal="center" vertical="center"/>
    </xf>
    <xf numFmtId="0" fontId="6" fillId="29" borderId="399" xfId="0" applyFont="1" applyFill="1" applyBorder="1" applyAlignment="1">
      <alignment horizontal="left"/>
    </xf>
    <xf numFmtId="0" fontId="6" fillId="29" borderId="429" xfId="0" applyFont="1" applyFill="1" applyBorder="1" applyAlignment="1">
      <alignment horizontal="left"/>
    </xf>
    <xf numFmtId="0" fontId="7" fillId="29" borderId="429" xfId="0" applyFont="1" applyFill="1" applyBorder="1">
      <alignment horizontal="center" vertical="center"/>
    </xf>
    <xf numFmtId="0" fontId="7" fillId="29" borderId="402" xfId="0" applyFont="1" applyFill="1" applyBorder="1">
      <alignment horizontal="center" vertical="center"/>
    </xf>
    <xf numFmtId="0" fontId="6" fillId="37" borderId="399" xfId="0" applyFont="1" applyFill="1" applyBorder="1" applyAlignment="1">
      <alignment horizontal="left"/>
    </xf>
    <xf numFmtId="0" fontId="6" fillId="37" borderId="429" xfId="0" applyFont="1" applyFill="1" applyBorder="1" applyAlignment="1">
      <alignment horizontal="left"/>
    </xf>
    <xf numFmtId="0" fontId="0" fillId="37" borderId="429" xfId="0" applyFill="1" applyBorder="1">
      <alignment horizontal="center" vertical="center"/>
    </xf>
    <xf numFmtId="0" fontId="6" fillId="45" borderId="399" xfId="0" applyFont="1" applyFill="1" applyBorder="1" applyAlignment="1">
      <alignment horizontal="left"/>
    </xf>
    <xf numFmtId="0" fontId="0" fillId="45" borderId="429" xfId="0" applyFill="1" applyBorder="1">
      <alignment horizontal="center" vertical="center"/>
    </xf>
    <xf numFmtId="0" fontId="7" fillId="45" borderId="429" xfId="0" applyFont="1" applyFill="1" applyBorder="1">
      <alignment horizontal="center" vertical="center"/>
    </xf>
    <xf numFmtId="0" fontId="7" fillId="45" borderId="402" xfId="0" applyFont="1" applyFill="1" applyBorder="1">
      <alignment horizontal="center" vertical="center"/>
    </xf>
    <xf numFmtId="0" fontId="6" fillId="24" borderId="399" xfId="0" applyFont="1" applyFill="1" applyBorder="1">
      <alignment horizontal="center" vertical="center"/>
    </xf>
    <xf numFmtId="0" fontId="0" fillId="24" borderId="429" xfId="0" applyFill="1" applyBorder="1">
      <alignment horizontal="center" vertical="center"/>
    </xf>
    <xf numFmtId="0" fontId="7" fillId="24" borderId="429" xfId="0" applyFont="1" applyFill="1" applyBorder="1">
      <alignment horizontal="center" vertical="center"/>
    </xf>
    <xf numFmtId="0" fontId="6" fillId="40" borderId="399" xfId="0" applyFont="1" applyFill="1" applyBorder="1" applyAlignment="1">
      <alignment horizontal="left"/>
    </xf>
    <xf numFmtId="0" fontId="7" fillId="40" borderId="429" xfId="0" applyFont="1" applyFill="1" applyBorder="1">
      <alignment horizontal="center" vertical="center"/>
    </xf>
    <xf numFmtId="0" fontId="0" fillId="40" borderId="402" xfId="0" applyFill="1" applyBorder="1">
      <alignment horizontal="center" vertical="center"/>
    </xf>
    <xf numFmtId="0" fontId="0" fillId="46" borderId="433" xfId="0" applyFill="1" applyBorder="1">
      <alignment horizontal="center" vertical="center"/>
    </xf>
    <xf numFmtId="0" fontId="7" fillId="46" borderId="433" xfId="0" applyFont="1" applyFill="1" applyBorder="1">
      <alignment horizontal="center" vertical="center"/>
    </xf>
    <xf numFmtId="0" fontId="7" fillId="46" borderId="434" xfId="0" applyFont="1" applyFill="1" applyBorder="1">
      <alignment horizontal="center" vertical="center"/>
    </xf>
    <xf numFmtId="0" fontId="6" fillId="0" borderId="420" xfId="0" applyFont="1" applyBorder="1" applyAlignment="1">
      <alignment horizontal="left" vertical="center"/>
    </xf>
    <xf numFmtId="0" fontId="7" fillId="0" borderId="433" xfId="0" applyFont="1" applyBorder="1">
      <alignment horizontal="center" vertical="center"/>
    </xf>
    <xf numFmtId="0" fontId="7" fillId="0" borderId="434" xfId="0" applyFont="1" applyBorder="1">
      <alignment horizontal="center" vertical="center"/>
    </xf>
    <xf numFmtId="0" fontId="6" fillId="39" borderId="404" xfId="0" applyFont="1" applyFill="1" applyBorder="1" applyAlignment="1">
      <alignment horizontal="left"/>
    </xf>
    <xf numFmtId="0" fontId="6" fillId="47" borderId="399" xfId="0" applyFont="1" applyFill="1" applyBorder="1">
      <alignment horizontal="center" vertical="center"/>
    </xf>
    <xf numFmtId="0" fontId="7" fillId="47" borderId="429" xfId="0" applyFont="1" applyFill="1" applyBorder="1">
      <alignment horizontal="center" vertical="center"/>
    </xf>
    <xf numFmtId="0" fontId="7" fillId="0" borderId="399" xfId="0" applyFont="1" applyBorder="1" applyAlignment="1">
      <alignment horizontal="left"/>
    </xf>
    <xf numFmtId="0" fontId="0" fillId="0" borderId="429" xfId="0" applyBorder="1">
      <alignment horizontal="center" vertical="center"/>
    </xf>
    <xf numFmtId="0" fontId="7" fillId="0" borderId="429" xfId="0" applyFont="1" applyBorder="1" applyAlignment="1">
      <alignment horizontal="left"/>
    </xf>
    <xf numFmtId="0" fontId="7" fillId="0" borderId="429" xfId="0" applyFont="1" applyBorder="1">
      <alignment horizontal="center" vertical="center"/>
    </xf>
    <xf numFmtId="0" fontId="7" fillId="0" borderId="402" xfId="0" applyFont="1" applyBorder="1">
      <alignment horizontal="center" vertical="center"/>
    </xf>
    <xf numFmtId="0" fontId="7" fillId="48" borderId="399" xfId="0" applyFont="1" applyFill="1" applyBorder="1" applyAlignment="1">
      <alignment horizontal="left" vertical="center"/>
    </xf>
    <xf numFmtId="0" fontId="7" fillId="48" borderId="429" xfId="0" applyFont="1" applyFill="1" applyBorder="1">
      <alignment horizontal="center" vertical="center"/>
    </xf>
    <xf numFmtId="0" fontId="7" fillId="48" borderId="402" xfId="0" applyFont="1" applyFill="1" applyBorder="1">
      <alignment horizontal="center" vertical="center"/>
    </xf>
    <xf numFmtId="0" fontId="0" fillId="0" borderId="410" xfId="0" applyBorder="1">
      <alignment horizontal="center" vertical="center"/>
    </xf>
    <xf numFmtId="0" fontId="4" fillId="0" borderId="410" xfId="0" applyFont="1" applyBorder="1" applyAlignment="1">
      <alignment horizontal="center"/>
    </xf>
    <xf numFmtId="0" fontId="7" fillId="0" borderId="410" xfId="0" applyFont="1" applyBorder="1">
      <alignment horizontal="center" vertical="center"/>
    </xf>
    <xf numFmtId="0" fontId="7" fillId="0" borderId="404" xfId="0" applyFont="1" applyBorder="1">
      <alignment horizontal="center" vertical="center"/>
    </xf>
    <xf numFmtId="0" fontId="0" fillId="0" borderId="404" xfId="0" applyBorder="1">
      <alignment horizontal="center" vertical="center"/>
    </xf>
    <xf numFmtId="0" fontId="4" fillId="0" borderId="404" xfId="0" applyFont="1" applyBorder="1" applyAlignment="1">
      <alignment horizontal="center"/>
    </xf>
    <xf numFmtId="0" fontId="4" fillId="0" borderId="455" xfId="0" applyFont="1" applyBorder="1" applyAlignment="1">
      <alignment horizontal="left" vertical="center"/>
    </xf>
    <xf numFmtId="0" fontId="0" fillId="0" borderId="455" xfId="0" applyBorder="1">
      <alignment horizontal="center" vertical="center"/>
    </xf>
    <xf numFmtId="0" fontId="59" fillId="0" borderId="456" xfId="0" applyFont="1" applyBorder="1" applyAlignment="1">
      <alignment horizontal="left" vertical="center"/>
    </xf>
    <xf numFmtId="0" fontId="59" fillId="0" borderId="457" xfId="0" applyFont="1" applyBorder="1" applyAlignment="1">
      <alignment horizontal="left" vertical="center"/>
    </xf>
    <xf numFmtId="0" fontId="59" fillId="0" borderId="455" xfId="0" applyFont="1" applyBorder="1" applyAlignment="1">
      <alignment horizontal="left" vertical="center"/>
    </xf>
    <xf numFmtId="0" fontId="0" fillId="0" borderId="398" xfId="0" applyBorder="1" applyAlignment="1">
      <alignment horizontal="left" vertical="center"/>
    </xf>
    <xf numFmtId="0" fontId="6" fillId="0" borderId="458" xfId="0" applyFont="1" applyBorder="1">
      <alignment horizontal="center" vertical="center"/>
    </xf>
    <xf numFmtId="0" fontId="0" fillId="0" borderId="459" xfId="0" applyBorder="1" applyAlignment="1" applyProtection="1">
      <alignment horizontal="center"/>
      <protection locked="0"/>
    </xf>
    <xf numFmtId="0" fontId="6" fillId="51" borderId="459" xfId="0" applyFont="1" applyFill="1" applyBorder="1">
      <alignment horizontal="center" vertical="center"/>
    </xf>
    <xf numFmtId="0" fontId="0" fillId="51" borderId="459" xfId="0" applyFill="1" applyBorder="1">
      <alignment horizontal="center" vertical="center"/>
    </xf>
    <xf numFmtId="0" fontId="0" fillId="70" borderId="459" xfId="0" applyFill="1" applyBorder="1">
      <alignment horizontal="center" vertical="center"/>
    </xf>
    <xf numFmtId="0" fontId="0" fillId="51" borderId="451" xfId="0" applyFill="1" applyBorder="1" applyProtection="1">
      <alignment horizontal="center" vertical="center"/>
      <protection locked="0"/>
    </xf>
    <xf numFmtId="0" fontId="0" fillId="0" borderId="460" xfId="0" applyBorder="1" applyAlignment="1">
      <alignment horizontal="left" vertical="center"/>
    </xf>
    <xf numFmtId="0" fontId="0" fillId="51" borderId="460" xfId="32" applyFont="1" applyFill="1" applyBorder="1" applyAlignment="1">
      <alignment horizontal="center" vertical="center"/>
    </xf>
    <xf numFmtId="0" fontId="0" fillId="51" borderId="460" xfId="43" applyFont="1" applyFill="1" applyBorder="1">
      <alignment horizontal="center" vertical="center"/>
    </xf>
    <xf numFmtId="0" fontId="0" fillId="55" borderId="404" xfId="45" applyFont="1" applyBorder="1">
      <alignment horizontal="center" vertical="center"/>
    </xf>
    <xf numFmtId="0" fontId="4" fillId="24" borderId="410" xfId="0" applyFont="1" applyFill="1" applyBorder="1" applyAlignment="1">
      <alignment horizontal="left" vertical="center"/>
    </xf>
    <xf numFmtId="0" fontId="0" fillId="24" borderId="404" xfId="0" applyFill="1" applyBorder="1">
      <alignment horizontal="center" vertical="center"/>
    </xf>
    <xf numFmtId="0" fontId="0" fillId="43" borderId="451" xfId="0" applyFill="1" applyBorder="1" applyAlignment="1" applyProtection="1">
      <alignment horizontal="center"/>
      <protection locked="0"/>
    </xf>
    <xf numFmtId="0" fontId="0" fillId="43" borderId="404" xfId="0" applyFill="1" applyBorder="1" applyAlignment="1" applyProtection="1">
      <alignment horizontal="center"/>
      <protection locked="0"/>
    </xf>
    <xf numFmtId="0" fontId="7" fillId="0" borderId="404" xfId="0" applyFont="1" applyBorder="1" applyAlignment="1">
      <alignment horizontal="left" vertical="center"/>
    </xf>
    <xf numFmtId="0" fontId="0" fillId="51" borderId="404" xfId="0" applyFill="1" applyBorder="1">
      <alignment horizontal="center" vertical="center"/>
    </xf>
    <xf numFmtId="0" fontId="7" fillId="55" borderId="404" xfId="45" applyBorder="1">
      <alignment horizontal="center" vertical="center"/>
    </xf>
    <xf numFmtId="0" fontId="7" fillId="86" borderId="404" xfId="44" applyBorder="1">
      <alignment horizontal="center" vertical="center"/>
    </xf>
    <xf numFmtId="0" fontId="0" fillId="51" borderId="403" xfId="0" applyFill="1" applyBorder="1">
      <alignment horizontal="center" vertical="center"/>
    </xf>
    <xf numFmtId="0" fontId="0" fillId="0" borderId="404" xfId="0" applyBorder="1" applyAlignment="1">
      <alignment horizontal="left" vertical="center"/>
    </xf>
    <xf numFmtId="0" fontId="0" fillId="51" borderId="404" xfId="44" applyFont="1" applyFill="1" applyBorder="1">
      <alignment horizontal="center" vertical="center"/>
    </xf>
    <xf numFmtId="1" fontId="0" fillId="51" borderId="404" xfId="0" applyNumberFormat="1" applyFill="1" applyBorder="1">
      <alignment horizontal="center" vertical="center"/>
    </xf>
    <xf numFmtId="0" fontId="0" fillId="51" borderId="404" xfId="43" applyFont="1" applyFill="1" applyBorder="1">
      <alignment horizontal="center" vertical="center"/>
    </xf>
    <xf numFmtId="1" fontId="0" fillId="51" borderId="404" xfId="32" applyNumberFormat="1" applyFont="1" applyFill="1" applyBorder="1" applyAlignment="1">
      <alignment horizontal="center" vertical="center"/>
    </xf>
    <xf numFmtId="1" fontId="0" fillId="51" borderId="404" xfId="20" applyNumberFormat="1" applyFont="1" applyFill="1" applyBorder="1" applyAlignment="1">
      <alignment horizontal="center" vertical="center"/>
    </xf>
    <xf numFmtId="0" fontId="7" fillId="53" borderId="404" xfId="45" applyFill="1" applyBorder="1">
      <alignment horizontal="center" vertical="center"/>
    </xf>
    <xf numFmtId="0" fontId="0" fillId="53" borderId="404" xfId="20" applyFont="1" applyFill="1" applyBorder="1" applyAlignment="1">
      <alignment horizontal="center" vertical="center"/>
    </xf>
    <xf numFmtId="0" fontId="0" fillId="53" borderId="404" xfId="44" applyFont="1" applyFill="1" applyBorder="1">
      <alignment horizontal="center" vertical="center"/>
    </xf>
    <xf numFmtId="0" fontId="7" fillId="53" borderId="404" xfId="43" applyBorder="1">
      <alignment horizontal="center" vertical="center"/>
    </xf>
    <xf numFmtId="1" fontId="0" fillId="51" borderId="403" xfId="0" applyNumberFormat="1" applyFill="1" applyBorder="1">
      <alignment horizontal="center" vertical="center"/>
    </xf>
    <xf numFmtId="0" fontId="6" fillId="0" borderId="404" xfId="0" applyFont="1" applyBorder="1" applyAlignment="1">
      <alignment horizontal="left" vertical="center"/>
    </xf>
    <xf numFmtId="0" fontId="0" fillId="51" borderId="404" xfId="48" applyFont="1" applyFill="1" applyBorder="1">
      <alignment horizontal="center" vertical="center"/>
    </xf>
    <xf numFmtId="0" fontId="7" fillId="0" borderId="404" xfId="45" applyFill="1" applyBorder="1">
      <alignment horizontal="center" vertical="center"/>
    </xf>
    <xf numFmtId="1" fontId="0" fillId="51" borderId="404" xfId="44" applyNumberFormat="1" applyFont="1" applyFill="1" applyBorder="1">
      <alignment horizontal="center" vertical="center"/>
    </xf>
    <xf numFmtId="0" fontId="0" fillId="55" borderId="451" xfId="45" applyFont="1" applyBorder="1">
      <alignment horizontal="center" vertical="center"/>
    </xf>
    <xf numFmtId="49" fontId="0" fillId="51" borderId="404" xfId="0" applyNumberFormat="1" applyFill="1" applyBorder="1">
      <alignment horizontal="center" vertical="center"/>
    </xf>
    <xf numFmtId="0" fontId="7" fillId="52" borderId="404" xfId="48" applyBorder="1">
      <alignment horizontal="center" vertical="center"/>
    </xf>
    <xf numFmtId="0" fontId="0" fillId="55" borderId="404" xfId="49" applyFont="1" applyFill="1" applyBorder="1">
      <alignment horizontal="center" vertical="center"/>
    </xf>
    <xf numFmtId="0" fontId="0" fillId="51" borderId="404" xfId="49" applyFont="1" applyFill="1" applyBorder="1">
      <alignment horizontal="center" vertical="center"/>
    </xf>
    <xf numFmtId="0" fontId="0" fillId="43" borderId="400" xfId="0" applyFill="1" applyBorder="1" applyAlignment="1" applyProtection="1">
      <alignment horizontal="center"/>
      <protection locked="0"/>
    </xf>
    <xf numFmtId="0" fontId="0" fillId="0" borderId="400" xfId="0" applyBorder="1" applyAlignment="1">
      <alignment horizontal="left" vertical="center"/>
    </xf>
    <xf numFmtId="0" fontId="0" fillId="51" borderId="400" xfId="20" applyFont="1" applyFill="1" applyBorder="1" applyAlignment="1">
      <alignment horizontal="center" vertical="center"/>
    </xf>
    <xf numFmtId="0" fontId="0" fillId="51" borderId="400" xfId="43" applyFont="1" applyFill="1" applyBorder="1">
      <alignment horizontal="center" vertical="center"/>
    </xf>
    <xf numFmtId="0" fontId="0" fillId="51" borderId="400" xfId="46" applyFont="1" applyFill="1" applyBorder="1">
      <alignment horizontal="center" vertical="center"/>
    </xf>
    <xf numFmtId="1" fontId="0" fillId="51" borderId="400" xfId="20" applyNumberFormat="1" applyFont="1" applyFill="1" applyBorder="1" applyAlignment="1">
      <alignment horizontal="center" vertical="center"/>
    </xf>
    <xf numFmtId="49" fontId="0" fillId="51" borderId="400" xfId="0" applyNumberFormat="1" applyFill="1" applyBorder="1">
      <alignment horizontal="center" vertical="center"/>
    </xf>
    <xf numFmtId="0" fontId="7" fillId="55" borderId="400" xfId="45" applyBorder="1">
      <alignment horizontal="center" vertical="center"/>
    </xf>
    <xf numFmtId="0" fontId="7" fillId="86" borderId="400" xfId="44" applyBorder="1">
      <alignment horizontal="center" vertical="center"/>
    </xf>
    <xf numFmtId="0" fontId="0" fillId="51" borderId="400" xfId="44" applyFont="1" applyFill="1" applyBorder="1">
      <alignment horizontal="center" vertical="center"/>
    </xf>
    <xf numFmtId="0" fontId="0" fillId="0" borderId="400" xfId="0" applyBorder="1">
      <alignment horizontal="center" vertical="center"/>
    </xf>
    <xf numFmtId="0" fontId="36" fillId="17" borderId="461" xfId="34" applyBorder="1" applyAlignment="1">
      <alignment horizontal="center" vertical="center"/>
    </xf>
    <xf numFmtId="0" fontId="7" fillId="52" borderId="400" xfId="48" applyBorder="1">
      <alignment horizontal="center" vertical="center"/>
    </xf>
    <xf numFmtId="1" fontId="0" fillId="51" borderId="400" xfId="0" applyNumberFormat="1" applyFill="1" applyBorder="1">
      <alignment horizontal="center" vertical="center"/>
    </xf>
    <xf numFmtId="1" fontId="0" fillId="55" borderId="400" xfId="0" applyNumberFormat="1" applyFill="1" applyBorder="1">
      <alignment horizontal="center" vertical="center"/>
    </xf>
    <xf numFmtId="1" fontId="0" fillId="51" borderId="441" xfId="0" applyNumberFormat="1" applyFill="1" applyBorder="1">
      <alignment horizontal="center" vertical="center"/>
    </xf>
    <xf numFmtId="0" fontId="4" fillId="24" borderId="459" xfId="0" applyFont="1" applyFill="1" applyBorder="1" applyAlignment="1" applyProtection="1">
      <alignment horizontal="left"/>
      <protection locked="0"/>
    </xf>
    <xf numFmtId="0" fontId="4" fillId="24" borderId="459" xfId="0" applyFont="1" applyFill="1" applyBorder="1">
      <alignment horizontal="center" vertical="center"/>
    </xf>
    <xf numFmtId="0" fontId="0" fillId="0" borderId="451" xfId="0" applyBorder="1" applyAlignment="1">
      <alignment horizontal="left" vertical="center"/>
    </xf>
    <xf numFmtId="0" fontId="0" fillId="51" borderId="451" xfId="32" applyFont="1" applyFill="1" applyBorder="1" applyAlignment="1">
      <alignment horizontal="center" vertical="center"/>
    </xf>
    <xf numFmtId="0" fontId="0" fillId="51" borderId="451" xfId="43" applyFont="1" applyFill="1" applyBorder="1">
      <alignment horizontal="center" vertical="center"/>
    </xf>
    <xf numFmtId="0" fontId="0" fillId="51" borderId="451" xfId="45" applyFont="1" applyFill="1" applyBorder="1">
      <alignment horizontal="center" vertical="center"/>
    </xf>
    <xf numFmtId="0" fontId="0" fillId="51" borderId="451" xfId="0" applyFill="1" applyBorder="1">
      <alignment horizontal="center" vertical="center"/>
    </xf>
    <xf numFmtId="0" fontId="0" fillId="51" borderId="451" xfId="44" applyFont="1" applyFill="1" applyBorder="1">
      <alignment horizontal="center" vertical="center"/>
    </xf>
    <xf numFmtId="49" fontId="0" fillId="51" borderId="451" xfId="0" applyNumberFormat="1" applyFill="1" applyBorder="1">
      <alignment horizontal="center" vertical="center"/>
    </xf>
    <xf numFmtId="0" fontId="0" fillId="51" borderId="404" xfId="20" applyFont="1" applyFill="1" applyBorder="1" applyAlignment="1">
      <alignment horizontal="center" vertical="center"/>
    </xf>
    <xf numFmtId="0" fontId="0" fillId="52" borderId="451" xfId="43" applyFont="1" applyFill="1" applyBorder="1">
      <alignment horizontal="center" vertical="center"/>
    </xf>
    <xf numFmtId="0" fontId="7" fillId="89" borderId="451" xfId="56" applyBorder="1">
      <alignment horizontal="center" vertical="center"/>
    </xf>
    <xf numFmtId="0" fontId="7" fillId="55" borderId="451" xfId="45" applyBorder="1">
      <alignment horizontal="center" vertical="center"/>
    </xf>
    <xf numFmtId="0" fontId="0" fillId="51" borderId="462" xfId="0" applyFill="1" applyBorder="1">
      <alignment horizontal="center" vertical="center"/>
    </xf>
    <xf numFmtId="0" fontId="0" fillId="0" borderId="440" xfId="0" applyBorder="1">
      <alignment horizontal="center" vertical="center"/>
    </xf>
    <xf numFmtId="1" fontId="0" fillId="16" borderId="440" xfId="20" applyNumberFormat="1" applyFont="1" applyBorder="1" applyAlignment="1">
      <alignment horizontal="center" vertical="center"/>
    </xf>
    <xf numFmtId="0" fontId="0" fillId="16" borderId="440" xfId="20" applyFont="1" applyBorder="1" applyAlignment="1">
      <alignment horizontal="center" vertical="center"/>
    </xf>
    <xf numFmtId="1" fontId="0" fillId="0" borderId="404" xfId="0" applyNumberFormat="1" applyBorder="1">
      <alignment horizontal="center" vertical="center"/>
    </xf>
    <xf numFmtId="0" fontId="0" fillId="0" borderId="458" xfId="0" applyBorder="1">
      <alignment horizontal="center" vertical="center"/>
    </xf>
    <xf numFmtId="173" fontId="0" fillId="0" borderId="458" xfId="0" applyNumberFormat="1" applyBorder="1">
      <alignment horizontal="center" vertical="center"/>
    </xf>
    <xf numFmtId="0" fontId="0" fillId="0" borderId="463" xfId="0" applyBorder="1">
      <alignment horizontal="center" vertical="center"/>
    </xf>
    <xf numFmtId="0" fontId="7" fillId="89" borderId="404" xfId="56" applyBorder="1">
      <alignment horizontal="center" vertical="center"/>
    </xf>
    <xf numFmtId="0" fontId="0" fillId="56" borderId="404" xfId="20" applyFont="1" applyFill="1" applyBorder="1" applyAlignment="1">
      <alignment horizontal="center" vertical="center"/>
    </xf>
    <xf numFmtId="0" fontId="0" fillId="0" borderId="400" xfId="0" applyBorder="1" applyAlignment="1">
      <alignment vertical="center"/>
    </xf>
    <xf numFmtId="0" fontId="0" fillId="51" borderId="400" xfId="32" applyFont="1" applyFill="1" applyBorder="1" applyAlignment="1">
      <alignment horizontal="center" vertical="center"/>
    </xf>
    <xf numFmtId="0" fontId="0" fillId="51" borderId="400" xfId="0" applyFill="1" applyBorder="1">
      <alignment horizontal="center" vertical="center"/>
    </xf>
    <xf numFmtId="0" fontId="0" fillId="51" borderId="441" xfId="0" applyFill="1" applyBorder="1">
      <alignment horizontal="center" vertical="center"/>
    </xf>
    <xf numFmtId="0" fontId="4" fillId="0" borderId="464" xfId="0" applyFont="1" applyBorder="1" applyAlignment="1">
      <alignment horizontal="left" vertical="center"/>
    </xf>
    <xf numFmtId="0" fontId="0" fillId="0" borderId="465" xfId="0" applyBorder="1" applyAlignment="1">
      <alignment horizontal="left"/>
    </xf>
    <xf numFmtId="0" fontId="4" fillId="0" borderId="444" xfId="0" applyFont="1" applyBorder="1" applyAlignment="1">
      <alignment vertical="center"/>
    </xf>
    <xf numFmtId="0" fontId="0" fillId="0" borderId="465" xfId="0" applyBorder="1">
      <alignment horizontal="center" vertical="center"/>
    </xf>
    <xf numFmtId="0" fontId="4" fillId="0" borderId="466" xfId="0" applyFont="1" applyBorder="1" applyAlignment="1">
      <alignment horizontal="left" vertical="center"/>
    </xf>
    <xf numFmtId="0" fontId="4" fillId="0" borderId="466" xfId="0" applyFont="1" applyBorder="1" applyAlignment="1">
      <alignment horizontal="left"/>
    </xf>
    <xf numFmtId="0" fontId="4" fillId="0" borderId="445" xfId="0" applyFont="1" applyBorder="1" applyAlignment="1">
      <alignment vertical="center"/>
    </xf>
    <xf numFmtId="0" fontId="0" fillId="0" borderId="445" xfId="0" applyBorder="1">
      <alignment horizontal="center" vertical="center"/>
    </xf>
    <xf numFmtId="0" fontId="0" fillId="0" borderId="467" xfId="0" applyBorder="1">
      <alignment horizontal="center" vertical="center"/>
    </xf>
    <xf numFmtId="0" fontId="4" fillId="0" borderId="468" xfId="0" applyFont="1" applyBorder="1" applyAlignment="1">
      <alignment horizontal="left" vertical="center"/>
    </xf>
    <xf numFmtId="0" fontId="0" fillId="0" borderId="433" xfId="0" applyBorder="1">
      <alignment horizontal="center" vertical="center"/>
    </xf>
    <xf numFmtId="0" fontId="4" fillId="0" borderId="399" xfId="0" applyFont="1" applyBorder="1" applyAlignment="1">
      <alignment vertical="center"/>
    </xf>
    <xf numFmtId="0" fontId="13" fillId="0" borderId="429" xfId="0" applyFont="1" applyBorder="1">
      <alignment horizontal="center" vertical="center"/>
    </xf>
    <xf numFmtId="0" fontId="0" fillId="0" borderId="402" xfId="0" applyBorder="1">
      <alignment horizontal="center" vertical="center"/>
    </xf>
    <xf numFmtId="0" fontId="4" fillId="0" borderId="420" xfId="0" applyFont="1" applyBorder="1" applyAlignment="1">
      <alignment horizontal="left" vertical="center"/>
    </xf>
    <xf numFmtId="0" fontId="13" fillId="0" borderId="433" xfId="0" applyFont="1" applyBorder="1">
      <alignment horizontal="center" vertical="center"/>
    </xf>
    <xf numFmtId="0" fontId="4" fillId="0" borderId="433" xfId="0" applyFont="1" applyBorder="1">
      <alignment horizontal="center" vertical="center"/>
    </xf>
    <xf numFmtId="0" fontId="4" fillId="0" borderId="432" xfId="0" applyFont="1" applyBorder="1" applyAlignment="1">
      <alignment horizontal="left" vertical="center"/>
    </xf>
    <xf numFmtId="0" fontId="0" fillId="0" borderId="399" xfId="0" applyBorder="1" applyAlignment="1">
      <alignment vertical="center"/>
    </xf>
    <xf numFmtId="0" fontId="4" fillId="0" borderId="399" xfId="0" applyFont="1" applyBorder="1">
      <alignment horizontal="center" vertical="center"/>
    </xf>
    <xf numFmtId="0" fontId="0" fillId="0" borderId="429" xfId="0" applyBorder="1" applyAlignment="1">
      <alignment horizontal="left" vertical="center"/>
    </xf>
    <xf numFmtId="0" fontId="0" fillId="0" borderId="435" xfId="0" applyBorder="1">
      <alignment horizontal="center" vertical="center"/>
    </xf>
    <xf numFmtId="0" fontId="4" fillId="0" borderId="436" xfId="0" applyFont="1" applyBorder="1" applyAlignment="1">
      <alignment horizontal="left" vertical="center"/>
    </xf>
    <xf numFmtId="0" fontId="0" fillId="0" borderId="437" xfId="0" applyBorder="1">
      <alignment horizontal="center" vertical="center"/>
    </xf>
    <xf numFmtId="0" fontId="0" fillId="0" borderId="416" xfId="0" applyBorder="1" applyAlignment="1">
      <alignment vertical="center"/>
    </xf>
    <xf numFmtId="0" fontId="0" fillId="0" borderId="438" xfId="0" applyBorder="1">
      <alignment horizontal="center" vertical="center"/>
    </xf>
    <xf numFmtId="0" fontId="4" fillId="0" borderId="416" xfId="0" applyFont="1" applyBorder="1">
      <alignment horizontal="center" vertical="center"/>
    </xf>
    <xf numFmtId="0" fontId="0" fillId="0" borderId="437" xfId="0" applyBorder="1" applyAlignment="1">
      <alignment horizontal="left" vertical="center"/>
    </xf>
    <xf numFmtId="0" fontId="13" fillId="0" borderId="437" xfId="0" applyFont="1" applyBorder="1">
      <alignment horizontal="center" vertical="center"/>
    </xf>
    <xf numFmtId="0" fontId="4" fillId="0" borderId="437" xfId="0" applyFont="1" applyBorder="1" applyAlignment="1">
      <alignment horizontal="left" vertical="center"/>
    </xf>
    <xf numFmtId="0" fontId="0" fillId="0" borderId="439" xfId="0" applyBorder="1">
      <alignment horizontal="center" vertical="center"/>
    </xf>
    <xf numFmtId="0" fontId="0" fillId="0" borderId="410" xfId="0" applyBorder="1" applyAlignment="1" applyProtection="1">
      <alignment horizontal="center"/>
      <protection locked="0"/>
    </xf>
    <xf numFmtId="0" fontId="6" fillId="0" borderId="410" xfId="0" applyFont="1" applyBorder="1" applyAlignment="1">
      <alignment horizontal="center"/>
    </xf>
    <xf numFmtId="0" fontId="0" fillId="24" borderId="450" xfId="0" applyFill="1" applyBorder="1" applyAlignment="1" applyProtection="1">
      <alignment horizontal="center"/>
      <protection locked="0"/>
    </xf>
    <xf numFmtId="49" fontId="0" fillId="51" borderId="462" xfId="0" applyNumberFormat="1" applyFill="1" applyBorder="1">
      <alignment horizontal="center" vertical="center"/>
    </xf>
    <xf numFmtId="0" fontId="0" fillId="43" borderId="428" xfId="0" applyFill="1" applyBorder="1" applyAlignment="1" applyProtection="1">
      <alignment horizontal="center"/>
      <protection locked="0"/>
    </xf>
    <xf numFmtId="0" fontId="0" fillId="55" borderId="404" xfId="20" applyFont="1" applyFill="1" applyBorder="1" applyAlignment="1">
      <alignment horizontal="center" vertical="center"/>
    </xf>
    <xf numFmtId="0" fontId="7" fillId="52" borderId="403" xfId="48" applyBorder="1">
      <alignment horizontal="center" vertical="center"/>
    </xf>
    <xf numFmtId="0" fontId="0" fillId="43" borderId="469" xfId="0" applyFill="1" applyBorder="1" applyAlignment="1" applyProtection="1">
      <alignment horizontal="center"/>
      <protection locked="0"/>
    </xf>
    <xf numFmtId="0" fontId="0" fillId="51" borderId="400" xfId="53" applyFont="1" applyFill="1" applyBorder="1">
      <alignment horizontal="center" vertical="center"/>
    </xf>
    <xf numFmtId="49" fontId="0" fillId="51" borderId="441" xfId="0" applyNumberFormat="1" applyFill="1" applyBorder="1">
      <alignment horizontal="center" vertical="center"/>
    </xf>
    <xf numFmtId="0" fontId="0" fillId="51" borderId="451" xfId="48" applyFont="1" applyFill="1" applyBorder="1">
      <alignment horizontal="center" vertical="center"/>
    </xf>
    <xf numFmtId="0" fontId="0" fillId="51" borderId="404" xfId="46" applyFont="1" applyFill="1" applyBorder="1">
      <alignment horizontal="center" vertical="center"/>
    </xf>
    <xf numFmtId="0" fontId="0" fillId="51" borderId="400" xfId="48" applyFont="1" applyFill="1" applyBorder="1">
      <alignment horizontal="center" vertical="center"/>
    </xf>
    <xf numFmtId="49" fontId="0" fillId="51" borderId="403" xfId="0" applyNumberFormat="1" applyFill="1" applyBorder="1">
      <alignment horizontal="center" vertical="center"/>
    </xf>
    <xf numFmtId="0" fontId="0" fillId="51" borderId="400" xfId="0" applyFill="1" applyBorder="1" applyAlignment="1">
      <alignment horizontal="left" vertical="center"/>
    </xf>
    <xf numFmtId="0" fontId="0" fillId="55" borderId="400" xfId="48" applyFont="1" applyFill="1" applyBorder="1">
      <alignment horizontal="center" vertical="center"/>
    </xf>
    <xf numFmtId="0" fontId="7" fillId="55" borderId="441" xfId="45" applyBorder="1">
      <alignment horizontal="center" vertical="center"/>
    </xf>
    <xf numFmtId="0" fontId="0" fillId="51" borderId="451" xfId="0" applyFill="1" applyBorder="1" applyAlignment="1">
      <alignment horizontal="left" vertical="center" wrapText="1"/>
    </xf>
    <xf numFmtId="0" fontId="0" fillId="55" borderId="404" xfId="48" applyFont="1" applyFill="1" applyBorder="1">
      <alignment horizontal="center" vertical="center"/>
    </xf>
    <xf numFmtId="0" fontId="7" fillId="89" borderId="400" xfId="56" applyBorder="1">
      <alignment horizontal="center" vertical="center"/>
    </xf>
    <xf numFmtId="0" fontId="7" fillId="0" borderId="400" xfId="56" applyFill="1" applyBorder="1">
      <alignment horizontal="center" vertical="center"/>
    </xf>
    <xf numFmtId="0" fontId="7" fillId="89" borderId="441" xfId="56" applyBorder="1">
      <alignment horizontal="center" vertical="center"/>
    </xf>
    <xf numFmtId="0" fontId="7" fillId="86" borderId="451" xfId="44" applyBorder="1">
      <alignment horizontal="center" vertical="center"/>
    </xf>
    <xf numFmtId="0" fontId="7" fillId="81" borderId="451" xfId="56" applyFill="1" applyBorder="1">
      <alignment horizontal="center" vertical="center"/>
    </xf>
    <xf numFmtId="0" fontId="7" fillId="81" borderId="404" xfId="56" applyFill="1" applyBorder="1">
      <alignment horizontal="center" vertical="center"/>
    </xf>
    <xf numFmtId="0" fontId="7" fillId="53" borderId="400" xfId="43" applyBorder="1">
      <alignment horizontal="center" vertical="center"/>
    </xf>
    <xf numFmtId="0" fontId="7" fillId="81" borderId="400" xfId="56" applyFill="1" applyBorder="1">
      <alignment horizontal="center" vertical="center"/>
    </xf>
    <xf numFmtId="0" fontId="0" fillId="56" borderId="441" xfId="0" applyFill="1" applyBorder="1">
      <alignment horizontal="center" vertical="center"/>
    </xf>
    <xf numFmtId="0" fontId="0" fillId="51" borderId="451" xfId="46" applyFont="1" applyFill="1" applyBorder="1">
      <alignment horizontal="center" vertical="center"/>
    </xf>
    <xf numFmtId="49" fontId="0" fillId="53" borderId="451" xfId="0" applyNumberFormat="1" applyFill="1" applyBorder="1">
      <alignment horizontal="center" vertical="center"/>
    </xf>
    <xf numFmtId="0" fontId="0" fillId="53" borderId="451" xfId="0" applyFill="1" applyBorder="1">
      <alignment horizontal="center" vertical="center"/>
    </xf>
    <xf numFmtId="0" fontId="0" fillId="53" borderId="462" xfId="0" applyFill="1" applyBorder="1">
      <alignment horizontal="center" vertical="center"/>
    </xf>
    <xf numFmtId="0" fontId="7" fillId="0" borderId="404" xfId="43" applyFill="1" applyBorder="1">
      <alignment horizontal="center" vertical="center"/>
    </xf>
    <xf numFmtId="0" fontId="0" fillId="53" borderId="400" xfId="0" applyFill="1" applyBorder="1">
      <alignment horizontal="center" vertical="center"/>
    </xf>
    <xf numFmtId="0" fontId="0" fillId="53" borderId="441" xfId="44" applyFont="1" applyFill="1" applyBorder="1">
      <alignment horizontal="center" vertical="center"/>
    </xf>
    <xf numFmtId="0" fontId="6" fillId="0" borderId="404" xfId="0" applyFont="1" applyBorder="1" applyAlignment="1">
      <alignment horizontal="left"/>
    </xf>
    <xf numFmtId="0" fontId="7" fillId="0" borderId="399" xfId="0" applyFont="1" applyBorder="1">
      <alignment horizontal="center" vertical="center"/>
    </xf>
    <xf numFmtId="0" fontId="0" fillId="0" borderId="404" xfId="0" applyBorder="1" applyAlignment="1">
      <alignment horizontal="center"/>
    </xf>
    <xf numFmtId="0" fontId="0" fillId="43" borderId="399" xfId="0" applyFill="1" applyBorder="1" applyAlignment="1" applyProtection="1">
      <alignment horizontal="center"/>
      <protection locked="0"/>
    </xf>
    <xf numFmtId="0" fontId="0" fillId="0" borderId="399" xfId="0" applyBorder="1" applyAlignment="1">
      <alignment horizontal="left"/>
    </xf>
    <xf numFmtId="0" fontId="0" fillId="0" borderId="429" xfId="0" applyBorder="1" applyAlignment="1">
      <alignment horizontal="left"/>
    </xf>
    <xf numFmtId="0" fontId="0" fillId="0" borderId="420" xfId="0" applyBorder="1" applyAlignment="1">
      <alignment horizontal="left"/>
    </xf>
    <xf numFmtId="0" fontId="0" fillId="0" borderId="433" xfId="0" applyBorder="1" applyAlignment="1">
      <alignment horizontal="left"/>
    </xf>
    <xf numFmtId="0" fontId="7" fillId="0" borderId="434" xfId="0" applyFont="1" applyBorder="1" applyAlignment="1">
      <alignment horizontal="left"/>
    </xf>
    <xf numFmtId="0" fontId="7" fillId="0" borderId="433" xfId="0" applyFont="1" applyBorder="1" applyAlignment="1">
      <alignment horizontal="left"/>
    </xf>
    <xf numFmtId="0" fontId="7" fillId="0" borderId="402" xfId="0" applyFont="1" applyBorder="1" applyAlignment="1">
      <alignment horizontal="left"/>
    </xf>
    <xf numFmtId="0" fontId="6" fillId="0" borderId="399" xfId="0" applyFont="1" applyBorder="1" applyAlignment="1">
      <alignment horizontal="left"/>
    </xf>
    <xf numFmtId="0" fontId="21" fillId="0" borderId="404" xfId="0" applyFont="1" applyBorder="1" applyAlignment="1" applyProtection="1">
      <alignment horizontal="center"/>
      <protection locked="0"/>
    </xf>
    <xf numFmtId="0" fontId="0" fillId="0" borderId="399" xfId="0" applyBorder="1" applyAlignment="1">
      <alignment horizontal="left" vertical="center"/>
    </xf>
    <xf numFmtId="0" fontId="0" fillId="0" borderId="470" xfId="0" applyBorder="1" applyAlignment="1">
      <alignment vertical="center"/>
    </xf>
    <xf numFmtId="0" fontId="0" fillId="51" borderId="471" xfId="0" applyFill="1" applyBorder="1" applyAlignment="1" applyProtection="1">
      <alignment horizontal="left" vertical="center"/>
      <protection locked="0"/>
    </xf>
    <xf numFmtId="0" fontId="0" fillId="0" borderId="451" xfId="0" applyBorder="1">
      <alignment horizontal="center" vertical="center"/>
    </xf>
    <xf numFmtId="0" fontId="0" fillId="51" borderId="400" xfId="51" applyFont="1" applyFill="1" applyBorder="1">
      <alignment horizontal="center" vertical="center"/>
    </xf>
    <xf numFmtId="0" fontId="0" fillId="55" borderId="404" xfId="0" applyFill="1" applyBorder="1">
      <alignment horizontal="center" vertical="center"/>
    </xf>
    <xf numFmtId="49" fontId="0" fillId="55" borderId="451" xfId="0" applyNumberFormat="1" applyFill="1" applyBorder="1">
      <alignment horizontal="center" vertical="center"/>
    </xf>
    <xf numFmtId="49" fontId="0" fillId="16" borderId="440" xfId="20" applyNumberFormat="1" applyFont="1" applyBorder="1" applyAlignment="1">
      <alignment horizontal="center" vertical="center"/>
    </xf>
    <xf numFmtId="0" fontId="7" fillId="52" borderId="142" xfId="48" applyBorder="1">
      <alignment horizontal="center" vertical="center"/>
    </xf>
    <xf numFmtId="0" fontId="7" fillId="86" borderId="142" xfId="44" applyBorder="1">
      <alignment horizontal="center" vertical="center"/>
    </xf>
    <xf numFmtId="0" fontId="0" fillId="57" borderId="404" xfId="48" applyFont="1" applyFill="1" applyBorder="1">
      <alignment horizontal="center" vertical="center"/>
    </xf>
    <xf numFmtId="0" fontId="7" fillId="89" borderId="403" xfId="56" applyBorder="1">
      <alignment horizontal="center" vertical="center"/>
    </xf>
    <xf numFmtId="0" fontId="0" fillId="57" borderId="142" xfId="0" applyFill="1" applyBorder="1">
      <alignment horizontal="center" vertical="center"/>
    </xf>
    <xf numFmtId="49" fontId="0" fillId="51" borderId="449" xfId="0" applyNumberFormat="1" applyFill="1" applyBorder="1">
      <alignment horizontal="center" vertical="center"/>
    </xf>
    <xf numFmtId="0" fontId="0" fillId="57" borderId="404" xfId="0" applyFill="1" applyBorder="1">
      <alignment horizontal="center" vertical="center"/>
    </xf>
    <xf numFmtId="0" fontId="7" fillId="0" borderId="404" xfId="53" applyBorder="1">
      <alignment horizontal="center" vertical="center"/>
    </xf>
    <xf numFmtId="0" fontId="0" fillId="51" borderId="404" xfId="32" applyFont="1" applyFill="1" applyBorder="1" applyAlignment="1">
      <alignment horizontal="center" vertical="center"/>
    </xf>
    <xf numFmtId="0" fontId="7" fillId="51" borderId="404" xfId="48" applyFill="1" applyBorder="1">
      <alignment horizontal="center" vertical="center"/>
    </xf>
    <xf numFmtId="0" fontId="0" fillId="52" borderId="404" xfId="48" applyFont="1" applyBorder="1">
      <alignment horizontal="center" vertical="center"/>
    </xf>
    <xf numFmtId="0" fontId="0" fillId="0" borderId="404" xfId="48" applyFont="1" applyFill="1" applyBorder="1">
      <alignment horizontal="center" vertical="center"/>
    </xf>
    <xf numFmtId="0" fontId="0" fillId="0" borderId="400" xfId="51" applyFont="1" applyFill="1" applyBorder="1">
      <alignment horizontal="center" vertical="center"/>
    </xf>
    <xf numFmtId="0" fontId="0" fillId="0" borderId="404" xfId="20" applyFont="1" applyFill="1" applyBorder="1" applyAlignment="1">
      <alignment horizontal="center" vertical="center"/>
    </xf>
    <xf numFmtId="49" fontId="0" fillId="0" borderId="403" xfId="0" applyNumberFormat="1" applyBorder="1">
      <alignment horizontal="center" vertical="center"/>
    </xf>
    <xf numFmtId="0" fontId="7" fillId="0" borderId="451" xfId="45" applyFill="1" applyBorder="1">
      <alignment horizontal="center" vertical="center"/>
    </xf>
    <xf numFmtId="0" fontId="18" fillId="0" borderId="458" xfId="0" applyFont="1" applyBorder="1" applyAlignment="1" applyProtection="1">
      <alignment horizontal="center"/>
      <protection locked="0"/>
    </xf>
    <xf numFmtId="1" fontId="0" fillId="51" borderId="449" xfId="32" applyNumberFormat="1" applyFont="1" applyFill="1" applyBorder="1" applyAlignment="1">
      <alignment horizontal="center" vertical="center"/>
    </xf>
    <xf numFmtId="0" fontId="0" fillId="51" borderId="449" xfId="0" applyFill="1" applyBorder="1">
      <alignment horizontal="center" vertical="center"/>
    </xf>
    <xf numFmtId="49" fontId="0" fillId="51" borderId="472" xfId="0" applyNumberFormat="1" applyFill="1" applyBorder="1">
      <alignment horizontal="center" vertical="center"/>
    </xf>
    <xf numFmtId="0" fontId="0" fillId="0" borderId="458" xfId="0" applyBorder="1" applyAlignment="1">
      <alignment horizontal="left" vertical="center"/>
    </xf>
    <xf numFmtId="0" fontId="0" fillId="51" borderId="404" xfId="20" applyNumberFormat="1" applyFont="1" applyFill="1" applyBorder="1" applyAlignment="1">
      <alignment horizontal="center" vertical="center"/>
    </xf>
    <xf numFmtId="0" fontId="7" fillId="53" borderId="404" xfId="53" applyFill="1" applyBorder="1">
      <alignment horizontal="center" vertical="center"/>
    </xf>
    <xf numFmtId="0" fontId="0" fillId="51" borderId="458" xfId="48" applyFont="1" applyFill="1" applyBorder="1">
      <alignment horizontal="center" vertical="center"/>
    </xf>
    <xf numFmtId="0" fontId="7" fillId="52" borderId="458" xfId="48" applyBorder="1">
      <alignment horizontal="center" vertical="center"/>
    </xf>
    <xf numFmtId="0" fontId="7" fillId="51" borderId="408" xfId="47" applyFill="1" applyBorder="1">
      <alignment horizontal="center" vertical="center"/>
    </xf>
    <xf numFmtId="0" fontId="0" fillId="51" borderId="408" xfId="47" applyFont="1" applyFill="1" applyBorder="1">
      <alignment horizontal="center" vertical="center"/>
    </xf>
    <xf numFmtId="0" fontId="0" fillId="51" borderId="402" xfId="20" applyFont="1" applyFill="1" applyBorder="1" applyAlignment="1">
      <alignment horizontal="center" vertical="center"/>
    </xf>
    <xf numFmtId="0" fontId="7" fillId="53" borderId="332" xfId="43" applyBorder="1">
      <alignment horizontal="center" vertical="center"/>
    </xf>
    <xf numFmtId="0" fontId="7" fillId="53" borderId="142" xfId="43" applyBorder="1">
      <alignment horizontal="center" vertical="center"/>
    </xf>
    <xf numFmtId="0" fontId="18" fillId="0" borderId="409" xfId="0" applyFont="1" applyBorder="1" applyAlignment="1" applyProtection="1">
      <alignment horizontal="center"/>
      <protection locked="0"/>
    </xf>
    <xf numFmtId="0" fontId="0" fillId="51" borderId="332" xfId="48" applyFont="1" applyFill="1" applyBorder="1">
      <alignment horizontal="center" vertical="center"/>
    </xf>
    <xf numFmtId="49" fontId="0" fillId="57" borderId="410" xfId="0" applyNumberFormat="1" applyFill="1" applyBorder="1">
      <alignment horizontal="center" vertical="center"/>
    </xf>
    <xf numFmtId="49" fontId="0" fillId="0" borderId="410" xfId="0" applyNumberFormat="1" applyBorder="1">
      <alignment horizontal="center" vertical="center"/>
    </xf>
    <xf numFmtId="49" fontId="0" fillId="57" borderId="473" xfId="0" applyNumberFormat="1" applyFill="1" applyBorder="1">
      <alignment horizontal="center" vertical="center"/>
    </xf>
    <xf numFmtId="0" fontId="7" fillId="51" borderId="137" xfId="47" applyFill="1" applyBorder="1">
      <alignment horizontal="center" vertical="center"/>
    </xf>
    <xf numFmtId="0" fontId="20" fillId="0" borderId="474" xfId="0" applyFont="1" applyBorder="1" applyAlignment="1">
      <alignment vertical="center"/>
    </xf>
    <xf numFmtId="0" fontId="0" fillId="51" borderId="460" xfId="0" applyFill="1" applyBorder="1">
      <alignment horizontal="center" vertical="center"/>
    </xf>
    <xf numFmtId="0" fontId="0" fillId="70" borderId="460" xfId="0" applyFill="1" applyBorder="1">
      <alignment horizontal="center" vertical="center"/>
    </xf>
    <xf numFmtId="0" fontId="59" fillId="0" borderId="449" xfId="0" applyFont="1" applyBorder="1" applyAlignment="1">
      <alignment horizontal="left" vertical="center"/>
    </xf>
    <xf numFmtId="0" fontId="0" fillId="51" borderId="449" xfId="48" applyFont="1" applyFill="1" applyBorder="1">
      <alignment horizontal="center" vertical="center"/>
    </xf>
    <xf numFmtId="0" fontId="0" fillId="51" borderId="472" xfId="48" applyFont="1" applyFill="1" applyBorder="1">
      <alignment horizontal="center" vertical="center"/>
    </xf>
    <xf numFmtId="0" fontId="18" fillId="0" borderId="455" xfId="0" applyFont="1" applyBorder="1" applyAlignment="1" applyProtection="1">
      <alignment horizontal="center"/>
      <protection locked="0"/>
    </xf>
    <xf numFmtId="0" fontId="62" fillId="0" borderId="458" xfId="0" applyFont="1" applyBorder="1" applyAlignment="1">
      <alignment horizontal="left" vertical="center"/>
    </xf>
    <xf numFmtId="0" fontId="0" fillId="71" borderId="458" xfId="0" applyFill="1" applyBorder="1" applyAlignment="1"/>
    <xf numFmtId="1" fontId="0" fillId="51" borderId="458" xfId="32" applyNumberFormat="1" applyFont="1" applyFill="1" applyBorder="1" applyAlignment="1">
      <alignment horizontal="center" vertical="center"/>
    </xf>
    <xf numFmtId="0" fontId="0" fillId="51" borderId="458" xfId="43" applyFont="1" applyFill="1" applyBorder="1">
      <alignment horizontal="center" vertical="center"/>
    </xf>
    <xf numFmtId="0" fontId="4" fillId="0" borderId="444" xfId="0" applyFont="1" applyBorder="1" applyAlignment="1" applyProtection="1">
      <alignment horizontal="center"/>
      <protection locked="0"/>
    </xf>
    <xf numFmtId="0" fontId="0" fillId="51" borderId="475" xfId="44" applyFont="1" applyFill="1" applyBorder="1">
      <alignment horizontal="center" vertical="center"/>
    </xf>
    <xf numFmtId="0" fontId="0" fillId="51" borderId="449" xfId="44" applyFont="1" applyFill="1" applyBorder="1">
      <alignment horizontal="center" vertical="center"/>
    </xf>
    <xf numFmtId="0" fontId="0" fillId="51" borderId="449" xfId="43" applyFont="1" applyFill="1" applyBorder="1">
      <alignment horizontal="center" vertical="center"/>
    </xf>
    <xf numFmtId="0" fontId="0" fillId="53" borderId="449" xfId="44" applyFont="1" applyFill="1" applyBorder="1">
      <alignment horizontal="center" vertical="center"/>
    </xf>
    <xf numFmtId="0" fontId="0" fillId="0" borderId="449" xfId="0" applyBorder="1">
      <alignment horizontal="center" vertical="center"/>
    </xf>
    <xf numFmtId="0" fontId="4" fillId="0" borderId="399" xfId="0" applyFont="1" applyBorder="1" applyAlignment="1" applyProtection="1">
      <alignment horizontal="center"/>
      <protection locked="0"/>
    </xf>
    <xf numFmtId="0" fontId="0" fillId="88" borderId="332" xfId="47" applyFont="1" applyBorder="1">
      <alignment horizontal="center" vertical="center"/>
    </xf>
    <xf numFmtId="0" fontId="7" fillId="88" borderId="123" xfId="47" applyBorder="1">
      <alignment horizontal="center" vertical="center"/>
    </xf>
    <xf numFmtId="0" fontId="0" fillId="57" borderId="451" xfId="46" applyFont="1" applyFill="1" applyBorder="1">
      <alignment horizontal="center" vertical="center"/>
    </xf>
    <xf numFmtId="0" fontId="7" fillId="53" borderId="451" xfId="43" applyBorder="1">
      <alignment horizontal="center" vertical="center"/>
    </xf>
    <xf numFmtId="0" fontId="7" fillId="88" borderId="332" xfId="47" applyBorder="1">
      <alignment horizontal="center" vertical="center"/>
    </xf>
    <xf numFmtId="0" fontId="7" fillId="88" borderId="400" xfId="47" applyBorder="1">
      <alignment horizontal="center" vertical="center"/>
    </xf>
    <xf numFmtId="0" fontId="0" fillId="57" borderId="400" xfId="48" applyFont="1" applyFill="1" applyBorder="1">
      <alignment horizontal="center" vertical="center"/>
    </xf>
    <xf numFmtId="0" fontId="7" fillId="53" borderId="404" xfId="47" applyFill="1" applyBorder="1">
      <alignment horizontal="center" vertical="center"/>
    </xf>
    <xf numFmtId="0" fontId="4" fillId="0" borderId="416" xfId="0" applyFont="1" applyBorder="1" applyAlignment="1" applyProtection="1">
      <alignment horizontal="center"/>
      <protection locked="0"/>
    </xf>
    <xf numFmtId="0" fontId="0" fillId="0" borderId="476" xfId="0" applyBorder="1" applyAlignment="1">
      <alignment horizontal="left" vertical="center"/>
    </xf>
    <xf numFmtId="0" fontId="0" fillId="51" borderId="477" xfId="44" applyFont="1" applyFill="1" applyBorder="1">
      <alignment horizontal="center" vertical="center"/>
    </xf>
    <xf numFmtId="0" fontId="0" fillId="51" borderId="476" xfId="44" applyFont="1" applyFill="1" applyBorder="1">
      <alignment horizontal="center" vertical="center"/>
    </xf>
    <xf numFmtId="49" fontId="0" fillId="53" borderId="123" xfId="0" applyNumberFormat="1" applyFill="1" applyBorder="1">
      <alignment horizontal="center" vertical="center"/>
    </xf>
    <xf numFmtId="1" fontId="0" fillId="53" borderId="123" xfId="32" applyNumberFormat="1" applyFont="1" applyFill="1" applyBorder="1" applyAlignment="1">
      <alignment horizontal="center" vertical="center"/>
    </xf>
    <xf numFmtId="49" fontId="0" fillId="53" borderId="118" xfId="0" applyNumberFormat="1" applyFill="1" applyBorder="1">
      <alignment horizontal="center" vertical="center"/>
    </xf>
    <xf numFmtId="0" fontId="6" fillId="0" borderId="306" xfId="0" applyFont="1" applyBorder="1" applyAlignment="1">
      <alignment horizontal="center"/>
    </xf>
    <xf numFmtId="0" fontId="0" fillId="0" borderId="410" xfId="0" applyBorder="1" applyAlignment="1">
      <alignment horizontal="left" vertical="center"/>
    </xf>
    <xf numFmtId="1" fontId="0" fillId="51" borderId="451" xfId="32" applyNumberFormat="1" applyFont="1" applyFill="1" applyBorder="1" applyAlignment="1">
      <alignment horizontal="center" vertical="center"/>
    </xf>
    <xf numFmtId="0" fontId="0" fillId="0" borderId="449" xfId="0" applyBorder="1" applyAlignment="1"/>
    <xf numFmtId="0" fontId="61" fillId="60" borderId="449" xfId="51" applyBorder="1">
      <alignment horizontal="center" vertical="center"/>
    </xf>
    <xf numFmtId="0" fontId="61" fillId="60" borderId="472" xfId="51" applyBorder="1">
      <alignment horizontal="center" vertical="center"/>
    </xf>
    <xf numFmtId="0" fontId="7" fillId="81" borderId="137" xfId="56" applyFill="1" applyBorder="1">
      <alignment horizontal="center" vertical="center"/>
    </xf>
    <xf numFmtId="0" fontId="6" fillId="0" borderId="474" xfId="0" applyFont="1" applyBorder="1" applyAlignment="1"/>
    <xf numFmtId="0" fontId="0" fillId="73" borderId="449" xfId="0" applyFill="1" applyBorder="1" applyAlignment="1"/>
    <xf numFmtId="0" fontId="7" fillId="55" borderId="449" xfId="45" applyBorder="1">
      <alignment horizontal="center" vertical="center"/>
    </xf>
    <xf numFmtId="0" fontId="7" fillId="86" borderId="449" xfId="44" applyBorder="1">
      <alignment horizontal="center" vertical="center"/>
    </xf>
    <xf numFmtId="0" fontId="4" fillId="0" borderId="464" xfId="0" applyFont="1" applyBorder="1" applyAlignment="1">
      <alignment horizontal="center"/>
    </xf>
    <xf numFmtId="0" fontId="0" fillId="0" borderId="444" xfId="0" applyBorder="1">
      <alignment horizontal="center" vertical="center"/>
    </xf>
    <xf numFmtId="0" fontId="4" fillId="0" borderId="444" xfId="0" applyFont="1" applyBorder="1" applyAlignment="1">
      <alignment horizontal="center"/>
    </xf>
    <xf numFmtId="0" fontId="4" fillId="0" borderId="446" xfId="0" applyFont="1" applyBorder="1" applyAlignment="1">
      <alignment horizontal="left"/>
    </xf>
    <xf numFmtId="0" fontId="6" fillId="0" borderId="444" xfId="0" applyFont="1" applyBorder="1" applyAlignment="1">
      <alignment horizontal="center"/>
    </xf>
    <xf numFmtId="0" fontId="0" fillId="0" borderId="446" xfId="0" applyBorder="1">
      <alignment horizontal="center" vertical="center"/>
    </xf>
    <xf numFmtId="0" fontId="0" fillId="0" borderId="444" xfId="0" applyBorder="1" applyAlignment="1">
      <alignment horizontal="center"/>
    </xf>
    <xf numFmtId="0" fontId="4" fillId="0" borderId="446" xfId="0" applyFont="1" applyBorder="1" applyAlignment="1">
      <alignment horizontal="center"/>
    </xf>
    <xf numFmtId="0" fontId="6" fillId="0" borderId="445" xfId="0" applyFont="1" applyBorder="1" applyAlignment="1">
      <alignment horizontal="center"/>
    </xf>
    <xf numFmtId="0" fontId="6" fillId="0" borderId="446" xfId="0" applyFont="1" applyBorder="1" applyAlignment="1">
      <alignment horizontal="center"/>
    </xf>
    <xf numFmtId="0" fontId="0" fillId="0" borderId="446" xfId="0" applyBorder="1" applyAlignment="1">
      <alignment horizontal="center"/>
    </xf>
    <xf numFmtId="0" fontId="7" fillId="0" borderId="445" xfId="0" applyFont="1" applyBorder="1" applyAlignment="1">
      <alignment horizontal="left" vertical="center"/>
    </xf>
    <xf numFmtId="0" fontId="6" fillId="0" borderId="445" xfId="0" applyFont="1" applyBorder="1">
      <alignment horizontal="center" vertical="center"/>
    </xf>
    <xf numFmtId="0" fontId="6" fillId="0" borderId="446" xfId="0" applyFont="1" applyBorder="1">
      <alignment horizontal="center" vertical="center"/>
    </xf>
    <xf numFmtId="0" fontId="0" fillId="0" borderId="466" xfId="0" applyBorder="1" applyAlignment="1">
      <alignment horizontal="left" vertical="center"/>
    </xf>
    <xf numFmtId="0" fontId="6" fillId="0" borderId="465" xfId="0" applyFont="1" applyBorder="1">
      <alignment horizontal="center" vertical="center"/>
    </xf>
    <xf numFmtId="0" fontId="7" fillId="0" borderId="465" xfId="0" applyFont="1" applyBorder="1">
      <alignment horizontal="center" vertical="center"/>
    </xf>
    <xf numFmtId="0" fontId="7" fillId="0" borderId="478" xfId="0" applyFont="1" applyBorder="1">
      <alignment horizontal="center" vertical="center"/>
    </xf>
    <xf numFmtId="0" fontId="7" fillId="0" borderId="451" xfId="0" applyFont="1" applyBorder="1">
      <alignment horizontal="center" vertical="center"/>
    </xf>
    <xf numFmtId="0" fontId="7" fillId="0" borderId="451" xfId="0" applyFont="1" applyBorder="1" applyAlignment="1">
      <alignment horizontal="left" vertical="center"/>
    </xf>
    <xf numFmtId="0" fontId="0" fillId="56" borderId="451" xfId="0" applyFill="1" applyBorder="1">
      <alignment horizontal="center" vertical="center"/>
    </xf>
    <xf numFmtId="0" fontId="51" fillId="56" borderId="451" xfId="46" applyBorder="1">
      <alignment horizontal="center" vertical="center"/>
    </xf>
    <xf numFmtId="0" fontId="0" fillId="0" borderId="444" xfId="0" applyBorder="1" applyAlignment="1"/>
    <xf numFmtId="0" fontId="4" fillId="0" borderId="445" xfId="0" applyFont="1" applyBorder="1" applyAlignment="1">
      <alignment horizontal="left"/>
    </xf>
    <xf numFmtId="0" fontId="0" fillId="0" borderId="445" xfId="0" applyBorder="1" applyAlignment="1"/>
    <xf numFmtId="0" fontId="0" fillId="0" borderId="446" xfId="0" applyBorder="1" applyAlignment="1"/>
    <xf numFmtId="0" fontId="4" fillId="0" borderId="444" xfId="0" applyFont="1" applyBorder="1" applyAlignment="1">
      <alignment horizontal="left"/>
    </xf>
    <xf numFmtId="0" fontId="0" fillId="0" borderId="467" xfId="0" applyBorder="1" applyAlignment="1"/>
    <xf numFmtId="0" fontId="4" fillId="43" borderId="451" xfId="0" applyFont="1" applyFill="1" applyBorder="1" applyAlignment="1">
      <alignment horizontal="center"/>
    </xf>
    <xf numFmtId="0" fontId="0" fillId="51" borderId="451" xfId="0" applyFill="1" applyBorder="1" applyAlignment="1">
      <alignment horizontal="left" vertical="center"/>
    </xf>
    <xf numFmtId="0" fontId="0" fillId="55" borderId="451" xfId="0" applyFill="1" applyBorder="1">
      <alignment horizontal="center" vertical="center"/>
    </xf>
    <xf numFmtId="0" fontId="0" fillId="0" borderId="404" xfId="45" applyFont="1" applyFill="1" applyBorder="1">
      <alignment horizontal="center" vertical="center"/>
    </xf>
    <xf numFmtId="49" fontId="0" fillId="55" borderId="404" xfId="0" applyNumberFormat="1" applyFill="1" applyBorder="1">
      <alignment horizontal="center" vertical="center"/>
    </xf>
    <xf numFmtId="0" fontId="0" fillId="0" borderId="440" xfId="20" applyFont="1" applyFill="1" applyBorder="1" applyAlignment="1">
      <alignment horizontal="center" vertical="center"/>
    </xf>
    <xf numFmtId="0" fontId="0" fillId="55" borderId="404" xfId="51" applyFont="1" applyFill="1" applyBorder="1">
      <alignment horizontal="center" vertical="center"/>
    </xf>
    <xf numFmtId="0" fontId="0" fillId="89" borderId="404" xfId="56" applyFont="1" applyBorder="1">
      <alignment horizontal="center" vertical="center"/>
    </xf>
    <xf numFmtId="0" fontId="7" fillId="85" borderId="400" xfId="56" applyFill="1" applyBorder="1">
      <alignment horizontal="center" vertical="center"/>
    </xf>
    <xf numFmtId="0" fontId="7" fillId="52" borderId="399" xfId="48" applyBorder="1">
      <alignment horizontal="center" vertical="center"/>
    </xf>
    <xf numFmtId="0" fontId="4" fillId="43" borderId="449" xfId="0" applyFont="1" applyFill="1" applyBorder="1" applyAlignment="1">
      <alignment horizontal="center"/>
    </xf>
    <xf numFmtId="0" fontId="0" fillId="0" borderId="449" xfId="0" applyBorder="1" applyAlignment="1">
      <alignment vertical="center"/>
    </xf>
    <xf numFmtId="0" fontId="0" fillId="51" borderId="472" xfId="0" applyFill="1" applyBorder="1">
      <alignment horizontal="center" vertical="center"/>
    </xf>
    <xf numFmtId="49" fontId="0" fillId="53" borderId="163" xfId="0" applyNumberFormat="1" applyFill="1" applyBorder="1">
      <alignment horizontal="center" vertical="center"/>
    </xf>
    <xf numFmtId="0" fontId="0" fillId="51" borderId="451" xfId="0" applyFill="1" applyBorder="1" applyAlignment="1">
      <alignment vertical="center"/>
    </xf>
    <xf numFmtId="0" fontId="7" fillId="51" borderId="404" xfId="0" applyFont="1" applyFill="1" applyBorder="1" applyAlignment="1">
      <alignment vertical="center"/>
    </xf>
    <xf numFmtId="49" fontId="7" fillId="0" borderId="479" xfId="0" applyNumberFormat="1" applyFont="1" applyBorder="1">
      <alignment horizontal="center" vertical="center"/>
    </xf>
    <xf numFmtId="0" fontId="0" fillId="0" borderId="480" xfId="0" applyBorder="1">
      <alignment horizontal="center" vertical="center"/>
    </xf>
    <xf numFmtId="0" fontId="0" fillId="0" borderId="481" xfId="0" applyBorder="1">
      <alignment horizontal="center" vertical="center"/>
    </xf>
    <xf numFmtId="0" fontId="0" fillId="0" borderId="406" xfId="0" applyBorder="1">
      <alignment horizontal="center" vertical="center"/>
    </xf>
    <xf numFmtId="49" fontId="0" fillId="0" borderId="406" xfId="0" applyNumberFormat="1" applyBorder="1">
      <alignment horizontal="center" vertical="center"/>
    </xf>
    <xf numFmtId="49" fontId="0" fillId="0" borderId="479" xfId="0" applyNumberFormat="1" applyBorder="1">
      <alignment horizontal="center" vertical="center"/>
    </xf>
    <xf numFmtId="0" fontId="6" fillId="0" borderId="409" xfId="0" applyFont="1" applyBorder="1" applyAlignment="1">
      <alignment horizontal="center"/>
    </xf>
    <xf numFmtId="0" fontId="7" fillId="53" borderId="163" xfId="43" applyBorder="1">
      <alignment horizontal="center" vertical="center"/>
    </xf>
    <xf numFmtId="0" fontId="51" fillId="56" borderId="404" xfId="46" applyBorder="1">
      <alignment horizontal="center" vertical="center"/>
    </xf>
    <xf numFmtId="0" fontId="0" fillId="51" borderId="441" xfId="44" applyFont="1" applyFill="1" applyBorder="1">
      <alignment horizontal="center" vertical="center"/>
    </xf>
    <xf numFmtId="49" fontId="0" fillId="51" borderId="482" xfId="0" applyNumberFormat="1" applyFill="1" applyBorder="1">
      <alignment horizontal="center" vertical="center"/>
    </xf>
    <xf numFmtId="0" fontId="7" fillId="91" borderId="402" xfId="0" applyFont="1" applyFill="1" applyBorder="1">
      <alignment horizontal="center" vertical="center"/>
    </xf>
    <xf numFmtId="0" fontId="0" fillId="92" borderId="152" xfId="56" applyFont="1" applyFill="1" applyBorder="1" applyAlignment="1">
      <alignment horizontal="left" vertical="center"/>
    </xf>
    <xf numFmtId="0" fontId="0" fillId="94" borderId="152" xfId="56" applyFont="1" applyFill="1" applyBorder="1" applyAlignment="1">
      <alignment horizontal="left" vertical="center"/>
    </xf>
    <xf numFmtId="0" fontId="0" fillId="96" borderId="460" xfId="43" applyFont="1" applyFill="1" applyBorder="1">
      <alignment horizontal="center" vertical="center"/>
    </xf>
    <xf numFmtId="0" fontId="0" fillId="97" borderId="460" xfId="43" applyFont="1" applyFill="1" applyBorder="1">
      <alignment horizontal="center" vertical="center"/>
    </xf>
    <xf numFmtId="0" fontId="0" fillId="97" borderId="220" xfId="48" applyFont="1" applyFill="1" applyBorder="1">
      <alignment horizontal="center" vertical="center"/>
    </xf>
    <xf numFmtId="0" fontId="7" fillId="0" borderId="461" xfId="53" applyBorder="1">
      <alignment horizontal="center" vertical="center"/>
    </xf>
    <xf numFmtId="0" fontId="7" fillId="55" borderId="461" xfId="53" applyFill="1" applyBorder="1">
      <alignment horizontal="center" vertical="center"/>
    </xf>
    <xf numFmtId="1" fontId="36" fillId="17" borderId="461" xfId="34" applyNumberFormat="1" applyBorder="1" applyAlignment="1">
      <alignment horizontal="center" vertical="center"/>
    </xf>
    <xf numFmtId="0" fontId="0" fillId="53" borderId="400" xfId="44" applyFont="1" applyFill="1" applyBorder="1">
      <alignment horizontal="center" vertical="center"/>
    </xf>
    <xf numFmtId="0" fontId="7" fillId="53" borderId="400" xfId="44" applyFill="1" applyBorder="1">
      <alignment horizontal="center" vertical="center"/>
    </xf>
    <xf numFmtId="0" fontId="0" fillId="55" borderId="451" xfId="43" applyFont="1" applyFill="1" applyBorder="1">
      <alignment horizontal="center" vertical="center"/>
    </xf>
    <xf numFmtId="0" fontId="0" fillId="52" borderId="451" xfId="0" applyFill="1" applyBorder="1">
      <alignment horizontal="center" vertical="center"/>
    </xf>
    <xf numFmtId="173" fontId="0" fillId="60" borderId="458" xfId="0" applyNumberFormat="1" applyFill="1" applyBorder="1">
      <alignment horizontal="center" vertical="center"/>
    </xf>
    <xf numFmtId="0" fontId="0" fillId="55" borderId="400" xfId="0" applyFill="1" applyBorder="1">
      <alignment horizontal="center" vertical="center"/>
    </xf>
    <xf numFmtId="0" fontId="0" fillId="55" borderId="400" xfId="43" applyFont="1" applyFill="1" applyBorder="1">
      <alignment horizontal="center" vertical="center"/>
    </xf>
    <xf numFmtId="0" fontId="51" fillId="56" borderId="400" xfId="46" applyBorder="1">
      <alignment horizontal="center" vertical="center"/>
    </xf>
    <xf numFmtId="0" fontId="0" fillId="52" borderId="400" xfId="0" applyFill="1" applyBorder="1">
      <alignment horizontal="center" vertical="center"/>
    </xf>
    <xf numFmtId="0" fontId="0" fillId="52" borderId="400" xfId="43" applyFont="1" applyFill="1" applyBorder="1">
      <alignment horizontal="center" vertical="center"/>
    </xf>
    <xf numFmtId="49" fontId="0" fillId="53" borderId="403" xfId="0" applyNumberFormat="1" applyFill="1" applyBorder="1">
      <alignment horizontal="center" vertical="center"/>
    </xf>
    <xf numFmtId="0" fontId="7" fillId="0" borderId="400" xfId="53" applyBorder="1">
      <alignment horizontal="center" vertical="center"/>
    </xf>
    <xf numFmtId="0" fontId="0" fillId="51" borderId="441" xfId="53" applyFont="1" applyFill="1" applyBorder="1">
      <alignment horizontal="center" vertical="center"/>
    </xf>
    <xf numFmtId="49" fontId="0" fillId="52" borderId="404" xfId="0" applyNumberFormat="1" applyFill="1" applyBorder="1">
      <alignment horizontal="center" vertical="center"/>
    </xf>
    <xf numFmtId="0" fontId="0" fillId="54" borderId="404" xfId="48" applyFont="1" applyFill="1" applyBorder="1">
      <alignment horizontal="center" vertical="center"/>
    </xf>
    <xf numFmtId="0" fontId="0" fillId="55" borderId="400" xfId="44" applyFont="1" applyFill="1" applyBorder="1">
      <alignment horizontal="center" vertical="center"/>
    </xf>
    <xf numFmtId="49" fontId="0" fillId="55" borderId="400" xfId="0" applyNumberFormat="1" applyFill="1" applyBorder="1">
      <alignment horizontal="center" vertical="center"/>
    </xf>
    <xf numFmtId="49" fontId="0" fillId="55" borderId="441" xfId="0" applyNumberFormat="1" applyFill="1" applyBorder="1">
      <alignment horizontal="center" vertical="center"/>
    </xf>
    <xf numFmtId="0" fontId="7" fillId="52" borderId="451" xfId="48" applyBorder="1">
      <alignment horizontal="center" vertical="center"/>
    </xf>
    <xf numFmtId="0" fontId="0" fillId="0" borderId="404" xfId="43" applyFont="1" applyFill="1" applyBorder="1">
      <alignment horizontal="center" vertical="center"/>
    </xf>
    <xf numFmtId="0" fontId="0" fillId="51" borderId="462" xfId="48" applyFont="1" applyFill="1" applyBorder="1">
      <alignment horizontal="center" vertical="center"/>
    </xf>
    <xf numFmtId="173" fontId="0" fillId="60" borderId="137" xfId="0" applyNumberFormat="1" applyFill="1" applyBorder="1">
      <alignment horizontal="center" vertical="center"/>
    </xf>
    <xf numFmtId="0" fontId="0" fillId="53" borderId="400" xfId="48" applyFont="1" applyFill="1" applyBorder="1">
      <alignment horizontal="center" vertical="center"/>
    </xf>
    <xf numFmtId="0" fontId="7" fillId="55" borderId="404" xfId="43" applyFill="1" applyBorder="1">
      <alignment horizontal="center" vertical="center"/>
    </xf>
    <xf numFmtId="49" fontId="0" fillId="55" borderId="142" xfId="0" applyNumberFormat="1" applyFill="1" applyBorder="1">
      <alignment horizontal="center" vertical="center"/>
    </xf>
    <xf numFmtId="0" fontId="0" fillId="51" borderId="409" xfId="0" applyFill="1" applyBorder="1" applyAlignment="1">
      <alignment horizontal="left" vertical="center"/>
    </xf>
    <xf numFmtId="0" fontId="7" fillId="54" borderId="404" xfId="50" applyBorder="1">
      <alignment horizontal="center" vertical="center"/>
    </xf>
    <xf numFmtId="0" fontId="7" fillId="54" borderId="403" xfId="50" applyBorder="1">
      <alignment horizontal="center" vertical="center"/>
    </xf>
    <xf numFmtId="0" fontId="0" fillId="55" borderId="404" xfId="43" applyFont="1" applyFill="1" applyBorder="1">
      <alignment horizontal="center" vertical="center"/>
    </xf>
    <xf numFmtId="0" fontId="0" fillId="52" borderId="403" xfId="0" applyFill="1" applyBorder="1">
      <alignment horizontal="center" vertical="center"/>
    </xf>
    <xf numFmtId="0" fontId="0" fillId="55" borderId="451" xfId="44" applyFont="1" applyFill="1" applyBorder="1">
      <alignment horizontal="center" vertical="center"/>
    </xf>
    <xf numFmtId="49" fontId="0" fillId="52" borderId="449" xfId="0" applyNumberFormat="1" applyFill="1" applyBorder="1">
      <alignment horizontal="center" vertical="center"/>
    </xf>
    <xf numFmtId="1" fontId="0" fillId="52" borderId="449" xfId="32" applyNumberFormat="1" applyFont="1" applyFill="1" applyBorder="1" applyAlignment="1">
      <alignment horizontal="center" vertical="center"/>
    </xf>
    <xf numFmtId="0" fontId="0" fillId="52" borderId="449" xfId="0" applyFill="1" applyBorder="1">
      <alignment horizontal="center" vertical="center"/>
    </xf>
    <xf numFmtId="49" fontId="0" fillId="70" borderId="449" xfId="0" applyNumberFormat="1" applyFill="1" applyBorder="1">
      <alignment horizontal="center" vertical="center"/>
    </xf>
    <xf numFmtId="1" fontId="0" fillId="92" borderId="449" xfId="32" applyNumberFormat="1" applyFont="1" applyFill="1" applyBorder="1" applyAlignment="1">
      <alignment horizontal="center" vertical="center"/>
    </xf>
    <xf numFmtId="0" fontId="7" fillId="53" borderId="449" xfId="43" applyBorder="1">
      <alignment horizontal="center" vertical="center"/>
    </xf>
    <xf numFmtId="0" fontId="0" fillId="56" borderId="404" xfId="48" applyFont="1" applyFill="1" applyBorder="1">
      <alignment horizontal="center" vertical="center"/>
    </xf>
    <xf numFmtId="0" fontId="7" fillId="53" borderId="404" xfId="48" applyFill="1" applyBorder="1">
      <alignment horizontal="center" vertical="center"/>
    </xf>
    <xf numFmtId="0" fontId="7" fillId="53" borderId="404" xfId="0" applyFont="1" applyFill="1" applyBorder="1">
      <alignment horizontal="center" vertical="center"/>
    </xf>
    <xf numFmtId="0" fontId="0" fillId="52" borderId="403" xfId="53" applyFont="1" applyFill="1" applyBorder="1">
      <alignment horizontal="center" vertical="center"/>
    </xf>
    <xf numFmtId="0" fontId="0" fillId="55" borderId="403" xfId="53" applyFont="1" applyFill="1" applyBorder="1">
      <alignment horizontal="center" vertical="center"/>
    </xf>
    <xf numFmtId="49" fontId="0" fillId="0" borderId="453" xfId="0" applyNumberFormat="1" applyBorder="1">
      <alignment horizontal="center" vertical="center"/>
    </xf>
    <xf numFmtId="0" fontId="7" fillId="0" borderId="453" xfId="47" applyFill="1" applyBorder="1">
      <alignment horizontal="center" vertical="center"/>
    </xf>
    <xf numFmtId="0" fontId="7" fillId="0" borderId="453" xfId="53" applyBorder="1">
      <alignment horizontal="center" vertical="center"/>
    </xf>
    <xf numFmtId="49" fontId="0" fillId="0" borderId="142" xfId="0" applyNumberFormat="1" applyBorder="1">
      <alignment horizontal="center" vertical="center"/>
    </xf>
    <xf numFmtId="0" fontId="0" fillId="0" borderId="453" xfId="44" applyFont="1" applyFill="1" applyBorder="1">
      <alignment horizontal="center" vertical="center"/>
    </xf>
    <xf numFmtId="0" fontId="0" fillId="0" borderId="406" xfId="0" applyBorder="1" applyAlignment="1">
      <alignment horizontal="left" vertical="center"/>
    </xf>
    <xf numFmtId="0" fontId="0" fillId="0" borderId="123" xfId="53" applyFont="1" applyBorder="1">
      <alignment horizontal="center" vertical="center"/>
    </xf>
    <xf numFmtId="0" fontId="0" fillId="51" borderId="453" xfId="44" applyFont="1" applyFill="1" applyBorder="1">
      <alignment horizontal="center" vertical="center"/>
    </xf>
    <xf numFmtId="0" fontId="4" fillId="0" borderId="120" xfId="0" applyFont="1" applyBorder="1" applyAlignment="1" applyProtection="1">
      <alignment horizontal="center"/>
      <protection locked="0"/>
    </xf>
    <xf numFmtId="0" fontId="0" fillId="0" borderId="483" xfId="0" applyBorder="1" applyAlignment="1">
      <alignment horizontal="left" vertical="center"/>
    </xf>
    <xf numFmtId="0" fontId="7" fillId="51" borderId="404" xfId="43" applyFill="1" applyBorder="1">
      <alignment horizontal="center" vertical="center"/>
    </xf>
    <xf numFmtId="0" fontId="7" fillId="88" borderId="118" xfId="47" applyBorder="1">
      <alignment horizontal="center" vertical="center"/>
    </xf>
    <xf numFmtId="0" fontId="0" fillId="0" borderId="484" xfId="0" applyBorder="1" applyAlignment="1">
      <alignment horizontal="left" vertical="center"/>
    </xf>
    <xf numFmtId="0" fontId="0" fillId="0" borderId="474" xfId="0" applyBorder="1" applyAlignment="1"/>
    <xf numFmtId="0" fontId="7" fillId="89" borderId="449" xfId="56" applyBorder="1">
      <alignment horizontal="center" vertical="center"/>
    </xf>
    <xf numFmtId="0" fontId="0" fillId="55" borderId="449" xfId="45" applyFont="1" applyBorder="1">
      <alignment horizontal="center" vertical="center"/>
    </xf>
    <xf numFmtId="0" fontId="7" fillId="52" borderId="462" xfId="48" applyBorder="1">
      <alignment horizontal="center" vertical="center"/>
    </xf>
    <xf numFmtId="0" fontId="7" fillId="0" borderId="451" xfId="53" applyBorder="1">
      <alignment horizontal="center" vertical="center"/>
    </xf>
    <xf numFmtId="49" fontId="0" fillId="70" borderId="451" xfId="0" applyNumberFormat="1" applyFill="1" applyBorder="1">
      <alignment horizontal="center" vertical="center"/>
    </xf>
    <xf numFmtId="0" fontId="7" fillId="86" borderId="462" xfId="44" applyBorder="1">
      <alignment horizontal="center" vertical="center"/>
    </xf>
    <xf numFmtId="49" fontId="0" fillId="70" borderId="404" xfId="0" applyNumberFormat="1" applyFill="1" applyBorder="1">
      <alignment horizontal="center" vertical="center"/>
    </xf>
    <xf numFmtId="0" fontId="0" fillId="70" borderId="404" xfId="48" applyFont="1" applyFill="1" applyBorder="1">
      <alignment horizontal="center" vertical="center"/>
    </xf>
    <xf numFmtId="0" fontId="0" fillId="70" borderId="403" xfId="48" applyFont="1" applyFill="1" applyBorder="1">
      <alignment horizontal="center" vertical="center"/>
    </xf>
    <xf numFmtId="0" fontId="7" fillId="0" borderId="440" xfId="53" applyBorder="1">
      <alignment horizontal="center" vertical="center"/>
    </xf>
    <xf numFmtId="0" fontId="0" fillId="70" borderId="404" xfId="51" applyFont="1" applyFill="1" applyBorder="1">
      <alignment horizontal="center" vertical="center"/>
    </xf>
    <xf numFmtId="0" fontId="0" fillId="52" borderId="404" xfId="51" applyFont="1" applyFill="1" applyBorder="1">
      <alignment horizontal="center" vertical="center"/>
    </xf>
    <xf numFmtId="0" fontId="0" fillId="52" borderId="403" xfId="51" applyFont="1" applyFill="1" applyBorder="1">
      <alignment horizontal="center" vertical="center"/>
    </xf>
    <xf numFmtId="0" fontId="0" fillId="52" borderId="404" xfId="47" applyFont="1" applyFill="1" applyBorder="1">
      <alignment horizontal="center" vertical="center"/>
    </xf>
    <xf numFmtId="0" fontId="0" fillId="86" borderId="400" xfId="47" applyFont="1" applyFill="1" applyBorder="1">
      <alignment horizontal="center" vertical="center"/>
    </xf>
    <xf numFmtId="0" fontId="0" fillId="86" borderId="400" xfId="0" applyFill="1" applyBorder="1">
      <alignment horizontal="center" vertical="center"/>
    </xf>
    <xf numFmtId="0" fontId="7" fillId="86" borderId="441" xfId="44" applyBorder="1">
      <alignment horizontal="center" vertical="center"/>
    </xf>
    <xf numFmtId="0" fontId="0" fillId="51" borderId="476" xfId="48" applyFont="1" applyFill="1" applyBorder="1">
      <alignment horizontal="center" vertical="center"/>
    </xf>
    <xf numFmtId="0" fontId="0" fillId="51" borderId="458" xfId="44" applyFont="1" applyFill="1" applyBorder="1">
      <alignment horizontal="center" vertical="center"/>
    </xf>
    <xf numFmtId="0" fontId="4" fillId="43" borderId="458" xfId="0" applyFont="1" applyFill="1" applyBorder="1" applyAlignment="1">
      <alignment horizontal="center"/>
    </xf>
    <xf numFmtId="0" fontId="0" fillId="51" borderId="456" xfId="0" applyFill="1" applyBorder="1">
      <alignment horizontal="center" vertical="center"/>
    </xf>
    <xf numFmtId="0" fontId="7" fillId="58" borderId="458" xfId="33" applyBorder="1">
      <alignment horizontal="center" vertical="center"/>
    </xf>
    <xf numFmtId="0" fontId="0" fillId="51" borderId="458" xfId="46" applyFont="1" applyFill="1" applyBorder="1">
      <alignment horizontal="center" vertical="center"/>
    </xf>
    <xf numFmtId="0" fontId="7" fillId="0" borderId="476" xfId="53" applyBorder="1">
      <alignment horizontal="center" vertical="center"/>
    </xf>
    <xf numFmtId="0" fontId="0" fillId="55" borderId="458" xfId="44" applyFont="1" applyFill="1" applyBorder="1">
      <alignment horizontal="center" vertical="center"/>
    </xf>
    <xf numFmtId="0" fontId="4" fillId="43" borderId="476" xfId="0" applyFont="1" applyFill="1" applyBorder="1" applyAlignment="1">
      <alignment horizontal="center"/>
    </xf>
    <xf numFmtId="0" fontId="7" fillId="53" borderId="476" xfId="43" applyBorder="1">
      <alignment horizontal="center" vertical="center"/>
    </xf>
    <xf numFmtId="0" fontId="0" fillId="53" borderId="458" xfId="0" applyFill="1" applyBorder="1">
      <alignment horizontal="center" vertical="center"/>
    </xf>
    <xf numFmtId="49" fontId="0" fillId="53" borderId="458" xfId="0" applyNumberFormat="1" applyFill="1" applyBorder="1">
      <alignment horizontal="center" vertical="center"/>
    </xf>
    <xf numFmtId="0" fontId="0" fillId="53" borderId="476" xfId="0" applyFill="1" applyBorder="1">
      <alignment horizontal="center" vertical="center"/>
    </xf>
    <xf numFmtId="49" fontId="0" fillId="53" borderId="417" xfId="0" applyNumberFormat="1" applyFill="1" applyBorder="1">
      <alignment horizontal="center" vertical="center"/>
    </xf>
    <xf numFmtId="0" fontId="7" fillId="0" borderId="459" xfId="53" applyBorder="1">
      <alignment horizontal="center" vertical="center"/>
    </xf>
    <xf numFmtId="0" fontId="7" fillId="70" borderId="459" xfId="53" applyFill="1" applyBorder="1">
      <alignment horizontal="center" vertical="center"/>
    </xf>
    <xf numFmtId="0" fontId="4" fillId="0" borderId="485" xfId="0" applyFont="1" applyBorder="1" applyAlignment="1">
      <alignment horizontal="center"/>
    </xf>
    <xf numFmtId="0" fontId="0" fillId="0" borderId="486" xfId="0" applyBorder="1">
      <alignment horizontal="center" vertical="center"/>
    </xf>
    <xf numFmtId="0" fontId="4" fillId="0" borderId="486" xfId="0" applyFont="1" applyBorder="1" applyAlignment="1">
      <alignment horizontal="left"/>
    </xf>
    <xf numFmtId="0" fontId="0" fillId="0" borderId="443" xfId="0" applyBorder="1">
      <alignment horizontal="center" vertical="center"/>
    </xf>
    <xf numFmtId="0" fontId="0" fillId="0" borderId="487" xfId="0" applyBorder="1">
      <alignment horizontal="center" vertical="center"/>
    </xf>
    <xf numFmtId="0" fontId="9" fillId="0" borderId="419" xfId="0" applyFont="1" applyBorder="1">
      <alignment horizontal="center" vertical="center"/>
    </xf>
    <xf numFmtId="0" fontId="9" fillId="0" borderId="488" xfId="0" applyFont="1" applyBorder="1">
      <alignment horizontal="center" vertical="center"/>
    </xf>
    <xf numFmtId="49" fontId="0" fillId="82" borderId="137" xfId="0" applyNumberFormat="1" applyFill="1" applyBorder="1">
      <alignment horizontal="center" vertical="center"/>
    </xf>
    <xf numFmtId="49" fontId="0" fillId="70" borderId="137" xfId="0" applyNumberFormat="1" applyFill="1" applyBorder="1">
      <alignment horizontal="center" vertical="center"/>
    </xf>
    <xf numFmtId="49" fontId="0" fillId="56" borderId="137" xfId="0" applyNumberFormat="1" applyFill="1" applyBorder="1">
      <alignment horizontal="center" vertical="center"/>
    </xf>
    <xf numFmtId="0" fontId="4" fillId="0" borderId="489" xfId="0" applyFont="1" applyBorder="1" applyAlignment="1">
      <alignment horizontal="left" vertical="center"/>
    </xf>
    <xf numFmtId="0" fontId="0" fillId="0" borderId="490" xfId="0" applyBorder="1" applyAlignment="1">
      <alignment horizontal="left" vertical="center"/>
    </xf>
    <xf numFmtId="0" fontId="0" fillId="0" borderId="491" xfId="0" applyBorder="1" applyAlignment="1">
      <alignment horizontal="left" vertical="center"/>
    </xf>
    <xf numFmtId="0" fontId="4" fillId="0" borderId="490" xfId="0" applyFont="1" applyBorder="1" applyAlignment="1">
      <alignment horizontal="left" vertical="center"/>
    </xf>
    <xf numFmtId="0" fontId="4" fillId="0" borderId="492" xfId="0" applyFont="1" applyBorder="1" applyAlignment="1" applyProtection="1">
      <alignment horizontal="center"/>
      <protection locked="0"/>
    </xf>
    <xf numFmtId="0" fontId="0" fillId="0" borderId="492" xfId="0" applyBorder="1" applyAlignment="1">
      <alignment horizontal="left"/>
    </xf>
    <xf numFmtId="0" fontId="7" fillId="86" borderId="403" xfId="44" applyBorder="1">
      <alignment horizontal="center" vertical="center"/>
    </xf>
    <xf numFmtId="0" fontId="30" fillId="17" borderId="408" xfId="21" applyBorder="1" applyAlignment="1">
      <alignment horizontal="center" vertical="center"/>
    </xf>
    <xf numFmtId="0" fontId="7" fillId="0" borderId="403" xfId="53" applyBorder="1">
      <alignment horizontal="center" vertical="center"/>
    </xf>
    <xf numFmtId="0" fontId="4" fillId="0" borderId="493" xfId="0" applyFont="1" applyBorder="1" applyAlignment="1">
      <alignment horizontal="center"/>
    </xf>
    <xf numFmtId="0" fontId="0" fillId="0" borderId="494" xfId="0" applyBorder="1" applyAlignment="1" applyProtection="1">
      <alignment horizontal="center"/>
      <protection locked="0"/>
    </xf>
    <xf numFmtId="0" fontId="0" fillId="0" borderId="494" xfId="0" applyBorder="1" applyAlignment="1">
      <alignment vertical="center"/>
    </xf>
    <xf numFmtId="49" fontId="0" fillId="54" borderId="400" xfId="0" applyNumberFormat="1" applyFill="1" applyBorder="1">
      <alignment horizontal="center" vertical="center"/>
    </xf>
    <xf numFmtId="0" fontId="0" fillId="0" borderId="492" xfId="0" applyBorder="1" applyAlignment="1" applyProtection="1">
      <alignment horizontal="center"/>
      <protection locked="0"/>
    </xf>
    <xf numFmtId="0" fontId="6" fillId="80" borderId="399" xfId="0" applyFont="1" applyFill="1" applyBorder="1" applyAlignment="1">
      <alignment horizontal="left"/>
    </xf>
    <xf numFmtId="0" fontId="7" fillId="91" borderId="429" xfId="0" applyFont="1" applyFill="1" applyBorder="1">
      <alignment horizontal="center" vertical="center"/>
    </xf>
    <xf numFmtId="0" fontId="4" fillId="0" borderId="270" xfId="0" applyFont="1" applyBorder="1" applyAlignment="1">
      <alignment horizontal="left" vertical="center"/>
    </xf>
    <xf numFmtId="0" fontId="4" fillId="0" borderId="443" xfId="0" applyFont="1" applyBorder="1" applyAlignment="1">
      <alignment horizontal="left" vertical="center"/>
    </xf>
    <xf numFmtId="0" fontId="59" fillId="0" borderId="333" xfId="0" applyFont="1" applyBorder="1" applyAlignment="1">
      <alignment horizontal="left" vertical="center"/>
    </xf>
    <xf numFmtId="0" fontId="13" fillId="0" borderId="443" xfId="0" applyFont="1" applyBorder="1">
      <alignment horizontal="center" vertical="center"/>
    </xf>
    <xf numFmtId="0" fontId="4" fillId="0" borderId="443" xfId="0" applyFont="1" applyBorder="1">
      <alignment horizontal="center" vertical="center"/>
    </xf>
    <xf numFmtId="0" fontId="0" fillId="0" borderId="443" xfId="0" applyBorder="1" applyAlignment="1">
      <alignment horizontal="left" vertical="center"/>
    </xf>
    <xf numFmtId="0" fontId="0" fillId="0" borderId="332" xfId="0" applyBorder="1" applyAlignment="1">
      <alignment horizontal="left" vertical="center"/>
    </xf>
    <xf numFmtId="0" fontId="0" fillId="0" borderId="495" xfId="0" applyBorder="1" applyAlignment="1" applyProtection="1">
      <alignment horizontal="center"/>
      <protection locked="0"/>
    </xf>
    <xf numFmtId="0" fontId="6" fillId="51" borderId="495" xfId="0" applyFont="1" applyFill="1" applyBorder="1">
      <alignment horizontal="center" vertical="center"/>
    </xf>
    <xf numFmtId="0" fontId="0" fillId="70" borderId="495" xfId="0" applyFill="1" applyBorder="1">
      <alignment horizontal="center" vertical="center"/>
    </xf>
    <xf numFmtId="0" fontId="0" fillId="51" borderId="495" xfId="0" applyFill="1" applyBorder="1">
      <alignment horizontal="center" vertical="center"/>
    </xf>
    <xf numFmtId="0" fontId="0" fillId="51" borderId="494" xfId="0" applyFill="1" applyBorder="1" applyProtection="1">
      <alignment horizontal="center" vertical="center"/>
      <protection locked="0"/>
    </xf>
    <xf numFmtId="0" fontId="0" fillId="0" borderId="496" xfId="0" applyBorder="1" applyAlignment="1">
      <alignment horizontal="left" vertical="center"/>
    </xf>
    <xf numFmtId="0" fontId="0" fillId="51" borderId="496" xfId="32" applyFont="1" applyFill="1" applyBorder="1" applyAlignment="1">
      <alignment horizontal="center" vertical="center"/>
    </xf>
    <xf numFmtId="0" fontId="0" fillId="51" borderId="496" xfId="43" applyFont="1" applyFill="1" applyBorder="1">
      <alignment horizontal="center" vertical="center"/>
    </xf>
    <xf numFmtId="0" fontId="0" fillId="51" borderId="496" xfId="0" applyFill="1" applyBorder="1">
      <alignment horizontal="center" vertical="center"/>
    </xf>
    <xf numFmtId="0" fontId="0" fillId="51" borderId="496" xfId="44" applyFont="1" applyFill="1" applyBorder="1">
      <alignment horizontal="center" vertical="center"/>
    </xf>
    <xf numFmtId="0" fontId="0" fillId="43" borderId="494" xfId="0" applyFill="1" applyBorder="1" applyAlignment="1" applyProtection="1">
      <alignment horizontal="center"/>
      <protection locked="0"/>
    </xf>
    <xf numFmtId="1" fontId="0" fillId="53" borderId="123" xfId="0" applyNumberFormat="1" applyFill="1" applyBorder="1">
      <alignment horizontal="center" vertical="center"/>
    </xf>
    <xf numFmtId="0" fontId="7" fillId="0" borderId="123" xfId="43" applyFill="1" applyBorder="1">
      <alignment horizontal="center" vertical="center"/>
    </xf>
    <xf numFmtId="0" fontId="0" fillId="43" borderId="410" xfId="0" applyFill="1" applyBorder="1" applyAlignment="1" applyProtection="1">
      <alignment horizontal="center"/>
      <protection locked="0"/>
    </xf>
    <xf numFmtId="0" fontId="0" fillId="51" borderId="410" xfId="20" applyFont="1" applyFill="1" applyBorder="1" applyAlignment="1">
      <alignment horizontal="center" vertical="center"/>
    </xf>
    <xf numFmtId="0" fontId="0" fillId="51" borderId="410" xfId="46" applyFont="1" applyFill="1" applyBorder="1">
      <alignment horizontal="center" vertical="center"/>
    </xf>
    <xf numFmtId="0" fontId="0" fillId="51" borderId="410" xfId="43" applyFont="1" applyFill="1" applyBorder="1">
      <alignment horizontal="center" vertical="center"/>
    </xf>
    <xf numFmtId="1" fontId="0" fillId="51" borderId="410" xfId="20" applyNumberFormat="1" applyFont="1" applyFill="1" applyBorder="1" applyAlignment="1">
      <alignment horizontal="center" vertical="center"/>
    </xf>
    <xf numFmtId="0" fontId="7" fillId="52" borderId="410" xfId="48" applyBorder="1">
      <alignment horizontal="center" vertical="center"/>
    </xf>
    <xf numFmtId="0" fontId="0" fillId="51" borderId="410" xfId="0" applyFill="1" applyBorder="1">
      <alignment horizontal="center" vertical="center"/>
    </xf>
    <xf numFmtId="0" fontId="7" fillId="55" borderId="410" xfId="45" applyBorder="1">
      <alignment horizontal="center" vertical="center"/>
    </xf>
    <xf numFmtId="1" fontId="0" fillId="51" borderId="410" xfId="0" applyNumberFormat="1" applyFill="1" applyBorder="1">
      <alignment horizontal="center" vertical="center"/>
    </xf>
    <xf numFmtId="1" fontId="0" fillId="58" borderId="410" xfId="0" applyNumberFormat="1" applyFill="1" applyBorder="1">
      <alignment horizontal="center" vertical="center"/>
    </xf>
    <xf numFmtId="0" fontId="0" fillId="0" borderId="494" xfId="0" applyBorder="1" applyAlignment="1">
      <alignment horizontal="left" vertical="center"/>
    </xf>
    <xf numFmtId="0" fontId="0" fillId="51" borderId="494" xfId="32" applyFont="1" applyFill="1" applyBorder="1" applyAlignment="1">
      <alignment horizontal="center" vertical="center"/>
    </xf>
    <xf numFmtId="0" fontId="0" fillId="51" borderId="494" xfId="43" applyFont="1" applyFill="1" applyBorder="1">
      <alignment horizontal="center" vertical="center"/>
    </xf>
    <xf numFmtId="0" fontId="0" fillId="51" borderId="494" xfId="0" applyFill="1" applyBorder="1">
      <alignment horizontal="center" vertical="center"/>
    </xf>
    <xf numFmtId="0" fontId="0" fillId="51" borderId="494" xfId="44" applyFont="1" applyFill="1" applyBorder="1">
      <alignment horizontal="center" vertical="center"/>
    </xf>
    <xf numFmtId="49" fontId="0" fillId="51" borderId="494" xfId="0" applyNumberFormat="1" applyFill="1" applyBorder="1">
      <alignment horizontal="center" vertical="center"/>
    </xf>
    <xf numFmtId="0" fontId="0" fillId="55" borderId="494" xfId="0" applyFill="1" applyBorder="1">
      <alignment horizontal="center" vertical="center"/>
    </xf>
    <xf numFmtId="0" fontId="0" fillId="55" borderId="494" xfId="43" applyFont="1" applyFill="1" applyBorder="1">
      <alignment horizontal="center" vertical="center"/>
    </xf>
    <xf numFmtId="1" fontId="0" fillId="51" borderId="306" xfId="0" applyNumberFormat="1" applyFill="1" applyBorder="1">
      <alignment horizontal="center" vertical="center"/>
    </xf>
    <xf numFmtId="0" fontId="4" fillId="0" borderId="497" xfId="0" applyFont="1" applyBorder="1" applyAlignment="1">
      <alignment horizontal="left" vertical="center"/>
    </xf>
    <xf numFmtId="0" fontId="0" fillId="0" borderId="498" xfId="0" applyBorder="1" applyAlignment="1">
      <alignment horizontal="left"/>
    </xf>
    <xf numFmtId="0" fontId="4" fillId="0" borderId="489" xfId="0" applyFont="1" applyBorder="1" applyAlignment="1">
      <alignment vertical="center"/>
    </xf>
    <xf numFmtId="0" fontId="0" fillId="0" borderId="498" xfId="0" applyBorder="1">
      <alignment horizontal="center" vertical="center"/>
    </xf>
    <xf numFmtId="0" fontId="4" fillId="0" borderId="499" xfId="0" applyFont="1" applyBorder="1" applyAlignment="1">
      <alignment horizontal="left" vertical="center"/>
    </xf>
    <xf numFmtId="0" fontId="4" fillId="0" borderId="499" xfId="0" applyFont="1" applyBorder="1" applyAlignment="1">
      <alignment horizontal="left"/>
    </xf>
    <xf numFmtId="0" fontId="4" fillId="0" borderId="490" xfId="0" applyFont="1" applyBorder="1" applyAlignment="1">
      <alignment vertical="center"/>
    </xf>
    <xf numFmtId="0" fontId="0" fillId="0" borderId="490" xfId="0" applyBorder="1">
      <alignment horizontal="center" vertical="center"/>
    </xf>
    <xf numFmtId="0" fontId="0" fillId="0" borderId="500" xfId="0" applyBorder="1">
      <alignment horizontal="center" vertical="center"/>
    </xf>
    <xf numFmtId="0" fontId="0" fillId="24" borderId="493" xfId="0" applyFill="1" applyBorder="1" applyAlignment="1" applyProtection="1">
      <alignment horizontal="center"/>
      <protection locked="0"/>
    </xf>
    <xf numFmtId="0" fontId="7" fillId="89" borderId="494" xfId="56" applyBorder="1">
      <alignment horizontal="center" vertical="center"/>
    </xf>
    <xf numFmtId="0" fontId="7" fillId="75" borderId="494" xfId="56" applyFill="1" applyBorder="1">
      <alignment horizontal="center" vertical="center"/>
    </xf>
    <xf numFmtId="49" fontId="0" fillId="55" borderId="494" xfId="0" applyNumberFormat="1" applyFill="1" applyBorder="1">
      <alignment horizontal="center" vertical="center"/>
    </xf>
    <xf numFmtId="0" fontId="7" fillId="55" borderId="494" xfId="45" applyBorder="1">
      <alignment horizontal="center" vertical="center"/>
    </xf>
    <xf numFmtId="49" fontId="0" fillId="51" borderId="501" xfId="0" applyNumberFormat="1" applyFill="1" applyBorder="1">
      <alignment horizontal="center" vertical="center"/>
    </xf>
    <xf numFmtId="0" fontId="0" fillId="51" borderId="494" xfId="48" applyFont="1" applyFill="1" applyBorder="1">
      <alignment horizontal="center" vertical="center"/>
    </xf>
    <xf numFmtId="0" fontId="0" fillId="53" borderId="494" xfId="44" applyFont="1" applyFill="1" applyBorder="1">
      <alignment horizontal="center" vertical="center"/>
    </xf>
    <xf numFmtId="49" fontId="0" fillId="53" borderId="494" xfId="0" applyNumberFormat="1" applyFill="1" applyBorder="1">
      <alignment horizontal="center" vertical="center"/>
    </xf>
    <xf numFmtId="0" fontId="7" fillId="89" borderId="501" xfId="56" applyBorder="1">
      <alignment horizontal="center" vertical="center"/>
    </xf>
    <xf numFmtId="0" fontId="0" fillId="53" borderId="404" xfId="46" applyFont="1" applyFill="1" applyBorder="1">
      <alignment horizontal="center" vertical="center"/>
    </xf>
    <xf numFmtId="0" fontId="7" fillId="51" borderId="403" xfId="43" applyFill="1" applyBorder="1">
      <alignment horizontal="center" vertical="center"/>
    </xf>
    <xf numFmtId="0" fontId="0" fillId="51" borderId="494" xfId="0" applyFill="1" applyBorder="1" applyAlignment="1">
      <alignment horizontal="left" vertical="center" wrapText="1"/>
    </xf>
    <xf numFmtId="0" fontId="7" fillId="54" borderId="118" xfId="50" applyBorder="1">
      <alignment horizontal="center" vertical="center"/>
    </xf>
    <xf numFmtId="0" fontId="7" fillId="52" borderId="494" xfId="48" applyBorder="1">
      <alignment horizontal="center" vertical="center"/>
    </xf>
    <xf numFmtId="0" fontId="7" fillId="86" borderId="494" xfId="44" applyBorder="1">
      <alignment horizontal="center" vertical="center"/>
    </xf>
    <xf numFmtId="0" fontId="7" fillId="95" borderId="404" xfId="56" applyFill="1" applyBorder="1">
      <alignment horizontal="center" vertical="center"/>
    </xf>
    <xf numFmtId="0" fontId="0" fillId="51" borderId="494" xfId="46" applyFont="1" applyFill="1" applyBorder="1">
      <alignment horizontal="center" vertical="center"/>
    </xf>
    <xf numFmtId="0" fontId="7" fillId="53" borderId="494" xfId="43" applyBorder="1">
      <alignment horizontal="center" vertical="center"/>
    </xf>
    <xf numFmtId="0" fontId="7" fillId="53" borderId="494" xfId="46" applyFont="1" applyFill="1" applyBorder="1">
      <alignment horizontal="center" vertical="center"/>
    </xf>
    <xf numFmtId="0" fontId="0" fillId="0" borderId="463" xfId="0" applyBorder="1" applyAlignment="1">
      <alignment horizontal="left"/>
    </xf>
    <xf numFmtId="0" fontId="0" fillId="75" borderId="404" xfId="48" applyFont="1" applyFill="1" applyBorder="1">
      <alignment horizontal="center" vertical="center"/>
    </xf>
    <xf numFmtId="49" fontId="0" fillId="51" borderId="492" xfId="0" applyNumberFormat="1" applyFill="1" applyBorder="1">
      <alignment horizontal="center" vertical="center"/>
    </xf>
    <xf numFmtId="0" fontId="0" fillId="51" borderId="492" xfId="0" applyFill="1" applyBorder="1">
      <alignment horizontal="center" vertical="center"/>
    </xf>
    <xf numFmtId="49" fontId="0" fillId="51" borderId="409" xfId="0" applyNumberFormat="1" applyFill="1" applyBorder="1">
      <alignment horizontal="center" vertical="center"/>
    </xf>
    <xf numFmtId="0" fontId="7" fillId="53" borderId="410" xfId="43" applyBorder="1">
      <alignment horizontal="center" vertical="center"/>
    </xf>
    <xf numFmtId="0" fontId="0" fillId="53" borderId="473" xfId="48" applyFont="1" applyFill="1" applyBorder="1">
      <alignment horizontal="center" vertical="center"/>
    </xf>
    <xf numFmtId="0" fontId="0" fillId="88" borderId="404" xfId="0" applyFill="1" applyBorder="1">
      <alignment horizontal="center" vertical="center"/>
    </xf>
    <xf numFmtId="0" fontId="0" fillId="88" borderId="404" xfId="20" applyFont="1" applyFill="1" applyBorder="1" applyAlignment="1">
      <alignment horizontal="center" vertical="center"/>
    </xf>
    <xf numFmtId="1" fontId="72" fillId="51" borderId="404" xfId="42" applyNumberFormat="1" applyFont="1" applyFill="1" applyBorder="1" applyAlignment="1">
      <alignment horizontal="center" vertical="center"/>
    </xf>
    <xf numFmtId="49" fontId="72" fillId="51" borderId="404" xfId="42" applyNumberFormat="1" applyFont="1" applyFill="1" applyBorder="1" applyAlignment="1">
      <alignment horizontal="center" vertical="center"/>
    </xf>
    <xf numFmtId="0" fontId="72" fillId="51" borderId="404" xfId="42" applyFont="1" applyFill="1" applyBorder="1" applyAlignment="1">
      <alignment horizontal="center" vertical="center"/>
    </xf>
    <xf numFmtId="49" fontId="72" fillId="51" borderId="403" xfId="42" applyNumberFormat="1" applyFont="1" applyFill="1" applyBorder="1" applyAlignment="1">
      <alignment horizontal="center" vertical="center"/>
    </xf>
    <xf numFmtId="0" fontId="43" fillId="51" borderId="404" xfId="42" applyFill="1" applyBorder="1" applyAlignment="1">
      <alignment horizontal="center" vertical="center"/>
    </xf>
    <xf numFmtId="0" fontId="7" fillId="53" borderId="404" xfId="20" applyFont="1" applyFill="1" applyBorder="1" applyAlignment="1">
      <alignment horizontal="center" vertical="center"/>
    </xf>
    <xf numFmtId="0" fontId="59" fillId="51" borderId="404" xfId="42" applyFont="1" applyFill="1" applyBorder="1" applyAlignment="1">
      <alignment horizontal="center" vertical="center"/>
    </xf>
    <xf numFmtId="0" fontId="59" fillId="51" borderId="403" xfId="42" applyFont="1" applyFill="1" applyBorder="1" applyAlignment="1">
      <alignment horizontal="center" vertical="center"/>
    </xf>
    <xf numFmtId="0" fontId="33" fillId="88" borderId="404" xfId="24" applyNumberFormat="1" applyFill="1" applyBorder="1" applyAlignment="1">
      <alignment horizontal="center" vertical="center"/>
    </xf>
    <xf numFmtId="49" fontId="0" fillId="88" borderId="404" xfId="0" applyNumberFormat="1" applyFill="1" applyBorder="1">
      <alignment horizontal="center" vertical="center"/>
    </xf>
    <xf numFmtId="0" fontId="0" fillId="0" borderId="403" xfId="0" applyBorder="1">
      <alignment horizontal="center" vertical="center"/>
    </xf>
    <xf numFmtId="0" fontId="18" fillId="0" borderId="64" xfId="0" applyFont="1" applyBorder="1" applyAlignment="1" applyProtection="1">
      <alignment horizontal="center"/>
      <protection locked="0"/>
    </xf>
    <xf numFmtId="0" fontId="0" fillId="70" borderId="496" xfId="0" applyFill="1" applyBorder="1">
      <alignment horizontal="center" vertical="center"/>
    </xf>
    <xf numFmtId="0" fontId="0" fillId="51" borderId="492" xfId="48" applyFont="1" applyFill="1" applyBorder="1">
      <alignment horizontal="center" vertical="center"/>
    </xf>
    <xf numFmtId="0" fontId="7" fillId="89" borderId="492" xfId="56" applyBorder="1">
      <alignment horizontal="center" vertical="center"/>
    </xf>
    <xf numFmtId="49" fontId="0" fillId="51" borderId="502" xfId="0" applyNumberFormat="1" applyFill="1" applyBorder="1">
      <alignment horizontal="center" vertical="center"/>
    </xf>
    <xf numFmtId="0" fontId="75" fillId="51" borderId="137" xfId="43" applyFont="1" applyFill="1" applyBorder="1">
      <alignment horizontal="center" vertical="center"/>
    </xf>
    <xf numFmtId="0" fontId="0" fillId="71" borderId="270" xfId="0" applyFill="1" applyBorder="1" applyAlignment="1"/>
    <xf numFmtId="0" fontId="20" fillId="0" borderId="503" xfId="0" applyFont="1" applyBorder="1" applyAlignment="1">
      <alignment vertical="center"/>
    </xf>
    <xf numFmtId="0" fontId="0" fillId="0" borderId="492" xfId="0" applyBorder="1" applyAlignment="1">
      <alignment horizontal="left" vertical="center"/>
    </xf>
    <xf numFmtId="0" fontId="0" fillId="51" borderId="504" xfId="0" applyFill="1" applyBorder="1">
      <alignment horizontal="center" vertical="center"/>
    </xf>
    <xf numFmtId="0" fontId="0" fillId="51" borderId="492" xfId="44" applyFont="1" applyFill="1" applyBorder="1">
      <alignment horizontal="center" vertical="center"/>
    </xf>
    <xf numFmtId="0" fontId="0" fillId="51" borderId="492" xfId="53" applyFont="1" applyFill="1" applyBorder="1">
      <alignment horizontal="center" vertical="center"/>
    </xf>
    <xf numFmtId="0" fontId="0" fillId="0" borderId="492" xfId="0" applyBorder="1">
      <alignment horizontal="center" vertical="center"/>
    </xf>
    <xf numFmtId="0" fontId="7" fillId="0" borderId="137" xfId="45" applyFill="1" applyBorder="1">
      <alignment horizontal="center" vertical="center"/>
    </xf>
    <xf numFmtId="0" fontId="7" fillId="57" borderId="137" xfId="47" applyFill="1" applyBorder="1">
      <alignment horizontal="center" vertical="center"/>
    </xf>
    <xf numFmtId="0" fontId="7" fillId="0" borderId="163" xfId="53" applyBorder="1">
      <alignment horizontal="center" vertical="center"/>
    </xf>
    <xf numFmtId="0" fontId="0" fillId="51" borderId="505" xfId="48" applyFont="1" applyFill="1" applyBorder="1">
      <alignment horizontal="center" vertical="center"/>
    </xf>
    <xf numFmtId="0" fontId="7" fillId="88" borderId="505" xfId="47" applyBorder="1">
      <alignment horizontal="center" vertical="center"/>
    </xf>
    <xf numFmtId="0" fontId="7" fillId="88" borderId="506" xfId="47" applyBorder="1">
      <alignment horizontal="center" vertical="center"/>
    </xf>
    <xf numFmtId="1" fontId="0" fillId="51" borderId="494" xfId="32" applyNumberFormat="1" applyFont="1" applyFill="1" applyBorder="1" applyAlignment="1">
      <alignment horizontal="center" vertical="center"/>
    </xf>
    <xf numFmtId="0" fontId="0" fillId="51" borderId="501" xfId="0" applyFill="1" applyBorder="1">
      <alignment horizontal="center" vertical="center"/>
    </xf>
    <xf numFmtId="0" fontId="0" fillId="51" borderId="507" xfId="47" applyFont="1" applyFill="1" applyBorder="1">
      <alignment horizontal="center" vertical="center"/>
    </xf>
    <xf numFmtId="0" fontId="0" fillId="51" borderId="508" xfId="47" applyFont="1" applyFill="1" applyBorder="1">
      <alignment horizontal="center" vertical="center"/>
    </xf>
    <xf numFmtId="0" fontId="0" fillId="51" borderId="509" xfId="47" applyFont="1" applyFill="1" applyBorder="1">
      <alignment horizontal="center" vertical="center"/>
    </xf>
    <xf numFmtId="20" fontId="0" fillId="0" borderId="510" xfId="0" applyNumberFormat="1" applyBorder="1" applyAlignment="1">
      <alignment horizontal="left"/>
    </xf>
    <xf numFmtId="0" fontId="0" fillId="0" borderId="511" xfId="0" applyBorder="1" applyAlignment="1">
      <alignment horizontal="left"/>
    </xf>
    <xf numFmtId="0" fontId="0" fillId="0" borderId="512" xfId="0" applyBorder="1" applyAlignment="1">
      <alignment horizontal="left"/>
    </xf>
    <xf numFmtId="0" fontId="0" fillId="0" borderId="513" xfId="0" applyBorder="1" applyAlignment="1">
      <alignment horizontal="left"/>
    </xf>
    <xf numFmtId="0" fontId="0" fillId="0" borderId="510" xfId="0" applyBorder="1" applyAlignment="1">
      <alignment horizontal="left" vertical="center"/>
    </xf>
    <xf numFmtId="0" fontId="0" fillId="0" borderId="514" xfId="0" applyBorder="1">
      <alignment horizontal="center" vertical="center"/>
    </xf>
    <xf numFmtId="0" fontId="0" fillId="51" borderId="515" xfId="0" applyFill="1" applyBorder="1" applyAlignment="1" applyProtection="1">
      <alignment horizontal="left" vertical="center"/>
      <protection locked="0"/>
    </xf>
    <xf numFmtId="0" fontId="0" fillId="55" borderId="507" xfId="47" applyFont="1" applyFill="1" applyBorder="1">
      <alignment horizontal="center" vertical="center"/>
    </xf>
    <xf numFmtId="0" fontId="58" fillId="0" borderId="516" xfId="0" applyFont="1" applyBorder="1" applyAlignment="1"/>
    <xf numFmtId="0" fontId="0" fillId="0" borderId="492" xfId="0" applyBorder="1" applyAlignment="1"/>
    <xf numFmtId="1" fontId="43" fillId="3" borderId="492" xfId="42" applyNumberFormat="1" applyBorder="1" applyAlignment="1">
      <alignment horizontal="center" vertical="center"/>
    </xf>
    <xf numFmtId="49" fontId="43" fillId="3" borderId="492" xfId="42" applyNumberFormat="1" applyBorder="1" applyAlignment="1">
      <alignment horizontal="center" vertical="center"/>
    </xf>
    <xf numFmtId="0" fontId="43" fillId="3" borderId="492" xfId="42" applyBorder="1" applyAlignment="1">
      <alignment horizontal="center" vertical="center"/>
    </xf>
    <xf numFmtId="49" fontId="43" fillId="3" borderId="502" xfId="42" applyNumberFormat="1" applyBorder="1" applyAlignment="1">
      <alignment horizontal="center" vertical="center"/>
    </xf>
    <xf numFmtId="0" fontId="0" fillId="73" borderId="517" xfId="0" applyFill="1" applyBorder="1" applyAlignment="1"/>
    <xf numFmtId="1" fontId="0" fillId="51" borderId="517" xfId="32" applyNumberFormat="1" applyFont="1" applyFill="1" applyBorder="1" applyAlignment="1">
      <alignment horizontal="center" vertical="center"/>
    </xf>
    <xf numFmtId="0" fontId="0" fillId="0" borderId="516" xfId="0" applyBorder="1">
      <alignment horizontal="center" vertical="center"/>
    </xf>
    <xf numFmtId="173" fontId="0" fillId="0" borderId="516" xfId="0" applyNumberFormat="1" applyBorder="1">
      <alignment horizontal="center" vertical="center"/>
    </xf>
    <xf numFmtId="0" fontId="0" fillId="0" borderId="503" xfId="0" applyBorder="1" applyAlignment="1"/>
    <xf numFmtId="0" fontId="59" fillId="0" borderId="512" xfId="0" applyFont="1" applyBorder="1" applyAlignment="1">
      <alignment horizontal="left" vertical="center"/>
    </xf>
    <xf numFmtId="0" fontId="59" fillId="0" borderId="518" xfId="0" applyFont="1" applyBorder="1" applyAlignment="1">
      <alignment horizontal="left" vertical="center"/>
    </xf>
    <xf numFmtId="0" fontId="0" fillId="73" borderId="492" xfId="0" applyFill="1" applyBorder="1" applyAlignment="1"/>
    <xf numFmtId="0" fontId="4" fillId="0" borderId="497" xfId="0" applyFont="1" applyBorder="1" applyAlignment="1">
      <alignment horizontal="center"/>
    </xf>
    <xf numFmtId="0" fontId="0" fillId="0" borderId="489" xfId="0" applyBorder="1">
      <alignment horizontal="center" vertical="center"/>
    </xf>
    <xf numFmtId="0" fontId="4" fillId="0" borderId="489" xfId="0" applyFont="1" applyBorder="1" applyAlignment="1">
      <alignment horizontal="center"/>
    </xf>
    <xf numFmtId="0" fontId="4" fillId="0" borderId="491" xfId="0" applyFont="1" applyBorder="1" applyAlignment="1">
      <alignment horizontal="left"/>
    </xf>
    <xf numFmtId="0" fontId="6" fillId="0" borderId="489" xfId="0" applyFont="1" applyBorder="1" applyAlignment="1">
      <alignment horizontal="center"/>
    </xf>
    <xf numFmtId="0" fontId="0" fillId="0" borderId="491" xfId="0" applyBorder="1">
      <alignment horizontal="center" vertical="center"/>
    </xf>
    <xf numFmtId="0" fontId="0" fillId="0" borderId="489" xfId="0" applyBorder="1" applyAlignment="1">
      <alignment horizontal="center"/>
    </xf>
    <xf numFmtId="0" fontId="4" fillId="0" borderId="491" xfId="0" applyFont="1" applyBorder="1" applyAlignment="1">
      <alignment horizontal="center"/>
    </xf>
    <xf numFmtId="0" fontId="6" fillId="0" borderId="490" xfId="0" applyFont="1" applyBorder="1" applyAlignment="1">
      <alignment horizontal="center"/>
    </xf>
    <xf numFmtId="0" fontId="6" fillId="0" borderId="491" xfId="0" applyFont="1" applyBorder="1" applyAlignment="1">
      <alignment horizontal="center"/>
    </xf>
    <xf numFmtId="0" fontId="0" fillId="0" borderId="491" xfId="0" applyBorder="1" applyAlignment="1">
      <alignment horizontal="center"/>
    </xf>
    <xf numFmtId="0" fontId="7" fillId="0" borderId="490" xfId="0" applyFont="1" applyBorder="1" applyAlignment="1">
      <alignment horizontal="left" vertical="center"/>
    </xf>
    <xf numFmtId="0" fontId="6" fillId="0" borderId="490" xfId="0" applyFont="1" applyBorder="1">
      <alignment horizontal="center" vertical="center"/>
    </xf>
    <xf numFmtId="0" fontId="6" fillId="0" borderId="491" xfId="0" applyFont="1" applyBorder="1">
      <alignment horizontal="center" vertical="center"/>
    </xf>
    <xf numFmtId="0" fontId="0" fillId="0" borderId="499" xfId="0" applyBorder="1" applyAlignment="1">
      <alignment horizontal="left" vertical="center"/>
    </xf>
    <xf numFmtId="0" fontId="6" fillId="0" borderId="498" xfId="0" applyFont="1" applyBorder="1">
      <alignment horizontal="center" vertical="center"/>
    </xf>
    <xf numFmtId="0" fontId="7" fillId="0" borderId="498" xfId="0" applyFont="1" applyBorder="1">
      <alignment horizontal="center" vertical="center"/>
    </xf>
    <xf numFmtId="0" fontId="7" fillId="0" borderId="519" xfId="0" applyFont="1" applyBorder="1">
      <alignment horizontal="center" vertical="center"/>
    </xf>
    <xf numFmtId="0" fontId="4" fillId="0" borderId="520" xfId="0" applyFont="1" applyBorder="1" applyAlignment="1">
      <alignment horizontal="center"/>
    </xf>
    <xf numFmtId="0" fontId="7" fillId="0" borderId="510" xfId="0" applyFont="1" applyBorder="1" applyAlignment="1">
      <alignment horizontal="left" vertical="center"/>
    </xf>
    <xf numFmtId="0" fontId="7" fillId="0" borderId="521" xfId="0" applyFont="1" applyBorder="1" applyAlignment="1">
      <alignment horizontal="left" vertical="center"/>
    </xf>
    <xf numFmtId="0" fontId="7" fillId="0" borderId="522" xfId="0" applyFont="1" applyBorder="1" applyAlignment="1">
      <alignment horizontal="left" vertical="center"/>
    </xf>
    <xf numFmtId="0" fontId="4" fillId="0" borderId="518" xfId="0" applyFont="1" applyBorder="1" applyAlignment="1" applyProtection="1">
      <alignment horizontal="center"/>
      <protection locked="0"/>
    </xf>
    <xf numFmtId="0" fontId="7" fillId="0" borderId="494" xfId="0" applyFont="1" applyBorder="1">
      <alignment horizontal="center" vertical="center"/>
    </xf>
    <xf numFmtId="0" fontId="7" fillId="0" borderId="494" xfId="0" applyFont="1" applyBorder="1" applyAlignment="1">
      <alignment horizontal="left" vertical="center"/>
    </xf>
    <xf numFmtId="0" fontId="0" fillId="0" borderId="489" xfId="0" applyBorder="1" applyAlignment="1"/>
    <xf numFmtId="0" fontId="4" fillId="0" borderId="490" xfId="0" applyFont="1" applyBorder="1" applyAlignment="1">
      <alignment horizontal="left"/>
    </xf>
    <xf numFmtId="0" fontId="0" fillId="0" borderId="490" xfId="0" applyBorder="1" applyAlignment="1"/>
    <xf numFmtId="0" fontId="0" fillId="0" borderId="491" xfId="0" applyBorder="1" applyAlignment="1"/>
    <xf numFmtId="0" fontId="4" fillId="0" borderId="489" xfId="0" applyFont="1" applyBorder="1" applyAlignment="1">
      <alignment horizontal="left"/>
    </xf>
    <xf numFmtId="0" fontId="0" fillId="0" borderId="500" xfId="0" applyBorder="1" applyAlignment="1"/>
    <xf numFmtId="0" fontId="0" fillId="0" borderId="523" xfId="0" applyBorder="1" applyAlignment="1">
      <alignment horizontal="center"/>
    </xf>
    <xf numFmtId="0" fontId="4" fillId="0" borderId="510" xfId="0" applyFont="1" applyBorder="1" applyAlignment="1">
      <alignment horizontal="left"/>
    </xf>
    <xf numFmtId="0" fontId="0" fillId="0" borderId="521" xfId="0" applyBorder="1" applyAlignment="1"/>
    <xf numFmtId="0" fontId="0" fillId="0" borderId="524" xfId="0" applyBorder="1" applyAlignment="1">
      <alignment horizontal="left"/>
    </xf>
    <xf numFmtId="0" fontId="4" fillId="0" borderId="521" xfId="0" applyFont="1" applyBorder="1" applyAlignment="1"/>
    <xf numFmtId="0" fontId="4" fillId="0" borderId="524" xfId="0" applyFont="1" applyBorder="1" applyAlignment="1">
      <alignment horizontal="left"/>
    </xf>
    <xf numFmtId="0" fontId="0" fillId="0" borderId="510" xfId="0" applyBorder="1" applyAlignment="1">
      <alignment horizontal="center"/>
    </xf>
    <xf numFmtId="0" fontId="0" fillId="0" borderId="522" xfId="0" applyBorder="1" applyAlignment="1"/>
    <xf numFmtId="0" fontId="4" fillId="0" borderId="512" xfId="0" applyFont="1" applyBorder="1" applyAlignment="1">
      <alignment horizontal="left"/>
    </xf>
    <xf numFmtId="0" fontId="0" fillId="0" borderId="513" xfId="0" applyBorder="1" applyAlignment="1"/>
    <xf numFmtId="0" fontId="9" fillId="0" borderId="512" xfId="0" applyFont="1" applyBorder="1" applyAlignment="1">
      <alignment horizontal="center"/>
    </xf>
    <xf numFmtId="0" fontId="0" fillId="0" borderId="525" xfId="0" applyBorder="1" applyAlignment="1"/>
    <xf numFmtId="0" fontId="0" fillId="0" borderId="526" xfId="0" applyBorder="1" applyAlignment="1">
      <alignment horizontal="center"/>
    </xf>
    <xf numFmtId="0" fontId="4" fillId="0" borderId="527" xfId="0" applyFont="1" applyBorder="1" applyAlignment="1">
      <alignment horizontal="left"/>
    </xf>
    <xf numFmtId="0" fontId="7" fillId="0" borderId="528" xfId="0" applyFont="1" applyBorder="1" applyAlignment="1">
      <alignment horizontal="left" vertical="center"/>
    </xf>
    <xf numFmtId="0" fontId="7" fillId="0" borderId="528" xfId="0" applyFont="1" applyBorder="1">
      <alignment horizontal="center" vertical="center"/>
    </xf>
    <xf numFmtId="0" fontId="7" fillId="0" borderId="529" xfId="0" applyFont="1" applyBorder="1">
      <alignment horizontal="center" vertical="center"/>
    </xf>
    <xf numFmtId="0" fontId="7" fillId="0" borderId="527" xfId="0" applyFont="1" applyBorder="1" applyAlignment="1">
      <alignment horizontal="left" vertical="center"/>
    </xf>
    <xf numFmtId="0" fontId="7" fillId="0" borderId="528" xfId="0" applyFont="1" applyBorder="1" applyAlignment="1">
      <alignment horizontal="left"/>
    </xf>
    <xf numFmtId="0" fontId="7" fillId="0" borderId="529" xfId="0" applyFont="1" applyBorder="1" applyAlignment="1">
      <alignment horizontal="left" vertical="center"/>
    </xf>
    <xf numFmtId="0" fontId="0" fillId="0" borderId="528" xfId="0" applyBorder="1" applyAlignment="1">
      <alignment horizontal="left"/>
    </xf>
    <xf numFmtId="0" fontId="0" fillId="0" borderId="530" xfId="0" applyBorder="1" applyAlignment="1"/>
    <xf numFmtId="0" fontId="4" fillId="43" borderId="494" xfId="0" applyFont="1" applyFill="1" applyBorder="1" applyAlignment="1">
      <alignment horizontal="center"/>
    </xf>
    <xf numFmtId="0" fontId="0" fillId="51" borderId="494" xfId="0" applyFill="1" applyBorder="1" applyAlignment="1">
      <alignment horizontal="left" vertical="center"/>
    </xf>
    <xf numFmtId="49" fontId="0" fillId="98" borderId="494" xfId="0" applyNumberFormat="1" applyFill="1" applyBorder="1">
      <alignment horizontal="center" vertical="center"/>
    </xf>
    <xf numFmtId="0" fontId="7" fillId="58" borderId="494" xfId="33" applyBorder="1">
      <alignment horizontal="center" vertical="center"/>
    </xf>
    <xf numFmtId="0" fontId="4" fillId="43" borderId="507" xfId="0" applyFont="1" applyFill="1" applyBorder="1" applyAlignment="1">
      <alignment horizontal="center"/>
    </xf>
    <xf numFmtId="0" fontId="0" fillId="51" borderId="507" xfId="0" applyFill="1" applyBorder="1" applyAlignment="1">
      <alignment horizontal="left" vertical="center"/>
    </xf>
    <xf numFmtId="0" fontId="0" fillId="52" borderId="507" xfId="43" applyFont="1" applyFill="1" applyBorder="1">
      <alignment horizontal="center" vertical="center"/>
    </xf>
    <xf numFmtId="0" fontId="0" fillId="51" borderId="508" xfId="48" applyFont="1" applyFill="1" applyBorder="1">
      <alignment horizontal="center" vertical="center"/>
    </xf>
    <xf numFmtId="0" fontId="0" fillId="51" borderId="507" xfId="51" applyFont="1" applyFill="1" applyBorder="1">
      <alignment horizontal="center" vertical="center"/>
    </xf>
    <xf numFmtId="0" fontId="7" fillId="86" borderId="507" xfId="44" applyBorder="1">
      <alignment horizontal="center" vertical="center"/>
    </xf>
    <xf numFmtId="0" fontId="7" fillId="58" borderId="507" xfId="33" applyBorder="1">
      <alignment horizontal="center" vertical="center"/>
    </xf>
    <xf numFmtId="0" fontId="0" fillId="58" borderId="507" xfId="51" applyFont="1" applyFill="1" applyBorder="1">
      <alignment horizontal="center" vertical="center"/>
    </xf>
    <xf numFmtId="0" fontId="0" fillId="51" borderId="508" xfId="51" applyFont="1" applyFill="1" applyBorder="1">
      <alignment horizontal="center" vertical="center"/>
    </xf>
    <xf numFmtId="0" fontId="4" fillId="43" borderId="509" xfId="0" applyFont="1" applyFill="1" applyBorder="1" applyAlignment="1">
      <alignment horizontal="center"/>
    </xf>
    <xf numFmtId="0" fontId="0" fillId="55" borderId="509" xfId="48" applyFont="1" applyFill="1" applyBorder="1">
      <alignment horizontal="center" vertical="center"/>
    </xf>
    <xf numFmtId="0" fontId="7" fillId="86" borderId="531" xfId="44" applyBorder="1">
      <alignment horizontal="center" vertical="center"/>
    </xf>
    <xf numFmtId="0" fontId="9" fillId="51" borderId="532" xfId="20" applyFont="1" applyFill="1" applyBorder="1" applyAlignment="1">
      <alignment horizontal="center" vertical="center"/>
    </xf>
    <xf numFmtId="0" fontId="0" fillId="0" borderId="527" xfId="0" applyBorder="1" applyAlignment="1">
      <alignment horizontal="left"/>
    </xf>
    <xf numFmtId="0" fontId="0" fillId="0" borderId="528" xfId="0" applyBorder="1" applyAlignment="1"/>
    <xf numFmtId="0" fontId="0" fillId="0" borderId="529" xfId="0" applyBorder="1" applyAlignment="1">
      <alignment horizontal="left"/>
    </xf>
    <xf numFmtId="0" fontId="0" fillId="0" borderId="527" xfId="0" applyBorder="1" applyAlignment="1">
      <alignment horizontal="center"/>
    </xf>
    <xf numFmtId="0" fontId="4" fillId="43" borderId="492" xfId="0" applyFont="1" applyFill="1" applyBorder="1" applyAlignment="1">
      <alignment horizontal="center"/>
    </xf>
    <xf numFmtId="0" fontId="7" fillId="0" borderId="492" xfId="53" applyBorder="1">
      <alignment horizontal="center" vertical="center"/>
    </xf>
    <xf numFmtId="0" fontId="0" fillId="51" borderId="502" xfId="0" applyFill="1" applyBorder="1">
      <alignment horizontal="center" vertical="center"/>
    </xf>
    <xf numFmtId="0" fontId="4" fillId="43" borderId="517" xfId="0" applyFont="1" applyFill="1" applyBorder="1" applyAlignment="1">
      <alignment horizontal="center"/>
    </xf>
    <xf numFmtId="0" fontId="0" fillId="51" borderId="517" xfId="44" applyFont="1" applyFill="1" applyBorder="1">
      <alignment horizontal="center" vertical="center"/>
    </xf>
    <xf numFmtId="0" fontId="7" fillId="86" borderId="533" xfId="44" applyBorder="1">
      <alignment horizontal="center" vertical="center"/>
    </xf>
    <xf numFmtId="0" fontId="0" fillId="51" borderId="533" xfId="0" applyFill="1" applyBorder="1">
      <alignment horizontal="center" vertical="center"/>
    </xf>
    <xf numFmtId="0" fontId="0" fillId="60" borderId="517" xfId="48" applyFont="1" applyFill="1" applyBorder="1">
      <alignment horizontal="center" vertical="center"/>
    </xf>
    <xf numFmtId="0" fontId="0" fillId="60" borderId="517" xfId="0" applyFill="1" applyBorder="1">
      <alignment horizontal="center" vertical="center"/>
    </xf>
    <xf numFmtId="0" fontId="0" fillId="60" borderId="517" xfId="46" applyFont="1" applyFill="1" applyBorder="1">
      <alignment horizontal="center" vertical="center"/>
    </xf>
    <xf numFmtId="0" fontId="0" fillId="60" borderId="517" xfId="44" applyFont="1" applyFill="1" applyBorder="1">
      <alignment horizontal="center" vertical="center"/>
    </xf>
    <xf numFmtId="49" fontId="0" fillId="60" borderId="517" xfId="0" applyNumberFormat="1" applyFill="1" applyBorder="1">
      <alignment horizontal="center" vertical="center"/>
    </xf>
    <xf numFmtId="49" fontId="0" fillId="60" borderId="533" xfId="0" applyNumberFormat="1" applyFill="1" applyBorder="1">
      <alignment horizontal="center" vertical="center"/>
    </xf>
    <xf numFmtId="0" fontId="0" fillId="60" borderId="533" xfId="0" applyFill="1" applyBorder="1">
      <alignment horizontal="center" vertical="center"/>
    </xf>
    <xf numFmtId="0" fontId="7" fillId="0" borderId="517" xfId="53" applyBorder="1">
      <alignment horizontal="center" vertical="center"/>
    </xf>
    <xf numFmtId="0" fontId="0" fillId="51" borderId="517" xfId="46" applyFont="1" applyFill="1" applyBorder="1">
      <alignment horizontal="center" vertical="center"/>
    </xf>
    <xf numFmtId="0" fontId="4" fillId="43" borderId="534" xfId="0" applyFont="1" applyFill="1" applyBorder="1" applyAlignment="1">
      <alignment horizontal="center"/>
    </xf>
    <xf numFmtId="49" fontId="0" fillId="51" borderId="534" xfId="0" applyNumberFormat="1" applyFill="1" applyBorder="1">
      <alignment horizontal="center" vertical="center"/>
    </xf>
    <xf numFmtId="0" fontId="0" fillId="51" borderId="534" xfId="44" applyFont="1" applyFill="1" applyBorder="1">
      <alignment horizontal="center" vertical="center"/>
    </xf>
    <xf numFmtId="49" fontId="0" fillId="51" borderId="535" xfId="0" applyNumberFormat="1" applyFill="1" applyBorder="1">
      <alignment horizontal="center" vertical="center"/>
    </xf>
    <xf numFmtId="0" fontId="3" fillId="0" borderId="536" xfId="0" applyFont="1" applyBorder="1" applyAlignment="1">
      <alignment horizontal="left"/>
    </xf>
    <xf numFmtId="0" fontId="4" fillId="0" borderId="537" xfId="0" applyFont="1" applyBorder="1">
      <alignment horizontal="center" vertical="center"/>
    </xf>
    <xf numFmtId="0" fontId="0" fillId="0" borderId="538" xfId="0" applyBorder="1">
      <alignment horizontal="center" vertical="center"/>
    </xf>
    <xf numFmtId="167" fontId="9" fillId="0" borderId="539" xfId="0" applyNumberFormat="1" applyFont="1" applyBorder="1" applyAlignment="1">
      <alignment horizontal="center"/>
    </xf>
    <xf numFmtId="0" fontId="0" fillId="51" borderId="494" xfId="0" applyFill="1" applyBorder="1" applyAlignment="1">
      <alignment vertical="center"/>
    </xf>
    <xf numFmtId="0" fontId="7" fillId="51" borderId="540" xfId="0" applyFont="1" applyFill="1" applyBorder="1" applyAlignment="1">
      <alignment vertical="center"/>
    </xf>
    <xf numFmtId="0" fontId="0" fillId="53" borderId="540" xfId="0" applyFill="1" applyBorder="1">
      <alignment horizontal="center" vertical="center"/>
    </xf>
    <xf numFmtId="0" fontId="0" fillId="51" borderId="540" xfId="0" applyFill="1" applyBorder="1">
      <alignment horizontal="center" vertical="center"/>
    </xf>
    <xf numFmtId="0" fontId="0" fillId="51" borderId="540" xfId="0" applyFill="1" applyBorder="1" applyAlignment="1">
      <alignment vertical="center"/>
    </xf>
    <xf numFmtId="0" fontId="3" fillId="0" borderId="541" xfId="0" applyFont="1" applyBorder="1">
      <alignment horizontal="center" vertical="center"/>
    </xf>
    <xf numFmtId="0" fontId="3" fillId="0" borderId="542" xfId="0" applyFont="1" applyBorder="1" applyAlignment="1">
      <alignment horizontal="left" vertical="center"/>
    </xf>
    <xf numFmtId="0" fontId="3" fillId="0" borderId="541" xfId="0" applyFont="1" applyBorder="1" applyAlignment="1">
      <alignment horizontal="left" vertical="center"/>
    </xf>
    <xf numFmtId="0" fontId="3" fillId="0" borderId="542" xfId="0" applyFont="1" applyBorder="1">
      <alignment horizontal="center" vertical="center"/>
    </xf>
    <xf numFmtId="49" fontId="3" fillId="0" borderId="541" xfId="0" applyNumberFormat="1" applyFont="1" applyBorder="1">
      <alignment horizontal="center" vertical="center"/>
    </xf>
    <xf numFmtId="0" fontId="3" fillId="0" borderId="543" xfId="0" applyFont="1" applyBorder="1" applyAlignment="1">
      <alignment horizontal="left" vertical="center"/>
    </xf>
    <xf numFmtId="0" fontId="3" fillId="0" borderId="543" xfId="0" applyFont="1" applyBorder="1">
      <alignment horizontal="center" vertical="center"/>
    </xf>
    <xf numFmtId="49" fontId="7" fillId="0" borderId="541" xfId="0" applyNumberFormat="1" applyFont="1" applyBorder="1">
      <alignment horizontal="center" vertical="center"/>
    </xf>
    <xf numFmtId="0" fontId="7" fillId="0" borderId="543" xfId="0" applyFont="1" applyBorder="1">
      <alignment horizontal="center" vertical="center"/>
    </xf>
    <xf numFmtId="0" fontId="7" fillId="0" borderId="542" xfId="0" applyFont="1" applyBorder="1">
      <alignment horizontal="center" vertical="center"/>
    </xf>
    <xf numFmtId="0" fontId="9" fillId="0" borderId="543" xfId="0" applyFont="1" applyBorder="1">
      <alignment horizontal="center" vertical="center"/>
    </xf>
    <xf numFmtId="0" fontId="9" fillId="0" borderId="544" xfId="0" applyFont="1" applyBorder="1">
      <alignment horizontal="center" vertical="center"/>
    </xf>
    <xf numFmtId="0" fontId="0" fillId="0" borderId="545" xfId="0" applyBorder="1">
      <alignment horizontal="center" vertical="center"/>
    </xf>
    <xf numFmtId="0" fontId="14" fillId="0" borderId="542" xfId="0" applyFont="1" applyBorder="1">
      <alignment horizontal="center" vertical="center"/>
    </xf>
    <xf numFmtId="49" fontId="14" fillId="0" borderId="541" xfId="0" applyNumberFormat="1" applyFont="1" applyBorder="1">
      <alignment horizontal="center" vertical="center"/>
    </xf>
    <xf numFmtId="0" fontId="14" fillId="0" borderId="543" xfId="0" applyFont="1" applyBorder="1">
      <alignment horizontal="center" vertical="center"/>
    </xf>
    <xf numFmtId="49" fontId="0" fillId="0" borderId="545" xfId="0" applyNumberFormat="1" applyBorder="1">
      <alignment horizontal="center" vertical="center"/>
    </xf>
    <xf numFmtId="49" fontId="0" fillId="0" borderId="543" xfId="0" applyNumberFormat="1" applyBorder="1">
      <alignment horizontal="center" vertical="center"/>
    </xf>
    <xf numFmtId="49" fontId="0" fillId="0" borderId="541" xfId="0" applyNumberFormat="1" applyBorder="1">
      <alignment horizontal="center" vertical="center"/>
    </xf>
    <xf numFmtId="0" fontId="6" fillId="0" borderId="546" xfId="0" applyFont="1" applyBorder="1" applyAlignment="1">
      <alignment horizontal="center"/>
    </xf>
    <xf numFmtId="0" fontId="0" fillId="51" borderId="547" xfId="0" applyFill="1" applyBorder="1" applyAlignment="1">
      <alignment horizontal="left" vertical="center" wrapText="1"/>
    </xf>
    <xf numFmtId="0" fontId="7" fillId="53" borderId="547" xfId="43" applyBorder="1">
      <alignment horizontal="center" vertical="center"/>
    </xf>
    <xf numFmtId="0" fontId="7" fillId="53" borderId="548" xfId="43" applyBorder="1">
      <alignment horizontal="center" vertical="center"/>
    </xf>
    <xf numFmtId="0" fontId="0" fillId="0" borderId="547" xfId="0" applyBorder="1" applyAlignment="1">
      <alignment vertical="center"/>
    </xf>
    <xf numFmtId="49" fontId="0" fillId="53" borderId="547" xfId="0" applyNumberFormat="1" applyFill="1" applyBorder="1">
      <alignment horizontal="center" vertical="center"/>
    </xf>
    <xf numFmtId="0" fontId="7" fillId="52" borderId="547" xfId="48" applyBorder="1">
      <alignment horizontal="center" vertical="center"/>
    </xf>
    <xf numFmtId="0" fontId="7" fillId="0" borderId="547" xfId="48" applyFill="1" applyBorder="1">
      <alignment horizontal="center" vertical="center"/>
    </xf>
    <xf numFmtId="0" fontId="0" fillId="51" borderId="548" xfId="50" applyFont="1" applyFill="1" applyBorder="1">
      <alignment horizontal="center" vertical="center"/>
    </xf>
    <xf numFmtId="0" fontId="0" fillId="0" borderId="541" xfId="0" applyBorder="1" applyAlignment="1">
      <alignment vertical="center"/>
    </xf>
    <xf numFmtId="0" fontId="0" fillId="51" borderId="547" xfId="50" applyFont="1" applyFill="1" applyBorder="1">
      <alignment horizontal="center" vertical="center"/>
    </xf>
    <xf numFmtId="0" fontId="0" fillId="53" borderId="547" xfId="48" applyFont="1" applyFill="1" applyBorder="1">
      <alignment horizontal="center" vertical="center"/>
    </xf>
    <xf numFmtId="0" fontId="0" fillId="53" borderId="547" xfId="53" applyFont="1" applyFill="1" applyBorder="1">
      <alignment horizontal="center" vertical="center"/>
    </xf>
    <xf numFmtId="0" fontId="4" fillId="0" borderId="547" xfId="0" applyFont="1" applyBorder="1" applyAlignment="1">
      <alignment horizontal="center"/>
    </xf>
    <xf numFmtId="0" fontId="4" fillId="0" borderId="546" xfId="0" applyFont="1" applyBorder="1" applyAlignment="1">
      <alignment horizontal="center"/>
    </xf>
    <xf numFmtId="0" fontId="4" fillId="0" borderId="537" xfId="0" applyFont="1" applyBorder="1" applyAlignment="1">
      <alignment horizontal="left"/>
    </xf>
    <xf numFmtId="0" fontId="0" fillId="0" borderId="549" xfId="0" applyBorder="1" applyAlignment="1">
      <alignment horizontal="left" vertical="center"/>
    </xf>
    <xf numFmtId="0" fontId="0" fillId="0" borderId="550" xfId="0" applyBorder="1" applyAlignment="1">
      <alignment horizontal="left" vertical="center"/>
    </xf>
    <xf numFmtId="49" fontId="0" fillId="0" borderId="536" xfId="0" applyNumberFormat="1" applyBorder="1" applyAlignment="1">
      <alignment horizontal="left"/>
    </xf>
    <xf numFmtId="49" fontId="0" fillId="0" borderId="536" xfId="0" applyNumberFormat="1" applyBorder="1" applyAlignment="1">
      <alignment horizontal="left" vertical="center"/>
    </xf>
    <xf numFmtId="0" fontId="3" fillId="0" borderId="547" xfId="0" applyFont="1" applyBorder="1" applyAlignment="1">
      <alignment horizontal="center"/>
    </xf>
    <xf numFmtId="0" fontId="0" fillId="0" borderId="551" xfId="0" applyBorder="1" applyAlignment="1">
      <alignment horizontal="left" vertical="center"/>
    </xf>
    <xf numFmtId="0" fontId="0" fillId="0" borderId="539" xfId="0" applyBorder="1" applyAlignment="1">
      <alignment horizontal="left" vertical="center"/>
    </xf>
    <xf numFmtId="49" fontId="0" fillId="0" borderId="539" xfId="0" applyNumberFormat="1" applyBorder="1" applyAlignment="1">
      <alignment horizontal="left"/>
    </xf>
    <xf numFmtId="0" fontId="0" fillId="51" borderId="552" xfId="43" applyFont="1" applyFill="1" applyBorder="1">
      <alignment horizontal="center" vertical="center"/>
    </xf>
    <xf numFmtId="0" fontId="0" fillId="51" borderId="552" xfId="0" applyFill="1" applyBorder="1">
      <alignment horizontal="center" vertical="center"/>
    </xf>
    <xf numFmtId="0" fontId="0" fillId="51" borderId="553" xfId="0" applyFill="1" applyBorder="1">
      <alignment horizontal="center" vertical="center"/>
    </xf>
    <xf numFmtId="0" fontId="4" fillId="0" borderId="547" xfId="0" applyFont="1" applyBorder="1" applyAlignment="1" applyProtection="1">
      <alignment horizontal="center"/>
      <protection locked="0"/>
    </xf>
    <xf numFmtId="0" fontId="4" fillId="0" borderId="547" xfId="0" applyFont="1" applyBorder="1" applyAlignment="1">
      <alignment horizontal="left"/>
    </xf>
    <xf numFmtId="0" fontId="0" fillId="51" borderId="547" xfId="43" applyFont="1" applyFill="1" applyBorder="1">
      <alignment horizontal="center" vertical="center"/>
    </xf>
    <xf numFmtId="0" fontId="0" fillId="51" borderId="554" xfId="0" applyFill="1" applyBorder="1">
      <alignment horizontal="center" vertical="center"/>
    </xf>
    <xf numFmtId="0" fontId="0" fillId="0" borderId="547" xfId="0" applyBorder="1" applyAlignment="1" applyProtection="1">
      <alignment horizontal="center"/>
      <protection locked="0"/>
    </xf>
    <xf numFmtId="0" fontId="0" fillId="0" borderId="547" xfId="0" applyBorder="1" applyAlignment="1">
      <alignment horizontal="left"/>
    </xf>
    <xf numFmtId="0" fontId="4" fillId="0" borderId="547" xfId="0" applyFont="1" applyBorder="1" applyAlignment="1">
      <alignment vertical="center"/>
    </xf>
    <xf numFmtId="0" fontId="7" fillId="86" borderId="547" xfId="44" applyBorder="1">
      <alignment horizontal="center" vertical="center"/>
    </xf>
    <xf numFmtId="0" fontId="3" fillId="0" borderId="547" xfId="0" applyFont="1" applyBorder="1" applyAlignment="1" applyProtection="1">
      <alignment horizontal="center"/>
      <protection locked="0"/>
    </xf>
    <xf numFmtId="0" fontId="7" fillId="58" borderId="547" xfId="33" applyBorder="1">
      <alignment horizontal="center" vertical="center"/>
    </xf>
    <xf numFmtId="0" fontId="7" fillId="53" borderId="554" xfId="43" applyBorder="1">
      <alignment horizontal="center" vertical="center"/>
    </xf>
    <xf numFmtId="0" fontId="0" fillId="51" borderId="554" xfId="48" applyFont="1" applyFill="1" applyBorder="1">
      <alignment horizontal="center" vertical="center"/>
    </xf>
    <xf numFmtId="0" fontId="0" fillId="51" borderId="547" xfId="33" applyFont="1" applyFill="1" applyBorder="1">
      <alignment horizontal="center" vertical="center"/>
    </xf>
    <xf numFmtId="49" fontId="0" fillId="51" borderId="554" xfId="0" applyNumberFormat="1" applyFill="1" applyBorder="1">
      <alignment horizontal="center" vertical="center"/>
    </xf>
    <xf numFmtId="0" fontId="7" fillId="0" borderId="547" xfId="0" applyFont="1" applyBorder="1" applyAlignment="1">
      <alignment vertical="center"/>
    </xf>
    <xf numFmtId="0" fontId="7" fillId="51" borderId="547" xfId="0" applyFont="1" applyFill="1" applyBorder="1" applyAlignment="1">
      <alignment vertical="center"/>
    </xf>
    <xf numFmtId="0" fontId="4" fillId="0" borderId="555" xfId="0" applyFont="1" applyBorder="1" applyAlignment="1">
      <alignment horizontal="center"/>
    </xf>
    <xf numFmtId="0" fontId="3" fillId="0" borderId="537" xfId="0" applyFont="1" applyBorder="1" applyAlignment="1">
      <alignment horizontal="left"/>
    </xf>
    <xf numFmtId="0" fontId="4" fillId="0" borderId="556" xfId="0" applyFont="1" applyBorder="1" applyAlignment="1">
      <alignment horizontal="center"/>
    </xf>
    <xf numFmtId="0" fontId="3" fillId="0" borderId="557" xfId="0" applyFont="1" applyBorder="1" applyAlignment="1">
      <alignment horizontal="center"/>
    </xf>
    <xf numFmtId="0" fontId="0" fillId="0" borderId="540" xfId="0" applyBorder="1" applyAlignment="1" applyProtection="1">
      <alignment horizontal="center"/>
      <protection locked="0"/>
    </xf>
    <xf numFmtId="0" fontId="0" fillId="0" borderId="540" xfId="0" applyBorder="1" applyAlignment="1">
      <alignment vertical="center"/>
    </xf>
    <xf numFmtId="0" fontId="0" fillId="43" borderId="540" xfId="0" applyFill="1" applyBorder="1" applyAlignment="1">
      <alignment horizontal="center"/>
    </xf>
    <xf numFmtId="0" fontId="46" fillId="0" borderId="540" xfId="0" applyFont="1" applyBorder="1" applyAlignment="1">
      <alignment horizontal="left" vertical="center"/>
    </xf>
    <xf numFmtId="0" fontId="0" fillId="24" borderId="540" xfId="0" applyFill="1" applyBorder="1" applyAlignment="1" applyProtection="1">
      <alignment horizontal="center"/>
      <protection locked="0"/>
    </xf>
    <xf numFmtId="0" fontId="4" fillId="24" borderId="540" xfId="0" applyFont="1" applyFill="1" applyBorder="1">
      <alignment horizontal="center" vertical="center"/>
    </xf>
    <xf numFmtId="0" fontId="0" fillId="24" borderId="558" xfId="0" applyFill="1" applyBorder="1">
      <alignment horizontal="center" vertical="center"/>
    </xf>
    <xf numFmtId="0" fontId="0" fillId="51" borderId="558" xfId="44" applyFont="1" applyFill="1" applyBorder="1">
      <alignment horizontal="center" vertical="center"/>
    </xf>
    <xf numFmtId="0" fontId="0" fillId="0" borderId="559" xfId="0" applyBorder="1" applyAlignment="1" applyProtection="1">
      <alignment horizontal="center"/>
      <protection locked="0"/>
    </xf>
    <xf numFmtId="0" fontId="7" fillId="52" borderId="559" xfId="48" applyBorder="1">
      <alignment horizontal="center" vertical="center"/>
    </xf>
    <xf numFmtId="0" fontId="7" fillId="51" borderId="559" xfId="43" applyFill="1" applyBorder="1">
      <alignment horizontal="center" vertical="center"/>
    </xf>
    <xf numFmtId="49" fontId="0" fillId="0" borderId="536" xfId="0" applyNumberFormat="1" applyBorder="1" applyAlignment="1"/>
    <xf numFmtId="0" fontId="0" fillId="0" borderId="547" xfId="0" applyBorder="1" applyAlignment="1" applyProtection="1">
      <alignment horizontal="left"/>
      <protection locked="0"/>
    </xf>
    <xf numFmtId="0" fontId="0" fillId="0" borderId="546" xfId="0" applyBorder="1" applyAlignment="1" applyProtection="1">
      <alignment horizontal="center"/>
      <protection locked="0"/>
    </xf>
    <xf numFmtId="49" fontId="0" fillId="51" borderId="560" xfId="0" applyNumberFormat="1" applyFill="1" applyBorder="1">
      <alignment horizontal="center" vertical="center"/>
    </xf>
    <xf numFmtId="49" fontId="0" fillId="51" borderId="561" xfId="0" applyNumberFormat="1" applyFill="1" applyBorder="1">
      <alignment horizontal="center" vertical="center"/>
    </xf>
    <xf numFmtId="0" fontId="0" fillId="51" borderId="561" xfId="0" applyFill="1" applyBorder="1">
      <alignment horizontal="center" vertical="center"/>
    </xf>
    <xf numFmtId="49" fontId="0" fillId="51" borderId="562" xfId="0" applyNumberFormat="1" applyFill="1" applyBorder="1">
      <alignment horizontal="center" vertical="center"/>
    </xf>
    <xf numFmtId="0" fontId="6" fillId="44" borderId="536" xfId="0" applyFont="1" applyFill="1" applyBorder="1" applyAlignment="1">
      <alignment horizontal="left"/>
    </xf>
    <xf numFmtId="0" fontId="6" fillId="25" borderId="536" xfId="0" applyFont="1" applyFill="1" applyBorder="1">
      <alignment horizontal="center" vertical="center"/>
    </xf>
    <xf numFmtId="0" fontId="7" fillId="25" borderId="537" xfId="0" applyFont="1" applyFill="1" applyBorder="1">
      <alignment horizontal="center" vertical="center"/>
    </xf>
    <xf numFmtId="0" fontId="6" fillId="29" borderId="536" xfId="0" applyFont="1" applyFill="1" applyBorder="1" applyAlignment="1">
      <alignment horizontal="left"/>
    </xf>
    <xf numFmtId="0" fontId="6" fillId="29" borderId="537" xfId="0" applyFont="1" applyFill="1" applyBorder="1" applyAlignment="1">
      <alignment horizontal="left"/>
    </xf>
    <xf numFmtId="0" fontId="7" fillId="29" borderId="537" xfId="0" applyFont="1" applyFill="1" applyBorder="1">
      <alignment horizontal="center" vertical="center"/>
    </xf>
    <xf numFmtId="0" fontId="7" fillId="29" borderId="549" xfId="0" applyFont="1" applyFill="1" applyBorder="1">
      <alignment horizontal="center" vertical="center"/>
    </xf>
    <xf numFmtId="0" fontId="6" fillId="37" borderId="536" xfId="0" applyFont="1" applyFill="1" applyBorder="1" applyAlignment="1">
      <alignment horizontal="left"/>
    </xf>
    <xf numFmtId="0" fontId="6" fillId="37" borderId="537" xfId="0" applyFont="1" applyFill="1" applyBorder="1" applyAlignment="1">
      <alignment horizontal="left"/>
    </xf>
    <xf numFmtId="0" fontId="0" fillId="37" borderId="537" xfId="0" applyFill="1" applyBorder="1">
      <alignment horizontal="center" vertical="center"/>
    </xf>
    <xf numFmtId="0" fontId="6" fillId="45" borderId="536" xfId="0" applyFont="1" applyFill="1" applyBorder="1" applyAlignment="1">
      <alignment horizontal="left"/>
    </xf>
    <xf numFmtId="0" fontId="0" fillId="45" borderId="537" xfId="0" applyFill="1" applyBorder="1">
      <alignment horizontal="center" vertical="center"/>
    </xf>
    <xf numFmtId="0" fontId="7" fillId="45" borderId="537" xfId="0" applyFont="1" applyFill="1" applyBorder="1">
      <alignment horizontal="center" vertical="center"/>
    </xf>
    <xf numFmtId="0" fontId="7" fillId="45" borderId="549" xfId="0" applyFont="1" applyFill="1" applyBorder="1">
      <alignment horizontal="center" vertical="center"/>
    </xf>
    <xf numFmtId="0" fontId="6" fillId="24" borderId="536" xfId="0" applyFont="1" applyFill="1" applyBorder="1">
      <alignment horizontal="center" vertical="center"/>
    </xf>
    <xf numFmtId="0" fontId="0" fillId="24" borderId="537" xfId="0" applyFill="1" applyBorder="1">
      <alignment horizontal="center" vertical="center"/>
    </xf>
    <xf numFmtId="0" fontId="7" fillId="24" borderId="537" xfId="0" applyFont="1" applyFill="1" applyBorder="1">
      <alignment horizontal="center" vertical="center"/>
    </xf>
    <xf numFmtId="0" fontId="6" fillId="40" borderId="536" xfId="0" applyFont="1" applyFill="1" applyBorder="1" applyAlignment="1">
      <alignment horizontal="left"/>
    </xf>
    <xf numFmtId="0" fontId="7" fillId="40" borderId="537" xfId="0" applyFont="1" applyFill="1" applyBorder="1">
      <alignment horizontal="center" vertical="center"/>
    </xf>
    <xf numFmtId="0" fontId="0" fillId="93" borderId="549" xfId="0" applyFill="1" applyBorder="1">
      <alignment horizontal="center" vertical="center"/>
    </xf>
    <xf numFmtId="0" fontId="6" fillId="39" borderId="540" xfId="0" applyFont="1" applyFill="1" applyBorder="1" applyAlignment="1">
      <alignment horizontal="left"/>
    </xf>
    <xf numFmtId="0" fontId="6" fillId="47" borderId="536" xfId="0" applyFont="1" applyFill="1" applyBorder="1">
      <alignment horizontal="center" vertical="center"/>
    </xf>
    <xf numFmtId="0" fontId="7" fillId="47" borderId="537" xfId="0" applyFont="1" applyFill="1" applyBorder="1">
      <alignment horizontal="center" vertical="center"/>
    </xf>
    <xf numFmtId="0" fontId="7" fillId="0" borderId="536" xfId="0" applyFont="1" applyBorder="1" applyAlignment="1">
      <alignment horizontal="left"/>
    </xf>
    <xf numFmtId="0" fontId="0" fillId="0" borderId="537" xfId="0" applyBorder="1">
      <alignment horizontal="center" vertical="center"/>
    </xf>
    <xf numFmtId="0" fontId="7" fillId="0" borderId="537" xfId="0" applyFont="1" applyBorder="1" applyAlignment="1">
      <alignment horizontal="left"/>
    </xf>
    <xf numFmtId="0" fontId="7" fillId="0" borderId="537" xfId="0" applyFont="1" applyBorder="1">
      <alignment horizontal="center" vertical="center"/>
    </xf>
    <xf numFmtId="0" fontId="7" fillId="0" borderId="549" xfId="0" applyFont="1" applyBorder="1">
      <alignment horizontal="center" vertical="center"/>
    </xf>
    <xf numFmtId="0" fontId="7" fillId="48" borderId="536" xfId="0" applyFont="1" applyFill="1" applyBorder="1" applyAlignment="1">
      <alignment horizontal="left" vertical="center"/>
    </xf>
    <xf numFmtId="0" fontId="7" fillId="48" borderId="537" xfId="0" applyFont="1" applyFill="1" applyBorder="1">
      <alignment horizontal="center" vertical="center"/>
    </xf>
    <xf numFmtId="0" fontId="7" fillId="48" borderId="549" xfId="0" applyFont="1" applyFill="1" applyBorder="1">
      <alignment horizontal="center" vertical="center"/>
    </xf>
    <xf numFmtId="0" fontId="0" fillId="89" borderId="541" xfId="56" applyFont="1" applyBorder="1" applyAlignment="1">
      <alignment horizontal="left" vertical="center"/>
    </xf>
    <xf numFmtId="0" fontId="7" fillId="0" borderId="540" xfId="0" applyFont="1" applyBorder="1">
      <alignment horizontal="center" vertical="center"/>
    </xf>
    <xf numFmtId="0" fontId="0" fillId="0" borderId="540" xfId="0" applyBorder="1">
      <alignment horizontal="center" vertical="center"/>
    </xf>
    <xf numFmtId="0" fontId="4" fillId="0" borderId="540" xfId="0" applyFont="1" applyBorder="1" applyAlignment="1">
      <alignment horizontal="center"/>
    </xf>
    <xf numFmtId="0" fontId="4" fillId="0" borderId="541" xfId="0" applyFont="1" applyBorder="1" applyAlignment="1">
      <alignment horizontal="left" vertical="center"/>
    </xf>
    <xf numFmtId="0" fontId="0" fillId="0" borderId="541" xfId="0" applyBorder="1">
      <alignment horizontal="center" vertical="center"/>
    </xf>
    <xf numFmtId="0" fontId="59" fillId="0" borderId="548" xfId="0" applyFont="1" applyBorder="1" applyAlignment="1">
      <alignment horizontal="left" vertical="center"/>
    </xf>
    <xf numFmtId="0" fontId="4" fillId="0" borderId="543" xfId="0" applyFont="1" applyBorder="1" applyAlignment="1">
      <alignment horizontal="left" vertical="center"/>
    </xf>
    <xf numFmtId="0" fontId="0" fillId="0" borderId="542" xfId="0" applyBorder="1">
      <alignment horizontal="center" vertical="center"/>
    </xf>
    <xf numFmtId="0" fontId="59" fillId="0" borderId="544" xfId="0" applyFont="1" applyBorder="1" applyAlignment="1">
      <alignment horizontal="left" vertical="center"/>
    </xf>
    <xf numFmtId="0" fontId="0" fillId="0" borderId="543" xfId="0" applyBorder="1">
      <alignment horizontal="center" vertical="center"/>
    </xf>
    <xf numFmtId="0" fontId="13" fillId="0" borderId="543" xfId="0" applyFont="1" applyBorder="1">
      <alignment horizontal="center" vertical="center"/>
    </xf>
    <xf numFmtId="0" fontId="4" fillId="0" borderId="543" xfId="0" applyFont="1" applyBorder="1">
      <alignment horizontal="center" vertical="center"/>
    </xf>
    <xf numFmtId="0" fontId="59" fillId="0" borderId="541" xfId="0" applyFont="1" applyBorder="1" applyAlignment="1">
      <alignment horizontal="left" vertical="center"/>
    </xf>
    <xf numFmtId="0" fontId="0" fillId="0" borderId="543" xfId="0" applyBorder="1" applyAlignment="1">
      <alignment horizontal="left" vertical="center"/>
    </xf>
    <xf numFmtId="0" fontId="0" fillId="0" borderId="542" xfId="0" applyBorder="1" applyAlignment="1">
      <alignment horizontal="left" vertical="center"/>
    </xf>
    <xf numFmtId="0" fontId="59" fillId="0" borderId="545" xfId="0" applyFont="1" applyBorder="1" applyAlignment="1">
      <alignment horizontal="left" vertical="center"/>
    </xf>
    <xf numFmtId="0" fontId="6" fillId="0" borderId="547" xfId="0" applyFont="1" applyBorder="1">
      <alignment horizontal="center" vertical="center"/>
    </xf>
    <xf numFmtId="0" fontId="0" fillId="51" borderId="563" xfId="0" applyFill="1" applyBorder="1">
      <alignment horizontal="center" vertical="center"/>
    </xf>
    <xf numFmtId="0" fontId="0" fillId="51" borderId="546" xfId="48" applyFont="1" applyFill="1" applyBorder="1">
      <alignment horizontal="center" vertical="center"/>
    </xf>
    <xf numFmtId="0" fontId="0" fillId="51" borderId="564" xfId="0" applyFill="1" applyBorder="1">
      <alignment horizontal="center" vertical="center"/>
    </xf>
    <xf numFmtId="0" fontId="0" fillId="24" borderId="540" xfId="0" applyFill="1" applyBorder="1">
      <alignment horizontal="center" vertical="center"/>
    </xf>
    <xf numFmtId="0" fontId="0" fillId="43" borderId="540" xfId="0" applyFill="1" applyBorder="1" applyAlignment="1" applyProtection="1">
      <alignment horizontal="center"/>
      <protection locked="0"/>
    </xf>
    <xf numFmtId="0" fontId="7" fillId="0" borderId="540" xfId="0" applyFont="1" applyBorder="1" applyAlignment="1">
      <alignment horizontal="left" vertical="center"/>
    </xf>
    <xf numFmtId="0" fontId="7" fillId="86" borderId="540" xfId="44" applyBorder="1">
      <alignment horizontal="center" vertical="center"/>
    </xf>
    <xf numFmtId="0" fontId="7" fillId="89" borderId="540" xfId="56" applyBorder="1">
      <alignment horizontal="center" vertical="center"/>
    </xf>
    <xf numFmtId="0" fontId="7" fillId="53" borderId="540" xfId="43" applyBorder="1">
      <alignment horizontal="center" vertical="center"/>
    </xf>
    <xf numFmtId="0" fontId="0" fillId="51" borderId="558" xfId="0" applyFill="1" applyBorder="1">
      <alignment horizontal="center" vertical="center"/>
    </xf>
    <xf numFmtId="0" fontId="0" fillId="0" borderId="540" xfId="0" applyBorder="1" applyAlignment="1">
      <alignment horizontal="left" vertical="center"/>
    </xf>
    <xf numFmtId="1" fontId="0" fillId="51" borderId="540" xfId="0" applyNumberFormat="1" applyFill="1" applyBorder="1">
      <alignment horizontal="center" vertical="center"/>
    </xf>
    <xf numFmtId="0" fontId="0" fillId="51" borderId="540" xfId="43" applyFont="1" applyFill="1" applyBorder="1">
      <alignment horizontal="center" vertical="center"/>
    </xf>
    <xf numFmtId="0" fontId="0" fillId="51" borderId="540" xfId="44" applyFont="1" applyFill="1" applyBorder="1">
      <alignment horizontal="center" vertical="center"/>
    </xf>
    <xf numFmtId="0" fontId="7" fillId="0" borderId="540" xfId="53" applyBorder="1">
      <alignment horizontal="center" vertical="center"/>
    </xf>
    <xf numFmtId="0" fontId="0" fillId="51" borderId="540" xfId="20" applyFont="1" applyFill="1" applyBorder="1" applyAlignment="1">
      <alignment horizontal="center" vertical="center"/>
    </xf>
    <xf numFmtId="1" fontId="0" fillId="51" borderId="558" xfId="0" applyNumberFormat="1" applyFill="1" applyBorder="1">
      <alignment horizontal="center" vertical="center"/>
    </xf>
    <xf numFmtId="0" fontId="7" fillId="88" borderId="540" xfId="47" applyBorder="1">
      <alignment horizontal="center" vertical="center"/>
    </xf>
    <xf numFmtId="0" fontId="0" fillId="51" borderId="540" xfId="48" applyFont="1" applyFill="1" applyBorder="1">
      <alignment horizontal="center" vertical="center"/>
    </xf>
    <xf numFmtId="1" fontId="0" fillId="51" borderId="540" xfId="32" applyNumberFormat="1" applyFont="1" applyFill="1" applyBorder="1" applyAlignment="1">
      <alignment horizontal="center" vertical="center"/>
    </xf>
    <xf numFmtId="49" fontId="0" fillId="51" borderId="540" xfId="0" applyNumberFormat="1" applyFill="1" applyBorder="1">
      <alignment horizontal="center" vertical="center"/>
    </xf>
    <xf numFmtId="0" fontId="7" fillId="52" borderId="540" xfId="48" applyBorder="1">
      <alignment horizontal="center" vertical="center"/>
    </xf>
    <xf numFmtId="0" fontId="7" fillId="55" borderId="540" xfId="45" applyBorder="1">
      <alignment horizontal="center" vertical="center"/>
    </xf>
    <xf numFmtId="0" fontId="0" fillId="51" borderId="540" xfId="49" applyFont="1" applyFill="1" applyBorder="1">
      <alignment horizontal="center" vertical="center"/>
    </xf>
    <xf numFmtId="0" fontId="7" fillId="89" borderId="410" xfId="56" applyBorder="1">
      <alignment horizontal="center" vertical="center"/>
    </xf>
    <xf numFmtId="1" fontId="36" fillId="17" borderId="565" xfId="34" applyNumberFormat="1" applyBorder="1" applyAlignment="1">
      <alignment horizontal="center" vertical="center"/>
    </xf>
    <xf numFmtId="49" fontId="0" fillId="51" borderId="410" xfId="0" applyNumberFormat="1" applyFill="1" applyBorder="1">
      <alignment horizontal="center" vertical="center"/>
    </xf>
    <xf numFmtId="0" fontId="7" fillId="0" borderId="410" xfId="53" applyBorder="1">
      <alignment horizontal="center" vertical="center"/>
    </xf>
    <xf numFmtId="1" fontId="0" fillId="51" borderId="566" xfId="0" applyNumberFormat="1" applyFill="1" applyBorder="1">
      <alignment horizontal="center" vertical="center"/>
    </xf>
    <xf numFmtId="0" fontId="0" fillId="43" borderId="559" xfId="0" applyFill="1" applyBorder="1" applyAlignment="1" applyProtection="1">
      <alignment horizontal="center"/>
      <protection locked="0"/>
    </xf>
    <xf numFmtId="0" fontId="0" fillId="0" borderId="559" xfId="0" applyBorder="1" applyAlignment="1">
      <alignment horizontal="left" vertical="center"/>
    </xf>
    <xf numFmtId="0" fontId="0" fillId="51" borderId="559" xfId="43" applyFont="1" applyFill="1" applyBorder="1">
      <alignment horizontal="center" vertical="center"/>
    </xf>
    <xf numFmtId="1" fontId="0" fillId="51" borderId="559" xfId="20" applyNumberFormat="1" applyFont="1" applyFill="1" applyBorder="1" applyAlignment="1">
      <alignment horizontal="center" vertical="center"/>
    </xf>
    <xf numFmtId="0" fontId="0" fillId="51" borderId="559" xfId="0" applyFill="1" applyBorder="1">
      <alignment horizontal="center" vertical="center"/>
    </xf>
    <xf numFmtId="49" fontId="0" fillId="51" borderId="559" xfId="0" applyNumberFormat="1" applyFill="1" applyBorder="1">
      <alignment horizontal="center" vertical="center"/>
    </xf>
    <xf numFmtId="0" fontId="0" fillId="51" borderId="559" xfId="44" applyFont="1" applyFill="1" applyBorder="1">
      <alignment horizontal="center" vertical="center"/>
    </xf>
    <xf numFmtId="1" fontId="0" fillId="51" borderId="559" xfId="0" applyNumberFormat="1" applyFill="1" applyBorder="1">
      <alignment horizontal="center" vertical="center"/>
    </xf>
    <xf numFmtId="0" fontId="0" fillId="51" borderId="559" xfId="46" applyFont="1" applyFill="1" applyBorder="1">
      <alignment horizontal="center" vertical="center"/>
    </xf>
    <xf numFmtId="1" fontId="0" fillId="51" borderId="567" xfId="0" applyNumberFormat="1" applyFill="1" applyBorder="1">
      <alignment horizontal="center" vertical="center"/>
    </xf>
    <xf numFmtId="0" fontId="0" fillId="56" borderId="494" xfId="0" applyFill="1" applyBorder="1">
      <alignment horizontal="center" vertical="center"/>
    </xf>
    <xf numFmtId="1" fontId="0" fillId="53" borderId="540" xfId="0" applyNumberFormat="1" applyFill="1" applyBorder="1">
      <alignment horizontal="center" vertical="center"/>
    </xf>
    <xf numFmtId="1" fontId="0" fillId="51" borderId="540" xfId="44" applyNumberFormat="1" applyFont="1" applyFill="1" applyBorder="1">
      <alignment horizontal="center" vertical="center"/>
    </xf>
    <xf numFmtId="0" fontId="0" fillId="0" borderId="547" xfId="0" applyBorder="1">
      <alignment horizontal="center" vertical="center"/>
    </xf>
    <xf numFmtId="173" fontId="0" fillId="0" borderId="547" xfId="0" applyNumberFormat="1" applyBorder="1">
      <alignment horizontal="center" vertical="center"/>
    </xf>
    <xf numFmtId="0" fontId="0" fillId="0" borderId="568" xfId="0" applyBorder="1">
      <alignment horizontal="center" vertical="center"/>
    </xf>
    <xf numFmtId="49" fontId="0" fillId="51" borderId="558" xfId="0" applyNumberFormat="1" applyFill="1" applyBorder="1">
      <alignment horizontal="center" vertical="center"/>
    </xf>
    <xf numFmtId="0" fontId="0" fillId="0" borderId="559" xfId="0" applyBorder="1" applyAlignment="1">
      <alignment vertical="center"/>
    </xf>
    <xf numFmtId="0" fontId="0" fillId="86" borderId="559" xfId="32" applyFont="1" applyFill="1" applyBorder="1" applyAlignment="1">
      <alignment horizontal="center" vertical="center"/>
    </xf>
    <xf numFmtId="0" fontId="0" fillId="86" borderId="559" xfId="43" applyFont="1" applyFill="1" applyBorder="1">
      <alignment horizontal="center" vertical="center"/>
    </xf>
    <xf numFmtId="0" fontId="0" fillId="86" borderId="559" xfId="0" applyFill="1" applyBorder="1">
      <alignment horizontal="center" vertical="center"/>
    </xf>
    <xf numFmtId="0" fontId="0" fillId="51" borderId="559" xfId="32" applyFont="1" applyFill="1" applyBorder="1" applyAlignment="1">
      <alignment horizontal="center" vertical="center"/>
    </xf>
    <xf numFmtId="0" fontId="0" fillId="51" borderId="567" xfId="0" applyFill="1" applyBorder="1">
      <alignment horizontal="center" vertical="center"/>
    </xf>
    <xf numFmtId="0" fontId="4" fillId="0" borderId="569" xfId="0" applyFont="1" applyBorder="1" applyAlignment="1">
      <alignment horizontal="left" vertical="center"/>
    </xf>
    <xf numFmtId="0" fontId="4" fillId="0" borderId="536" xfId="0" applyFont="1" applyBorder="1" applyAlignment="1">
      <alignment vertical="center"/>
    </xf>
    <xf numFmtId="0" fontId="13" fillId="0" borderId="521" xfId="0" applyFont="1" applyBorder="1">
      <alignment horizontal="center" vertical="center"/>
    </xf>
    <xf numFmtId="0" fontId="0" fillId="0" borderId="549" xfId="0" applyBorder="1">
      <alignment horizontal="center" vertical="center"/>
    </xf>
    <xf numFmtId="0" fontId="4" fillId="0" borderId="555" xfId="0" applyFont="1" applyBorder="1" applyAlignment="1">
      <alignment horizontal="left" vertical="center"/>
    </xf>
    <xf numFmtId="0" fontId="0" fillId="0" borderId="536" xfId="0" applyBorder="1" applyAlignment="1">
      <alignment vertical="center"/>
    </xf>
    <xf numFmtId="0" fontId="4" fillId="0" borderId="536" xfId="0" applyFont="1" applyBorder="1">
      <alignment horizontal="center" vertical="center"/>
    </xf>
    <xf numFmtId="0" fontId="0" fillId="0" borderId="521" xfId="0" applyBorder="1" applyAlignment="1">
      <alignment horizontal="left" vertical="center"/>
    </xf>
    <xf numFmtId="0" fontId="4" fillId="0" borderId="556" xfId="0" applyFont="1" applyBorder="1" applyAlignment="1">
      <alignment horizontal="left" vertical="center"/>
    </xf>
    <xf numFmtId="0" fontId="0" fillId="0" borderId="557" xfId="0" applyBorder="1">
      <alignment horizontal="center" vertical="center"/>
    </xf>
    <xf numFmtId="0" fontId="0" fillId="0" borderId="539" xfId="0" applyBorder="1" applyAlignment="1">
      <alignment vertical="center"/>
    </xf>
    <xf numFmtId="0" fontId="0" fillId="0" borderId="570" xfId="0" applyBorder="1">
      <alignment horizontal="center" vertical="center"/>
    </xf>
    <xf numFmtId="0" fontId="4" fillId="0" borderId="539" xfId="0" applyFont="1" applyBorder="1">
      <alignment horizontal="center" vertical="center"/>
    </xf>
    <xf numFmtId="0" fontId="0" fillId="0" borderId="557" xfId="0" applyBorder="1" applyAlignment="1">
      <alignment horizontal="left" vertical="center"/>
    </xf>
    <xf numFmtId="0" fontId="13" fillId="0" borderId="557" xfId="0" applyFont="1" applyBorder="1">
      <alignment horizontal="center" vertical="center"/>
    </xf>
    <xf numFmtId="0" fontId="4" fillId="0" borderId="557" xfId="0" applyFont="1" applyBorder="1" applyAlignment="1">
      <alignment horizontal="left" vertical="center"/>
    </xf>
    <xf numFmtId="0" fontId="0" fillId="0" borderId="571" xfId="0" applyBorder="1">
      <alignment horizontal="center" vertical="center"/>
    </xf>
    <xf numFmtId="0" fontId="0" fillId="0" borderId="494" xfId="0" applyBorder="1">
      <alignment horizontal="center" vertical="center"/>
    </xf>
    <xf numFmtId="0" fontId="0" fillId="43" borderId="572" xfId="0" applyFill="1" applyBorder="1" applyAlignment="1" applyProtection="1">
      <alignment horizontal="center"/>
      <protection locked="0"/>
    </xf>
    <xf numFmtId="0" fontId="0" fillId="51" borderId="559" xfId="48" applyFont="1" applyFill="1" applyBorder="1">
      <alignment horizontal="center" vertical="center"/>
    </xf>
    <xf numFmtId="0" fontId="0" fillId="43" borderId="573" xfId="0" applyFill="1" applyBorder="1" applyAlignment="1" applyProtection="1">
      <alignment horizontal="center"/>
      <protection locked="0"/>
    </xf>
    <xf numFmtId="0" fontId="0" fillId="51" borderId="559" xfId="53" applyFont="1" applyFill="1" applyBorder="1">
      <alignment horizontal="center" vertical="center"/>
    </xf>
    <xf numFmtId="0" fontId="7" fillId="53" borderId="559" xfId="43" applyBorder="1">
      <alignment horizontal="center" vertical="center"/>
    </xf>
    <xf numFmtId="0" fontId="7" fillId="86" borderId="559" xfId="44" applyBorder="1">
      <alignment horizontal="center" vertical="center"/>
    </xf>
    <xf numFmtId="49" fontId="0" fillId="53" borderId="559" xfId="0" applyNumberFormat="1" applyFill="1" applyBorder="1">
      <alignment horizontal="center" vertical="center"/>
    </xf>
    <xf numFmtId="49" fontId="0" fillId="51" borderId="567" xfId="0" applyNumberFormat="1" applyFill="1" applyBorder="1">
      <alignment horizontal="center" vertical="center"/>
    </xf>
    <xf numFmtId="0" fontId="0" fillId="0" borderId="541" xfId="0" applyBorder="1" applyAlignment="1">
      <alignment horizontal="left" vertical="center"/>
    </xf>
    <xf numFmtId="0" fontId="0" fillId="51" borderId="540" xfId="46" applyFont="1" applyFill="1" applyBorder="1">
      <alignment horizontal="center" vertical="center"/>
    </xf>
    <xf numFmtId="0" fontId="0" fillId="51" borderId="540" xfId="45" applyFont="1" applyFill="1" applyBorder="1">
      <alignment horizontal="center" vertical="center"/>
    </xf>
    <xf numFmtId="0" fontId="0" fillId="51" borderId="559" xfId="0" applyFill="1" applyBorder="1" applyAlignment="1">
      <alignment horizontal="left" vertical="center"/>
    </xf>
    <xf numFmtId="0" fontId="7" fillId="55" borderId="559" xfId="45" applyBorder="1">
      <alignment horizontal="center" vertical="center"/>
    </xf>
    <xf numFmtId="0" fontId="0" fillId="0" borderId="559" xfId="0" applyBorder="1">
      <alignment horizontal="center" vertical="center"/>
    </xf>
    <xf numFmtId="0" fontId="0" fillId="51" borderId="567" xfId="53" applyFont="1" applyFill="1" applyBorder="1">
      <alignment horizontal="center" vertical="center"/>
    </xf>
    <xf numFmtId="0" fontId="7" fillId="89" borderId="559" xfId="56" applyBorder="1">
      <alignment horizontal="center" vertical="center"/>
    </xf>
    <xf numFmtId="49" fontId="0" fillId="55" borderId="559" xfId="0" applyNumberFormat="1" applyFill="1" applyBorder="1">
      <alignment horizontal="center" vertical="center"/>
    </xf>
    <xf numFmtId="0" fontId="0" fillId="53" borderId="540" xfId="44" applyFont="1" applyFill="1" applyBorder="1">
      <alignment horizontal="center" vertical="center"/>
    </xf>
    <xf numFmtId="0" fontId="0" fillId="53" borderId="540" xfId="48" applyFont="1" applyFill="1" applyBorder="1">
      <alignment horizontal="center" vertical="center"/>
    </xf>
    <xf numFmtId="0" fontId="7" fillId="51" borderId="540" xfId="43" applyFill="1" applyBorder="1">
      <alignment horizontal="center" vertical="center"/>
    </xf>
    <xf numFmtId="0" fontId="0" fillId="51" borderId="567" xfId="44" applyFont="1" applyFill="1" applyBorder="1">
      <alignment horizontal="center" vertical="center"/>
    </xf>
    <xf numFmtId="0" fontId="6" fillId="0" borderId="540" xfId="0" applyFont="1" applyBorder="1" applyAlignment="1">
      <alignment horizontal="left"/>
    </xf>
    <xf numFmtId="0" fontId="7" fillId="0" borderId="536" xfId="0" applyFont="1" applyBorder="1">
      <alignment horizontal="center" vertical="center"/>
    </xf>
    <xf numFmtId="0" fontId="0" fillId="0" borderId="536" xfId="0" applyBorder="1" applyAlignment="1">
      <alignment horizontal="left"/>
    </xf>
    <xf numFmtId="0" fontId="0" fillId="0" borderId="521" xfId="0" applyBorder="1" applyAlignment="1">
      <alignment horizontal="left"/>
    </xf>
    <xf numFmtId="0" fontId="7" fillId="0" borderId="549" xfId="0" applyFont="1" applyBorder="1" applyAlignment="1">
      <alignment horizontal="left"/>
    </xf>
    <xf numFmtId="0" fontId="6" fillId="0" borderId="536" xfId="0" applyFont="1" applyBorder="1" applyAlignment="1">
      <alignment horizontal="left"/>
    </xf>
    <xf numFmtId="0" fontId="4" fillId="0" borderId="559" xfId="0" applyFont="1" applyBorder="1" applyAlignment="1" applyProtection="1">
      <alignment horizontal="center"/>
      <protection locked="0"/>
    </xf>
    <xf numFmtId="0" fontId="6" fillId="0" borderId="559" xfId="0" applyFont="1" applyBorder="1" applyAlignment="1">
      <alignment horizontal="center"/>
    </xf>
    <xf numFmtId="0" fontId="0" fillId="0" borderId="547" xfId="0" applyBorder="1" applyAlignment="1">
      <alignment horizontal="left" vertical="center"/>
    </xf>
    <xf numFmtId="0" fontId="0" fillId="51" borderId="541" xfId="0" applyFill="1" applyBorder="1" applyAlignment="1">
      <alignment horizontal="left" vertical="center"/>
    </xf>
    <xf numFmtId="49" fontId="0" fillId="53" borderId="540" xfId="0" applyNumberFormat="1" applyFill="1" applyBorder="1">
      <alignment horizontal="center" vertical="center"/>
    </xf>
    <xf numFmtId="0" fontId="0" fillId="51" borderId="558" xfId="48" applyFont="1" applyFill="1" applyBorder="1">
      <alignment horizontal="center" vertical="center"/>
    </xf>
    <xf numFmtId="0" fontId="51" fillId="56" borderId="540" xfId="46" applyBorder="1">
      <alignment horizontal="center" vertical="center"/>
    </xf>
    <xf numFmtId="0" fontId="7" fillId="58" borderId="540" xfId="33" applyBorder="1">
      <alignment horizontal="center" vertical="center"/>
    </xf>
    <xf numFmtId="0" fontId="0" fillId="51" borderId="547" xfId="0" applyFill="1" applyBorder="1" applyAlignment="1">
      <alignment horizontal="left" vertical="center"/>
    </xf>
    <xf numFmtId="0" fontId="18" fillId="0" borderId="547" xfId="0" applyFont="1" applyBorder="1" applyAlignment="1" applyProtection="1">
      <alignment horizontal="center"/>
      <protection locked="0"/>
    </xf>
    <xf numFmtId="0" fontId="0" fillId="51" borderId="541" xfId="0" applyFill="1" applyBorder="1" applyAlignment="1">
      <alignment horizontal="left" vertical="center" wrapText="1"/>
    </xf>
    <xf numFmtId="0" fontId="0" fillId="51" borderId="558" xfId="53" applyFont="1" applyFill="1" applyBorder="1">
      <alignment horizontal="center" vertical="center"/>
    </xf>
    <xf numFmtId="0" fontId="0" fillId="51" borderId="540" xfId="20" applyNumberFormat="1" applyFont="1" applyFill="1" applyBorder="1" applyAlignment="1">
      <alignment horizontal="center" vertical="center"/>
    </xf>
    <xf numFmtId="0" fontId="59" fillId="0" borderId="547" xfId="0" applyFont="1" applyBorder="1" applyAlignment="1">
      <alignment horizontal="left" vertical="center"/>
    </xf>
    <xf numFmtId="49" fontId="0" fillId="55" borderId="540" xfId="0" applyNumberFormat="1" applyFill="1" applyBorder="1">
      <alignment horizontal="center" vertical="center"/>
    </xf>
    <xf numFmtId="0" fontId="7" fillId="51" borderId="540" xfId="47" applyFill="1" applyBorder="1">
      <alignment horizontal="center" vertical="center"/>
    </xf>
    <xf numFmtId="0" fontId="0" fillId="51" borderId="547" xfId="0" applyFill="1" applyBorder="1">
      <alignment horizontal="center" vertical="center"/>
    </xf>
    <xf numFmtId="0" fontId="0" fillId="51" borderId="561" xfId="44" applyFont="1" applyFill="1" applyBorder="1">
      <alignment horizontal="center" vertical="center"/>
    </xf>
    <xf numFmtId="49" fontId="0" fillId="51" borderId="574" xfId="0" applyNumberFormat="1" applyFill="1" applyBorder="1">
      <alignment horizontal="center" vertical="center"/>
    </xf>
    <xf numFmtId="0" fontId="0" fillId="0" borderId="545" xfId="0" applyBorder="1" applyAlignment="1">
      <alignment horizontal="left" vertical="center"/>
    </xf>
    <xf numFmtId="49" fontId="0" fillId="51" borderId="547" xfId="0" applyNumberFormat="1" applyFill="1" applyBorder="1">
      <alignment horizontal="center" vertical="center"/>
    </xf>
    <xf numFmtId="0" fontId="7" fillId="0" borderId="547" xfId="53" applyBorder="1">
      <alignment horizontal="center" vertical="center"/>
    </xf>
    <xf numFmtId="0" fontId="18" fillId="0" borderId="546" xfId="0" applyFont="1" applyBorder="1" applyAlignment="1" applyProtection="1">
      <alignment horizontal="center"/>
      <protection locked="0"/>
    </xf>
    <xf numFmtId="1" fontId="0" fillId="51" borderId="561" xfId="32" applyNumberFormat="1" applyFont="1" applyFill="1" applyBorder="1" applyAlignment="1">
      <alignment horizontal="center" vertical="center"/>
    </xf>
    <xf numFmtId="0" fontId="7" fillId="53" borderId="492" xfId="43" applyBorder="1">
      <alignment horizontal="center" vertical="center"/>
    </xf>
    <xf numFmtId="0" fontId="71" fillId="53" borderId="492" xfId="0" applyFont="1" applyFill="1" applyBorder="1">
      <alignment horizontal="center" vertical="center"/>
    </xf>
    <xf numFmtId="0" fontId="71" fillId="53" borderId="492" xfId="48" applyFont="1" applyFill="1" applyBorder="1">
      <alignment horizontal="center" vertical="center"/>
    </xf>
    <xf numFmtId="0" fontId="0" fillId="51" borderId="547" xfId="48" applyFont="1" applyFill="1" applyBorder="1">
      <alignment horizontal="center" vertical="center"/>
    </xf>
    <xf numFmtId="49" fontId="0" fillId="51" borderId="548" xfId="0" applyNumberFormat="1" applyFill="1" applyBorder="1">
      <alignment horizontal="center" vertical="center"/>
    </xf>
    <xf numFmtId="0" fontId="18" fillId="0" borderId="216" xfId="0" applyFont="1" applyBorder="1" applyAlignment="1" applyProtection="1">
      <alignment horizontal="center"/>
      <protection locked="0"/>
    </xf>
    <xf numFmtId="0" fontId="0" fillId="0" borderId="546" xfId="0" applyBorder="1" applyAlignment="1">
      <alignment horizontal="left" vertical="center"/>
    </xf>
    <xf numFmtId="0" fontId="0" fillId="51" borderId="575" xfId="0" applyFill="1" applyBorder="1">
      <alignment horizontal="center" vertical="center"/>
    </xf>
    <xf numFmtId="0" fontId="0" fillId="51" borderId="504" xfId="44" applyFont="1" applyFill="1" applyBorder="1">
      <alignment horizontal="center" vertical="center"/>
    </xf>
    <xf numFmtId="0" fontId="0" fillId="51" borderId="492" xfId="43" applyFont="1" applyFill="1" applyBorder="1">
      <alignment horizontal="center" vertical="center"/>
    </xf>
    <xf numFmtId="0" fontId="4" fillId="0" borderId="540" xfId="0" applyFont="1" applyBorder="1" applyAlignment="1" applyProtection="1">
      <alignment horizontal="center"/>
      <protection locked="0"/>
    </xf>
    <xf numFmtId="0" fontId="0" fillId="51" borderId="542" xfId="48" applyFont="1" applyFill="1" applyBorder="1">
      <alignment horizontal="center" vertical="center"/>
    </xf>
    <xf numFmtId="0" fontId="7" fillId="88" borderId="542" xfId="47" applyBorder="1">
      <alignment horizontal="center" vertical="center"/>
    </xf>
    <xf numFmtId="0" fontId="7" fillId="88" borderId="547" xfId="47" applyBorder="1">
      <alignment horizontal="center" vertical="center"/>
    </xf>
    <xf numFmtId="0" fontId="7" fillId="55" borderId="547" xfId="45" applyBorder="1">
      <alignment horizontal="center" vertical="center"/>
    </xf>
    <xf numFmtId="0" fontId="0" fillId="51" borderId="575" xfId="48" applyFont="1" applyFill="1" applyBorder="1">
      <alignment horizontal="center" vertical="center"/>
    </xf>
    <xf numFmtId="0" fontId="0" fillId="51" borderId="576" xfId="48" applyFont="1" applyFill="1" applyBorder="1">
      <alignment horizontal="center" vertical="center"/>
    </xf>
    <xf numFmtId="0" fontId="0" fillId="51" borderId="576" xfId="0" applyFill="1" applyBorder="1">
      <alignment horizontal="center" vertical="center"/>
    </xf>
    <xf numFmtId="49" fontId="0" fillId="51" borderId="577" xfId="0" applyNumberFormat="1" applyFill="1" applyBorder="1">
      <alignment horizontal="center" vertical="center"/>
    </xf>
    <xf numFmtId="0" fontId="0" fillId="51" borderId="540" xfId="47" applyFont="1" applyFill="1" applyBorder="1">
      <alignment horizontal="center" vertical="center"/>
    </xf>
    <xf numFmtId="0" fontId="0" fillId="51" borderId="558" xfId="47" applyFont="1" applyFill="1" applyBorder="1">
      <alignment horizontal="center" vertical="center"/>
    </xf>
    <xf numFmtId="0" fontId="0" fillId="51" borderId="559" xfId="47" applyFont="1" applyFill="1" applyBorder="1">
      <alignment horizontal="center" vertical="center"/>
    </xf>
    <xf numFmtId="0" fontId="0" fillId="43" borderId="536" xfId="0" applyFill="1" applyBorder="1" applyAlignment="1" applyProtection="1">
      <alignment horizontal="center"/>
      <protection locked="0"/>
    </xf>
    <xf numFmtId="20" fontId="0" fillId="0" borderId="536" xfId="0" applyNumberFormat="1" applyBorder="1" applyAlignment="1">
      <alignment horizontal="left"/>
    </xf>
    <xf numFmtId="0" fontId="0" fillId="0" borderId="536" xfId="0" applyBorder="1" applyAlignment="1">
      <alignment horizontal="left" vertical="center"/>
    </xf>
    <xf numFmtId="0" fontId="0" fillId="0" borderId="578" xfId="0" applyBorder="1">
      <alignment horizontal="center" vertical="center"/>
    </xf>
    <xf numFmtId="0" fontId="0" fillId="70" borderId="547" xfId="0" applyFill="1" applyBorder="1">
      <alignment horizontal="center" vertical="center"/>
    </xf>
    <xf numFmtId="0" fontId="0" fillId="55" borderId="540" xfId="47" applyFont="1" applyFill="1" applyBorder="1">
      <alignment horizontal="center" vertical="center"/>
    </xf>
    <xf numFmtId="0" fontId="0" fillId="86" borderId="123" xfId="47" applyFont="1" applyFill="1" applyBorder="1">
      <alignment horizontal="center" vertical="center"/>
    </xf>
    <xf numFmtId="0" fontId="0" fillId="0" borderId="540" xfId="47" applyFont="1" applyFill="1" applyBorder="1">
      <alignment horizontal="center" vertical="center"/>
    </xf>
    <xf numFmtId="0" fontId="0" fillId="53" borderId="540" xfId="47" applyFont="1" applyFill="1" applyBorder="1">
      <alignment horizontal="center" vertical="center"/>
    </xf>
    <xf numFmtId="0" fontId="58" fillId="0" borderId="546" xfId="0" applyFont="1" applyBorder="1" applyAlignment="1"/>
    <xf numFmtId="0" fontId="61" fillId="60" borderId="492" xfId="51" applyBorder="1">
      <alignment horizontal="center" vertical="center"/>
    </xf>
    <xf numFmtId="1" fontId="0" fillId="51" borderId="492" xfId="32" applyNumberFormat="1" applyFont="1" applyFill="1" applyBorder="1" applyAlignment="1">
      <alignment horizontal="center" vertical="center"/>
    </xf>
    <xf numFmtId="0" fontId="0" fillId="73" borderId="547" xfId="0" applyFill="1" applyBorder="1" applyAlignment="1"/>
    <xf numFmtId="1" fontId="0" fillId="51" borderId="547" xfId="32" applyNumberFormat="1" applyFont="1" applyFill="1" applyBorder="1" applyAlignment="1">
      <alignment horizontal="center" vertical="center"/>
    </xf>
    <xf numFmtId="0" fontId="0" fillId="0" borderId="546" xfId="0" applyBorder="1">
      <alignment horizontal="center" vertical="center"/>
    </xf>
    <xf numFmtId="173" fontId="0" fillId="0" borderId="546" xfId="0" applyNumberFormat="1" applyBorder="1">
      <alignment horizontal="center" vertical="center"/>
    </xf>
    <xf numFmtId="0" fontId="0" fillId="55" borderId="492" xfId="0" applyFill="1" applyBorder="1">
      <alignment horizontal="center" vertical="center"/>
    </xf>
    <xf numFmtId="0" fontId="7" fillId="55" borderId="492" xfId="45" applyBorder="1">
      <alignment horizontal="center" vertical="center"/>
    </xf>
    <xf numFmtId="0" fontId="7" fillId="52" borderId="492" xfId="48" applyBorder="1">
      <alignment horizontal="center" vertical="center"/>
    </xf>
    <xf numFmtId="49" fontId="0" fillId="55" borderId="492" xfId="0" applyNumberFormat="1" applyFill="1" applyBorder="1">
      <alignment horizontal="center" vertical="center"/>
    </xf>
    <xf numFmtId="0" fontId="4" fillId="0" borderId="572" xfId="0" applyFont="1" applyBorder="1" applyAlignment="1">
      <alignment horizontal="center"/>
    </xf>
    <xf numFmtId="0" fontId="7" fillId="0" borderId="536" xfId="0" applyFont="1" applyBorder="1" applyAlignment="1">
      <alignment horizontal="left" vertical="center"/>
    </xf>
    <xf numFmtId="0" fontId="7" fillId="0" borderId="538" xfId="0" applyFont="1" applyBorder="1" applyAlignment="1">
      <alignment horizontal="left" vertical="center"/>
    </xf>
    <xf numFmtId="0" fontId="0" fillId="52" borderId="494" xfId="0" applyFill="1" applyBorder="1">
      <alignment horizontal="center" vertical="center"/>
    </xf>
    <xf numFmtId="0" fontId="0" fillId="0" borderId="555" xfId="0" applyBorder="1" applyAlignment="1">
      <alignment horizontal="center"/>
    </xf>
    <xf numFmtId="0" fontId="4" fillId="0" borderId="536" xfId="0" applyFont="1" applyBorder="1" applyAlignment="1">
      <alignment horizontal="left"/>
    </xf>
    <xf numFmtId="0" fontId="0" fillId="0" borderId="549" xfId="0" applyBorder="1" applyAlignment="1">
      <alignment horizontal="left"/>
    </xf>
    <xf numFmtId="0" fontId="4" fillId="0" borderId="549" xfId="0" applyFont="1" applyBorder="1" applyAlignment="1">
      <alignment horizontal="left"/>
    </xf>
    <xf numFmtId="0" fontId="0" fillId="0" borderId="536" xfId="0" applyBorder="1" applyAlignment="1">
      <alignment horizontal="center"/>
    </xf>
    <xf numFmtId="0" fontId="0" fillId="0" borderId="538" xfId="0" applyBorder="1" applyAlignment="1"/>
    <xf numFmtId="0" fontId="0" fillId="0" borderId="556" xfId="0" applyBorder="1" applyAlignment="1">
      <alignment horizontal="center"/>
    </xf>
    <xf numFmtId="0" fontId="4" fillId="0" borderId="539" xfId="0" applyFont="1" applyBorder="1" applyAlignment="1">
      <alignment horizontal="left"/>
    </xf>
    <xf numFmtId="0" fontId="7" fillId="0" borderId="557" xfId="0" applyFont="1" applyBorder="1" applyAlignment="1">
      <alignment horizontal="left" vertical="center"/>
    </xf>
    <xf numFmtId="0" fontId="7" fillId="0" borderId="557" xfId="0" applyFont="1" applyBorder="1">
      <alignment horizontal="center" vertical="center"/>
    </xf>
    <xf numFmtId="0" fontId="7" fillId="0" borderId="570" xfId="0" applyFont="1" applyBorder="1">
      <alignment horizontal="center" vertical="center"/>
    </xf>
    <xf numFmtId="0" fontId="7" fillId="0" borderId="539" xfId="0" applyFont="1" applyBorder="1" applyAlignment="1">
      <alignment horizontal="left" vertical="center"/>
    </xf>
    <xf numFmtId="0" fontId="7" fillId="0" borderId="557" xfId="0" applyFont="1" applyBorder="1" applyAlignment="1">
      <alignment horizontal="left"/>
    </xf>
    <xf numFmtId="0" fontId="7" fillId="0" borderId="570" xfId="0" applyFont="1" applyBorder="1" applyAlignment="1">
      <alignment horizontal="left" vertical="center"/>
    </xf>
    <xf numFmtId="0" fontId="0" fillId="0" borderId="557" xfId="0" applyBorder="1" applyAlignment="1">
      <alignment horizontal="left"/>
    </xf>
    <xf numFmtId="0" fontId="0" fillId="0" borderId="571" xfId="0" applyBorder="1" applyAlignment="1"/>
    <xf numFmtId="0" fontId="36" fillId="17" borderId="565" xfId="34" applyBorder="1" applyAlignment="1">
      <alignment horizontal="center" vertical="center"/>
    </xf>
    <xf numFmtId="0" fontId="4" fillId="43" borderId="540" xfId="0" applyFont="1" applyFill="1" applyBorder="1" applyAlignment="1">
      <alignment horizontal="center"/>
    </xf>
    <xf numFmtId="0" fontId="0" fillId="51" borderId="540" xfId="0" applyFill="1" applyBorder="1" applyAlignment="1">
      <alignment horizontal="left" vertical="center"/>
    </xf>
    <xf numFmtId="0" fontId="0" fillId="51" borderId="540" xfId="51" applyFont="1" applyFill="1" applyBorder="1">
      <alignment horizontal="center" vertical="center"/>
    </xf>
    <xf numFmtId="0" fontId="0" fillId="51" borderId="558" xfId="51" applyFont="1" applyFill="1" applyBorder="1">
      <alignment horizontal="center" vertical="center"/>
    </xf>
    <xf numFmtId="0" fontId="4" fillId="43" borderId="559" xfId="0" applyFont="1" applyFill="1" applyBorder="1" applyAlignment="1">
      <alignment horizontal="center"/>
    </xf>
    <xf numFmtId="0" fontId="0" fillId="51" borderId="567" xfId="48" applyFont="1" applyFill="1" applyBorder="1">
      <alignment horizontal="center" vertical="center"/>
    </xf>
    <xf numFmtId="0" fontId="9" fillId="51" borderId="579" xfId="20" applyFont="1" applyFill="1" applyBorder="1" applyAlignment="1">
      <alignment horizontal="center" vertical="center"/>
    </xf>
    <xf numFmtId="0" fontId="0" fillId="0" borderId="539" xfId="0" applyBorder="1" applyAlignment="1">
      <alignment horizontal="left"/>
    </xf>
    <xf numFmtId="0" fontId="0" fillId="0" borderId="557" xfId="0" applyBorder="1" applyAlignment="1"/>
    <xf numFmtId="0" fontId="0" fillId="0" borderId="570" xfId="0" applyBorder="1" applyAlignment="1">
      <alignment horizontal="left"/>
    </xf>
    <xf numFmtId="0" fontId="0" fillId="0" borderId="539" xfId="0" applyBorder="1" applyAlignment="1">
      <alignment horizontal="center"/>
    </xf>
    <xf numFmtId="0" fontId="4" fillId="43" borderId="547" xfId="0" applyFont="1" applyFill="1" applyBorder="1" applyAlignment="1">
      <alignment horizontal="center"/>
    </xf>
    <xf numFmtId="0" fontId="0" fillId="51" borderId="547" xfId="44" applyFont="1" applyFill="1" applyBorder="1">
      <alignment horizontal="center" vertical="center"/>
    </xf>
    <xf numFmtId="0" fontId="0" fillId="51" borderId="548" xfId="0" applyFill="1" applyBorder="1">
      <alignment horizontal="center" vertical="center"/>
    </xf>
    <xf numFmtId="0" fontId="0" fillId="51" borderId="547" xfId="46" applyFont="1" applyFill="1" applyBorder="1">
      <alignment horizontal="center" vertical="center"/>
    </xf>
    <xf numFmtId="0" fontId="0" fillId="60" borderId="547" xfId="0" applyFill="1" applyBorder="1">
      <alignment horizontal="center" vertical="center"/>
    </xf>
    <xf numFmtId="0" fontId="0" fillId="60" borderId="547" xfId="48" applyFont="1" applyFill="1" applyBorder="1">
      <alignment horizontal="center" vertical="center"/>
    </xf>
    <xf numFmtId="0" fontId="0" fillId="60" borderId="547" xfId="46" applyFont="1" applyFill="1" applyBorder="1">
      <alignment horizontal="center" vertical="center"/>
    </xf>
    <xf numFmtId="49" fontId="0" fillId="60" borderId="547" xfId="0" applyNumberFormat="1" applyFill="1" applyBorder="1">
      <alignment horizontal="center" vertical="center"/>
    </xf>
    <xf numFmtId="0" fontId="4" fillId="43" borderId="576" xfId="0" applyFont="1" applyFill="1" applyBorder="1" applyAlignment="1">
      <alignment horizontal="center"/>
    </xf>
    <xf numFmtId="0" fontId="0" fillId="51" borderId="576" xfId="44" applyFont="1" applyFill="1" applyBorder="1">
      <alignment horizontal="center" vertical="center"/>
    </xf>
    <xf numFmtId="49" fontId="0" fillId="51" borderId="576" xfId="0" applyNumberFormat="1" applyFill="1" applyBorder="1">
      <alignment horizontal="center" vertical="center"/>
    </xf>
    <xf numFmtId="0" fontId="4" fillId="0" borderId="521" xfId="0" applyFont="1" applyBorder="1">
      <alignment horizontal="center" vertical="center"/>
    </xf>
    <xf numFmtId="0" fontId="0" fillId="52" borderId="540" xfId="48" applyFont="1" applyBorder="1">
      <alignment horizontal="center" vertical="center"/>
    </xf>
    <xf numFmtId="0" fontId="7" fillId="51" borderId="540" xfId="48" applyFill="1" applyBorder="1">
      <alignment horizontal="center" vertical="center"/>
    </xf>
    <xf numFmtId="0" fontId="0" fillId="51" borderId="558" xfId="43" applyFont="1" applyFill="1" applyBorder="1">
      <alignment horizontal="center" vertical="center"/>
    </xf>
    <xf numFmtId="0" fontId="7" fillId="89" borderId="547" xfId="56" applyBorder="1">
      <alignment horizontal="center" vertical="center"/>
    </xf>
    <xf numFmtId="0" fontId="4" fillId="0" borderId="521" xfId="0" applyFont="1" applyBorder="1" applyAlignment="1">
      <alignment horizontal="left"/>
    </xf>
    <xf numFmtId="0" fontId="7" fillId="54" borderId="540" xfId="50" applyBorder="1">
      <alignment horizontal="center" vertical="center"/>
    </xf>
    <xf numFmtId="0" fontId="0" fillId="58" borderId="540" xfId="0" applyFill="1" applyBorder="1">
      <alignment horizontal="center" vertical="center"/>
    </xf>
    <xf numFmtId="0" fontId="0" fillId="0" borderId="580" xfId="0" applyBorder="1">
      <alignment horizontal="center" vertical="center"/>
    </xf>
    <xf numFmtId="0" fontId="3" fillId="0" borderId="521" xfId="0" applyFont="1" applyBorder="1" applyAlignment="1">
      <alignment horizontal="left"/>
    </xf>
    <xf numFmtId="0" fontId="0" fillId="51" borderId="548" xfId="48" applyFont="1" applyFill="1" applyBorder="1">
      <alignment horizontal="center" vertical="center"/>
    </xf>
    <xf numFmtId="0" fontId="0" fillId="51" borderId="546" xfId="0" applyFill="1" applyBorder="1">
      <alignment horizontal="center" vertical="center"/>
    </xf>
    <xf numFmtId="49" fontId="0" fillId="51" borderId="581" xfId="0" applyNumberFormat="1" applyFill="1" applyBorder="1">
      <alignment horizontal="center" vertical="center"/>
    </xf>
    <xf numFmtId="0" fontId="0" fillId="0" borderId="576" xfId="0" applyBorder="1">
      <alignment horizontal="center" vertical="center"/>
    </xf>
    <xf numFmtId="0" fontId="0" fillId="0" borderId="576" xfId="0" applyBorder="1" applyAlignment="1">
      <alignment vertical="center"/>
    </xf>
    <xf numFmtId="49" fontId="0" fillId="51" borderId="582" xfId="0" applyNumberFormat="1" applyFill="1" applyBorder="1">
      <alignment horizontal="center" vertical="center"/>
    </xf>
    <xf numFmtId="49" fontId="0" fillId="51" borderId="583" xfId="0" applyNumberFormat="1" applyFill="1" applyBorder="1">
      <alignment horizontal="center" vertical="center"/>
    </xf>
    <xf numFmtId="0" fontId="6" fillId="44" borderId="584" xfId="0" applyFont="1" applyFill="1" applyBorder="1" applyAlignment="1">
      <alignment horizontal="left"/>
    </xf>
    <xf numFmtId="0" fontId="6" fillId="25" borderId="584" xfId="0" applyFont="1" applyFill="1" applyBorder="1">
      <alignment horizontal="center" vertical="center"/>
    </xf>
    <xf numFmtId="0" fontId="7" fillId="25" borderId="585" xfId="0" applyFont="1" applyFill="1" applyBorder="1">
      <alignment horizontal="center" vertical="center"/>
    </xf>
    <xf numFmtId="0" fontId="6" fillId="29" borderId="584" xfId="0" applyFont="1" applyFill="1" applyBorder="1" applyAlignment="1">
      <alignment horizontal="left"/>
    </xf>
    <xf numFmtId="0" fontId="6" fillId="29" borderId="585" xfId="0" applyFont="1" applyFill="1" applyBorder="1" applyAlignment="1">
      <alignment horizontal="left"/>
    </xf>
    <xf numFmtId="0" fontId="7" fillId="29" borderId="585" xfId="0" applyFont="1" applyFill="1" applyBorder="1">
      <alignment horizontal="center" vertical="center"/>
    </xf>
    <xf numFmtId="0" fontId="7" fillId="29" borderId="586" xfId="0" applyFont="1" applyFill="1" applyBorder="1">
      <alignment horizontal="center" vertical="center"/>
    </xf>
    <xf numFmtId="0" fontId="6" fillId="37" borderId="584" xfId="0" applyFont="1" applyFill="1" applyBorder="1" applyAlignment="1">
      <alignment horizontal="left"/>
    </xf>
    <xf numFmtId="0" fontId="6" fillId="37" borderId="585" xfId="0" applyFont="1" applyFill="1" applyBorder="1" applyAlignment="1">
      <alignment horizontal="left"/>
    </xf>
    <xf numFmtId="0" fontId="0" fillId="37" borderId="585" xfId="0" applyFill="1" applyBorder="1">
      <alignment horizontal="center" vertical="center"/>
    </xf>
    <xf numFmtId="0" fontId="6" fillId="45" borderId="584" xfId="0" applyFont="1" applyFill="1" applyBorder="1" applyAlignment="1">
      <alignment horizontal="left"/>
    </xf>
    <xf numFmtId="0" fontId="0" fillId="45" borderId="585" xfId="0" applyFill="1" applyBorder="1">
      <alignment horizontal="center" vertical="center"/>
    </xf>
    <xf numFmtId="0" fontId="7" fillId="45" borderId="585" xfId="0" applyFont="1" applyFill="1" applyBorder="1">
      <alignment horizontal="center" vertical="center"/>
    </xf>
    <xf numFmtId="0" fontId="7" fillId="45" borderId="586" xfId="0" applyFont="1" applyFill="1" applyBorder="1">
      <alignment horizontal="center" vertical="center"/>
    </xf>
    <xf numFmtId="0" fontId="6" fillId="24" borderId="584" xfId="0" applyFont="1" applyFill="1" applyBorder="1">
      <alignment horizontal="center" vertical="center"/>
    </xf>
    <xf numFmtId="0" fontId="0" fillId="24" borderId="585" xfId="0" applyFill="1" applyBorder="1">
      <alignment horizontal="center" vertical="center"/>
    </xf>
    <xf numFmtId="0" fontId="7" fillId="24" borderId="585" xfId="0" applyFont="1" applyFill="1" applyBorder="1">
      <alignment horizontal="center" vertical="center"/>
    </xf>
    <xf numFmtId="0" fontId="6" fillId="40" borderId="584" xfId="0" applyFont="1" applyFill="1" applyBorder="1" applyAlignment="1">
      <alignment horizontal="left"/>
    </xf>
    <xf numFmtId="0" fontId="7" fillId="40" borderId="585" xfId="0" applyFont="1" applyFill="1" applyBorder="1">
      <alignment horizontal="center" vertical="center"/>
    </xf>
    <xf numFmtId="0" fontId="0" fillId="40" borderId="586" xfId="0" applyFill="1" applyBorder="1">
      <alignment horizontal="center" vertical="center"/>
    </xf>
    <xf numFmtId="0" fontId="0" fillId="46" borderId="587" xfId="0" applyFill="1" applyBorder="1">
      <alignment horizontal="center" vertical="center"/>
    </xf>
    <xf numFmtId="0" fontId="7" fillId="46" borderId="587" xfId="0" applyFont="1" applyFill="1" applyBorder="1">
      <alignment horizontal="center" vertical="center"/>
    </xf>
    <xf numFmtId="0" fontId="7" fillId="46" borderId="588" xfId="0" applyFont="1" applyFill="1" applyBorder="1">
      <alignment horizontal="center" vertical="center"/>
    </xf>
    <xf numFmtId="0" fontId="6" fillId="0" borderId="589" xfId="0" applyFont="1" applyBorder="1" applyAlignment="1">
      <alignment horizontal="left" vertical="center"/>
    </xf>
    <xf numFmtId="0" fontId="7" fillId="0" borderId="587" xfId="0" applyFont="1" applyBorder="1">
      <alignment horizontal="center" vertical="center"/>
    </xf>
    <xf numFmtId="0" fontId="7" fillId="0" borderId="588" xfId="0" applyFont="1" applyBorder="1">
      <alignment horizontal="center" vertical="center"/>
    </xf>
    <xf numFmtId="0" fontId="6" fillId="39" borderId="590" xfId="0" applyFont="1" applyFill="1" applyBorder="1" applyAlignment="1">
      <alignment horizontal="left"/>
    </xf>
    <xf numFmtId="0" fontId="6" fillId="47" borderId="584" xfId="0" applyFont="1" applyFill="1" applyBorder="1">
      <alignment horizontal="center" vertical="center"/>
    </xf>
    <xf numFmtId="0" fontId="7" fillId="47" borderId="585" xfId="0" applyFont="1" applyFill="1" applyBorder="1">
      <alignment horizontal="center" vertical="center"/>
    </xf>
    <xf numFmtId="0" fontId="7" fillId="0" borderId="584" xfId="0" applyFont="1" applyBorder="1" applyAlignment="1">
      <alignment horizontal="left"/>
    </xf>
    <xf numFmtId="0" fontId="0" fillId="0" borderId="585" xfId="0" applyBorder="1">
      <alignment horizontal="center" vertical="center"/>
    </xf>
    <xf numFmtId="0" fontId="7" fillId="0" borderId="585" xfId="0" applyFont="1" applyBorder="1" applyAlignment="1">
      <alignment horizontal="left"/>
    </xf>
    <xf numFmtId="0" fontId="7" fillId="0" borderId="585" xfId="0" applyFont="1" applyBorder="1">
      <alignment horizontal="center" vertical="center"/>
    </xf>
    <xf numFmtId="0" fontId="7" fillId="0" borderId="586" xfId="0" applyFont="1" applyBorder="1">
      <alignment horizontal="center" vertical="center"/>
    </xf>
    <xf numFmtId="0" fontId="7" fillId="48" borderId="584" xfId="0" applyFont="1" applyFill="1" applyBorder="1" applyAlignment="1">
      <alignment horizontal="left" vertical="center"/>
    </xf>
    <xf numFmtId="0" fontId="7" fillId="48" borderId="585" xfId="0" applyFont="1" applyFill="1" applyBorder="1">
      <alignment horizontal="center" vertical="center"/>
    </xf>
    <xf numFmtId="0" fontId="7" fillId="48" borderId="586" xfId="0" applyFont="1" applyFill="1" applyBorder="1">
      <alignment horizontal="center" vertical="center"/>
    </xf>
    <xf numFmtId="0" fontId="0" fillId="89" borderId="591" xfId="56" applyFont="1" applyBorder="1" applyAlignment="1">
      <alignment horizontal="left" vertical="center"/>
    </xf>
    <xf numFmtId="0" fontId="0" fillId="0" borderId="592" xfId="0" applyBorder="1">
      <alignment horizontal="center" vertical="center"/>
    </xf>
    <xf numFmtId="0" fontId="4" fillId="0" borderId="592" xfId="0" applyFont="1" applyBorder="1" applyAlignment="1">
      <alignment horizontal="center"/>
    </xf>
    <xf numFmtId="0" fontId="7" fillId="0" borderId="592" xfId="0" applyFont="1" applyBorder="1">
      <alignment horizontal="center" vertical="center"/>
    </xf>
    <xf numFmtId="0" fontId="7" fillId="0" borderId="590" xfId="0" applyFont="1" applyBorder="1">
      <alignment horizontal="center" vertical="center"/>
    </xf>
    <xf numFmtId="0" fontId="0" fillId="0" borderId="590" xfId="0" applyBorder="1">
      <alignment horizontal="center" vertical="center"/>
    </xf>
    <xf numFmtId="0" fontId="4" fillId="0" borderId="590" xfId="0" applyFont="1" applyBorder="1" applyAlignment="1">
      <alignment horizontal="center"/>
    </xf>
    <xf numFmtId="0" fontId="4" fillId="0" borderId="591" xfId="0" applyFont="1" applyBorder="1" applyAlignment="1">
      <alignment horizontal="left" vertical="center"/>
    </xf>
    <xf numFmtId="0" fontId="0" fillId="0" borderId="591" xfId="0" applyBorder="1">
      <alignment horizontal="center" vertical="center"/>
    </xf>
    <xf numFmtId="0" fontId="59" fillId="0" borderId="593" xfId="0" applyFont="1" applyBorder="1" applyAlignment="1">
      <alignment horizontal="left" vertical="center"/>
    </xf>
    <xf numFmtId="0" fontId="4" fillId="0" borderId="594" xfId="0" applyFont="1" applyBorder="1" applyAlignment="1">
      <alignment horizontal="left" vertical="center"/>
    </xf>
    <xf numFmtId="0" fontId="0" fillId="0" borderId="595" xfId="0" applyBorder="1">
      <alignment horizontal="center" vertical="center"/>
    </xf>
    <xf numFmtId="0" fontId="59" fillId="0" borderId="596" xfId="0" applyFont="1" applyBorder="1" applyAlignment="1">
      <alignment horizontal="left" vertical="center"/>
    </xf>
    <xf numFmtId="0" fontId="0" fillId="0" borderId="594" xfId="0" applyBorder="1">
      <alignment horizontal="center" vertical="center"/>
    </xf>
    <xf numFmtId="0" fontId="13" fillId="0" borderId="594" xfId="0" applyFont="1" applyBorder="1">
      <alignment horizontal="center" vertical="center"/>
    </xf>
    <xf numFmtId="0" fontId="4" fillId="0" borderId="594" xfId="0" applyFont="1" applyBorder="1">
      <alignment horizontal="center" vertical="center"/>
    </xf>
    <xf numFmtId="0" fontId="59" fillId="0" borderId="591" xfId="0" applyFont="1" applyBorder="1" applyAlignment="1">
      <alignment horizontal="left" vertical="center"/>
    </xf>
    <xf numFmtId="0" fontId="0" fillId="0" borderId="594" xfId="0" applyBorder="1" applyAlignment="1">
      <alignment horizontal="left" vertical="center"/>
    </xf>
    <xf numFmtId="0" fontId="0" fillId="0" borderId="595" xfId="0" applyBorder="1" applyAlignment="1">
      <alignment horizontal="left" vertical="center"/>
    </xf>
    <xf numFmtId="0" fontId="6" fillId="0" borderId="597" xfId="0" applyFont="1" applyBorder="1">
      <alignment horizontal="center" vertical="center"/>
    </xf>
    <xf numFmtId="0" fontId="0" fillId="0" borderId="496" xfId="0" applyBorder="1" applyAlignment="1" applyProtection="1">
      <alignment horizontal="center"/>
      <protection locked="0"/>
    </xf>
    <xf numFmtId="0" fontId="6" fillId="51" borderId="496" xfId="0" applyFont="1" applyFill="1" applyBorder="1">
      <alignment horizontal="center" vertical="center"/>
    </xf>
    <xf numFmtId="0" fontId="0" fillId="51" borderId="501" xfId="43" applyFont="1" applyFill="1" applyBorder="1">
      <alignment horizontal="center" vertical="center"/>
    </xf>
    <xf numFmtId="0" fontId="0" fillId="51" borderId="540" xfId="0" applyFill="1" applyBorder="1" applyProtection="1">
      <alignment horizontal="center" vertical="center"/>
      <protection locked="0"/>
    </xf>
    <xf numFmtId="0" fontId="0" fillId="51" borderId="540" xfId="32" applyFont="1" applyFill="1" applyBorder="1" applyAlignment="1">
      <alignment horizontal="center" vertical="center"/>
    </xf>
    <xf numFmtId="0" fontId="0" fillId="55" borderId="540" xfId="32" applyFont="1" applyFill="1" applyBorder="1" applyAlignment="1">
      <alignment horizontal="center" vertical="center"/>
    </xf>
    <xf numFmtId="0" fontId="0" fillId="24" borderId="123" xfId="0" applyFill="1" applyBorder="1">
      <alignment horizontal="center" vertical="center"/>
    </xf>
    <xf numFmtId="1" fontId="0" fillId="53" borderId="118" xfId="0" applyNumberFormat="1" applyFill="1" applyBorder="1">
      <alignment horizontal="center" vertical="center"/>
    </xf>
    <xf numFmtId="0" fontId="0" fillId="0" borderId="558" xfId="0" applyBorder="1">
      <alignment horizontal="center" vertical="center"/>
    </xf>
    <xf numFmtId="1" fontId="0" fillId="51" borderId="540" xfId="20" applyNumberFormat="1" applyFont="1" applyFill="1" applyBorder="1" applyAlignment="1">
      <alignment horizontal="center" vertical="center"/>
    </xf>
    <xf numFmtId="0" fontId="0" fillId="52" borderId="494" xfId="43" applyFont="1" applyFill="1" applyBorder="1">
      <alignment horizontal="center" vertical="center"/>
    </xf>
    <xf numFmtId="0" fontId="7" fillId="53" borderId="558" xfId="43" applyBorder="1">
      <alignment horizontal="center" vertical="center"/>
    </xf>
    <xf numFmtId="0" fontId="0" fillId="0" borderId="597" xfId="0" applyBorder="1">
      <alignment horizontal="center" vertical="center"/>
    </xf>
    <xf numFmtId="173" fontId="0" fillId="0" borderId="597" xfId="0" applyNumberFormat="1" applyBorder="1">
      <alignment horizontal="center" vertical="center"/>
    </xf>
    <xf numFmtId="0" fontId="7" fillId="52" borderId="501" xfId="48" applyBorder="1">
      <alignment horizontal="center" vertical="center"/>
    </xf>
    <xf numFmtId="0" fontId="0" fillId="53" borderId="559" xfId="53" applyFont="1" applyFill="1" applyBorder="1">
      <alignment horizontal="center" vertical="center"/>
    </xf>
    <xf numFmtId="49" fontId="0" fillId="86" borderId="559" xfId="0" applyNumberFormat="1" applyFill="1" applyBorder="1">
      <alignment horizontal="center" vertical="center"/>
    </xf>
    <xf numFmtId="0" fontId="0" fillId="0" borderId="591" xfId="0" applyBorder="1" applyAlignment="1">
      <alignment horizontal="left" vertical="center"/>
    </xf>
    <xf numFmtId="0" fontId="7" fillId="52" borderId="558" xfId="48" applyBorder="1">
      <alignment horizontal="center" vertical="center"/>
    </xf>
    <xf numFmtId="0" fontId="0" fillId="55" borderId="559" xfId="48" applyFont="1" applyFill="1" applyBorder="1">
      <alignment horizontal="center" vertical="center"/>
    </xf>
    <xf numFmtId="0" fontId="17" fillId="0" borderId="561" xfId="55" applyBorder="1" applyAlignment="1">
      <alignment horizontal="center" vertical="center"/>
    </xf>
    <xf numFmtId="0" fontId="0" fillId="55" borderId="559" xfId="0" applyFill="1" applyBorder="1">
      <alignment horizontal="center" vertical="center"/>
    </xf>
    <xf numFmtId="0" fontId="7" fillId="0" borderId="559" xfId="53" applyBorder="1">
      <alignment horizontal="center" vertical="center"/>
    </xf>
    <xf numFmtId="0" fontId="0" fillId="0" borderId="597" xfId="0" applyBorder="1" applyAlignment="1">
      <alignment horizontal="left" vertical="center"/>
    </xf>
    <xf numFmtId="0" fontId="0" fillId="51" borderId="591" xfId="0" applyFill="1" applyBorder="1" applyAlignment="1">
      <alignment horizontal="left" vertical="center"/>
    </xf>
    <xf numFmtId="0" fontId="7" fillId="86" borderId="492" xfId="44" applyBorder="1">
      <alignment horizontal="center" vertical="center"/>
    </xf>
    <xf numFmtId="0" fontId="0" fillId="51" borderId="597" xfId="0" applyFill="1" applyBorder="1" applyAlignment="1">
      <alignment horizontal="left" vertical="center"/>
    </xf>
    <xf numFmtId="0" fontId="7" fillId="55" borderId="540" xfId="53" applyFill="1" applyBorder="1">
      <alignment horizontal="center" vertical="center"/>
    </xf>
    <xf numFmtId="0" fontId="18" fillId="0" borderId="597" xfId="0" applyFont="1" applyBorder="1" applyAlignment="1" applyProtection="1">
      <alignment horizontal="center"/>
      <protection locked="0"/>
    </xf>
    <xf numFmtId="0" fontId="0" fillId="0" borderId="591" xfId="0" applyBorder="1" applyAlignment="1">
      <alignment vertical="center"/>
    </xf>
    <xf numFmtId="0" fontId="0" fillId="51" borderId="410" xfId="20" applyNumberFormat="1" applyFont="1" applyFill="1" applyBorder="1" applyAlignment="1">
      <alignment horizontal="center" vertical="center"/>
    </xf>
    <xf numFmtId="0" fontId="59" fillId="0" borderId="597" xfId="0" applyFont="1" applyBorder="1" applyAlignment="1">
      <alignment horizontal="left" vertical="center"/>
    </xf>
    <xf numFmtId="0" fontId="0" fillId="51" borderId="536" xfId="0" applyFill="1" applyBorder="1">
      <alignment horizontal="center" vertical="center"/>
    </xf>
    <xf numFmtId="0" fontId="7" fillId="55" borderId="597" xfId="45" applyBorder="1">
      <alignment horizontal="center" vertical="center"/>
    </xf>
    <xf numFmtId="0" fontId="7" fillId="0" borderId="597" xfId="53" applyBorder="1">
      <alignment horizontal="center" vertical="center"/>
    </xf>
    <xf numFmtId="0" fontId="0" fillId="51" borderId="549" xfId="48" applyFont="1" applyFill="1" applyBorder="1">
      <alignment horizontal="center" vertical="center"/>
    </xf>
    <xf numFmtId="0" fontId="7" fillId="86" borderId="410" xfId="44" applyBorder="1">
      <alignment horizontal="center" vertical="center"/>
    </xf>
    <xf numFmtId="0" fontId="7" fillId="53" borderId="540" xfId="53" applyFill="1" applyBorder="1">
      <alignment horizontal="center" vertical="center"/>
    </xf>
    <xf numFmtId="0" fontId="7" fillId="53" borderId="536" xfId="43" applyBorder="1">
      <alignment horizontal="center" vertical="center"/>
    </xf>
    <xf numFmtId="0" fontId="7" fillId="0" borderId="597" xfId="43" applyFill="1" applyBorder="1">
      <alignment horizontal="center" vertical="center"/>
    </xf>
    <xf numFmtId="0" fontId="7" fillId="0" borderId="595" xfId="43" applyFill="1" applyBorder="1">
      <alignment horizontal="center" vertical="center"/>
    </xf>
    <xf numFmtId="0" fontId="7" fillId="0" borderId="549" xfId="53" applyBorder="1">
      <alignment horizontal="center" vertical="center"/>
    </xf>
    <xf numFmtId="0" fontId="7" fillId="0" borderId="536" xfId="53" applyBorder="1">
      <alignment horizontal="center" vertical="center"/>
    </xf>
    <xf numFmtId="0" fontId="7" fillId="0" borderId="420" xfId="53" applyBorder="1">
      <alignment horizontal="center" vertical="center"/>
    </xf>
    <xf numFmtId="0" fontId="0" fillId="51" borderId="597" xfId="48" applyFont="1" applyFill="1" applyBorder="1">
      <alignment horizontal="center" vertical="center"/>
    </xf>
    <xf numFmtId="0" fontId="0" fillId="51" borderId="597" xfId="0" applyFill="1" applyBorder="1">
      <alignment horizontal="center" vertical="center"/>
    </xf>
    <xf numFmtId="49" fontId="0" fillId="51" borderId="593" xfId="0" applyNumberFormat="1" applyFill="1" applyBorder="1">
      <alignment horizontal="center" vertical="center"/>
    </xf>
    <xf numFmtId="0" fontId="0" fillId="71" borderId="591" xfId="0" applyFill="1" applyBorder="1" applyAlignment="1"/>
    <xf numFmtId="49" fontId="0" fillId="51" borderId="597" xfId="0" applyNumberFormat="1" applyFill="1" applyBorder="1">
      <alignment horizontal="center" vertical="center"/>
    </xf>
    <xf numFmtId="0" fontId="18" fillId="0" borderId="545" xfId="0" applyFont="1" applyBorder="1" applyAlignment="1" applyProtection="1">
      <alignment horizontal="center"/>
      <protection locked="0"/>
    </xf>
    <xf numFmtId="0" fontId="0" fillId="51" borderId="598" xfId="0" applyFill="1" applyBorder="1">
      <alignment horizontal="center" vertical="center"/>
    </xf>
    <xf numFmtId="0" fontId="0" fillId="51" borderId="599" xfId="0" applyFill="1" applyBorder="1">
      <alignment horizontal="center" vertical="center"/>
    </xf>
    <xf numFmtId="1" fontId="0" fillId="51" borderId="599" xfId="32" applyNumberFormat="1" applyFont="1" applyFill="1" applyBorder="1" applyAlignment="1">
      <alignment horizontal="center" vertical="center"/>
    </xf>
    <xf numFmtId="0" fontId="0" fillId="51" borderId="599" xfId="43" applyFont="1" applyFill="1" applyBorder="1">
      <alignment horizontal="center" vertical="center"/>
    </xf>
    <xf numFmtId="0" fontId="7" fillId="88" borderId="492" xfId="47" applyBorder="1">
      <alignment horizontal="center" vertical="center"/>
    </xf>
    <xf numFmtId="0" fontId="0" fillId="53" borderId="492" xfId="43" applyFont="1" applyBorder="1">
      <alignment horizontal="center" vertical="center"/>
    </xf>
    <xf numFmtId="0" fontId="4" fillId="0" borderId="600" xfId="0" applyFont="1" applyBorder="1" applyAlignment="1" applyProtection="1">
      <alignment horizontal="center"/>
      <protection locked="0"/>
    </xf>
    <xf numFmtId="0" fontId="0" fillId="51" borderId="601" xfId="48" applyFont="1" applyFill="1" applyBorder="1">
      <alignment horizontal="center" vertical="center"/>
    </xf>
    <xf numFmtId="0" fontId="7" fillId="52" borderId="602" xfId="48" applyBorder="1">
      <alignment horizontal="center" vertical="center"/>
    </xf>
    <xf numFmtId="0" fontId="7" fillId="88" borderId="602" xfId="47" applyBorder="1">
      <alignment horizontal="center" vertical="center"/>
    </xf>
    <xf numFmtId="0" fontId="0" fillId="51" borderId="603" xfId="48" applyFont="1" applyFill="1" applyBorder="1">
      <alignment horizontal="center" vertical="center"/>
    </xf>
    <xf numFmtId="0" fontId="0" fillId="51" borderId="604" xfId="48" applyFont="1" applyFill="1" applyBorder="1">
      <alignment horizontal="center" vertical="center"/>
    </xf>
    <xf numFmtId="49" fontId="0" fillId="51" borderId="605" xfId="0" applyNumberFormat="1" applyFill="1" applyBorder="1">
      <alignment horizontal="center" vertical="center"/>
    </xf>
    <xf numFmtId="0" fontId="0" fillId="51" borderId="606" xfId="47" applyFont="1" applyFill="1" applyBorder="1">
      <alignment horizontal="center" vertical="center"/>
    </xf>
    <xf numFmtId="0" fontId="0" fillId="51" borderId="607" xfId="47" applyFont="1" applyFill="1" applyBorder="1">
      <alignment horizontal="center" vertical="center"/>
    </xf>
    <xf numFmtId="0" fontId="0" fillId="43" borderId="608" xfId="0" applyFill="1" applyBorder="1" applyAlignment="1" applyProtection="1">
      <alignment horizontal="center"/>
      <protection locked="0"/>
    </xf>
    <xf numFmtId="20" fontId="0" fillId="0" borderId="608" xfId="0" applyNumberFormat="1" applyBorder="1" applyAlignment="1">
      <alignment horizontal="left"/>
    </xf>
    <xf numFmtId="0" fontId="0" fillId="0" borderId="609" xfId="0" applyBorder="1" applyAlignment="1">
      <alignment horizontal="left"/>
    </xf>
    <xf numFmtId="0" fontId="0" fillId="0" borderId="608" xfId="0" applyBorder="1" applyAlignment="1">
      <alignment horizontal="left" vertical="center"/>
    </xf>
    <xf numFmtId="0" fontId="0" fillId="0" borderId="610" xfId="0" applyBorder="1">
      <alignment horizontal="center" vertical="center"/>
    </xf>
    <xf numFmtId="0" fontId="0" fillId="0" borderId="611" xfId="0" applyBorder="1">
      <alignment horizontal="center" vertical="center"/>
    </xf>
    <xf numFmtId="0" fontId="0" fillId="0" borderId="612" xfId="0" applyBorder="1">
      <alignment horizontal="center" vertical="center"/>
    </xf>
    <xf numFmtId="0" fontId="0" fillId="70" borderId="613" xfId="0" applyFill="1" applyBorder="1">
      <alignment horizontal="center" vertical="center"/>
    </xf>
    <xf numFmtId="0" fontId="7" fillId="89" borderId="614" xfId="56" applyBorder="1">
      <alignment horizontal="center" vertical="center"/>
    </xf>
    <xf numFmtId="0" fontId="0" fillId="53" borderId="123" xfId="47" applyFont="1" applyFill="1" applyBorder="1">
      <alignment horizontal="center" vertical="center"/>
    </xf>
    <xf numFmtId="0" fontId="0" fillId="53" borderId="614" xfId="47" applyFont="1" applyFill="1" applyBorder="1">
      <alignment horizontal="center" vertical="center"/>
    </xf>
    <xf numFmtId="0" fontId="0" fillId="55" borderId="614" xfId="47" applyFont="1" applyFill="1" applyBorder="1">
      <alignment horizontal="center" vertical="center"/>
    </xf>
    <xf numFmtId="0" fontId="0" fillId="51" borderId="615" xfId="47" applyFont="1" applyFill="1" applyBorder="1">
      <alignment horizontal="center" vertical="center"/>
    </xf>
    <xf numFmtId="0" fontId="0" fillId="51" borderId="616" xfId="47" applyFont="1" applyFill="1" applyBorder="1">
      <alignment horizontal="center" vertical="center"/>
    </xf>
    <xf numFmtId="0" fontId="73" fillId="51" borderId="616" xfId="47" applyFont="1" applyFill="1" applyBorder="1">
      <alignment horizontal="center" vertical="center"/>
    </xf>
    <xf numFmtId="0" fontId="58" fillId="0" borderId="617" xfId="0" applyFont="1" applyBorder="1" applyAlignment="1"/>
    <xf numFmtId="0" fontId="0" fillId="73" borderId="613" xfId="0" applyFill="1" applyBorder="1" applyAlignment="1"/>
    <xf numFmtId="0" fontId="7" fillId="89" borderId="613" xfId="56" applyBorder="1">
      <alignment horizontal="center" vertical="center"/>
    </xf>
    <xf numFmtId="0" fontId="7" fillId="86" borderId="613" xfId="44" applyBorder="1">
      <alignment horizontal="center" vertical="center"/>
    </xf>
    <xf numFmtId="0" fontId="0" fillId="0" borderId="617" xfId="0" applyBorder="1">
      <alignment horizontal="center" vertical="center"/>
    </xf>
    <xf numFmtId="173" fontId="0" fillId="0" borderId="617" xfId="0" applyNumberFormat="1" applyBorder="1">
      <alignment horizontal="center" vertical="center"/>
    </xf>
    <xf numFmtId="0" fontId="59" fillId="0" borderId="618" xfId="0" applyFont="1" applyBorder="1" applyAlignment="1">
      <alignment horizontal="left" vertical="center"/>
    </xf>
    <xf numFmtId="0" fontId="59" fillId="0" borderId="619" xfId="0" applyFont="1" applyBorder="1" applyAlignment="1">
      <alignment horizontal="left" vertical="center"/>
    </xf>
    <xf numFmtId="0" fontId="7" fillId="53" borderId="613" xfId="43" applyBorder="1">
      <alignment horizontal="center" vertical="center"/>
    </xf>
    <xf numFmtId="0" fontId="0" fillId="51" borderId="620" xfId="0" applyFill="1" applyBorder="1" applyAlignment="1">
      <alignment horizontal="left" vertical="center" wrapText="1"/>
    </xf>
    <xf numFmtId="0" fontId="4" fillId="0" borderId="621" xfId="0" applyFont="1" applyBorder="1" applyAlignment="1">
      <alignment horizontal="center"/>
    </xf>
    <xf numFmtId="0" fontId="7" fillId="0" borderId="608" xfId="0" applyFont="1" applyBorder="1" applyAlignment="1">
      <alignment horizontal="left" vertical="center"/>
    </xf>
    <xf numFmtId="0" fontId="7" fillId="0" borderId="622" xfId="0" applyFont="1" applyBorder="1" applyAlignment="1">
      <alignment horizontal="left" vertical="center"/>
    </xf>
    <xf numFmtId="0" fontId="7" fillId="0" borderId="623" xfId="0" applyFont="1" applyBorder="1" applyAlignment="1">
      <alignment horizontal="left" vertical="center"/>
    </xf>
    <xf numFmtId="0" fontId="4" fillId="0" borderId="619" xfId="0" applyFont="1" applyBorder="1" applyAlignment="1" applyProtection="1">
      <alignment horizontal="center"/>
      <protection locked="0"/>
    </xf>
    <xf numFmtId="0" fontId="0" fillId="0" borderId="624" xfId="0" applyBorder="1" applyAlignment="1">
      <alignment horizontal="center"/>
    </xf>
    <xf numFmtId="0" fontId="4" fillId="0" borderId="608" xfId="0" applyFont="1" applyBorder="1" applyAlignment="1">
      <alignment horizontal="left"/>
    </xf>
    <xf numFmtId="0" fontId="0" fillId="0" borderId="622" xfId="0" applyBorder="1" applyAlignment="1"/>
    <xf numFmtId="0" fontId="0" fillId="0" borderId="625" xfId="0" applyBorder="1" applyAlignment="1">
      <alignment horizontal="left"/>
    </xf>
    <xf numFmtId="0" fontId="4" fillId="0" borderId="622" xfId="0" applyFont="1" applyBorder="1" applyAlignment="1"/>
    <xf numFmtId="0" fontId="4" fillId="0" borderId="625" xfId="0" applyFont="1" applyBorder="1" applyAlignment="1">
      <alignment horizontal="left"/>
    </xf>
    <xf numFmtId="0" fontId="0" fillId="0" borderId="608" xfId="0" applyBorder="1" applyAlignment="1">
      <alignment horizontal="center"/>
    </xf>
    <xf numFmtId="0" fontId="0" fillId="0" borderId="623" xfId="0" applyBorder="1" applyAlignment="1"/>
    <xf numFmtId="0" fontId="4" fillId="0" borderId="618" xfId="0" applyFont="1" applyBorder="1" applyAlignment="1">
      <alignment horizontal="left"/>
    </xf>
    <xf numFmtId="0" fontId="0" fillId="0" borderId="626" xfId="0" applyBorder="1" applyAlignment="1"/>
    <xf numFmtId="0" fontId="9" fillId="0" borderId="618" xfId="0" applyFont="1" applyBorder="1" applyAlignment="1">
      <alignment horizontal="center"/>
    </xf>
    <xf numFmtId="0" fontId="0" fillId="0" borderId="627" xfId="0" applyBorder="1" applyAlignment="1"/>
    <xf numFmtId="0" fontId="0" fillId="0" borderId="628" xfId="0" applyBorder="1" applyAlignment="1">
      <alignment horizontal="center"/>
    </xf>
    <xf numFmtId="0" fontId="4" fillId="0" borderId="629" xfId="0" applyFont="1" applyBorder="1" applyAlignment="1">
      <alignment horizontal="left"/>
    </xf>
    <xf numFmtId="0" fontId="7" fillId="0" borderId="630" xfId="0" applyFont="1" applyBorder="1" applyAlignment="1">
      <alignment horizontal="left" vertical="center"/>
    </xf>
    <xf numFmtId="0" fontId="7" fillId="0" borderId="630" xfId="0" applyFont="1" applyBorder="1">
      <alignment horizontal="center" vertical="center"/>
    </xf>
    <xf numFmtId="0" fontId="7" fillId="0" borderId="631" xfId="0" applyFont="1" applyBorder="1">
      <alignment horizontal="center" vertical="center"/>
    </xf>
    <xf numFmtId="0" fontId="7" fillId="0" borderId="629" xfId="0" applyFont="1" applyBorder="1" applyAlignment="1">
      <alignment horizontal="left" vertical="center"/>
    </xf>
    <xf numFmtId="0" fontId="7" fillId="0" borderId="630" xfId="0" applyFont="1" applyBorder="1" applyAlignment="1">
      <alignment horizontal="left"/>
    </xf>
    <xf numFmtId="0" fontId="7" fillId="0" borderId="631" xfId="0" applyFont="1" applyBorder="1" applyAlignment="1">
      <alignment horizontal="left" vertical="center"/>
    </xf>
    <xf numFmtId="0" fontId="0" fillId="0" borderId="630" xfId="0" applyBorder="1" applyAlignment="1">
      <alignment horizontal="left"/>
    </xf>
    <xf numFmtId="0" fontId="0" fillId="0" borderId="632" xfId="0" applyBorder="1" applyAlignment="1"/>
    <xf numFmtId="0" fontId="4" fillId="43" borderId="614" xfId="0" applyFont="1" applyFill="1" applyBorder="1" applyAlignment="1">
      <alignment horizontal="center"/>
    </xf>
    <xf numFmtId="0" fontId="0" fillId="51" borderId="614" xfId="0" applyFill="1" applyBorder="1" applyAlignment="1">
      <alignment horizontal="left" vertical="center"/>
    </xf>
    <xf numFmtId="0" fontId="0" fillId="51" borderId="614" xfId="51" applyFont="1" applyFill="1" applyBorder="1">
      <alignment horizontal="center" vertical="center"/>
    </xf>
    <xf numFmtId="0" fontId="7" fillId="58" borderId="614" xfId="33" applyBorder="1">
      <alignment horizontal="center" vertical="center"/>
    </xf>
    <xf numFmtId="0" fontId="0" fillId="51" borderId="606" xfId="51" applyFont="1" applyFill="1" applyBorder="1">
      <alignment horizontal="center" vertical="center"/>
    </xf>
    <xf numFmtId="0" fontId="4" fillId="43" borderId="607" xfId="0" applyFont="1" applyFill="1" applyBorder="1" applyAlignment="1">
      <alignment horizontal="center"/>
    </xf>
    <xf numFmtId="0" fontId="0" fillId="51" borderId="633" xfId="48" applyFont="1" applyFill="1" applyBorder="1">
      <alignment horizontal="center" vertical="center"/>
    </xf>
    <xf numFmtId="0" fontId="9" fillId="51" borderId="634" xfId="20" applyFont="1" applyFill="1" applyBorder="1" applyAlignment="1">
      <alignment horizontal="center" vertical="center"/>
    </xf>
    <xf numFmtId="0" fontId="0" fillId="0" borderId="629" xfId="0" applyBorder="1" applyAlignment="1">
      <alignment horizontal="left"/>
    </xf>
    <xf numFmtId="0" fontId="0" fillId="0" borderId="630" xfId="0" applyBorder="1" applyAlignment="1"/>
    <xf numFmtId="0" fontId="0" fillId="0" borderId="631" xfId="0" applyBorder="1" applyAlignment="1">
      <alignment horizontal="left"/>
    </xf>
    <xf numFmtId="0" fontId="0" fillId="0" borderId="629" xfId="0" applyBorder="1" applyAlignment="1">
      <alignment horizontal="center"/>
    </xf>
    <xf numFmtId="0" fontId="4" fillId="43" borderId="613" xfId="0" applyFont="1" applyFill="1" applyBorder="1" applyAlignment="1">
      <alignment horizontal="center"/>
    </xf>
    <xf numFmtId="0" fontId="0" fillId="51" borderId="613" xfId="44" applyFont="1" applyFill="1" applyBorder="1">
      <alignment horizontal="center" vertical="center"/>
    </xf>
    <xf numFmtId="0" fontId="7" fillId="55" borderId="613" xfId="45" applyBorder="1">
      <alignment horizontal="center" vertical="center"/>
    </xf>
    <xf numFmtId="0" fontId="0" fillId="51" borderId="635" xfId="0" applyFill="1" applyBorder="1">
      <alignment horizontal="center" vertical="center"/>
    </xf>
    <xf numFmtId="0" fontId="0" fillId="51" borderId="613" xfId="46" applyFont="1" applyFill="1" applyBorder="1">
      <alignment horizontal="center" vertical="center"/>
    </xf>
    <xf numFmtId="0" fontId="0" fillId="60" borderId="613" xfId="0" applyFill="1" applyBorder="1">
      <alignment horizontal="center" vertical="center"/>
    </xf>
    <xf numFmtId="0" fontId="0" fillId="60" borderId="613" xfId="48" applyFont="1" applyFill="1" applyBorder="1">
      <alignment horizontal="center" vertical="center"/>
    </xf>
    <xf numFmtId="0" fontId="7" fillId="0" borderId="613" xfId="53" applyBorder="1">
      <alignment horizontal="center" vertical="center"/>
    </xf>
    <xf numFmtId="0" fontId="0" fillId="55" borderId="613" xfId="0" applyFill="1" applyBorder="1">
      <alignment horizontal="center" vertical="center"/>
    </xf>
    <xf numFmtId="0" fontId="0" fillId="55" borderId="613" xfId="44" applyFont="1" applyFill="1" applyBorder="1">
      <alignment horizontal="center" vertical="center"/>
    </xf>
    <xf numFmtId="49" fontId="0" fillId="55" borderId="613" xfId="0" applyNumberFormat="1" applyFill="1" applyBorder="1">
      <alignment horizontal="center" vertical="center"/>
    </xf>
    <xf numFmtId="0" fontId="4" fillId="43" borderId="636" xfId="0" applyFont="1" applyFill="1" applyBorder="1" applyAlignment="1">
      <alignment horizontal="center"/>
    </xf>
    <xf numFmtId="0" fontId="7" fillId="53" borderId="636" xfId="43" applyBorder="1">
      <alignment horizontal="center" vertical="center"/>
    </xf>
    <xf numFmtId="0" fontId="0" fillId="0" borderId="636" xfId="0" applyBorder="1">
      <alignment horizontal="center" vertical="center"/>
    </xf>
    <xf numFmtId="0" fontId="0" fillId="51" borderId="636" xfId="44" applyFont="1" applyFill="1" applyBorder="1">
      <alignment horizontal="center" vertical="center"/>
    </xf>
    <xf numFmtId="49" fontId="0" fillId="51" borderId="636" xfId="0" applyNumberFormat="1" applyFill="1" applyBorder="1">
      <alignment horizontal="center" vertical="center"/>
    </xf>
    <xf numFmtId="0" fontId="3" fillId="0" borderId="637" xfId="0" applyFont="1" applyBorder="1" applyAlignment="1">
      <alignment horizontal="left"/>
    </xf>
    <xf numFmtId="0" fontId="4" fillId="0" borderId="638" xfId="0" applyFont="1" applyBorder="1">
      <alignment horizontal="center" vertical="center"/>
    </xf>
    <xf numFmtId="0" fontId="0" fillId="0" borderId="639" xfId="0" applyBorder="1">
      <alignment horizontal="center" vertical="center"/>
    </xf>
    <xf numFmtId="167" fontId="9" fillId="0" borderId="640" xfId="0" applyNumberFormat="1" applyFont="1" applyBorder="1" applyAlignment="1">
      <alignment horizontal="center"/>
    </xf>
    <xf numFmtId="0" fontId="7" fillId="0" borderId="641" xfId="53" applyBorder="1">
      <alignment horizontal="center" vertical="center"/>
    </xf>
    <xf numFmtId="0" fontId="7" fillId="51" borderId="641" xfId="0" applyFont="1" applyFill="1" applyBorder="1" applyAlignment="1">
      <alignment vertical="center"/>
    </xf>
    <xf numFmtId="0" fontId="0" fillId="51" borderId="641" xfId="0" applyFill="1" applyBorder="1" applyAlignment="1">
      <alignment vertical="center"/>
    </xf>
    <xf numFmtId="49" fontId="7" fillId="0" borderId="642" xfId="0" applyNumberFormat="1" applyFont="1" applyBorder="1">
      <alignment horizontal="center" vertical="center"/>
    </xf>
    <xf numFmtId="0" fontId="0" fillId="0" borderId="643" xfId="0" applyBorder="1">
      <alignment horizontal="center" vertical="center"/>
    </xf>
    <xf numFmtId="0" fontId="0" fillId="0" borderId="644" xfId="0" applyBorder="1">
      <alignment horizontal="center" vertical="center"/>
    </xf>
    <xf numFmtId="0" fontId="0" fillId="0" borderId="645" xfId="0" applyBorder="1">
      <alignment horizontal="center" vertical="center"/>
    </xf>
    <xf numFmtId="0" fontId="3" fillId="0" borderId="645" xfId="0" applyFont="1" applyBorder="1">
      <alignment horizontal="center" vertical="center"/>
    </xf>
    <xf numFmtId="0" fontId="3" fillId="0" borderId="646" xfId="0" applyFont="1" applyBorder="1" applyAlignment="1">
      <alignment horizontal="left" vertical="center"/>
    </xf>
    <xf numFmtId="0" fontId="3" fillId="0" borderId="645" xfId="0" applyFont="1" applyBorder="1" applyAlignment="1">
      <alignment horizontal="left" vertical="center"/>
    </xf>
    <xf numFmtId="0" fontId="3" fillId="0" borderId="646" xfId="0" applyFont="1" applyBorder="1">
      <alignment horizontal="center" vertical="center"/>
    </xf>
    <xf numFmtId="49" fontId="3" fillId="0" borderId="645" xfId="0" applyNumberFormat="1" applyFont="1" applyBorder="1">
      <alignment horizontal="center" vertical="center"/>
    </xf>
    <xf numFmtId="0" fontId="3" fillId="0" borderId="647" xfId="0" applyFont="1" applyBorder="1" applyAlignment="1">
      <alignment horizontal="left" vertical="center"/>
    </xf>
    <xf numFmtId="0" fontId="3" fillId="0" borderId="647" xfId="0" applyFont="1" applyBorder="1">
      <alignment horizontal="center" vertical="center"/>
    </xf>
    <xf numFmtId="49" fontId="7" fillId="0" borderId="645" xfId="0" applyNumberFormat="1" applyFont="1" applyBorder="1">
      <alignment horizontal="center" vertical="center"/>
    </xf>
    <xf numFmtId="0" fontId="7" fillId="0" borderId="647" xfId="0" applyFont="1" applyBorder="1">
      <alignment horizontal="center" vertical="center"/>
    </xf>
    <xf numFmtId="0" fontId="7" fillId="0" borderId="646" xfId="0" applyFont="1" applyBorder="1">
      <alignment horizontal="center" vertical="center"/>
    </xf>
    <xf numFmtId="0" fontId="9" fillId="0" borderId="647" xfId="0" applyFont="1" applyBorder="1">
      <alignment horizontal="center" vertical="center"/>
    </xf>
    <xf numFmtId="0" fontId="9" fillId="0" borderId="648" xfId="0" applyFont="1" applyBorder="1">
      <alignment horizontal="center" vertical="center"/>
    </xf>
    <xf numFmtId="2" fontId="7" fillId="0" borderId="647" xfId="0" applyNumberFormat="1" applyFont="1" applyBorder="1">
      <alignment horizontal="center" vertical="center"/>
    </xf>
    <xf numFmtId="0" fontId="0" fillId="0" borderId="649" xfId="0" applyBorder="1">
      <alignment horizontal="center" vertical="center"/>
    </xf>
    <xf numFmtId="0" fontId="14" fillId="0" borderId="646" xfId="0" applyFont="1" applyBorder="1">
      <alignment horizontal="center" vertical="center"/>
    </xf>
    <xf numFmtId="49" fontId="14" fillId="0" borderId="645" xfId="0" applyNumberFormat="1" applyFont="1" applyBorder="1">
      <alignment horizontal="center" vertical="center"/>
    </xf>
    <xf numFmtId="0" fontId="14" fillId="0" borderId="647" xfId="0" applyFont="1" applyBorder="1">
      <alignment horizontal="center" vertical="center"/>
    </xf>
    <xf numFmtId="49" fontId="0" fillId="0" borderId="649" xfId="0" applyNumberFormat="1" applyBorder="1">
      <alignment horizontal="center" vertical="center"/>
    </xf>
    <xf numFmtId="49" fontId="0" fillId="0" borderId="647" xfId="0" applyNumberFormat="1" applyBorder="1">
      <alignment horizontal="center" vertical="center"/>
    </xf>
    <xf numFmtId="49" fontId="0" fillId="0" borderId="642" xfId="0" applyNumberFormat="1" applyBorder="1">
      <alignment horizontal="center" vertical="center"/>
    </xf>
    <xf numFmtId="49" fontId="0" fillId="0" borderId="645" xfId="0" applyNumberFormat="1" applyBorder="1">
      <alignment horizontal="center" vertical="center"/>
    </xf>
    <xf numFmtId="0" fontId="6" fillId="0" borderId="650" xfId="0" applyFont="1" applyBorder="1" applyAlignment="1">
      <alignment horizontal="center"/>
    </xf>
    <xf numFmtId="0" fontId="0" fillId="51" borderId="651" xfId="0" applyFill="1" applyBorder="1" applyAlignment="1">
      <alignment horizontal="left" vertical="center" wrapText="1"/>
    </xf>
    <xf numFmtId="0" fontId="0" fillId="0" borderId="651" xfId="0" applyBorder="1">
      <alignment horizontal="center" vertical="center"/>
    </xf>
    <xf numFmtId="0" fontId="7" fillId="51" borderId="651" xfId="43" applyFill="1" applyBorder="1">
      <alignment horizontal="center" vertical="center"/>
    </xf>
    <xf numFmtId="0" fontId="0" fillId="0" borderId="651" xfId="0" applyBorder="1" applyAlignment="1">
      <alignment vertical="center"/>
    </xf>
    <xf numFmtId="0" fontId="36" fillId="17" borderId="652" xfId="34" applyBorder="1" applyAlignment="1">
      <alignment horizontal="center" vertical="center"/>
    </xf>
    <xf numFmtId="0" fontId="0" fillId="55" borderId="641" xfId="48" applyFont="1" applyFill="1" applyBorder="1">
      <alignment horizontal="center" vertical="center"/>
    </xf>
    <xf numFmtId="0" fontId="0" fillId="51" borderId="651" xfId="50" applyFont="1" applyFill="1" applyBorder="1">
      <alignment horizontal="center" vertical="center"/>
    </xf>
    <xf numFmtId="0" fontId="4" fillId="0" borderId="651" xfId="0" applyFont="1" applyBorder="1" applyAlignment="1">
      <alignment horizontal="center"/>
    </xf>
    <xf numFmtId="0" fontId="4" fillId="0" borderId="653" xfId="0" applyFont="1" applyBorder="1" applyAlignment="1">
      <alignment horizontal="left" vertical="center"/>
    </xf>
    <xf numFmtId="0" fontId="0" fillId="0" borderId="654" xfId="0" applyBorder="1" applyAlignment="1">
      <alignment horizontal="left" vertical="center"/>
    </xf>
    <xf numFmtId="0" fontId="0" fillId="0" borderId="655" xfId="0" applyBorder="1" applyAlignment="1">
      <alignment horizontal="left" vertical="center"/>
    </xf>
    <xf numFmtId="0" fontId="4" fillId="0" borderId="654" xfId="0" applyFont="1" applyBorder="1" applyAlignment="1">
      <alignment horizontal="left" vertical="center"/>
    </xf>
    <xf numFmtId="0" fontId="4" fillId="0" borderId="650" xfId="0" applyFont="1" applyBorder="1" applyAlignment="1">
      <alignment horizontal="center"/>
    </xf>
    <xf numFmtId="0" fontId="4" fillId="0" borderId="638" xfId="0" applyFont="1" applyBorder="1" applyAlignment="1">
      <alignment horizontal="left"/>
    </xf>
    <xf numFmtId="0" fontId="0" fillId="0" borderId="656" xfId="0" applyBorder="1" applyAlignment="1">
      <alignment horizontal="left" vertical="center"/>
    </xf>
    <xf numFmtId="0" fontId="0" fillId="0" borderId="657" xfId="0" applyBorder="1" applyAlignment="1">
      <alignment horizontal="left" vertical="center"/>
    </xf>
    <xf numFmtId="49" fontId="0" fillId="0" borderId="637" xfId="0" applyNumberFormat="1" applyBorder="1" applyAlignment="1">
      <alignment horizontal="left"/>
    </xf>
    <xf numFmtId="49" fontId="0" fillId="0" borderId="637" xfId="0" applyNumberFormat="1" applyBorder="1" applyAlignment="1">
      <alignment horizontal="left" vertical="center"/>
    </xf>
    <xf numFmtId="0" fontId="3" fillId="0" borderId="651" xfId="0" applyFont="1" applyBorder="1" applyAlignment="1">
      <alignment horizontal="center"/>
    </xf>
    <xf numFmtId="0" fontId="0" fillId="0" borderId="658" xfId="0" applyBorder="1" applyAlignment="1">
      <alignment horizontal="left" vertical="center"/>
    </xf>
    <xf numFmtId="0" fontId="0" fillId="0" borderId="640" xfId="0" applyBorder="1" applyAlignment="1">
      <alignment horizontal="left" vertical="center"/>
    </xf>
    <xf numFmtId="49" fontId="0" fillId="0" borderId="640" xfId="0" applyNumberFormat="1" applyBorder="1" applyAlignment="1">
      <alignment horizontal="left"/>
    </xf>
    <xf numFmtId="0" fontId="4" fillId="0" borderId="659" xfId="0" applyFont="1" applyBorder="1" applyAlignment="1" applyProtection="1">
      <alignment horizontal="center"/>
      <protection locked="0"/>
    </xf>
    <xf numFmtId="0" fontId="0" fillId="0" borderId="659" xfId="0" applyBorder="1" applyAlignment="1">
      <alignment horizontal="left"/>
    </xf>
    <xf numFmtId="0" fontId="0" fillId="51" borderId="660" xfId="43" applyFont="1" applyFill="1" applyBorder="1">
      <alignment horizontal="center" vertical="center"/>
    </xf>
    <xf numFmtId="0" fontId="0" fillId="51" borderId="660" xfId="0" applyFill="1" applyBorder="1">
      <alignment horizontal="center" vertical="center"/>
    </xf>
    <xf numFmtId="0" fontId="0" fillId="51" borderId="661" xfId="0" applyFill="1" applyBorder="1">
      <alignment horizontal="center" vertical="center"/>
    </xf>
    <xf numFmtId="0" fontId="4" fillId="0" borderId="651" xfId="0" applyFont="1" applyBorder="1" applyAlignment="1" applyProtection="1">
      <alignment horizontal="center"/>
      <protection locked="0"/>
    </xf>
    <xf numFmtId="0" fontId="4" fillId="0" borderId="651" xfId="0" applyFont="1" applyBorder="1" applyAlignment="1">
      <alignment horizontal="left"/>
    </xf>
    <xf numFmtId="0" fontId="0" fillId="51" borderId="651" xfId="43" applyFont="1" applyFill="1" applyBorder="1">
      <alignment horizontal="center" vertical="center"/>
    </xf>
    <xf numFmtId="0" fontId="0" fillId="51" borderId="662" xfId="0" applyFill="1" applyBorder="1">
      <alignment horizontal="center" vertical="center"/>
    </xf>
    <xf numFmtId="0" fontId="0" fillId="0" borderId="651" xfId="0" applyBorder="1" applyAlignment="1" applyProtection="1">
      <alignment horizontal="center"/>
      <protection locked="0"/>
    </xf>
    <xf numFmtId="0" fontId="0" fillId="0" borderId="651" xfId="0" applyBorder="1" applyAlignment="1">
      <alignment horizontal="left"/>
    </xf>
    <xf numFmtId="0" fontId="4" fillId="0" borderId="651" xfId="0" applyFont="1" applyBorder="1" applyAlignment="1">
      <alignment vertical="center"/>
    </xf>
    <xf numFmtId="0" fontId="3" fillId="0" borderId="651" xfId="0" applyFont="1" applyBorder="1" applyAlignment="1" applyProtection="1">
      <alignment horizontal="center"/>
      <protection locked="0"/>
    </xf>
    <xf numFmtId="0" fontId="4" fillId="0" borderId="663" xfId="0" applyFont="1" applyBorder="1">
      <alignment horizontal="center" vertical="center"/>
    </xf>
    <xf numFmtId="0" fontId="0" fillId="51" borderId="662" xfId="48" applyFont="1" applyFill="1" applyBorder="1">
      <alignment horizontal="center" vertical="center"/>
    </xf>
    <xf numFmtId="0" fontId="0" fillId="51" borderId="651" xfId="33" applyFont="1" applyFill="1" applyBorder="1">
      <alignment horizontal="center" vertical="center"/>
    </xf>
    <xf numFmtId="49" fontId="0" fillId="51" borderId="662" xfId="0" applyNumberFormat="1" applyFill="1" applyBorder="1">
      <alignment horizontal="center" vertical="center"/>
    </xf>
    <xf numFmtId="0" fontId="7" fillId="0" borderId="651" xfId="0" applyFont="1" applyBorder="1" applyAlignment="1">
      <alignment vertical="center"/>
    </xf>
    <xf numFmtId="0" fontId="7" fillId="51" borderId="651" xfId="0" applyFont="1" applyFill="1" applyBorder="1" applyAlignment="1">
      <alignment vertical="center"/>
    </xf>
    <xf numFmtId="0" fontId="4" fillId="0" borderId="664" xfId="0" applyFont="1" applyBorder="1" applyAlignment="1">
      <alignment horizontal="center"/>
    </xf>
    <xf numFmtId="0" fontId="4" fillId="0" borderId="665" xfId="0" applyFont="1" applyBorder="1" applyAlignment="1">
      <alignment horizontal="center"/>
    </xf>
    <xf numFmtId="0" fontId="4" fillId="0" borderId="666" xfId="0" applyFont="1" applyBorder="1" applyAlignment="1">
      <alignment horizontal="center"/>
    </xf>
    <xf numFmtId="0" fontId="3" fillId="0" borderId="638" xfId="0" applyFont="1" applyBorder="1" applyAlignment="1">
      <alignment horizontal="left"/>
    </xf>
    <xf numFmtId="0" fontId="0" fillId="0" borderId="667" xfId="0" applyBorder="1" applyAlignment="1" applyProtection="1">
      <alignment horizontal="center"/>
      <protection locked="0"/>
    </xf>
    <xf numFmtId="0" fontId="0" fillId="0" borderId="667" xfId="0" applyBorder="1" applyAlignment="1">
      <alignment vertical="center"/>
    </xf>
    <xf numFmtId="0" fontId="0" fillId="52" borderId="667" xfId="48" applyFont="1" applyBorder="1">
      <alignment horizontal="center" vertical="center"/>
    </xf>
    <xf numFmtId="0" fontId="0" fillId="0" borderId="641" xfId="0" applyBorder="1" applyAlignment="1" applyProtection="1">
      <alignment horizontal="center"/>
      <protection locked="0"/>
    </xf>
    <xf numFmtId="0" fontId="0" fillId="0" borderId="641" xfId="0" applyBorder="1" applyAlignment="1">
      <alignment vertical="center"/>
    </xf>
    <xf numFmtId="0" fontId="0" fillId="43" borderId="641" xfId="0" applyFill="1" applyBorder="1" applyAlignment="1">
      <alignment horizontal="center"/>
    </xf>
    <xf numFmtId="0" fontId="46" fillId="0" borderId="641" xfId="0" applyFont="1" applyBorder="1" applyAlignment="1">
      <alignment horizontal="left" vertical="center"/>
    </xf>
    <xf numFmtId="0" fontId="0" fillId="24" borderId="641" xfId="0" applyFill="1" applyBorder="1" applyAlignment="1" applyProtection="1">
      <alignment horizontal="center"/>
      <protection locked="0"/>
    </xf>
    <xf numFmtId="0" fontId="4" fillId="24" borderId="641" xfId="0" applyFont="1" applyFill="1" applyBorder="1">
      <alignment horizontal="center" vertical="center"/>
    </xf>
    <xf numFmtId="0" fontId="0" fillId="24" borderId="641" xfId="0" applyFill="1" applyBorder="1">
      <alignment horizontal="center" vertical="center"/>
    </xf>
    <xf numFmtId="0" fontId="0" fillId="0" borderId="668" xfId="0" applyBorder="1" applyAlignment="1" applyProtection="1">
      <alignment horizontal="center"/>
      <protection locked="0"/>
    </xf>
    <xf numFmtId="0" fontId="7" fillId="52" borderId="668" xfId="44" applyFill="1" applyBorder="1">
      <alignment horizontal="center" vertical="center"/>
    </xf>
    <xf numFmtId="0" fontId="0" fillId="53" borderId="668" xfId="48" applyFont="1" applyFill="1" applyBorder="1">
      <alignment horizontal="center" vertical="center"/>
    </xf>
    <xf numFmtId="49" fontId="0" fillId="0" borderId="637" xfId="0" applyNumberFormat="1" applyBorder="1" applyAlignment="1"/>
    <xf numFmtId="0" fontId="0" fillId="0" borderId="659" xfId="0" applyBorder="1" applyAlignment="1" applyProtection="1">
      <alignment horizontal="center"/>
      <protection locked="0"/>
    </xf>
    <xf numFmtId="0" fontId="0" fillId="0" borderId="651" xfId="0" applyBorder="1" applyAlignment="1" applyProtection="1">
      <alignment horizontal="left"/>
      <protection locked="0"/>
    </xf>
    <xf numFmtId="0" fontId="0" fillId="0" borderId="650" xfId="0" applyBorder="1" applyAlignment="1" applyProtection="1">
      <alignment horizontal="center"/>
      <protection locked="0"/>
    </xf>
    <xf numFmtId="1" fontId="0" fillId="51" borderId="651" xfId="32" applyNumberFormat="1" applyFont="1" applyFill="1" applyBorder="1" applyAlignment="1">
      <alignment horizontal="center" vertical="center"/>
    </xf>
    <xf numFmtId="49" fontId="0" fillId="51" borderId="669" xfId="0" applyNumberFormat="1" applyFill="1" applyBorder="1">
      <alignment horizontal="center" vertical="center"/>
    </xf>
    <xf numFmtId="49" fontId="0" fillId="51" borderId="670" xfId="0" applyNumberFormat="1" applyFill="1" applyBorder="1">
      <alignment horizontal="center" vertical="center"/>
    </xf>
    <xf numFmtId="0" fontId="6" fillId="44" borderId="637" xfId="0" applyFont="1" applyFill="1" applyBorder="1" applyAlignment="1">
      <alignment horizontal="left"/>
    </xf>
    <xf numFmtId="0" fontId="6" fillId="25" borderId="637" xfId="0" applyFont="1" applyFill="1" applyBorder="1">
      <alignment horizontal="center" vertical="center"/>
    </xf>
    <xf numFmtId="0" fontId="7" fillId="25" borderId="638" xfId="0" applyFont="1" applyFill="1" applyBorder="1">
      <alignment horizontal="center" vertical="center"/>
    </xf>
    <xf numFmtId="0" fontId="6" fillId="29" borderId="637" xfId="0" applyFont="1" applyFill="1" applyBorder="1" applyAlignment="1">
      <alignment horizontal="left"/>
    </xf>
    <xf numFmtId="0" fontId="6" fillId="29" borderId="638" xfId="0" applyFont="1" applyFill="1" applyBorder="1" applyAlignment="1">
      <alignment horizontal="left"/>
    </xf>
    <xf numFmtId="0" fontId="7" fillId="29" borderId="638" xfId="0" applyFont="1" applyFill="1" applyBorder="1">
      <alignment horizontal="center" vertical="center"/>
    </xf>
    <xf numFmtId="0" fontId="7" fillId="29" borderId="656" xfId="0" applyFont="1" applyFill="1" applyBorder="1">
      <alignment horizontal="center" vertical="center"/>
    </xf>
    <xf numFmtId="0" fontId="6" fillId="37" borderId="637" xfId="0" applyFont="1" applyFill="1" applyBorder="1" applyAlignment="1">
      <alignment horizontal="left"/>
    </xf>
    <xf numFmtId="0" fontId="6" fillId="37" borderId="638" xfId="0" applyFont="1" applyFill="1" applyBorder="1" applyAlignment="1">
      <alignment horizontal="left"/>
    </xf>
    <xf numFmtId="0" fontId="0" fillId="37" borderId="638" xfId="0" applyFill="1" applyBorder="1">
      <alignment horizontal="center" vertical="center"/>
    </xf>
    <xf numFmtId="0" fontId="6" fillId="45" borderId="637" xfId="0" applyFont="1" applyFill="1" applyBorder="1" applyAlignment="1">
      <alignment horizontal="left"/>
    </xf>
    <xf numFmtId="0" fontId="0" fillId="45" borderId="638" xfId="0" applyFill="1" applyBorder="1">
      <alignment horizontal="center" vertical="center"/>
    </xf>
    <xf numFmtId="0" fontId="7" fillId="45" borderId="638" xfId="0" applyFont="1" applyFill="1" applyBorder="1">
      <alignment horizontal="center" vertical="center"/>
    </xf>
    <xf numFmtId="0" fontId="7" fillId="45" borderId="656" xfId="0" applyFont="1" applyFill="1" applyBorder="1">
      <alignment horizontal="center" vertical="center"/>
    </xf>
    <xf numFmtId="0" fontId="6" fillId="24" borderId="637" xfId="0" applyFont="1" applyFill="1" applyBorder="1">
      <alignment horizontal="center" vertical="center"/>
    </xf>
    <xf numFmtId="0" fontId="0" fillId="24" borderId="638" xfId="0" applyFill="1" applyBorder="1">
      <alignment horizontal="center" vertical="center"/>
    </xf>
    <xf numFmtId="0" fontId="7" fillId="24" borderId="638" xfId="0" applyFont="1" applyFill="1" applyBorder="1">
      <alignment horizontal="center" vertical="center"/>
    </xf>
    <xf numFmtId="0" fontId="6" fillId="40" borderId="637" xfId="0" applyFont="1" applyFill="1" applyBorder="1" applyAlignment="1">
      <alignment horizontal="left"/>
    </xf>
    <xf numFmtId="0" fontId="7" fillId="40" borderId="638" xfId="0" applyFont="1" applyFill="1" applyBorder="1">
      <alignment horizontal="center" vertical="center"/>
    </xf>
    <xf numFmtId="0" fontId="0" fillId="40" borderId="656" xfId="0" applyFill="1" applyBorder="1">
      <alignment horizontal="center" vertical="center"/>
    </xf>
    <xf numFmtId="0" fontId="0" fillId="46" borderId="671" xfId="0" applyFill="1" applyBorder="1">
      <alignment horizontal="center" vertical="center"/>
    </xf>
    <xf numFmtId="0" fontId="7" fillId="46" borderId="671" xfId="0" applyFont="1" applyFill="1" applyBorder="1">
      <alignment horizontal="center" vertical="center"/>
    </xf>
    <xf numFmtId="0" fontId="7" fillId="46" borderId="672" xfId="0" applyFont="1" applyFill="1" applyBorder="1">
      <alignment horizontal="center" vertical="center"/>
    </xf>
    <xf numFmtId="0" fontId="6" fillId="0" borderId="673" xfId="0" applyFont="1" applyBorder="1" applyAlignment="1">
      <alignment horizontal="left" vertical="center"/>
    </xf>
    <xf numFmtId="0" fontId="7" fillId="0" borderId="671" xfId="0" applyFont="1" applyBorder="1">
      <alignment horizontal="center" vertical="center"/>
    </xf>
    <xf numFmtId="0" fontId="7" fillId="0" borderId="672" xfId="0" applyFont="1" applyBorder="1">
      <alignment horizontal="center" vertical="center"/>
    </xf>
    <xf numFmtId="0" fontId="6" fillId="39" borderId="641" xfId="0" applyFont="1" applyFill="1" applyBorder="1" applyAlignment="1">
      <alignment horizontal="left"/>
    </xf>
    <xf numFmtId="0" fontId="6" fillId="47" borderId="637" xfId="0" applyFont="1" applyFill="1" applyBorder="1">
      <alignment horizontal="center" vertical="center"/>
    </xf>
    <xf numFmtId="0" fontId="7" fillId="47" borderId="638" xfId="0" applyFont="1" applyFill="1" applyBorder="1">
      <alignment horizontal="center" vertical="center"/>
    </xf>
    <xf numFmtId="0" fontId="7" fillId="0" borderId="637" xfId="0" applyFont="1" applyBorder="1" applyAlignment="1">
      <alignment horizontal="left"/>
    </xf>
    <xf numFmtId="0" fontId="0" fillId="0" borderId="638" xfId="0" applyBorder="1">
      <alignment horizontal="center" vertical="center"/>
    </xf>
    <xf numFmtId="0" fontId="7" fillId="0" borderId="638" xfId="0" applyFont="1" applyBorder="1" applyAlignment="1">
      <alignment horizontal="left"/>
    </xf>
    <xf numFmtId="0" fontId="7" fillId="0" borderId="638" xfId="0" applyFont="1" applyBorder="1">
      <alignment horizontal="center" vertical="center"/>
    </xf>
    <xf numFmtId="0" fontId="7" fillId="0" borderId="656" xfId="0" applyFont="1" applyBorder="1">
      <alignment horizontal="center" vertical="center"/>
    </xf>
    <xf numFmtId="0" fontId="7" fillId="48" borderId="637" xfId="0" applyFont="1" applyFill="1" applyBorder="1" applyAlignment="1">
      <alignment horizontal="left" vertical="center"/>
    </xf>
    <xf numFmtId="0" fontId="7" fillId="48" borderId="638" xfId="0" applyFont="1" applyFill="1" applyBorder="1">
      <alignment horizontal="center" vertical="center"/>
    </xf>
    <xf numFmtId="0" fontId="7" fillId="48" borderId="656" xfId="0" applyFont="1" applyFill="1" applyBorder="1">
      <alignment horizontal="center" vertical="center"/>
    </xf>
    <xf numFmtId="0" fontId="0" fillId="89" borderId="645" xfId="56" applyFont="1" applyBorder="1" applyAlignment="1">
      <alignment horizontal="left" vertical="center"/>
    </xf>
    <xf numFmtId="0" fontId="0" fillId="0" borderId="663" xfId="0" applyBorder="1">
      <alignment horizontal="center" vertical="center"/>
    </xf>
    <xf numFmtId="0" fontId="4" fillId="0" borderId="663" xfId="0" applyFont="1" applyBorder="1" applyAlignment="1">
      <alignment horizontal="center"/>
    </xf>
    <xf numFmtId="0" fontId="7" fillId="0" borderId="663" xfId="0" applyFont="1" applyBorder="1">
      <alignment horizontal="center" vertical="center"/>
    </xf>
    <xf numFmtId="0" fontId="7" fillId="0" borderId="641" xfId="0" applyFont="1" applyBorder="1">
      <alignment horizontal="center" vertical="center"/>
    </xf>
    <xf numFmtId="0" fontId="0" fillId="0" borderId="641" xfId="0" applyBorder="1">
      <alignment horizontal="center" vertical="center"/>
    </xf>
    <xf numFmtId="0" fontId="4" fillId="0" borderId="641" xfId="0" applyFont="1" applyBorder="1" applyAlignment="1">
      <alignment horizontal="center"/>
    </xf>
    <xf numFmtId="0" fontId="4" fillId="0" borderId="645" xfId="0" applyFont="1" applyBorder="1" applyAlignment="1">
      <alignment horizontal="left" vertical="center"/>
    </xf>
    <xf numFmtId="0" fontId="59" fillId="0" borderId="674" xfId="0" applyFont="1" applyBorder="1" applyAlignment="1">
      <alignment horizontal="left" vertical="center"/>
    </xf>
    <xf numFmtId="0" fontId="4" fillId="0" borderId="647" xfId="0" applyFont="1" applyBorder="1" applyAlignment="1">
      <alignment horizontal="left" vertical="center"/>
    </xf>
    <xf numFmtId="0" fontId="0" fillId="0" borderId="646" xfId="0" applyBorder="1">
      <alignment horizontal="center" vertical="center"/>
    </xf>
    <xf numFmtId="0" fontId="0" fillId="0" borderId="647" xfId="0" applyBorder="1">
      <alignment horizontal="center" vertical="center"/>
    </xf>
    <xf numFmtId="0" fontId="13" fillId="0" borderId="647" xfId="0" applyFont="1" applyBorder="1">
      <alignment horizontal="center" vertical="center"/>
    </xf>
    <xf numFmtId="0" fontId="59" fillId="0" borderId="645" xfId="0" applyFont="1" applyBorder="1" applyAlignment="1">
      <alignment horizontal="left" vertical="center"/>
    </xf>
    <xf numFmtId="0" fontId="0" fillId="0" borderId="647" xfId="0" applyBorder="1" applyAlignment="1">
      <alignment horizontal="left" vertical="center"/>
    </xf>
    <xf numFmtId="0" fontId="0" fillId="0" borderId="646" xfId="0" applyBorder="1" applyAlignment="1">
      <alignment horizontal="left" vertical="center"/>
    </xf>
    <xf numFmtId="0" fontId="4" fillId="0" borderId="647" xfId="0" applyFont="1" applyBorder="1">
      <alignment horizontal="center" vertical="center"/>
    </xf>
    <xf numFmtId="0" fontId="59" fillId="0" borderId="648" xfId="0" applyFont="1" applyBorder="1" applyAlignment="1">
      <alignment horizontal="left" vertical="center"/>
    </xf>
    <xf numFmtId="0" fontId="6" fillId="0" borderId="651" xfId="0" applyFont="1" applyBorder="1">
      <alignment horizontal="center" vertical="center"/>
    </xf>
    <xf numFmtId="0" fontId="0" fillId="0" borderId="675" xfId="0" applyBorder="1" applyAlignment="1" applyProtection="1">
      <alignment horizontal="center"/>
      <protection locked="0"/>
    </xf>
    <xf numFmtId="0" fontId="6" fillId="51" borderId="675" xfId="0" applyFont="1" applyFill="1" applyBorder="1">
      <alignment horizontal="center" vertical="center"/>
    </xf>
    <xf numFmtId="0" fontId="0" fillId="51" borderId="675" xfId="0" applyFill="1" applyBorder="1">
      <alignment horizontal="center" vertical="center"/>
    </xf>
    <xf numFmtId="0" fontId="0" fillId="70" borderId="675" xfId="0" applyFill="1" applyBorder="1">
      <alignment horizontal="center" vertical="center"/>
    </xf>
    <xf numFmtId="0" fontId="0" fillId="51" borderId="676" xfId="0" applyFill="1" applyBorder="1">
      <alignment horizontal="center" vertical="center"/>
    </xf>
    <xf numFmtId="0" fontId="0" fillId="51" borderId="667" xfId="0" applyFill="1" applyBorder="1" applyProtection="1">
      <alignment horizontal="center" vertical="center"/>
      <protection locked="0"/>
    </xf>
    <xf numFmtId="0" fontId="0" fillId="0" borderId="677" xfId="0" applyBorder="1" applyAlignment="1">
      <alignment horizontal="left" vertical="center"/>
    </xf>
    <xf numFmtId="0" fontId="0" fillId="51" borderId="667" xfId="43" applyFont="1" applyFill="1" applyBorder="1">
      <alignment horizontal="center" vertical="center"/>
    </xf>
    <xf numFmtId="0" fontId="0" fillId="51" borderId="667" xfId="32" applyFont="1" applyFill="1" applyBorder="1" applyAlignment="1">
      <alignment horizontal="center" vertical="center"/>
    </xf>
    <xf numFmtId="0" fontId="0" fillId="51" borderId="667" xfId="48" applyFont="1" applyFill="1" applyBorder="1">
      <alignment horizontal="center" vertical="center"/>
    </xf>
    <xf numFmtId="0" fontId="0" fillId="51" borderId="678" xfId="0" applyFill="1" applyBorder="1">
      <alignment horizontal="center" vertical="center"/>
    </xf>
    <xf numFmtId="0" fontId="0" fillId="0" borderId="641" xfId="0" applyBorder="1" applyAlignment="1">
      <alignment horizontal="left" vertical="center"/>
    </xf>
    <xf numFmtId="0" fontId="0" fillId="51" borderId="123" xfId="32" applyFont="1" applyFill="1" applyBorder="1" applyAlignment="1">
      <alignment horizontal="center" vertical="center"/>
    </xf>
    <xf numFmtId="0" fontId="0" fillId="0" borderId="668" xfId="0" applyBorder="1" applyAlignment="1">
      <alignment horizontal="left" vertical="center"/>
    </xf>
    <xf numFmtId="0" fontId="0" fillId="51" borderId="641" xfId="43" applyFont="1" applyFill="1" applyBorder="1">
      <alignment horizontal="center" vertical="center"/>
    </xf>
    <xf numFmtId="0" fontId="4" fillId="24" borderId="663" xfId="0" applyFont="1" applyFill="1" applyBorder="1" applyAlignment="1">
      <alignment horizontal="left" vertical="center"/>
    </xf>
    <xf numFmtId="0" fontId="0" fillId="24" borderId="679" xfId="0" applyFill="1" applyBorder="1">
      <alignment horizontal="center" vertical="center"/>
    </xf>
    <xf numFmtId="0" fontId="0" fillId="43" borderId="667" xfId="0" applyFill="1" applyBorder="1" applyAlignment="1" applyProtection="1">
      <alignment horizontal="center"/>
      <protection locked="0"/>
    </xf>
    <xf numFmtId="0" fontId="0" fillId="53" borderId="641" xfId="44" applyFont="1" applyFill="1" applyBorder="1">
      <alignment horizontal="center" vertical="center"/>
    </xf>
    <xf numFmtId="0" fontId="7" fillId="53" borderId="641" xfId="43" applyBorder="1">
      <alignment horizontal="center" vertical="center"/>
    </xf>
    <xf numFmtId="0" fontId="7" fillId="86" borderId="641" xfId="44" applyBorder="1">
      <alignment horizontal="center" vertical="center"/>
    </xf>
    <xf numFmtId="1" fontId="0" fillId="51" borderId="641" xfId="32" applyNumberFormat="1" applyFont="1" applyFill="1" applyBorder="1" applyAlignment="1">
      <alignment horizontal="center" vertical="center"/>
    </xf>
    <xf numFmtId="0" fontId="0" fillId="51" borderId="641" xfId="44" applyFont="1" applyFill="1" applyBorder="1">
      <alignment horizontal="center" vertical="center"/>
    </xf>
    <xf numFmtId="1" fontId="0" fillId="51" borderId="641" xfId="0" applyNumberFormat="1" applyFill="1" applyBorder="1">
      <alignment horizontal="center" vertical="center"/>
    </xf>
    <xf numFmtId="0" fontId="7" fillId="54" borderId="641" xfId="50" applyBorder="1">
      <alignment horizontal="center" vertical="center"/>
    </xf>
    <xf numFmtId="1" fontId="0" fillId="51" borderId="679" xfId="0" applyNumberFormat="1" applyFill="1" applyBorder="1">
      <alignment horizontal="center" vertical="center"/>
    </xf>
    <xf numFmtId="0" fontId="0" fillId="51" borderId="641" xfId="0" applyFill="1" applyBorder="1">
      <alignment horizontal="center" vertical="center"/>
    </xf>
    <xf numFmtId="0" fontId="7" fillId="88" borderId="663" xfId="47" applyBorder="1">
      <alignment horizontal="center" vertical="center"/>
    </xf>
    <xf numFmtId="0" fontId="7" fillId="88" borderId="641" xfId="47" applyBorder="1">
      <alignment horizontal="center" vertical="center"/>
    </xf>
    <xf numFmtId="0" fontId="0" fillId="51" borderId="679" xfId="0" applyFill="1" applyBorder="1">
      <alignment horizontal="center" vertical="center"/>
    </xf>
    <xf numFmtId="0" fontId="0" fillId="43" borderId="641" xfId="0" applyFill="1" applyBorder="1" applyAlignment="1" applyProtection="1">
      <alignment horizontal="center"/>
      <protection locked="0"/>
    </xf>
    <xf numFmtId="0" fontId="0" fillId="57" borderId="641" xfId="43" applyFont="1" applyFill="1" applyBorder="1">
      <alignment horizontal="center" vertical="center"/>
    </xf>
    <xf numFmtId="0" fontId="7" fillId="52" borderId="641" xfId="48" applyBorder="1">
      <alignment horizontal="center" vertical="center"/>
    </xf>
    <xf numFmtId="1" fontId="0" fillId="51" borderId="641" xfId="20" applyNumberFormat="1" applyFont="1" applyFill="1" applyBorder="1" applyAlignment="1">
      <alignment horizontal="center" vertical="center"/>
    </xf>
    <xf numFmtId="0" fontId="0" fillId="51" borderId="641" xfId="20" applyFont="1" applyFill="1" applyBorder="1" applyAlignment="1">
      <alignment horizontal="center" vertical="center"/>
    </xf>
    <xf numFmtId="1" fontId="0" fillId="51" borderId="641" xfId="44" applyNumberFormat="1" applyFont="1" applyFill="1" applyBorder="1">
      <alignment horizontal="center" vertical="center"/>
    </xf>
    <xf numFmtId="0" fontId="0" fillId="51" borderId="641" xfId="48" applyFont="1" applyFill="1" applyBorder="1">
      <alignment horizontal="center" vertical="center"/>
    </xf>
    <xf numFmtId="49" fontId="0" fillId="51" borderId="641" xfId="0" applyNumberFormat="1" applyFill="1" applyBorder="1">
      <alignment horizontal="center" vertical="center"/>
    </xf>
    <xf numFmtId="0" fontId="0" fillId="51" borderId="641" xfId="49" applyFont="1" applyFill="1" applyBorder="1">
      <alignment horizontal="center" vertical="center"/>
    </xf>
    <xf numFmtId="0" fontId="0" fillId="43" borderId="663" xfId="0" applyFill="1" applyBorder="1" applyAlignment="1" applyProtection="1">
      <alignment horizontal="center"/>
      <protection locked="0"/>
    </xf>
    <xf numFmtId="0" fontId="0" fillId="0" borderId="663" xfId="0" applyBorder="1" applyAlignment="1">
      <alignment horizontal="left" vertical="center"/>
    </xf>
    <xf numFmtId="0" fontId="0" fillId="51" borderId="663" xfId="43" applyFont="1" applyFill="1" applyBorder="1">
      <alignment horizontal="center" vertical="center"/>
    </xf>
    <xf numFmtId="0" fontId="0" fillId="55" borderId="663" xfId="0" applyFill="1" applyBorder="1">
      <alignment horizontal="center" vertical="center"/>
    </xf>
    <xf numFmtId="0" fontId="0" fillId="51" borderId="663" xfId="44" applyFont="1" applyFill="1" applyBorder="1">
      <alignment horizontal="center" vertical="center"/>
    </xf>
    <xf numFmtId="1" fontId="0" fillId="51" borderId="663" xfId="0" applyNumberFormat="1" applyFill="1" applyBorder="1">
      <alignment horizontal="center" vertical="center"/>
    </xf>
    <xf numFmtId="0" fontId="7" fillId="55" borderId="663" xfId="45" applyBorder="1">
      <alignment horizontal="center" vertical="center"/>
    </xf>
    <xf numFmtId="0" fontId="7" fillId="89" borderId="663" xfId="56" applyBorder="1">
      <alignment horizontal="center" vertical="center"/>
    </xf>
    <xf numFmtId="1" fontId="0" fillId="51" borderId="680" xfId="0" applyNumberFormat="1" applyFill="1" applyBorder="1">
      <alignment horizontal="center" vertical="center"/>
    </xf>
    <xf numFmtId="0" fontId="4" fillId="24" borderId="675" xfId="0" applyFont="1" applyFill="1" applyBorder="1" applyAlignment="1" applyProtection="1">
      <alignment horizontal="left"/>
      <protection locked="0"/>
    </xf>
    <xf numFmtId="0" fontId="4" fillId="24" borderId="675" xfId="0" applyFont="1" applyFill="1" applyBorder="1">
      <alignment horizontal="center" vertical="center"/>
    </xf>
    <xf numFmtId="0" fontId="0" fillId="0" borderId="667" xfId="0" applyBorder="1" applyAlignment="1">
      <alignment horizontal="left" vertical="center"/>
    </xf>
    <xf numFmtId="0" fontId="0" fillId="51" borderId="667" xfId="0" applyFill="1" applyBorder="1">
      <alignment horizontal="center" vertical="center"/>
    </xf>
    <xf numFmtId="0" fontId="0" fillId="51" borderId="667" xfId="44" applyFont="1" applyFill="1" applyBorder="1">
      <alignment horizontal="center" vertical="center"/>
    </xf>
    <xf numFmtId="49" fontId="0" fillId="51" borderId="667" xfId="0" applyNumberFormat="1" applyFill="1" applyBorder="1">
      <alignment horizontal="center" vertical="center"/>
    </xf>
    <xf numFmtId="0" fontId="7" fillId="0" borderId="641" xfId="43" applyFill="1" applyBorder="1">
      <alignment horizontal="center" vertical="center"/>
    </xf>
    <xf numFmtId="173" fontId="0" fillId="0" borderId="651" xfId="0" applyNumberFormat="1" applyBorder="1">
      <alignment horizontal="center" vertical="center"/>
    </xf>
    <xf numFmtId="0" fontId="0" fillId="0" borderId="681" xfId="0" applyBorder="1">
      <alignment horizontal="center" vertical="center"/>
    </xf>
    <xf numFmtId="49" fontId="0" fillId="51" borderId="679" xfId="0" applyNumberFormat="1" applyFill="1" applyBorder="1">
      <alignment horizontal="center" vertical="center"/>
    </xf>
    <xf numFmtId="0" fontId="0" fillId="0" borderId="668" xfId="0" applyBorder="1" applyAlignment="1">
      <alignment vertical="center"/>
    </xf>
    <xf numFmtId="0" fontId="0" fillId="51" borderId="668" xfId="43" applyFont="1" applyFill="1" applyBorder="1">
      <alignment horizontal="center" vertical="center"/>
    </xf>
    <xf numFmtId="0" fontId="0" fillId="51" borderId="668" xfId="0" applyFill="1" applyBorder="1">
      <alignment horizontal="center" vertical="center"/>
    </xf>
    <xf numFmtId="0" fontId="7" fillId="86" borderId="668" xfId="44" applyBorder="1">
      <alignment horizontal="center" vertical="center"/>
    </xf>
    <xf numFmtId="0" fontId="7" fillId="52" borderId="668" xfId="48" applyBorder="1">
      <alignment horizontal="center" vertical="center"/>
    </xf>
    <xf numFmtId="0" fontId="7" fillId="54" borderId="668" xfId="50" applyBorder="1">
      <alignment horizontal="center" vertical="center"/>
    </xf>
    <xf numFmtId="0" fontId="0" fillId="51" borderId="668" xfId="32" applyFont="1" applyFill="1" applyBorder="1" applyAlignment="1">
      <alignment horizontal="center" vertical="center"/>
    </xf>
    <xf numFmtId="0" fontId="51" fillId="56" borderId="668" xfId="46" applyBorder="1">
      <alignment horizontal="center" vertical="center"/>
    </xf>
    <xf numFmtId="0" fontId="0" fillId="51" borderId="682" xfId="0" applyFill="1" applyBorder="1">
      <alignment horizontal="center" vertical="center"/>
    </xf>
    <xf numFmtId="0" fontId="4" fillId="0" borderId="683" xfId="0" applyFont="1" applyBorder="1" applyAlignment="1">
      <alignment horizontal="left" vertical="center"/>
    </xf>
    <xf numFmtId="0" fontId="0" fillId="0" borderId="684" xfId="0" applyBorder="1" applyAlignment="1">
      <alignment horizontal="left"/>
    </xf>
    <xf numFmtId="0" fontId="4" fillId="0" borderId="653" xfId="0" applyFont="1" applyBorder="1" applyAlignment="1">
      <alignment vertical="center"/>
    </xf>
    <xf numFmtId="0" fontId="0" fillId="0" borderId="684" xfId="0" applyBorder="1">
      <alignment horizontal="center" vertical="center"/>
    </xf>
    <xf numFmtId="0" fontId="4" fillId="0" borderId="685" xfId="0" applyFont="1" applyBorder="1" applyAlignment="1">
      <alignment horizontal="left" vertical="center"/>
    </xf>
    <xf numFmtId="0" fontId="4" fillId="0" borderId="685" xfId="0" applyFont="1" applyBorder="1" applyAlignment="1">
      <alignment horizontal="left"/>
    </xf>
    <xf numFmtId="0" fontId="4" fillId="0" borderId="654" xfId="0" applyFont="1" applyBorder="1" applyAlignment="1">
      <alignment vertical="center"/>
    </xf>
    <xf numFmtId="0" fontId="0" fillId="0" borderId="654" xfId="0" applyBorder="1">
      <alignment horizontal="center" vertical="center"/>
    </xf>
    <xf numFmtId="0" fontId="0" fillId="0" borderId="686" xfId="0" applyBorder="1">
      <alignment horizontal="center" vertical="center"/>
    </xf>
    <xf numFmtId="0" fontId="4" fillId="0" borderId="687" xfId="0" applyFont="1" applyBorder="1" applyAlignment="1">
      <alignment horizontal="left" vertical="center"/>
    </xf>
    <xf numFmtId="0" fontId="0" fillId="0" borderId="671" xfId="0" applyBorder="1">
      <alignment horizontal="center" vertical="center"/>
    </xf>
    <xf numFmtId="0" fontId="4" fillId="0" borderId="637" xfId="0" applyFont="1" applyBorder="1" applyAlignment="1">
      <alignment vertical="center"/>
    </xf>
    <xf numFmtId="0" fontId="13" fillId="0" borderId="638" xfId="0" applyFont="1" applyBorder="1">
      <alignment horizontal="center" vertical="center"/>
    </xf>
    <xf numFmtId="0" fontId="0" fillId="0" borderId="656" xfId="0" applyBorder="1">
      <alignment horizontal="center" vertical="center"/>
    </xf>
    <xf numFmtId="0" fontId="4" fillId="0" borderId="673" xfId="0" applyFont="1" applyBorder="1" applyAlignment="1">
      <alignment horizontal="left" vertical="center"/>
    </xf>
    <xf numFmtId="0" fontId="13" fillId="0" borderId="671" xfId="0" applyFont="1" applyBorder="1">
      <alignment horizontal="center" vertical="center"/>
    </xf>
    <xf numFmtId="0" fontId="4" fillId="0" borderId="671" xfId="0" applyFont="1" applyBorder="1">
      <alignment horizontal="center" vertical="center"/>
    </xf>
    <xf numFmtId="0" fontId="4" fillId="0" borderId="665" xfId="0" applyFont="1" applyBorder="1" applyAlignment="1">
      <alignment horizontal="left" vertical="center"/>
    </xf>
    <xf numFmtId="0" fontId="0" fillId="0" borderId="637" xfId="0" applyBorder="1" applyAlignment="1">
      <alignment vertical="center"/>
    </xf>
    <xf numFmtId="0" fontId="4" fillId="0" borderId="637" xfId="0" applyFont="1" applyBorder="1">
      <alignment horizontal="center" vertical="center"/>
    </xf>
    <xf numFmtId="0" fontId="0" fillId="0" borderId="638" xfId="0" applyBorder="1" applyAlignment="1">
      <alignment horizontal="left" vertical="center"/>
    </xf>
    <xf numFmtId="0" fontId="0" fillId="0" borderId="688" xfId="0" applyBorder="1">
      <alignment horizontal="center" vertical="center"/>
    </xf>
    <xf numFmtId="0" fontId="4" fillId="0" borderId="666" xfId="0" applyFont="1" applyBorder="1" applyAlignment="1">
      <alignment horizontal="left" vertical="center"/>
    </xf>
    <xf numFmtId="0" fontId="0" fillId="0" borderId="689" xfId="0" applyBorder="1">
      <alignment horizontal="center" vertical="center"/>
    </xf>
    <xf numFmtId="0" fontId="0" fillId="0" borderId="640" xfId="0" applyBorder="1" applyAlignment="1">
      <alignment vertical="center"/>
    </xf>
    <xf numFmtId="0" fontId="0" fillId="0" borderId="690" xfId="0" applyBorder="1">
      <alignment horizontal="center" vertical="center"/>
    </xf>
    <xf numFmtId="0" fontId="4" fillId="0" borderId="640" xfId="0" applyFont="1" applyBorder="1">
      <alignment horizontal="center" vertical="center"/>
    </xf>
    <xf numFmtId="0" fontId="0" fillId="0" borderId="689" xfId="0" applyBorder="1" applyAlignment="1">
      <alignment horizontal="left" vertical="center"/>
    </xf>
    <xf numFmtId="0" fontId="13" fillId="0" borderId="689" xfId="0" applyFont="1" applyBorder="1">
      <alignment horizontal="center" vertical="center"/>
    </xf>
    <xf numFmtId="0" fontId="4" fillId="0" borderId="689" xfId="0" applyFont="1" applyBorder="1" applyAlignment="1">
      <alignment horizontal="left" vertical="center"/>
    </xf>
    <xf numFmtId="0" fontId="0" fillId="0" borderId="691" xfId="0" applyBorder="1">
      <alignment horizontal="center" vertical="center"/>
    </xf>
    <xf numFmtId="0" fontId="0" fillId="0" borderId="663" xfId="0" applyBorder="1" applyAlignment="1" applyProtection="1">
      <alignment horizontal="center"/>
      <protection locked="0"/>
    </xf>
    <xf numFmtId="0" fontId="6" fillId="0" borderId="663" xfId="0" applyFont="1" applyBorder="1" applyAlignment="1">
      <alignment horizontal="center"/>
    </xf>
    <xf numFmtId="0" fontId="0" fillId="24" borderId="664" xfId="0" applyFill="1" applyBorder="1" applyAlignment="1" applyProtection="1">
      <alignment horizontal="center"/>
      <protection locked="0"/>
    </xf>
    <xf numFmtId="0" fontId="7" fillId="52" borderId="667" xfId="48" applyBorder="1">
      <alignment horizontal="center" vertical="center"/>
    </xf>
    <xf numFmtId="0" fontId="7" fillId="55" borderId="667" xfId="45" applyBorder="1">
      <alignment horizontal="center" vertical="center"/>
    </xf>
    <xf numFmtId="0" fontId="7" fillId="51" borderId="667" xfId="45" applyFill="1" applyBorder="1">
      <alignment horizontal="center" vertical="center"/>
    </xf>
    <xf numFmtId="49" fontId="0" fillId="55" borderId="667" xfId="0" applyNumberFormat="1" applyFill="1" applyBorder="1">
      <alignment horizontal="center" vertical="center"/>
    </xf>
    <xf numFmtId="49" fontId="0" fillId="51" borderId="678" xfId="0" applyNumberFormat="1" applyFill="1" applyBorder="1">
      <alignment horizontal="center" vertical="center"/>
    </xf>
    <xf numFmtId="0" fontId="0" fillId="43" borderId="692" xfId="0" applyFill="1" applyBorder="1" applyAlignment="1" applyProtection="1">
      <alignment horizontal="center"/>
      <protection locked="0"/>
    </xf>
    <xf numFmtId="0" fontId="0" fillId="55" borderId="641" xfId="20" applyFont="1" applyFill="1" applyBorder="1" applyAlignment="1">
      <alignment horizontal="center" vertical="center"/>
    </xf>
    <xf numFmtId="0" fontId="0" fillId="43" borderId="693" xfId="0" applyFill="1" applyBorder="1" applyAlignment="1" applyProtection="1">
      <alignment horizontal="center"/>
      <protection locked="0"/>
    </xf>
    <xf numFmtId="49" fontId="0" fillId="51" borderId="668" xfId="0" applyNumberFormat="1" applyFill="1" applyBorder="1">
      <alignment horizontal="center" vertical="center"/>
    </xf>
    <xf numFmtId="0" fontId="0" fillId="51" borderId="668" xfId="53" applyFont="1" applyFill="1" applyBorder="1">
      <alignment horizontal="center" vertical="center"/>
    </xf>
    <xf numFmtId="0" fontId="0" fillId="51" borderId="668" xfId="48" applyFont="1" applyFill="1" applyBorder="1">
      <alignment horizontal="center" vertical="center"/>
    </xf>
    <xf numFmtId="49" fontId="0" fillId="51" borderId="682" xfId="0" applyNumberFormat="1" applyFill="1" applyBorder="1">
      <alignment horizontal="center" vertical="center"/>
    </xf>
    <xf numFmtId="0" fontId="0" fillId="0" borderId="645" xfId="0" applyBorder="1" applyAlignment="1">
      <alignment horizontal="left" vertical="center"/>
    </xf>
    <xf numFmtId="0" fontId="0" fillId="55" borderId="667" xfId="43" applyFont="1" applyFill="1" applyBorder="1">
      <alignment horizontal="center" vertical="center"/>
    </xf>
    <xf numFmtId="0" fontId="7" fillId="52" borderId="663" xfId="48" applyBorder="1">
      <alignment horizontal="center" vertical="center"/>
    </xf>
    <xf numFmtId="0" fontId="0" fillId="51" borderId="641" xfId="46" applyFont="1" applyFill="1" applyBorder="1">
      <alignment horizontal="center" vertical="center"/>
    </xf>
    <xf numFmtId="0" fontId="0" fillId="51" borderId="641" xfId="45" applyFont="1" applyFill="1" applyBorder="1">
      <alignment horizontal="center" vertical="center"/>
    </xf>
    <xf numFmtId="0" fontId="7" fillId="55" borderId="641" xfId="45" applyBorder="1">
      <alignment horizontal="center" vertical="center"/>
    </xf>
    <xf numFmtId="0" fontId="0" fillId="51" borderId="668" xfId="0" applyFill="1" applyBorder="1" applyAlignment="1">
      <alignment horizontal="left" vertical="center"/>
    </xf>
    <xf numFmtId="0" fontId="7" fillId="55" borderId="668" xfId="45" applyBorder="1">
      <alignment horizontal="center" vertical="center"/>
    </xf>
    <xf numFmtId="0" fontId="0" fillId="51" borderId="640" xfId="48" applyFont="1" applyFill="1" applyBorder="1">
      <alignment horizontal="center" vertical="center"/>
    </xf>
    <xf numFmtId="0" fontId="7" fillId="55" borderId="694" xfId="45" applyBorder="1">
      <alignment horizontal="center" vertical="center"/>
    </xf>
    <xf numFmtId="0" fontId="7" fillId="53" borderId="690" xfId="45" applyFill="1" applyBorder="1">
      <alignment horizontal="center" vertical="center"/>
    </xf>
    <xf numFmtId="0" fontId="7" fillId="53" borderId="668" xfId="48" applyFill="1" applyBorder="1">
      <alignment horizontal="center" vertical="center"/>
    </xf>
    <xf numFmtId="0" fontId="7" fillId="53" borderId="668" xfId="43" applyBorder="1">
      <alignment horizontal="center" vertical="center"/>
    </xf>
    <xf numFmtId="0" fontId="0" fillId="55" borderId="668" xfId="48" applyFont="1" applyFill="1" applyBorder="1">
      <alignment horizontal="center" vertical="center"/>
    </xf>
    <xf numFmtId="0" fontId="7" fillId="89" borderId="668" xfId="56" applyBorder="1">
      <alignment horizontal="center" vertical="center"/>
    </xf>
    <xf numFmtId="0" fontId="0" fillId="51" borderId="682" xfId="53" applyFont="1" applyFill="1" applyBorder="1">
      <alignment horizontal="center" vertical="center"/>
    </xf>
    <xf numFmtId="0" fontId="0" fillId="51" borderId="667" xfId="0" applyFill="1" applyBorder="1" applyAlignment="1">
      <alignment horizontal="left" vertical="center" wrapText="1"/>
    </xf>
    <xf numFmtId="0" fontId="7" fillId="89" borderId="641" xfId="56" applyBorder="1">
      <alignment horizontal="center" vertical="center"/>
    </xf>
    <xf numFmtId="0" fontId="0" fillId="51" borderId="668" xfId="44" applyFont="1" applyFill="1" applyBorder="1">
      <alignment horizontal="center" vertical="center"/>
    </xf>
    <xf numFmtId="0" fontId="0" fillId="55" borderId="668" xfId="44" applyFont="1" applyFill="1" applyBorder="1">
      <alignment horizontal="center" vertical="center"/>
    </xf>
    <xf numFmtId="0" fontId="7" fillId="0" borderId="667" xfId="53" applyBorder="1">
      <alignment horizontal="center" vertical="center"/>
    </xf>
    <xf numFmtId="0" fontId="7" fillId="86" borderId="667" xfId="44" applyBorder="1">
      <alignment horizontal="center" vertical="center"/>
    </xf>
    <xf numFmtId="0" fontId="0" fillId="51" borderId="667" xfId="46" applyFont="1" applyFill="1" applyBorder="1">
      <alignment horizontal="center" vertical="center"/>
    </xf>
    <xf numFmtId="0" fontId="7" fillId="54" borderId="667" xfId="50" applyBorder="1">
      <alignment horizontal="center" vertical="center"/>
    </xf>
    <xf numFmtId="0" fontId="7" fillId="51" borderId="667" xfId="50" applyFill="1" applyBorder="1">
      <alignment horizontal="center" vertical="center"/>
    </xf>
    <xf numFmtId="0" fontId="7" fillId="51" borderId="668" xfId="43" applyFill="1" applyBorder="1">
      <alignment horizontal="center" vertical="center"/>
    </xf>
    <xf numFmtId="0" fontId="0" fillId="51" borderId="682" xfId="44" applyFont="1" applyFill="1" applyBorder="1">
      <alignment horizontal="center" vertical="center"/>
    </xf>
    <xf numFmtId="0" fontId="6" fillId="0" borderId="641" xfId="0" applyFont="1" applyBorder="1" applyAlignment="1">
      <alignment horizontal="left"/>
    </xf>
    <xf numFmtId="0" fontId="7" fillId="0" borderId="637" xfId="0" applyFont="1" applyBorder="1">
      <alignment horizontal="center" vertical="center"/>
    </xf>
    <xf numFmtId="0" fontId="0" fillId="0" borderId="637" xfId="0" applyBorder="1" applyAlignment="1">
      <alignment horizontal="left"/>
    </xf>
    <xf numFmtId="0" fontId="0" fillId="0" borderId="638" xfId="0" applyBorder="1" applyAlignment="1">
      <alignment horizontal="left"/>
    </xf>
    <xf numFmtId="0" fontId="7" fillId="0" borderId="656" xfId="0" applyFont="1" applyBorder="1" applyAlignment="1">
      <alignment horizontal="left"/>
    </xf>
    <xf numFmtId="0" fontId="6" fillId="0" borderId="637" xfId="0" applyFont="1" applyBorder="1" applyAlignment="1">
      <alignment horizontal="left"/>
    </xf>
    <xf numFmtId="0" fontId="4" fillId="0" borderId="668" xfId="0" applyFont="1" applyBorder="1" applyAlignment="1" applyProtection="1">
      <alignment horizontal="center"/>
      <protection locked="0"/>
    </xf>
    <xf numFmtId="0" fontId="6" fillId="0" borderId="668" xfId="0" applyFont="1" applyBorder="1" applyAlignment="1">
      <alignment horizontal="center"/>
    </xf>
    <xf numFmtId="0" fontId="0" fillId="0" borderId="651" xfId="0" applyBorder="1" applyAlignment="1">
      <alignment horizontal="left" vertical="center"/>
    </xf>
    <xf numFmtId="0" fontId="0" fillId="51" borderId="645" xfId="0" applyFill="1" applyBorder="1" applyAlignment="1">
      <alignment horizontal="left" vertical="center"/>
    </xf>
    <xf numFmtId="0" fontId="0" fillId="51" borderId="679" xfId="48" applyFont="1" applyFill="1" applyBorder="1">
      <alignment horizontal="center" vertical="center"/>
    </xf>
    <xf numFmtId="49" fontId="0" fillId="51" borderId="659" xfId="0" applyNumberFormat="1" applyFill="1" applyBorder="1">
      <alignment horizontal="center" vertical="center"/>
    </xf>
    <xf numFmtId="0" fontId="0" fillId="53" borderId="641" xfId="0" applyFill="1" applyBorder="1">
      <alignment horizontal="center" vertical="center"/>
    </xf>
    <xf numFmtId="0" fontId="0" fillId="53" borderId="641" xfId="48" applyFont="1" applyFill="1" applyBorder="1">
      <alignment horizontal="center" vertical="center"/>
    </xf>
    <xf numFmtId="0" fontId="75" fillId="53" borderId="641" xfId="0" applyFont="1" applyFill="1" applyBorder="1">
      <alignment horizontal="center" vertical="center"/>
    </xf>
    <xf numFmtId="0" fontId="0" fillId="51" borderId="651" xfId="0" applyFill="1" applyBorder="1" applyAlignment="1">
      <alignment horizontal="left" vertical="center"/>
    </xf>
    <xf numFmtId="0" fontId="18" fillId="0" borderId="651" xfId="0" applyFont="1" applyBorder="1" applyAlignment="1" applyProtection="1">
      <alignment horizontal="center"/>
      <protection locked="0"/>
    </xf>
    <xf numFmtId="0" fontId="0" fillId="0" borderId="645" xfId="0" applyBorder="1" applyAlignment="1">
      <alignment vertical="center"/>
    </xf>
    <xf numFmtId="0" fontId="7" fillId="0" borderId="659" xfId="53" applyBorder="1">
      <alignment horizontal="center" vertical="center"/>
    </xf>
    <xf numFmtId="0" fontId="7" fillId="55" borderId="659" xfId="53" applyFill="1" applyBorder="1">
      <alignment horizontal="center" vertical="center"/>
    </xf>
    <xf numFmtId="0" fontId="7" fillId="53" borderId="659" xfId="53" applyFill="1" applyBorder="1">
      <alignment horizontal="center" vertical="center"/>
    </xf>
    <xf numFmtId="0" fontId="7" fillId="53" borderId="659" xfId="43" applyBorder="1">
      <alignment horizontal="center" vertical="center"/>
    </xf>
    <xf numFmtId="0" fontId="0" fillId="51" borderId="679" xfId="53" applyFont="1" applyFill="1" applyBorder="1">
      <alignment horizontal="center" vertical="center"/>
    </xf>
    <xf numFmtId="0" fontId="0" fillId="51" borderId="659" xfId="0" applyFill="1" applyBorder="1">
      <alignment horizontal="center" vertical="center"/>
    </xf>
    <xf numFmtId="0" fontId="0" fillId="51" borderId="651" xfId="0" applyFill="1" applyBorder="1">
      <alignment horizontal="center" vertical="center"/>
    </xf>
    <xf numFmtId="49" fontId="0" fillId="51" borderId="651" xfId="0" applyNumberFormat="1" applyFill="1" applyBorder="1">
      <alignment horizontal="center" vertical="center"/>
    </xf>
    <xf numFmtId="0" fontId="59" fillId="0" borderId="651" xfId="0" applyFont="1" applyBorder="1" applyAlignment="1">
      <alignment horizontal="left" vertical="center"/>
    </xf>
    <xf numFmtId="0" fontId="0" fillId="0" borderId="649" xfId="0" applyBorder="1" applyAlignment="1">
      <alignment horizontal="left" vertical="center"/>
    </xf>
    <xf numFmtId="49" fontId="0" fillId="55" borderId="641" xfId="0" applyNumberFormat="1" applyFill="1" applyBorder="1">
      <alignment horizontal="center" vertical="center"/>
    </xf>
    <xf numFmtId="0" fontId="0" fillId="51" borderId="663" xfId="48" applyFont="1" applyFill="1" applyBorder="1">
      <alignment horizontal="center" vertical="center"/>
    </xf>
    <xf numFmtId="0" fontId="0" fillId="55" borderId="663" xfId="48" applyFont="1" applyFill="1" applyBorder="1">
      <alignment horizontal="center" vertical="center"/>
    </xf>
    <xf numFmtId="1" fontId="0" fillId="51" borderId="663" xfId="32" applyNumberFormat="1" applyFont="1" applyFill="1" applyBorder="1" applyAlignment="1">
      <alignment horizontal="center" vertical="center"/>
    </xf>
    <xf numFmtId="49" fontId="0" fillId="51" borderId="663" xfId="0" applyNumberFormat="1" applyFill="1" applyBorder="1">
      <alignment horizontal="center" vertical="center"/>
    </xf>
    <xf numFmtId="0" fontId="0" fillId="51" borderId="651" xfId="44" applyFont="1" applyFill="1" applyBorder="1">
      <alignment horizontal="center" vertical="center"/>
    </xf>
    <xf numFmtId="0" fontId="7" fillId="0" borderId="651" xfId="53" applyBorder="1">
      <alignment horizontal="center" vertical="center"/>
    </xf>
    <xf numFmtId="0" fontId="7" fillId="0" borderId="645" xfId="53" applyBorder="1">
      <alignment horizontal="center" vertical="center"/>
    </xf>
    <xf numFmtId="0" fontId="0" fillId="0" borderId="651" xfId="53" applyFont="1" applyBorder="1">
      <alignment horizontal="center" vertical="center"/>
    </xf>
    <xf numFmtId="0" fontId="7" fillId="88" borderId="651" xfId="47" applyBorder="1">
      <alignment horizontal="center" vertical="center"/>
    </xf>
    <xf numFmtId="0" fontId="7" fillId="0" borderId="646" xfId="53" applyBorder="1">
      <alignment horizontal="center" vertical="center"/>
    </xf>
    <xf numFmtId="0" fontId="0" fillId="0" borderId="645" xfId="53" applyFont="1" applyBorder="1">
      <alignment horizontal="center" vertical="center"/>
    </xf>
    <xf numFmtId="0" fontId="0" fillId="88" borderId="651" xfId="47" applyFont="1" applyBorder="1">
      <alignment horizontal="center" vertical="center"/>
    </xf>
    <xf numFmtId="0" fontId="0" fillId="0" borderId="646" xfId="53" applyFont="1" applyBorder="1">
      <alignment horizontal="center" vertical="center"/>
    </xf>
    <xf numFmtId="0" fontId="0" fillId="0" borderId="651" xfId="44" applyFont="1" applyFill="1" applyBorder="1">
      <alignment horizontal="center" vertical="center"/>
    </xf>
    <xf numFmtId="49" fontId="0" fillId="0" borderId="651" xfId="0" applyNumberFormat="1" applyBorder="1">
      <alignment horizontal="center" vertical="center"/>
    </xf>
    <xf numFmtId="0" fontId="18" fillId="0" borderId="645" xfId="0" applyFont="1" applyBorder="1" applyAlignment="1" applyProtection="1">
      <alignment horizontal="center"/>
      <protection locked="0"/>
    </xf>
    <xf numFmtId="0" fontId="18" fillId="0" borderId="56" xfId="0" applyFont="1" applyBorder="1" applyAlignment="1" applyProtection="1">
      <alignment horizontal="center"/>
      <protection locked="0"/>
    </xf>
    <xf numFmtId="0" fontId="0" fillId="0" borderId="695" xfId="0" applyBorder="1" applyAlignment="1">
      <alignment horizontal="left" vertical="center"/>
    </xf>
    <xf numFmtId="0" fontId="0" fillId="51" borderId="645" xfId="0" applyFill="1" applyBorder="1">
      <alignment horizontal="center" vertical="center"/>
    </xf>
    <xf numFmtId="0" fontId="7" fillId="86" borderId="651" xfId="44" applyBorder="1">
      <alignment horizontal="center" vertical="center"/>
    </xf>
    <xf numFmtId="0" fontId="0" fillId="51" borderId="651" xfId="48" applyFont="1" applyFill="1" applyBorder="1">
      <alignment horizontal="center" vertical="center"/>
    </xf>
    <xf numFmtId="0" fontId="0" fillId="51" borderId="674" xfId="53" applyFont="1" applyFill="1" applyBorder="1">
      <alignment horizontal="center" vertical="center"/>
    </xf>
    <xf numFmtId="0" fontId="0" fillId="71" borderId="645" xfId="0" applyFill="1" applyBorder="1" applyAlignment="1"/>
    <xf numFmtId="0" fontId="0" fillId="51" borderId="651" xfId="20" applyNumberFormat="1" applyFont="1" applyFill="1" applyBorder="1" applyAlignment="1">
      <alignment horizontal="center" vertical="center"/>
    </xf>
    <xf numFmtId="49" fontId="0" fillId="51" borderId="674" xfId="0" applyNumberFormat="1" applyFill="1" applyBorder="1">
      <alignment horizontal="center" vertical="center"/>
    </xf>
    <xf numFmtId="0" fontId="18" fillId="0" borderId="649" xfId="0" applyFont="1" applyBorder="1" applyAlignment="1" applyProtection="1">
      <alignment horizontal="center"/>
      <protection locked="0"/>
    </xf>
    <xf numFmtId="0" fontId="0" fillId="0" borderId="650" xfId="0" applyBorder="1" applyAlignment="1">
      <alignment horizontal="left" vertical="center"/>
    </xf>
    <xf numFmtId="0" fontId="0" fillId="51" borderId="696" xfId="0" applyFill="1" applyBorder="1">
      <alignment horizontal="center" vertical="center"/>
    </xf>
    <xf numFmtId="0" fontId="0" fillId="51" borderId="697" xfId="0" applyFill="1" applyBorder="1">
      <alignment horizontal="center" vertical="center"/>
    </xf>
    <xf numFmtId="1" fontId="0" fillId="51" borderId="697" xfId="32" applyNumberFormat="1" applyFont="1" applyFill="1" applyBorder="1" applyAlignment="1">
      <alignment horizontal="center" vertical="center"/>
    </xf>
    <xf numFmtId="0" fontId="0" fillId="51" borderId="697" xfId="43" applyFont="1" applyFill="1" applyBorder="1">
      <alignment horizontal="center" vertical="center"/>
    </xf>
    <xf numFmtId="0" fontId="0" fillId="51" borderId="698" xfId="0" applyFill="1" applyBorder="1">
      <alignment horizontal="center" vertical="center"/>
    </xf>
    <xf numFmtId="0" fontId="20" fillId="0" borderId="699" xfId="0" applyFont="1" applyBorder="1" applyAlignment="1">
      <alignment vertical="center"/>
    </xf>
    <xf numFmtId="0" fontId="0" fillId="0" borderId="659" xfId="0" applyBorder="1" applyAlignment="1">
      <alignment horizontal="left" vertical="center"/>
    </xf>
    <xf numFmtId="0" fontId="0" fillId="51" borderId="700" xfId="0" applyFill="1" applyBorder="1">
      <alignment horizontal="center" vertical="center"/>
    </xf>
    <xf numFmtId="0" fontId="0" fillId="51" borderId="659" xfId="44" applyFont="1" applyFill="1" applyBorder="1">
      <alignment horizontal="center" vertical="center"/>
    </xf>
    <xf numFmtId="0" fontId="0" fillId="51" borderId="659" xfId="53" applyFont="1" applyFill="1" applyBorder="1">
      <alignment horizontal="center" vertical="center"/>
    </xf>
    <xf numFmtId="0" fontId="0" fillId="51" borderId="659" xfId="48" applyFont="1" applyFill="1" applyBorder="1">
      <alignment horizontal="center" vertical="center"/>
    </xf>
    <xf numFmtId="0" fontId="0" fillId="51" borderId="701" xfId="48" applyFont="1" applyFill="1" applyBorder="1">
      <alignment horizontal="center" vertical="center"/>
    </xf>
    <xf numFmtId="0" fontId="4" fillId="0" borderId="702" xfId="0" applyFont="1" applyBorder="1" applyAlignment="1" applyProtection="1">
      <alignment horizontal="center"/>
      <protection locked="0"/>
    </xf>
    <xf numFmtId="0" fontId="0" fillId="53" borderId="659" xfId="44" applyFont="1" applyFill="1" applyBorder="1">
      <alignment horizontal="center" vertical="center"/>
    </xf>
    <xf numFmtId="0" fontId="0" fillId="55" borderId="659" xfId="44" applyFont="1" applyFill="1" applyBorder="1">
      <alignment horizontal="center" vertical="center"/>
    </xf>
    <xf numFmtId="0" fontId="7" fillId="0" borderId="696" xfId="53" applyBorder="1">
      <alignment horizontal="center" vertical="center"/>
    </xf>
    <xf numFmtId="0" fontId="0" fillId="0" borderId="696" xfId="53" applyFont="1" applyBorder="1">
      <alignment horizontal="center" vertical="center"/>
    </xf>
    <xf numFmtId="0" fontId="0" fillId="51" borderId="697" xfId="48" applyFont="1" applyFill="1" applyBorder="1">
      <alignment horizontal="center" vertical="center"/>
    </xf>
    <xf numFmtId="49" fontId="0" fillId="51" borderId="698" xfId="0" applyNumberFormat="1" applyFill="1" applyBorder="1">
      <alignment horizontal="center" vertical="center"/>
    </xf>
    <xf numFmtId="1" fontId="0" fillId="51" borderId="667" xfId="32" applyNumberFormat="1" applyFont="1" applyFill="1" applyBorder="1" applyAlignment="1">
      <alignment horizontal="center" vertical="center"/>
    </xf>
    <xf numFmtId="0" fontId="0" fillId="51" borderId="702" xfId="47" applyFont="1" applyFill="1" applyBorder="1">
      <alignment horizontal="center" vertical="center"/>
    </xf>
    <xf numFmtId="0" fontId="0" fillId="51" borderId="703" xfId="47" applyFont="1" applyFill="1" applyBorder="1">
      <alignment horizontal="center" vertical="center"/>
    </xf>
    <xf numFmtId="0" fontId="0" fillId="51" borderId="704" xfId="47" applyFont="1" applyFill="1" applyBorder="1">
      <alignment horizontal="center" vertical="center"/>
    </xf>
    <xf numFmtId="0" fontId="0" fillId="43" borderId="705" xfId="0" applyFill="1" applyBorder="1" applyAlignment="1" applyProtection="1">
      <alignment horizontal="center"/>
      <protection locked="0"/>
    </xf>
    <xf numFmtId="20" fontId="0" fillId="0" borderId="705" xfId="0" applyNumberFormat="1" applyBorder="1" applyAlignment="1">
      <alignment horizontal="left"/>
    </xf>
    <xf numFmtId="0" fontId="0" fillId="0" borderId="706" xfId="0" applyBorder="1" applyAlignment="1">
      <alignment horizontal="left"/>
    </xf>
    <xf numFmtId="0" fontId="0" fillId="0" borderId="707" xfId="0" applyBorder="1" applyAlignment="1">
      <alignment horizontal="left"/>
    </xf>
    <xf numFmtId="0" fontId="0" fillId="0" borderId="708" xfId="0" applyBorder="1" applyAlignment="1">
      <alignment horizontal="left"/>
    </xf>
    <xf numFmtId="0" fontId="0" fillId="0" borderId="705" xfId="0" applyBorder="1" applyAlignment="1">
      <alignment horizontal="left" vertical="center"/>
    </xf>
    <xf numFmtId="0" fontId="0" fillId="0" borderId="709" xfId="0" applyBorder="1">
      <alignment horizontal="center" vertical="center"/>
    </xf>
    <xf numFmtId="0" fontId="0" fillId="0" borderId="710" xfId="0" applyBorder="1">
      <alignment horizontal="center" vertical="center"/>
    </xf>
    <xf numFmtId="0" fontId="0" fillId="0" borderId="711" xfId="0" applyBorder="1">
      <alignment horizontal="center" vertical="center"/>
    </xf>
    <xf numFmtId="0" fontId="0" fillId="51" borderId="712" xfId="0" applyFill="1" applyBorder="1" applyAlignment="1" applyProtection="1">
      <alignment horizontal="left" vertical="center"/>
      <protection locked="0"/>
    </xf>
    <xf numFmtId="0" fontId="7" fillId="89" borderId="702" xfId="56" applyBorder="1">
      <alignment horizontal="center" vertical="center"/>
    </xf>
    <xf numFmtId="0" fontId="0" fillId="55" borderId="702" xfId="47" applyFont="1" applyFill="1" applyBorder="1">
      <alignment horizontal="center" vertical="center"/>
    </xf>
    <xf numFmtId="0" fontId="73" fillId="51" borderId="702" xfId="47" applyFont="1" applyFill="1" applyBorder="1">
      <alignment horizontal="center" vertical="center"/>
    </xf>
    <xf numFmtId="0" fontId="76" fillId="51" borderId="702" xfId="47" applyFont="1" applyFill="1" applyBorder="1">
      <alignment horizontal="center" vertical="center"/>
    </xf>
    <xf numFmtId="0" fontId="76" fillId="0" borderId="702" xfId="53" applyFont="1" applyBorder="1">
      <alignment horizontal="center" vertical="center"/>
    </xf>
    <xf numFmtId="0" fontId="58" fillId="0" borderId="713" xfId="0" applyFont="1" applyBorder="1" applyAlignment="1"/>
    <xf numFmtId="0" fontId="0" fillId="0" borderId="659" xfId="0" applyBorder="1" applyAlignment="1"/>
    <xf numFmtId="0" fontId="61" fillId="60" borderId="659" xfId="51" applyBorder="1">
      <alignment horizontal="center" vertical="center"/>
    </xf>
    <xf numFmtId="0" fontId="61" fillId="60" borderId="701" xfId="51" applyBorder="1">
      <alignment horizontal="center" vertical="center"/>
    </xf>
    <xf numFmtId="0" fontId="0" fillId="73" borderId="714" xfId="0" applyFill="1" applyBorder="1" applyAlignment="1"/>
    <xf numFmtId="0" fontId="0" fillId="0" borderId="713" xfId="0" applyBorder="1">
      <alignment horizontal="center" vertical="center"/>
    </xf>
    <xf numFmtId="173" fontId="0" fillId="0" borderId="713" xfId="0" applyNumberFormat="1" applyBorder="1">
      <alignment horizontal="center" vertical="center"/>
    </xf>
    <xf numFmtId="0" fontId="0" fillId="0" borderId="699" xfId="0" applyBorder="1" applyAlignment="1"/>
    <xf numFmtId="0" fontId="59" fillId="0" borderId="707" xfId="0" applyFont="1" applyBorder="1" applyAlignment="1">
      <alignment horizontal="left" vertical="center"/>
    </xf>
    <xf numFmtId="0" fontId="59" fillId="0" borderId="715" xfId="0" applyFont="1" applyBorder="1" applyAlignment="1">
      <alignment horizontal="left" vertical="center"/>
    </xf>
    <xf numFmtId="0" fontId="7" fillId="89" borderId="714" xfId="56" applyBorder="1">
      <alignment horizontal="center" vertical="center"/>
    </xf>
    <xf numFmtId="0" fontId="0" fillId="73" borderId="659" xfId="0" applyFill="1" applyBorder="1" applyAlignment="1"/>
    <xf numFmtId="0" fontId="0" fillId="55" borderId="659" xfId="0" applyFill="1" applyBorder="1">
      <alignment horizontal="center" vertical="center"/>
    </xf>
    <xf numFmtId="49" fontId="0" fillId="55" borderId="659" xfId="0" applyNumberFormat="1" applyFill="1" applyBorder="1">
      <alignment horizontal="center" vertical="center"/>
    </xf>
    <xf numFmtId="0" fontId="7" fillId="53" borderId="714" xfId="43" applyBorder="1">
      <alignment horizontal="center" vertical="center"/>
    </xf>
    <xf numFmtId="0" fontId="0" fillId="51" borderId="677" xfId="0" applyFill="1" applyBorder="1">
      <alignment horizontal="center" vertical="center"/>
    </xf>
    <xf numFmtId="0" fontId="0" fillId="70" borderId="677" xfId="0" applyFill="1" applyBorder="1">
      <alignment horizontal="center" vertical="center"/>
    </xf>
    <xf numFmtId="0" fontId="0" fillId="51" borderId="716" xfId="0" applyFill="1" applyBorder="1">
      <alignment horizontal="center" vertical="center"/>
    </xf>
    <xf numFmtId="0" fontId="0" fillId="51" borderId="717" xfId="0" applyFill="1" applyBorder="1" applyAlignment="1">
      <alignment horizontal="left" vertical="center" wrapText="1"/>
    </xf>
    <xf numFmtId="0" fontId="4" fillId="0" borderId="683" xfId="0" applyFont="1" applyBorder="1" applyAlignment="1">
      <alignment horizontal="center"/>
    </xf>
    <xf numFmtId="0" fontId="0" fillId="0" borderId="653" xfId="0" applyBorder="1">
      <alignment horizontal="center" vertical="center"/>
    </xf>
    <xf numFmtId="0" fontId="4" fillId="0" borderId="653" xfId="0" applyFont="1" applyBorder="1" applyAlignment="1">
      <alignment horizontal="center"/>
    </xf>
    <xf numFmtId="0" fontId="4" fillId="0" borderId="655" xfId="0" applyFont="1" applyBorder="1" applyAlignment="1">
      <alignment horizontal="left"/>
    </xf>
    <xf numFmtId="0" fontId="6" fillId="0" borderId="653" xfId="0" applyFont="1" applyBorder="1" applyAlignment="1">
      <alignment horizontal="center"/>
    </xf>
    <xf numFmtId="0" fontId="0" fillId="0" borderId="655" xfId="0" applyBorder="1">
      <alignment horizontal="center" vertical="center"/>
    </xf>
    <xf numFmtId="0" fontId="0" fillId="0" borderId="653" xfId="0" applyBorder="1" applyAlignment="1">
      <alignment horizontal="center"/>
    </xf>
    <xf numFmtId="0" fontId="4" fillId="0" borderId="655" xfId="0" applyFont="1" applyBorder="1" applyAlignment="1">
      <alignment horizontal="center"/>
    </xf>
    <xf numFmtId="0" fontId="6" fillId="0" borderId="654" xfId="0" applyFont="1" applyBorder="1" applyAlignment="1">
      <alignment horizontal="center"/>
    </xf>
    <xf numFmtId="0" fontId="6" fillId="0" borderId="655" xfId="0" applyFont="1" applyBorder="1" applyAlignment="1">
      <alignment horizontal="center"/>
    </xf>
    <xf numFmtId="0" fontId="0" fillId="0" borderId="655" xfId="0" applyBorder="1" applyAlignment="1">
      <alignment horizontal="center"/>
    </xf>
    <xf numFmtId="0" fontId="7" fillId="0" borderId="654" xfId="0" applyFont="1" applyBorder="1" applyAlignment="1">
      <alignment horizontal="left" vertical="center"/>
    </xf>
    <xf numFmtId="0" fontId="6" fillId="0" borderId="654" xfId="0" applyFont="1" applyBorder="1">
      <alignment horizontal="center" vertical="center"/>
    </xf>
    <xf numFmtId="0" fontId="6" fillId="0" borderId="655" xfId="0" applyFont="1" applyBorder="1">
      <alignment horizontal="center" vertical="center"/>
    </xf>
    <xf numFmtId="0" fontId="0" fillId="0" borderId="685" xfId="0" applyBorder="1" applyAlignment="1">
      <alignment horizontal="left" vertical="center"/>
    </xf>
    <xf numFmtId="0" fontId="6" fillId="0" borderId="684" xfId="0" applyFont="1" applyBorder="1">
      <alignment horizontal="center" vertical="center"/>
    </xf>
    <xf numFmtId="0" fontId="7" fillId="0" borderId="684" xfId="0" applyFont="1" applyBorder="1">
      <alignment horizontal="center" vertical="center"/>
    </xf>
    <xf numFmtId="0" fontId="4" fillId="0" borderId="718" xfId="0" applyFont="1" applyBorder="1" applyAlignment="1">
      <alignment horizontal="center"/>
    </xf>
    <xf numFmtId="0" fontId="7" fillId="0" borderId="705" xfId="0" applyFont="1" applyBorder="1" applyAlignment="1">
      <alignment horizontal="left" vertical="center"/>
    </xf>
    <xf numFmtId="0" fontId="7" fillId="0" borderId="719" xfId="0" applyFont="1" applyBorder="1" applyAlignment="1">
      <alignment horizontal="left" vertical="center"/>
    </xf>
    <xf numFmtId="0" fontId="4" fillId="0" borderId="715" xfId="0" applyFont="1" applyBorder="1" applyAlignment="1" applyProtection="1">
      <alignment horizontal="center"/>
      <protection locked="0"/>
    </xf>
    <xf numFmtId="0" fontId="0" fillId="51" borderId="720" xfId="0" applyFill="1" applyBorder="1">
      <alignment horizontal="center" vertical="center"/>
    </xf>
    <xf numFmtId="0" fontId="7" fillId="0" borderId="667" xfId="0" applyFont="1" applyBorder="1">
      <alignment horizontal="center" vertical="center"/>
    </xf>
    <xf numFmtId="0" fontId="7" fillId="0" borderId="667" xfId="0" applyFont="1" applyBorder="1" applyAlignment="1">
      <alignment horizontal="left" vertical="center"/>
    </xf>
    <xf numFmtId="0" fontId="0" fillId="51" borderId="653" xfId="0" applyFill="1" applyBorder="1">
      <alignment horizontal="center" vertical="center"/>
    </xf>
    <xf numFmtId="0" fontId="0" fillId="0" borderId="653" xfId="0" applyBorder="1" applyAlignment="1"/>
    <xf numFmtId="0" fontId="4" fillId="0" borderId="654" xfId="0" applyFont="1" applyBorder="1" applyAlignment="1">
      <alignment horizontal="left"/>
    </xf>
    <xf numFmtId="0" fontId="0" fillId="0" borderId="654" xfId="0" applyBorder="1" applyAlignment="1"/>
    <xf numFmtId="0" fontId="0" fillId="0" borderId="655" xfId="0" applyBorder="1" applyAlignment="1"/>
    <xf numFmtId="0" fontId="4" fillId="0" borderId="653" xfId="0" applyFont="1" applyBorder="1" applyAlignment="1">
      <alignment horizontal="left"/>
    </xf>
    <xf numFmtId="0" fontId="0" fillId="0" borderId="721" xfId="0" applyBorder="1" applyAlignment="1">
      <alignment horizontal="center"/>
    </xf>
    <xf numFmtId="0" fontId="4" fillId="0" borderId="705" xfId="0" applyFont="1" applyBorder="1" applyAlignment="1">
      <alignment horizontal="left"/>
    </xf>
    <xf numFmtId="0" fontId="0" fillId="0" borderId="719" xfId="0" applyBorder="1" applyAlignment="1"/>
    <xf numFmtId="0" fontId="0" fillId="0" borderId="722" xfId="0" applyBorder="1" applyAlignment="1">
      <alignment horizontal="left"/>
    </xf>
    <xf numFmtId="0" fontId="4" fillId="0" borderId="719" xfId="0" applyFont="1" applyBorder="1" applyAlignment="1"/>
    <xf numFmtId="0" fontId="4" fillId="0" borderId="722" xfId="0" applyFont="1" applyBorder="1" applyAlignment="1">
      <alignment horizontal="left"/>
    </xf>
    <xf numFmtId="0" fontId="0" fillId="0" borderId="705" xfId="0" applyBorder="1" applyAlignment="1">
      <alignment horizontal="center"/>
    </xf>
    <xf numFmtId="0" fontId="4" fillId="0" borderId="707" xfId="0" applyFont="1" applyBorder="1" applyAlignment="1">
      <alignment horizontal="left"/>
    </xf>
    <xf numFmtId="0" fontId="0" fillId="0" borderId="708" xfId="0" applyBorder="1" applyAlignment="1"/>
    <xf numFmtId="0" fontId="9" fillId="0" borderId="707" xfId="0" applyFont="1" applyBorder="1" applyAlignment="1">
      <alignment horizontal="center"/>
    </xf>
    <xf numFmtId="0" fontId="0" fillId="0" borderId="723" xfId="0" applyBorder="1" applyAlignment="1">
      <alignment horizontal="center"/>
    </xf>
    <xf numFmtId="0" fontId="4" fillId="0" borderId="724" xfId="0" applyFont="1" applyBorder="1" applyAlignment="1">
      <alignment horizontal="left"/>
    </xf>
    <xf numFmtId="0" fontId="7" fillId="0" borderId="725" xfId="0" applyFont="1" applyBorder="1" applyAlignment="1">
      <alignment horizontal="left" vertical="center"/>
    </xf>
    <xf numFmtId="0" fontId="7" fillId="0" borderId="725" xfId="0" applyFont="1" applyBorder="1">
      <alignment horizontal="center" vertical="center"/>
    </xf>
    <xf numFmtId="0" fontId="7" fillId="0" borderId="726" xfId="0" applyFont="1" applyBorder="1">
      <alignment horizontal="center" vertical="center"/>
    </xf>
    <xf numFmtId="0" fontId="7" fillId="0" borderId="724" xfId="0" applyFont="1" applyBorder="1" applyAlignment="1">
      <alignment horizontal="left" vertical="center"/>
    </xf>
    <xf numFmtId="0" fontId="7" fillId="0" borderId="725" xfId="0" applyFont="1" applyBorder="1" applyAlignment="1">
      <alignment horizontal="left"/>
    </xf>
    <xf numFmtId="0" fontId="7" fillId="0" borderId="726" xfId="0" applyFont="1" applyBorder="1" applyAlignment="1">
      <alignment horizontal="left" vertical="center"/>
    </xf>
    <xf numFmtId="0" fontId="9" fillId="51" borderId="727" xfId="20" applyFont="1" applyFill="1" applyBorder="1" applyAlignment="1">
      <alignment horizontal="center" vertical="center"/>
    </xf>
    <xf numFmtId="0" fontId="4" fillId="43" borderId="667" xfId="0" applyFont="1" applyFill="1" applyBorder="1" applyAlignment="1">
      <alignment horizontal="center"/>
    </xf>
    <xf numFmtId="0" fontId="0" fillId="51" borderId="667" xfId="0" applyFill="1" applyBorder="1" applyAlignment="1">
      <alignment horizontal="left" vertical="center"/>
    </xf>
    <xf numFmtId="0" fontId="7" fillId="58" borderId="667" xfId="33" applyBorder="1">
      <alignment horizontal="center" vertical="center"/>
    </xf>
    <xf numFmtId="49" fontId="36" fillId="17" borderId="728" xfId="34" applyNumberFormat="1" applyBorder="1" applyAlignment="1">
      <alignment horizontal="center" vertical="center"/>
    </xf>
    <xf numFmtId="0" fontId="4" fillId="43" borderId="702" xfId="0" applyFont="1" applyFill="1" applyBorder="1" applyAlignment="1">
      <alignment horizontal="center"/>
    </xf>
    <xf numFmtId="0" fontId="0" fillId="51" borderId="702" xfId="0" applyFill="1" applyBorder="1" applyAlignment="1">
      <alignment horizontal="left" vertical="center"/>
    </xf>
    <xf numFmtId="0" fontId="0" fillId="53" borderId="702" xfId="43" applyFont="1" applyBorder="1">
      <alignment horizontal="center" vertical="center"/>
    </xf>
    <xf numFmtId="0" fontId="0" fillId="53" borderId="702" xfId="0" applyFill="1" applyBorder="1">
      <alignment horizontal="center" vertical="center"/>
    </xf>
    <xf numFmtId="0" fontId="7" fillId="58" borderId="702" xfId="33" applyBorder="1">
      <alignment horizontal="center" vertical="center"/>
    </xf>
    <xf numFmtId="49" fontId="0" fillId="58" borderId="702" xfId="0" applyNumberFormat="1" applyFill="1" applyBorder="1">
      <alignment horizontal="center" vertical="center"/>
    </xf>
    <xf numFmtId="0" fontId="0" fillId="51" borderId="702" xfId="51" applyFont="1" applyFill="1" applyBorder="1">
      <alignment horizontal="center" vertical="center"/>
    </xf>
    <xf numFmtId="0" fontId="36" fillId="17" borderId="728" xfId="34" applyBorder="1" applyAlignment="1">
      <alignment horizontal="center" vertical="center"/>
    </xf>
    <xf numFmtId="0" fontId="0" fillId="51" borderId="703" xfId="51" applyFont="1" applyFill="1" applyBorder="1">
      <alignment horizontal="center" vertical="center"/>
    </xf>
    <xf numFmtId="0" fontId="0" fillId="86" borderId="702" xfId="0" applyFill="1" applyBorder="1">
      <alignment horizontal="center" vertical="center"/>
    </xf>
    <xf numFmtId="0" fontId="4" fillId="43" borderId="704" xfId="0" applyFont="1" applyFill="1" applyBorder="1" applyAlignment="1">
      <alignment horizontal="center"/>
    </xf>
    <xf numFmtId="0" fontId="7" fillId="89" borderId="704" xfId="56" applyBorder="1">
      <alignment horizontal="center" vertical="center"/>
    </xf>
    <xf numFmtId="0" fontId="0" fillId="51" borderId="729" xfId="48" applyFont="1" applyFill="1" applyBorder="1">
      <alignment horizontal="center" vertical="center"/>
    </xf>
    <xf numFmtId="0" fontId="0" fillId="0" borderId="724" xfId="0" applyBorder="1" applyAlignment="1">
      <alignment horizontal="left"/>
    </xf>
    <xf numFmtId="0" fontId="0" fillId="0" borderId="725" xfId="0" applyBorder="1" applyAlignment="1"/>
    <xf numFmtId="0" fontId="0" fillId="0" borderId="726" xfId="0" applyBorder="1" applyAlignment="1">
      <alignment horizontal="left"/>
    </xf>
    <xf numFmtId="0" fontId="0" fillId="0" borderId="725" xfId="0" applyBorder="1" applyAlignment="1">
      <alignment horizontal="left"/>
    </xf>
    <xf numFmtId="0" fontId="0" fillId="0" borderId="724" xfId="0" applyBorder="1" applyAlignment="1">
      <alignment horizontal="center"/>
    </xf>
    <xf numFmtId="0" fontId="4" fillId="43" borderId="659" xfId="0" applyFont="1" applyFill="1" applyBorder="1" applyAlignment="1">
      <alignment horizontal="center"/>
    </xf>
    <xf numFmtId="0" fontId="7" fillId="55" borderId="714" xfId="45" applyBorder="1">
      <alignment horizontal="center" vertical="center"/>
    </xf>
    <xf numFmtId="0" fontId="0" fillId="51" borderId="714" xfId="44" applyFont="1" applyFill="1" applyBorder="1">
      <alignment horizontal="center" vertical="center"/>
    </xf>
    <xf numFmtId="0" fontId="0" fillId="51" borderId="701" xfId="0" applyFill="1" applyBorder="1">
      <alignment horizontal="center" vertical="center"/>
    </xf>
    <xf numFmtId="0" fontId="4" fillId="43" borderId="714" xfId="0" applyFont="1" applyFill="1" applyBorder="1" applyAlignment="1">
      <alignment horizontal="center"/>
    </xf>
    <xf numFmtId="0" fontId="7" fillId="86" borderId="714" xfId="44" applyBorder="1">
      <alignment horizontal="center" vertical="center"/>
    </xf>
    <xf numFmtId="0" fontId="0" fillId="51" borderId="714" xfId="46" applyFont="1" applyFill="1" applyBorder="1">
      <alignment horizontal="center" vertical="center"/>
    </xf>
    <xf numFmtId="0" fontId="0" fillId="51" borderId="730" xfId="0" applyFill="1" applyBorder="1">
      <alignment horizontal="center" vertical="center"/>
    </xf>
    <xf numFmtId="0" fontId="7" fillId="89" borderId="659" xfId="56" applyBorder="1">
      <alignment horizontal="center" vertical="center"/>
    </xf>
    <xf numFmtId="0" fontId="0" fillId="55" borderId="714" xfId="48" applyFont="1" applyFill="1" applyBorder="1">
      <alignment horizontal="center" vertical="center"/>
    </xf>
    <xf numFmtId="0" fontId="7" fillId="51" borderId="714" xfId="48" applyFill="1" applyBorder="1">
      <alignment horizontal="center" vertical="center"/>
    </xf>
    <xf numFmtId="0" fontId="7" fillId="0" borderId="714" xfId="53" applyBorder="1">
      <alignment horizontal="center" vertical="center"/>
    </xf>
    <xf numFmtId="0" fontId="0" fillId="0" borderId="714" xfId="0" applyBorder="1">
      <alignment horizontal="center" vertical="center"/>
    </xf>
    <xf numFmtId="0" fontId="0" fillId="55" borderId="714" xfId="45" applyFont="1" applyBorder="1">
      <alignment horizontal="center" vertical="center"/>
    </xf>
    <xf numFmtId="0" fontId="4" fillId="43" borderId="731" xfId="0" applyFont="1" applyFill="1" applyBorder="1" applyAlignment="1">
      <alignment horizontal="center"/>
    </xf>
    <xf numFmtId="0" fontId="0" fillId="51" borderId="731" xfId="48" applyFont="1" applyFill="1" applyBorder="1">
      <alignment horizontal="center" vertical="center"/>
    </xf>
    <xf numFmtId="0" fontId="0" fillId="51" borderId="731" xfId="44" applyFont="1" applyFill="1" applyBorder="1">
      <alignment horizontal="center" vertical="center"/>
    </xf>
    <xf numFmtId="49" fontId="0" fillId="51" borderId="731" xfId="0" applyNumberFormat="1" applyFill="1" applyBorder="1">
      <alignment horizontal="center" vertical="center"/>
    </xf>
    <xf numFmtId="49" fontId="0" fillId="51" borderId="732" xfId="0" applyNumberFormat="1" applyFill="1" applyBorder="1">
      <alignment horizontal="center" vertical="center"/>
    </xf>
    <xf numFmtId="0" fontId="3" fillId="0" borderId="733" xfId="0" applyFont="1" applyBorder="1" applyAlignment="1">
      <alignment horizontal="left"/>
    </xf>
    <xf numFmtId="0" fontId="4" fillId="0" borderId="734" xfId="0" applyFont="1" applyBorder="1">
      <alignment horizontal="center" vertical="center"/>
    </xf>
    <xf numFmtId="167" fontId="9" fillId="0" borderId="735" xfId="0" applyNumberFormat="1" applyFont="1" applyBorder="1" applyAlignment="1">
      <alignment horizontal="center"/>
    </xf>
    <xf numFmtId="0" fontId="7" fillId="70" borderId="675" xfId="53" applyFill="1" applyBorder="1">
      <alignment horizontal="center" vertical="center"/>
    </xf>
    <xf numFmtId="0" fontId="7" fillId="0" borderId="675" xfId="53" applyBorder="1">
      <alignment horizontal="center" vertical="center"/>
    </xf>
    <xf numFmtId="0" fontId="0" fillId="51" borderId="667" xfId="0" applyFill="1" applyBorder="1" applyAlignment="1">
      <alignment vertical="center"/>
    </xf>
    <xf numFmtId="0" fontId="7" fillId="51" borderId="736" xfId="0" applyFont="1" applyFill="1" applyBorder="1" applyAlignment="1">
      <alignment vertical="center"/>
    </xf>
    <xf numFmtId="0" fontId="0" fillId="52" borderId="736" xfId="0" applyFill="1" applyBorder="1">
      <alignment horizontal="center" vertical="center"/>
    </xf>
    <xf numFmtId="0" fontId="0" fillId="51" borderId="736" xfId="0" applyFill="1" applyBorder="1" applyAlignment="1">
      <alignment vertical="center"/>
    </xf>
    <xf numFmtId="0" fontId="0" fillId="51" borderId="737" xfId="43" applyFont="1" applyFill="1" applyBorder="1">
      <alignment horizontal="center" vertical="center"/>
    </xf>
    <xf numFmtId="0" fontId="4" fillId="0" borderId="738" xfId="0" applyFont="1" applyBorder="1" applyAlignment="1">
      <alignment horizontal="center"/>
    </xf>
    <xf numFmtId="49" fontId="7" fillId="0" borderId="695" xfId="0" applyNumberFormat="1" applyFont="1" applyBorder="1">
      <alignment horizontal="center" vertical="center"/>
    </xf>
    <xf numFmtId="0" fontId="0" fillId="0" borderId="739" xfId="0" applyBorder="1">
      <alignment horizontal="center" vertical="center"/>
    </xf>
    <xf numFmtId="0" fontId="0" fillId="0" borderId="740" xfId="0" applyBorder="1">
      <alignment horizontal="center" vertical="center"/>
    </xf>
    <xf numFmtId="0" fontId="4" fillId="0" borderId="740" xfId="0" applyFont="1" applyBorder="1" applyAlignment="1">
      <alignment horizontal="left"/>
    </xf>
    <xf numFmtId="0" fontId="0" fillId="0" borderId="741" xfId="0" applyBorder="1">
      <alignment horizontal="center" vertical="center"/>
    </xf>
    <xf numFmtId="0" fontId="3" fillId="0" borderId="741" xfId="0" applyFont="1" applyBorder="1">
      <alignment horizontal="center" vertical="center"/>
    </xf>
    <xf numFmtId="0" fontId="3" fillId="0" borderId="742" xfId="0" applyFont="1" applyBorder="1" applyAlignment="1">
      <alignment horizontal="left" vertical="center"/>
    </xf>
    <xf numFmtId="0" fontId="3" fillId="0" borderId="741" xfId="0" applyFont="1" applyBorder="1" applyAlignment="1">
      <alignment horizontal="left" vertical="center"/>
    </xf>
    <xf numFmtId="0" fontId="3" fillId="0" borderId="742" xfId="0" applyFont="1" applyBorder="1">
      <alignment horizontal="center" vertical="center"/>
    </xf>
    <xf numFmtId="49" fontId="3" fillId="0" borderId="741" xfId="0" applyNumberFormat="1" applyFont="1" applyBorder="1">
      <alignment horizontal="center" vertical="center"/>
    </xf>
    <xf numFmtId="0" fontId="3" fillId="0" borderId="743" xfId="0" applyFont="1" applyBorder="1" applyAlignment="1">
      <alignment horizontal="left" vertical="center"/>
    </xf>
    <xf numFmtId="0" fontId="3" fillId="0" borderId="743" xfId="0" applyFont="1" applyBorder="1">
      <alignment horizontal="center" vertical="center"/>
    </xf>
    <xf numFmtId="49" fontId="7" fillId="0" borderId="741" xfId="0" applyNumberFormat="1" applyFont="1" applyBorder="1">
      <alignment horizontal="center" vertical="center"/>
    </xf>
    <xf numFmtId="0" fontId="7" fillId="0" borderId="743" xfId="0" applyFont="1" applyBorder="1">
      <alignment horizontal="center" vertical="center"/>
    </xf>
    <xf numFmtId="0" fontId="7" fillId="0" borderId="742" xfId="0" applyFont="1" applyBorder="1">
      <alignment horizontal="center" vertical="center"/>
    </xf>
    <xf numFmtId="0" fontId="14" fillId="0" borderId="742" xfId="0" applyFont="1" applyBorder="1">
      <alignment horizontal="center" vertical="center"/>
    </xf>
    <xf numFmtId="49" fontId="14" fillId="0" borderId="741" xfId="0" applyNumberFormat="1" applyFont="1" applyBorder="1">
      <alignment horizontal="center" vertical="center"/>
    </xf>
    <xf numFmtId="0" fontId="14" fillId="0" borderId="743" xfId="0" applyFont="1" applyBorder="1">
      <alignment horizontal="center" vertical="center"/>
    </xf>
    <xf numFmtId="49" fontId="0" fillId="0" borderId="744" xfId="0" applyNumberFormat="1" applyBorder="1">
      <alignment horizontal="center" vertical="center"/>
    </xf>
    <xf numFmtId="0" fontId="0" fillId="0" borderId="745" xfId="0" applyBorder="1">
      <alignment horizontal="center" vertical="center"/>
    </xf>
    <xf numFmtId="49" fontId="0" fillId="0" borderId="745" xfId="0" applyNumberFormat="1" applyBorder="1">
      <alignment horizontal="center" vertical="center"/>
    </xf>
    <xf numFmtId="0" fontId="7" fillId="0" borderId="745" xfId="0" applyFont="1" applyBorder="1">
      <alignment horizontal="center" vertical="center"/>
    </xf>
    <xf numFmtId="49" fontId="7" fillId="0" borderId="744" xfId="0" applyNumberFormat="1" applyFont="1" applyBorder="1">
      <alignment horizontal="center" vertical="center"/>
    </xf>
    <xf numFmtId="0" fontId="0" fillId="0" borderId="743" xfId="0" applyBorder="1">
      <alignment horizontal="center" vertical="center"/>
    </xf>
    <xf numFmtId="49" fontId="0" fillId="0" borderId="741" xfId="0" applyNumberFormat="1" applyBorder="1">
      <alignment horizontal="center" vertical="center"/>
    </xf>
    <xf numFmtId="0" fontId="0" fillId="0" borderId="742" xfId="0" applyBorder="1">
      <alignment horizontal="center" vertical="center"/>
    </xf>
    <xf numFmtId="49" fontId="0" fillId="0" borderId="695" xfId="0" applyNumberFormat="1" applyBorder="1">
      <alignment horizontal="center" vertical="center"/>
    </xf>
    <xf numFmtId="49" fontId="0" fillId="0" borderId="743" xfId="0" applyNumberFormat="1" applyBorder="1">
      <alignment horizontal="center" vertical="center"/>
    </xf>
    <xf numFmtId="0" fontId="6" fillId="0" borderId="746" xfId="0" applyFont="1" applyBorder="1" applyAlignment="1">
      <alignment horizontal="center"/>
    </xf>
    <xf numFmtId="0" fontId="7" fillId="52" borderId="747" xfId="48" applyBorder="1">
      <alignment horizontal="center" vertical="center"/>
    </xf>
    <xf numFmtId="0" fontId="0" fillId="51" borderId="747" xfId="0" applyFill="1" applyBorder="1" applyAlignment="1">
      <alignment horizontal="left" vertical="center" wrapText="1"/>
    </xf>
    <xf numFmtId="0" fontId="7" fillId="53" borderId="747" xfId="43" applyBorder="1">
      <alignment horizontal="center" vertical="center"/>
    </xf>
    <xf numFmtId="0" fontId="7" fillId="0" borderId="747" xfId="53" applyBorder="1">
      <alignment horizontal="center" vertical="center"/>
    </xf>
    <xf numFmtId="0" fontId="7" fillId="0" borderId="748" xfId="53" applyBorder="1">
      <alignment horizontal="center" vertical="center"/>
    </xf>
    <xf numFmtId="0" fontId="0" fillId="0" borderId="747" xfId="0" applyBorder="1" applyAlignment="1">
      <alignment vertical="center"/>
    </xf>
    <xf numFmtId="0" fontId="0" fillId="51" borderId="736" xfId="48" applyFont="1" applyFill="1" applyBorder="1">
      <alignment horizontal="center" vertical="center"/>
    </xf>
    <xf numFmtId="0" fontId="0" fillId="51" borderId="748" xfId="50" applyFont="1" applyFill="1" applyBorder="1">
      <alignment horizontal="center" vertical="center"/>
    </xf>
    <xf numFmtId="0" fontId="7" fillId="54" borderId="747" xfId="50" applyBorder="1">
      <alignment horizontal="center" vertical="center"/>
    </xf>
    <xf numFmtId="0" fontId="4" fillId="0" borderId="747" xfId="0" applyFont="1" applyBorder="1" applyAlignment="1">
      <alignment horizontal="center"/>
    </xf>
    <xf numFmtId="0" fontId="4" fillId="0" borderId="749" xfId="0" applyFont="1" applyBorder="1" applyAlignment="1">
      <alignment horizontal="left" vertical="center"/>
    </xf>
    <xf numFmtId="0" fontId="0" fillId="0" borderId="750" xfId="0" applyBorder="1" applyAlignment="1">
      <alignment horizontal="left" vertical="center"/>
    </xf>
    <xf numFmtId="0" fontId="0" fillId="0" borderId="751" xfId="0" applyBorder="1" applyAlignment="1">
      <alignment horizontal="left" vertical="center"/>
    </xf>
    <xf numFmtId="0" fontId="4" fillId="0" borderId="750" xfId="0" applyFont="1" applyBorder="1" applyAlignment="1">
      <alignment horizontal="left" vertical="center"/>
    </xf>
    <xf numFmtId="0" fontId="4" fillId="0" borderId="746" xfId="0" applyFont="1" applyBorder="1" applyAlignment="1">
      <alignment horizontal="center"/>
    </xf>
    <xf numFmtId="0" fontId="4" fillId="0" borderId="734" xfId="0" applyFont="1" applyBorder="1" applyAlignment="1">
      <alignment horizontal="left"/>
    </xf>
    <xf numFmtId="0" fontId="0" fillId="0" borderId="752" xfId="0" applyBorder="1" applyAlignment="1">
      <alignment horizontal="left" vertical="center"/>
    </xf>
    <xf numFmtId="0" fontId="0" fillId="0" borderId="753" xfId="0" applyBorder="1" applyAlignment="1">
      <alignment horizontal="left" vertical="center"/>
    </xf>
    <xf numFmtId="49" fontId="0" fillId="0" borderId="733" xfId="0" applyNumberFormat="1" applyBorder="1" applyAlignment="1">
      <alignment horizontal="left"/>
    </xf>
    <xf numFmtId="49" fontId="0" fillId="0" borderId="733" xfId="0" applyNumberFormat="1" applyBorder="1" applyAlignment="1">
      <alignment horizontal="left" vertical="center"/>
    </xf>
    <xf numFmtId="0" fontId="3" fillId="0" borderId="747" xfId="0" applyFont="1" applyBorder="1" applyAlignment="1">
      <alignment horizontal="center"/>
    </xf>
    <xf numFmtId="0" fontId="0" fillId="0" borderId="754" xfId="0" applyBorder="1" applyAlignment="1">
      <alignment horizontal="left" vertical="center"/>
    </xf>
    <xf numFmtId="0" fontId="0" fillId="0" borderId="735" xfId="0" applyBorder="1" applyAlignment="1">
      <alignment horizontal="left" vertical="center"/>
    </xf>
    <xf numFmtId="49" fontId="0" fillId="0" borderId="735" xfId="0" applyNumberFormat="1" applyBorder="1" applyAlignment="1">
      <alignment horizontal="left"/>
    </xf>
    <xf numFmtId="0" fontId="4" fillId="0" borderId="755" xfId="0" applyFont="1" applyBorder="1" applyAlignment="1" applyProtection="1">
      <alignment horizontal="center"/>
      <protection locked="0"/>
    </xf>
    <xf numFmtId="0" fontId="0" fillId="0" borderId="755" xfId="0" applyBorder="1" applyAlignment="1">
      <alignment horizontal="left"/>
    </xf>
    <xf numFmtId="0" fontId="4" fillId="0" borderId="747" xfId="0" applyFont="1" applyBorder="1" applyAlignment="1" applyProtection="1">
      <alignment horizontal="center"/>
      <protection locked="0"/>
    </xf>
    <xf numFmtId="0" fontId="4" fillId="0" borderId="747" xfId="0" applyFont="1" applyBorder="1" applyAlignment="1">
      <alignment horizontal="left"/>
    </xf>
    <xf numFmtId="0" fontId="0" fillId="51" borderId="747" xfId="43" applyFont="1" applyFill="1" applyBorder="1">
      <alignment horizontal="center" vertical="center"/>
    </xf>
    <xf numFmtId="0" fontId="0" fillId="51" borderId="756" xfId="0" applyFill="1" applyBorder="1">
      <alignment horizontal="center" vertical="center"/>
    </xf>
    <xf numFmtId="0" fontId="0" fillId="0" borderId="747" xfId="0" applyBorder="1" applyAlignment="1" applyProtection="1">
      <alignment horizontal="center"/>
      <protection locked="0"/>
    </xf>
    <xf numFmtId="0" fontId="0" fillId="0" borderId="747" xfId="0" applyBorder="1" applyAlignment="1">
      <alignment horizontal="left"/>
    </xf>
    <xf numFmtId="0" fontId="4" fillId="0" borderId="747" xfId="0" applyFont="1" applyBorder="1" applyAlignment="1">
      <alignment vertical="center"/>
    </xf>
    <xf numFmtId="0" fontId="3" fillId="0" borderId="747" xfId="0" applyFont="1" applyBorder="1" applyAlignment="1" applyProtection="1">
      <alignment horizontal="center"/>
      <protection locked="0"/>
    </xf>
    <xf numFmtId="0" fontId="7" fillId="58" borderId="736" xfId="33" applyBorder="1">
      <alignment horizontal="center" vertical="center"/>
    </xf>
    <xf numFmtId="0" fontId="7" fillId="53" borderId="737" xfId="43" applyBorder="1">
      <alignment horizontal="center" vertical="center"/>
    </xf>
    <xf numFmtId="0" fontId="4" fillId="0" borderId="757" xfId="0" applyFont="1" applyBorder="1">
      <alignment horizontal="center" vertical="center"/>
    </xf>
    <xf numFmtId="0" fontId="0" fillId="51" borderId="756" xfId="48" applyFont="1" applyFill="1" applyBorder="1">
      <alignment horizontal="center" vertical="center"/>
    </xf>
    <xf numFmtId="0" fontId="0" fillId="51" borderId="747" xfId="33" applyFont="1" applyFill="1" applyBorder="1">
      <alignment horizontal="center" vertical="center"/>
    </xf>
    <xf numFmtId="49" fontId="0" fillId="51" borderId="756" xfId="0" applyNumberFormat="1" applyFill="1" applyBorder="1">
      <alignment horizontal="center" vertical="center"/>
    </xf>
    <xf numFmtId="0" fontId="7" fillId="0" borderId="747" xfId="0" applyFont="1" applyBorder="1" applyAlignment="1">
      <alignment vertical="center"/>
    </xf>
    <xf numFmtId="0" fontId="7" fillId="51" borderId="747" xfId="0" applyFont="1" applyFill="1" applyBorder="1" applyAlignment="1">
      <alignment vertical="center"/>
    </xf>
    <xf numFmtId="0" fontId="4" fillId="0" borderId="758" xfId="0" applyFont="1" applyBorder="1" applyAlignment="1">
      <alignment horizontal="center"/>
    </xf>
    <xf numFmtId="0" fontId="4" fillId="0" borderId="759" xfId="0" applyFont="1" applyBorder="1" applyAlignment="1">
      <alignment horizontal="center"/>
    </xf>
    <xf numFmtId="0" fontId="4" fillId="0" borderId="760" xfId="0" applyFont="1" applyBorder="1" applyAlignment="1">
      <alignment horizontal="center"/>
    </xf>
    <xf numFmtId="0" fontId="3" fillId="0" borderId="734" xfId="0" applyFont="1" applyBorder="1" applyAlignment="1">
      <alignment horizontal="left"/>
    </xf>
    <xf numFmtId="0" fontId="0" fillId="0" borderId="761" xfId="0" applyBorder="1" applyAlignment="1" applyProtection="1">
      <alignment horizontal="center"/>
      <protection locked="0"/>
    </xf>
    <xf numFmtId="0" fontId="0" fillId="0" borderId="761" xfId="0" applyBorder="1" applyAlignment="1">
      <alignment vertical="center"/>
    </xf>
    <xf numFmtId="0" fontId="0" fillId="0" borderId="736" xfId="0" applyBorder="1" applyAlignment="1" applyProtection="1">
      <alignment horizontal="center"/>
      <protection locked="0"/>
    </xf>
    <xf numFmtId="0" fontId="0" fillId="0" borderId="736" xfId="0" applyBorder="1" applyAlignment="1">
      <alignment vertical="center"/>
    </xf>
    <xf numFmtId="0" fontId="0" fillId="43" borderId="736" xfId="0" applyFill="1" applyBorder="1" applyAlignment="1">
      <alignment horizontal="center"/>
    </xf>
    <xf numFmtId="0" fontId="46" fillId="0" borderId="736" xfId="0" applyFont="1" applyBorder="1" applyAlignment="1">
      <alignment horizontal="left" vertical="center"/>
    </xf>
    <xf numFmtId="0" fontId="0" fillId="24" borderId="736" xfId="0" applyFill="1" applyBorder="1" applyAlignment="1" applyProtection="1">
      <alignment horizontal="center"/>
      <protection locked="0"/>
    </xf>
    <xf numFmtId="0" fontId="4" fillId="24" borderId="736" xfId="0" applyFont="1" applyFill="1" applyBorder="1">
      <alignment horizontal="center" vertical="center"/>
    </xf>
    <xf numFmtId="0" fontId="0" fillId="51" borderId="737" xfId="44" applyFont="1" applyFill="1" applyBorder="1">
      <alignment horizontal="center" vertical="center"/>
    </xf>
    <xf numFmtId="0" fontId="0" fillId="0" borderId="762" xfId="0" applyBorder="1" applyAlignment="1" applyProtection="1">
      <alignment horizontal="center"/>
      <protection locked="0"/>
    </xf>
    <xf numFmtId="49" fontId="0" fillId="53" borderId="762" xfId="0" applyNumberFormat="1" applyFill="1" applyBorder="1">
      <alignment horizontal="center" vertical="center"/>
    </xf>
    <xf numFmtId="49" fontId="0" fillId="0" borderId="733" xfId="0" applyNumberFormat="1" applyBorder="1" applyAlignment="1"/>
    <xf numFmtId="0" fontId="0" fillId="0" borderId="755" xfId="0" applyBorder="1" applyAlignment="1" applyProtection="1">
      <alignment horizontal="center"/>
      <protection locked="0"/>
    </xf>
    <xf numFmtId="0" fontId="0" fillId="0" borderId="747" xfId="0" applyBorder="1" applyAlignment="1" applyProtection="1">
      <alignment horizontal="left"/>
      <protection locked="0"/>
    </xf>
    <xf numFmtId="0" fontId="0" fillId="0" borderId="746" xfId="0" applyBorder="1" applyAlignment="1" applyProtection="1">
      <alignment horizontal="center"/>
      <protection locked="0"/>
    </xf>
    <xf numFmtId="0" fontId="0" fillId="0" borderId="763" xfId="0" applyBorder="1">
      <alignment horizontal="center" vertical="center"/>
    </xf>
    <xf numFmtId="0" fontId="0" fillId="0" borderId="763" xfId="0" applyBorder="1" applyAlignment="1">
      <alignment vertical="center"/>
    </xf>
    <xf numFmtId="49" fontId="0" fillId="51" borderId="764" xfId="0" applyNumberFormat="1" applyFill="1" applyBorder="1">
      <alignment horizontal="center" vertical="center"/>
    </xf>
    <xf numFmtId="49" fontId="0" fillId="51" borderId="765" xfId="0" applyNumberFormat="1" applyFill="1" applyBorder="1">
      <alignment horizontal="center" vertical="center"/>
    </xf>
    <xf numFmtId="0" fontId="0" fillId="51" borderId="765" xfId="0" applyFill="1" applyBorder="1">
      <alignment horizontal="center" vertical="center"/>
    </xf>
    <xf numFmtId="49" fontId="0" fillId="51" borderId="766" xfId="0" applyNumberFormat="1" applyFill="1" applyBorder="1">
      <alignment horizontal="center" vertical="center"/>
    </xf>
    <xf numFmtId="0" fontId="60" fillId="74" borderId="767" xfId="0" applyFont="1" applyFill="1" applyBorder="1" applyAlignment="1">
      <alignment horizontal="center" vertical="center" wrapText="1"/>
    </xf>
    <xf numFmtId="0" fontId="0" fillId="0" borderId="767" xfId="0" applyBorder="1" applyAlignment="1">
      <alignment horizontal="left" vertical="center"/>
    </xf>
    <xf numFmtId="1" fontId="0" fillId="0" borderId="767" xfId="0" applyNumberFormat="1" applyBorder="1">
      <alignment horizontal="center" vertical="center"/>
    </xf>
    <xf numFmtId="0" fontId="0" fillId="0" borderId="767" xfId="0" applyBorder="1">
      <alignment horizontal="center" vertical="center"/>
    </xf>
    <xf numFmtId="0" fontId="60" fillId="74" borderId="767" xfId="0" applyFont="1" applyFill="1" applyBorder="1" applyAlignment="1">
      <alignment horizontal="left" vertical="center" wrapText="1"/>
    </xf>
    <xf numFmtId="3" fontId="0" fillId="0" borderId="767" xfId="0" applyNumberFormat="1" applyBorder="1">
      <alignment horizontal="center" vertical="center"/>
    </xf>
    <xf numFmtId="0" fontId="0" fillId="0" borderId="767" xfId="0" applyBorder="1" applyAlignment="1">
      <alignment horizontal="left" vertical="center" wrapText="1"/>
    </xf>
    <xf numFmtId="0" fontId="52" fillId="63" borderId="768" xfId="0" applyFont="1" applyFill="1" applyBorder="1" applyAlignment="1">
      <alignment horizontal="center" wrapText="1"/>
    </xf>
    <xf numFmtId="0" fontId="19" fillId="63" borderId="767" xfId="0" applyFont="1" applyFill="1" applyBorder="1" applyAlignment="1">
      <alignment horizontal="center" wrapText="1"/>
    </xf>
    <xf numFmtId="0" fontId="19" fillId="63" borderId="767" xfId="0" applyFont="1" applyFill="1" applyBorder="1" applyAlignment="1">
      <alignment horizontal="left" wrapText="1"/>
    </xf>
    <xf numFmtId="0" fontId="19" fillId="64" borderId="769" xfId="0" applyFont="1" applyFill="1" applyBorder="1">
      <alignment horizontal="center" vertical="center"/>
    </xf>
    <xf numFmtId="0" fontId="19" fillId="64" borderId="769" xfId="0" applyFont="1" applyFill="1" applyBorder="1" applyAlignment="1">
      <alignment horizontal="center" vertical="center" wrapText="1"/>
    </xf>
    <xf numFmtId="0" fontId="19" fillId="0" borderId="120" xfId="0" applyFont="1" applyBorder="1" applyAlignment="1">
      <alignment wrapText="1"/>
    </xf>
    <xf numFmtId="171" fontId="19" fillId="0" borderId="767" xfId="0" applyNumberFormat="1" applyFont="1" applyBorder="1" applyAlignment="1">
      <alignment horizontal="left" wrapText="1"/>
    </xf>
    <xf numFmtId="171" fontId="23" fillId="0" borderId="767" xfId="0" applyNumberFormat="1" applyFont="1" applyBorder="1" applyAlignment="1">
      <alignment horizontal="left" wrapText="1"/>
    </xf>
    <xf numFmtId="0" fontId="22" fillId="0" borderId="768" xfId="0" applyFont="1" applyBorder="1" applyAlignment="1">
      <alignment wrapText="1"/>
    </xf>
    <xf numFmtId="171" fontId="23" fillId="0" borderId="767" xfId="0" applyNumberFormat="1" applyFont="1" applyBorder="1" applyAlignment="1">
      <alignment horizontal="left"/>
    </xf>
    <xf numFmtId="171" fontId="23" fillId="0" borderId="770" xfId="0" applyNumberFormat="1" applyFont="1" applyBorder="1" applyAlignment="1">
      <alignment horizontal="left"/>
    </xf>
    <xf numFmtId="0" fontId="55" fillId="0" borderId="768" xfId="0" applyFont="1" applyBorder="1" applyAlignment="1">
      <alignment wrapText="1"/>
    </xf>
    <xf numFmtId="171" fontId="23" fillId="0" borderId="771" xfId="0" applyNumberFormat="1" applyFont="1" applyBorder="1" applyAlignment="1">
      <alignment horizontal="left"/>
    </xf>
    <xf numFmtId="0" fontId="19" fillId="0" borderId="771" xfId="0" applyFont="1" applyBorder="1">
      <alignment horizontal="center" vertical="center"/>
    </xf>
    <xf numFmtId="0" fontId="19" fillId="39" borderId="768" xfId="0" applyFont="1" applyFill="1" applyBorder="1" applyAlignment="1">
      <alignment wrapText="1"/>
    </xf>
    <xf numFmtId="171" fontId="23" fillId="39" borderId="767" xfId="0" applyNumberFormat="1" applyFont="1" applyFill="1" applyBorder="1" applyAlignment="1">
      <alignment horizontal="left" wrapText="1"/>
    </xf>
    <xf numFmtId="0" fontId="22" fillId="39" borderId="768" xfId="0" applyFont="1" applyFill="1" applyBorder="1" applyAlignment="1">
      <alignment wrapText="1"/>
    </xf>
    <xf numFmtId="0" fontId="22" fillId="0" borderId="768" xfId="0" applyFont="1" applyBorder="1" applyAlignment="1"/>
    <xf numFmtId="0" fontId="22" fillId="65" borderId="768" xfId="0" applyFont="1" applyFill="1" applyBorder="1" applyAlignment="1"/>
    <xf numFmtId="171" fontId="23" fillId="65" borderId="767" xfId="0" applyNumberFormat="1" applyFont="1" applyFill="1" applyBorder="1" applyAlignment="1">
      <alignment horizontal="left" wrapText="1"/>
    </xf>
    <xf numFmtId="0" fontId="22" fillId="65" borderId="768" xfId="0" applyFont="1" applyFill="1" applyBorder="1" applyAlignment="1">
      <alignment horizontal="left" vertical="center"/>
    </xf>
    <xf numFmtId="172" fontId="23" fillId="65" borderId="767" xfId="0" applyNumberFormat="1" applyFont="1" applyFill="1" applyBorder="1" applyAlignment="1">
      <alignment horizontal="left" wrapText="1"/>
    </xf>
    <xf numFmtId="0" fontId="22" fillId="65" borderId="768" xfId="0" applyFont="1" applyFill="1" applyBorder="1" applyAlignment="1">
      <alignment horizontal="left" vertical="center" wrapText="1"/>
    </xf>
    <xf numFmtId="3" fontId="54" fillId="0" borderId="767" xfId="0" applyNumberFormat="1" applyFont="1" applyBorder="1">
      <alignment horizontal="center" vertical="center"/>
    </xf>
    <xf numFmtId="0" fontId="22" fillId="66" borderId="768" xfId="0" applyFont="1" applyFill="1" applyBorder="1" applyAlignment="1">
      <alignment horizontal="left" vertical="center" wrapText="1"/>
    </xf>
    <xf numFmtId="172" fontId="23" fillId="66" borderId="767" xfId="0" applyNumberFormat="1" applyFont="1" applyFill="1" applyBorder="1" applyAlignment="1">
      <alignment horizontal="left" wrapText="1"/>
    </xf>
    <xf numFmtId="0" fontId="22" fillId="67" borderId="768" xfId="0" applyFont="1" applyFill="1" applyBorder="1" applyAlignment="1">
      <alignment horizontal="left" vertical="center" wrapText="1"/>
    </xf>
    <xf numFmtId="172" fontId="23" fillId="66" borderId="770" xfId="0" applyNumberFormat="1" applyFont="1" applyFill="1" applyBorder="1" applyAlignment="1">
      <alignment horizontal="left" wrapText="1"/>
    </xf>
    <xf numFmtId="3" fontId="54" fillId="0" borderId="772" xfId="0" applyNumberFormat="1" applyFont="1" applyBorder="1">
      <alignment horizontal="center" vertical="center"/>
    </xf>
    <xf numFmtId="0" fontId="22" fillId="68" borderId="768" xfId="0" applyFont="1" applyFill="1" applyBorder="1" applyAlignment="1">
      <alignment horizontal="left" vertical="center"/>
    </xf>
    <xf numFmtId="171" fontId="23" fillId="66" borderId="767" xfId="0" applyNumberFormat="1" applyFont="1" applyFill="1" applyBorder="1" applyAlignment="1">
      <alignment horizontal="left" wrapText="1"/>
    </xf>
    <xf numFmtId="0" fontId="22" fillId="0" borderId="768" xfId="0" applyFont="1" applyBorder="1">
      <alignment horizontal="center" vertical="center"/>
    </xf>
    <xf numFmtId="0" fontId="22" fillId="38" borderId="768" xfId="0" applyFont="1" applyFill="1" applyBorder="1" applyAlignment="1">
      <alignment horizontal="left" vertical="center"/>
    </xf>
    <xf numFmtId="171" fontId="23" fillId="38" borderId="773" xfId="0" applyNumberFormat="1" applyFont="1" applyFill="1" applyBorder="1" applyAlignment="1">
      <alignment horizontal="left" wrapText="1"/>
    </xf>
    <xf numFmtId="0" fontId="19" fillId="38" borderId="768" xfId="0" applyFont="1" applyFill="1" applyBorder="1" applyAlignment="1">
      <alignment horizontal="left" vertical="center"/>
    </xf>
    <xf numFmtId="171" fontId="23" fillId="38" borderId="767" xfId="0" applyNumberFormat="1" applyFont="1" applyFill="1" applyBorder="1" applyAlignment="1">
      <alignment horizontal="left" wrapText="1"/>
    </xf>
    <xf numFmtId="171" fontId="23" fillId="38" borderId="774" xfId="0" applyNumberFormat="1" applyFont="1" applyFill="1" applyBorder="1" applyAlignment="1">
      <alignment horizontal="left" wrapText="1"/>
    </xf>
    <xf numFmtId="0" fontId="44" fillId="50" borderId="767" xfId="0" applyFont="1" applyFill="1" applyBorder="1" applyAlignment="1">
      <alignment horizontal="center"/>
    </xf>
    <xf numFmtId="0" fontId="44" fillId="50" borderId="770" xfId="0" applyFont="1" applyFill="1" applyBorder="1" applyAlignment="1">
      <alignment horizontal="center"/>
    </xf>
    <xf numFmtId="169" fontId="44" fillId="50" borderId="770" xfId="0" applyNumberFormat="1" applyFont="1" applyFill="1" applyBorder="1" applyAlignment="1">
      <alignment horizontal="center"/>
    </xf>
    <xf numFmtId="0" fontId="0" fillId="24" borderId="775" xfId="0" applyFill="1" applyBorder="1" applyAlignment="1">
      <alignment horizontal="center"/>
    </xf>
    <xf numFmtId="0" fontId="20" fillId="0" borderId="767" xfId="0" applyFont="1" applyBorder="1">
      <alignment horizontal="center" vertical="center"/>
    </xf>
    <xf numFmtId="0" fontId="44" fillId="0" borderId="767" xfId="0" applyFont="1" applyBorder="1" applyAlignment="1">
      <alignment vertical="center"/>
    </xf>
    <xf numFmtId="0" fontId="20" fillId="0" borderId="767" xfId="0" applyFont="1" applyBorder="1" applyAlignment="1">
      <alignment vertical="center"/>
    </xf>
    <xf numFmtId="49" fontId="44" fillId="0" borderId="767" xfId="0" applyNumberFormat="1" applyFont="1" applyBorder="1">
      <alignment horizontal="center" vertical="center"/>
    </xf>
    <xf numFmtId="0" fontId="20" fillId="0" borderId="761" xfId="0" applyFont="1" applyBorder="1" applyAlignment="1">
      <alignment horizontal="left" vertical="center"/>
    </xf>
    <xf numFmtId="0" fontId="0" fillId="0" borderId="776" xfId="0" applyBorder="1">
      <alignment horizontal="center" vertical="center"/>
    </xf>
    <xf numFmtId="0" fontId="44" fillId="0" borderId="767" xfId="0" applyFont="1" applyBorder="1">
      <alignment horizontal="center" vertical="center"/>
    </xf>
    <xf numFmtId="0" fontId="20" fillId="0" borderId="767" xfId="0" applyFont="1" applyBorder="1" applyAlignment="1">
      <alignment horizontal="left" vertical="center"/>
    </xf>
    <xf numFmtId="0" fontId="44" fillId="0" borderId="777" xfId="0" applyFont="1" applyBorder="1">
      <alignment horizontal="center" vertical="center"/>
    </xf>
    <xf numFmtId="0" fontId="20" fillId="0" borderId="778" xfId="0" applyFont="1" applyBorder="1" applyAlignment="1">
      <alignment horizontal="left" vertical="center"/>
    </xf>
    <xf numFmtId="0" fontId="0" fillId="0" borderId="779" xfId="0" applyBorder="1">
      <alignment horizontal="center" vertical="center"/>
    </xf>
    <xf numFmtId="0" fontId="44" fillId="0" borderId="780" xfId="0" applyFont="1" applyBorder="1">
      <alignment horizontal="center" vertical="center"/>
    </xf>
    <xf numFmtId="0" fontId="20" fillId="0" borderId="781" xfId="0" applyFont="1" applyBorder="1" applyAlignment="1">
      <alignment horizontal="left" vertical="center"/>
    </xf>
    <xf numFmtId="0" fontId="44" fillId="0" borderId="782" xfId="0" applyFont="1" applyBorder="1" applyAlignment="1">
      <alignment vertical="center"/>
    </xf>
    <xf numFmtId="0" fontId="0" fillId="0" borderId="783" xfId="0" applyBorder="1">
      <alignment horizontal="center" vertical="center"/>
    </xf>
    <xf numFmtId="0" fontId="20" fillId="51" borderId="767" xfId="0" applyFont="1" applyFill="1" applyBorder="1" applyAlignment="1">
      <alignment horizontal="left" vertical="center"/>
    </xf>
    <xf numFmtId="49" fontId="44" fillId="0" borderId="784" xfId="0" applyNumberFormat="1" applyFont="1" applyBorder="1">
      <alignment horizontal="center" vertical="center"/>
    </xf>
    <xf numFmtId="0" fontId="44" fillId="0" borderId="755" xfId="0" applyFont="1" applyBorder="1" applyAlignment="1">
      <alignment vertical="center"/>
    </xf>
    <xf numFmtId="0" fontId="14" fillId="0" borderId="767" xfId="0" applyFont="1" applyBorder="1" applyAlignment="1">
      <alignment horizontal="left" vertical="center"/>
    </xf>
    <xf numFmtId="0" fontId="20" fillId="0" borderId="746" xfId="0" applyFont="1" applyBorder="1" applyAlignment="1">
      <alignment vertical="center"/>
    </xf>
    <xf numFmtId="49" fontId="44" fillId="0" borderId="785" xfId="0" applyNumberFormat="1" applyFont="1" applyBorder="1">
      <alignment horizontal="center" vertical="center"/>
    </xf>
    <xf numFmtId="0" fontId="44" fillId="0" borderId="786" xfId="0" applyFont="1" applyBorder="1" applyAlignment="1">
      <alignment vertical="center"/>
    </xf>
    <xf numFmtId="0" fontId="20" fillId="51" borderId="787" xfId="0" applyFont="1" applyFill="1" applyBorder="1" applyAlignment="1">
      <alignment horizontal="left" vertical="center" wrapText="1"/>
    </xf>
    <xf numFmtId="169" fontId="44" fillId="0" borderId="787" xfId="0" applyNumberFormat="1" applyFont="1" applyBorder="1">
      <alignment horizontal="center" vertical="center"/>
    </xf>
    <xf numFmtId="0" fontId="20" fillId="0" borderId="55" xfId="0" applyFont="1" applyBorder="1" applyAlignment="1">
      <alignment vertical="center"/>
    </xf>
    <xf numFmtId="0" fontId="44" fillId="49" borderId="787" xfId="0" applyFont="1" applyFill="1" applyBorder="1" applyAlignment="1">
      <alignment vertical="center"/>
    </xf>
    <xf numFmtId="0" fontId="44" fillId="0" borderId="788" xfId="0" applyFont="1" applyBorder="1" applyAlignment="1">
      <alignment vertical="center"/>
    </xf>
    <xf numFmtId="0" fontId="0" fillId="0" borderId="789" xfId="0" applyBorder="1">
      <alignment horizontal="center" vertical="center"/>
    </xf>
    <xf numFmtId="17" fontId="44" fillId="0" borderId="790" xfId="0" applyNumberFormat="1" applyFont="1" applyBorder="1">
      <alignment horizontal="center" vertical="center"/>
    </xf>
    <xf numFmtId="0" fontId="13" fillId="0" borderId="790" xfId="0" applyFont="1" applyBorder="1" applyAlignment="1">
      <alignment vertical="center"/>
    </xf>
    <xf numFmtId="0" fontId="20" fillId="0" borderId="790" xfId="0" applyFont="1" applyBorder="1" applyAlignment="1"/>
    <xf numFmtId="0" fontId="44" fillId="0" borderId="55" xfId="0" applyFont="1" applyBorder="1" applyAlignment="1"/>
    <xf numFmtId="0" fontId="20" fillId="51" borderId="791" xfId="0" applyFont="1" applyFill="1" applyBorder="1" applyAlignment="1">
      <alignment horizontal="left" vertical="center" wrapText="1"/>
    </xf>
    <xf numFmtId="49" fontId="44" fillId="0" borderId="787" xfId="0" applyNumberFormat="1" applyFont="1" applyBorder="1" applyAlignment="1">
      <alignment horizontal="right"/>
    </xf>
    <xf numFmtId="0" fontId="44" fillId="0" borderId="792" xfId="0" applyFont="1" applyBorder="1">
      <alignment horizontal="center" vertical="center"/>
    </xf>
    <xf numFmtId="0" fontId="20" fillId="0" borderId="746" xfId="0" applyFont="1" applyBorder="1">
      <alignment horizontal="center" vertical="center"/>
    </xf>
    <xf numFmtId="0" fontId="13" fillId="0" borderId="787" xfId="0" applyFont="1" applyBorder="1" applyAlignment="1">
      <alignment horizontal="left" vertical="center"/>
    </xf>
    <xf numFmtId="0" fontId="0" fillId="0" borderId="787" xfId="0" applyBorder="1">
      <alignment horizontal="center" vertical="center"/>
    </xf>
    <xf numFmtId="0" fontId="20" fillId="51" borderId="787" xfId="0" applyFont="1" applyFill="1" applyBorder="1" applyAlignment="1" applyProtection="1">
      <alignment horizontal="left" vertical="center"/>
      <protection locked="0"/>
    </xf>
    <xf numFmtId="0" fontId="20" fillId="0" borderId="746" xfId="0" applyFont="1" applyBorder="1" applyAlignment="1"/>
    <xf numFmtId="0" fontId="20" fillId="0" borderId="792" xfId="0" applyFont="1" applyBorder="1" applyAlignment="1">
      <alignment vertical="center"/>
    </xf>
    <xf numFmtId="0" fontId="20" fillId="0" borderId="777" xfId="0" applyFont="1" applyBorder="1">
      <alignment horizontal="center" vertical="center"/>
    </xf>
    <xf numFmtId="0" fontId="0" fillId="0" borderId="787" xfId="0" applyBorder="1" applyAlignment="1">
      <alignment horizontal="left" vertical="center"/>
    </xf>
    <xf numFmtId="0" fontId="44" fillId="0" borderId="787" xfId="0" applyFont="1" applyBorder="1" applyAlignment="1">
      <alignment horizontal="left"/>
    </xf>
    <xf numFmtId="0" fontId="20" fillId="51" borderId="746" xfId="0" applyFont="1" applyFill="1" applyBorder="1" applyAlignment="1">
      <alignment horizontal="left" vertical="center"/>
    </xf>
    <xf numFmtId="0" fontId="0" fillId="0" borderId="787" xfId="0" applyBorder="1" applyAlignment="1">
      <alignment vertical="center"/>
    </xf>
    <xf numFmtId="0" fontId="20" fillId="0" borderId="746" xfId="0" applyFont="1" applyBorder="1" applyAlignment="1">
      <alignment horizontal="left" vertical="center"/>
    </xf>
    <xf numFmtId="0" fontId="0" fillId="51" borderId="755" xfId="0" applyFill="1" applyBorder="1" applyAlignment="1">
      <alignment horizontal="left" vertical="center"/>
    </xf>
    <xf numFmtId="0" fontId="44" fillId="0" borderId="746" xfId="0" applyFont="1" applyBorder="1" applyAlignment="1">
      <alignment horizontal="center"/>
    </xf>
    <xf numFmtId="0" fontId="44" fillId="51" borderId="787" xfId="0" applyFont="1" applyFill="1" applyBorder="1" applyAlignment="1">
      <alignment horizontal="left" vertical="center"/>
    </xf>
    <xf numFmtId="0" fontId="0" fillId="0" borderId="746" xfId="0" applyBorder="1" applyAlignment="1">
      <alignment horizontal="left" vertical="center"/>
    </xf>
    <xf numFmtId="0" fontId="49" fillId="51" borderId="787" xfId="0" applyFont="1" applyFill="1" applyBorder="1" applyAlignment="1">
      <alignment horizontal="center"/>
    </xf>
    <xf numFmtId="0" fontId="20" fillId="51" borderId="787" xfId="0" applyFont="1" applyFill="1" applyBorder="1" applyAlignment="1">
      <alignment vertical="center"/>
    </xf>
    <xf numFmtId="0" fontId="48" fillId="51" borderId="787" xfId="0" applyFont="1" applyFill="1" applyBorder="1" applyAlignment="1">
      <alignment wrapText="1"/>
    </xf>
    <xf numFmtId="0" fontId="45" fillId="51" borderId="787" xfId="0" applyFont="1" applyFill="1" applyBorder="1" applyAlignment="1">
      <alignment wrapText="1"/>
    </xf>
    <xf numFmtId="0" fontId="44" fillId="0" borderId="787" xfId="0" applyFont="1" applyBorder="1" applyAlignment="1">
      <alignment horizontal="left" vertical="center"/>
    </xf>
    <xf numFmtId="0" fontId="44" fillId="51" borderId="787" xfId="0" applyFont="1" applyFill="1" applyBorder="1" applyAlignment="1">
      <alignment wrapText="1"/>
    </xf>
    <xf numFmtId="0" fontId="44" fillId="0" borderId="787" xfId="0" applyFont="1" applyBorder="1" applyAlignment="1"/>
    <xf numFmtId="0" fontId="3" fillId="0" borderId="787" xfId="0" applyFont="1" applyBorder="1" applyAlignment="1">
      <alignment horizontal="left" vertical="center"/>
    </xf>
    <xf numFmtId="0" fontId="44" fillId="0" borderId="787" xfId="0" applyFont="1" applyBorder="1" applyAlignment="1">
      <alignment wrapText="1"/>
    </xf>
    <xf numFmtId="0" fontId="20" fillId="0" borderId="787" xfId="0" applyFont="1" applyBorder="1" applyAlignment="1">
      <alignment horizontal="left"/>
    </xf>
    <xf numFmtId="169" fontId="0" fillId="0" borderId="787" xfId="0" applyNumberFormat="1" applyBorder="1">
      <alignment horizontal="center" vertical="center"/>
    </xf>
    <xf numFmtId="0" fontId="13" fillId="51" borderId="793" xfId="0" applyFont="1" applyFill="1" applyBorder="1" applyAlignment="1">
      <alignment vertical="center"/>
    </xf>
    <xf numFmtId="0" fontId="20" fillId="51" borderId="793" xfId="0" applyFont="1" applyFill="1" applyBorder="1" applyAlignment="1">
      <alignment horizontal="left" vertical="center"/>
    </xf>
    <xf numFmtId="0" fontId="20" fillId="51" borderId="55" xfId="0" applyFont="1" applyFill="1" applyBorder="1" applyAlignment="1" applyProtection="1">
      <alignment horizontal="left" vertical="center"/>
      <protection locked="0"/>
    </xf>
    <xf numFmtId="0" fontId="45" fillId="0" borderId="787" xfId="0" applyFont="1" applyBorder="1" applyAlignment="1">
      <alignment vertical="top" wrapText="1"/>
    </xf>
    <xf numFmtId="0" fontId="20" fillId="0" borderId="787" xfId="0" applyFont="1" applyBorder="1" applyAlignment="1">
      <alignment vertical="top" wrapText="1"/>
    </xf>
    <xf numFmtId="0" fontId="20" fillId="51" borderId="792" xfId="0" applyFont="1" applyFill="1" applyBorder="1" applyAlignment="1">
      <alignment horizontal="left" vertical="center"/>
    </xf>
    <xf numFmtId="0" fontId="50" fillId="0" borderId="787" xfId="0" applyFont="1" applyBorder="1" applyAlignment="1">
      <alignment vertical="top" wrapText="1"/>
    </xf>
    <xf numFmtId="0" fontId="4" fillId="0" borderId="794" xfId="0" applyFont="1" applyBorder="1" applyAlignment="1">
      <alignment horizontal="center"/>
    </xf>
    <xf numFmtId="0" fontId="4" fillId="0" borderId="761" xfId="0" applyFont="1" applyBorder="1" applyAlignment="1">
      <alignment horizontal="center"/>
    </xf>
    <xf numFmtId="0" fontId="6" fillId="0" borderId="761" xfId="0" applyFont="1" applyBorder="1" applyAlignment="1">
      <alignment horizontal="center"/>
    </xf>
    <xf numFmtId="0" fontId="6" fillId="0" borderId="749" xfId="0" applyFont="1" applyBorder="1" applyAlignment="1">
      <alignment horizontal="center"/>
    </xf>
    <xf numFmtId="0" fontId="0" fillId="0" borderId="749" xfId="0" applyBorder="1">
      <alignment horizontal="center" vertical="center"/>
    </xf>
    <xf numFmtId="0" fontId="6" fillId="0" borderId="776" xfId="0" applyFont="1" applyBorder="1" applyAlignment="1">
      <alignment horizontal="left"/>
    </xf>
    <xf numFmtId="0" fontId="4" fillId="0" borderId="795" xfId="0" applyFont="1" applyBorder="1" applyAlignment="1">
      <alignment horizontal="center"/>
    </xf>
    <xf numFmtId="0" fontId="4" fillId="0" borderId="796" xfId="0" applyFont="1" applyBorder="1" applyAlignment="1">
      <alignment horizontal="center"/>
    </xf>
    <xf numFmtId="0" fontId="6" fillId="0" borderId="796" xfId="0" applyFont="1" applyBorder="1" applyAlignment="1">
      <alignment horizontal="center"/>
    </xf>
    <xf numFmtId="0" fontId="6" fillId="0" borderId="797" xfId="0" applyFont="1" applyBorder="1" applyAlignment="1">
      <alignment horizontal="center"/>
    </xf>
    <xf numFmtId="0" fontId="0" fillId="0" borderId="797" xfId="0" applyBorder="1">
      <alignment horizontal="center" vertical="center"/>
    </xf>
    <xf numFmtId="0" fontId="6" fillId="0" borderId="798" xfId="0" applyFont="1" applyBorder="1" applyAlignment="1">
      <alignment horizontal="left"/>
    </xf>
    <xf numFmtId="0" fontId="0" fillId="0" borderId="758" xfId="0" applyBorder="1" applyAlignment="1">
      <alignment horizontal="center"/>
    </xf>
    <xf numFmtId="0" fontId="0" fillId="0" borderId="761" xfId="0" applyBorder="1" applyAlignment="1">
      <alignment horizontal="center"/>
    </xf>
    <xf numFmtId="0" fontId="7" fillId="0" borderId="761" xfId="0" applyFont="1" applyBorder="1" applyAlignment="1">
      <alignment horizontal="center"/>
    </xf>
    <xf numFmtId="0" fontId="7" fillId="0" borderId="776" xfId="0" applyFont="1" applyBorder="1" applyAlignment="1">
      <alignment horizontal="left"/>
    </xf>
    <xf numFmtId="0" fontId="0" fillId="0" borderId="799" xfId="0" applyBorder="1" applyAlignment="1">
      <alignment horizontal="center"/>
    </xf>
    <xf numFmtId="0" fontId="0" fillId="0" borderId="800" xfId="0" applyBorder="1" applyAlignment="1">
      <alignment horizontal="center"/>
    </xf>
    <xf numFmtId="0" fontId="0" fillId="0" borderId="794" xfId="0" applyBorder="1" applyAlignment="1">
      <alignment horizontal="center"/>
    </xf>
    <xf numFmtId="0" fontId="7" fillId="0" borderId="750" xfId="0" applyFont="1" applyBorder="1" applyAlignment="1">
      <alignment horizontal="center"/>
    </xf>
    <xf numFmtId="0" fontId="0" fillId="25" borderId="761" xfId="0" applyFill="1" applyBorder="1" applyAlignment="1">
      <alignment horizontal="center"/>
    </xf>
    <xf numFmtId="0" fontId="0" fillId="25" borderId="761" xfId="0" applyFill="1" applyBorder="1">
      <alignment horizontal="center" vertical="center"/>
    </xf>
    <xf numFmtId="0" fontId="0" fillId="0" borderId="761" xfId="0" applyBorder="1">
      <alignment horizontal="center" vertical="center"/>
    </xf>
    <xf numFmtId="0" fontId="0" fillId="0" borderId="801" xfId="0" applyBorder="1" applyAlignment="1">
      <alignment horizontal="center"/>
    </xf>
    <xf numFmtId="0" fontId="0" fillId="0" borderId="802" xfId="0" applyBorder="1" applyAlignment="1">
      <alignment horizontal="center"/>
    </xf>
    <xf numFmtId="0" fontId="0" fillId="0" borderId="761" xfId="0" applyBorder="1" applyAlignment="1">
      <alignment horizontal="left"/>
    </xf>
    <xf numFmtId="0" fontId="0" fillId="0" borderId="750" xfId="0" applyBorder="1">
      <alignment horizontal="center" vertical="center"/>
    </xf>
    <xf numFmtId="0" fontId="0" fillId="0" borderId="800" xfId="0" applyBorder="1">
      <alignment horizontal="center" vertical="center"/>
    </xf>
    <xf numFmtId="0" fontId="0" fillId="0" borderId="802" xfId="0" applyBorder="1">
      <alignment horizontal="center" vertical="center"/>
    </xf>
    <xf numFmtId="0" fontId="0" fillId="0" borderId="803" xfId="0" applyBorder="1" applyAlignment="1">
      <alignment horizontal="left"/>
    </xf>
    <xf numFmtId="0" fontId="0" fillId="0" borderId="804" xfId="0" applyBorder="1" applyAlignment="1">
      <alignment horizontal="center"/>
    </xf>
    <xf numFmtId="0" fontId="0" fillId="0" borderId="804" xfId="0" applyBorder="1">
      <alignment horizontal="center" vertical="center"/>
    </xf>
    <xf numFmtId="0" fontId="4" fillId="0" borderId="805" xfId="0" applyFont="1" applyBorder="1" applyAlignment="1">
      <alignment horizontal="center"/>
    </xf>
    <xf numFmtId="0" fontId="4" fillId="0" borderId="806" xfId="0" applyFont="1" applyBorder="1" applyAlignment="1">
      <alignment horizontal="center"/>
    </xf>
    <xf numFmtId="0" fontId="6" fillId="0" borderId="806" xfId="0" applyFont="1" applyBorder="1" applyAlignment="1">
      <alignment horizontal="center"/>
    </xf>
    <xf numFmtId="0" fontId="6" fillId="0" borderId="807" xfId="0" applyFont="1" applyBorder="1" applyAlignment="1">
      <alignment horizontal="center"/>
    </xf>
    <xf numFmtId="0" fontId="0" fillId="0" borderId="807" xfId="0" applyBorder="1">
      <alignment horizontal="center" vertical="center"/>
    </xf>
    <xf numFmtId="0" fontId="6" fillId="0" borderId="808" xfId="0" applyFont="1" applyBorder="1" applyAlignment="1">
      <alignment horizontal="left"/>
    </xf>
    <xf numFmtId="0" fontId="7" fillId="0" borderId="749" xfId="0" applyFont="1" applyBorder="1" applyAlignment="1">
      <alignment horizontal="left"/>
    </xf>
    <xf numFmtId="0" fontId="0" fillId="24" borderId="804" xfId="0" applyFill="1" applyBorder="1" applyAlignment="1">
      <alignment horizontal="center"/>
    </xf>
    <xf numFmtId="0" fontId="7" fillId="0" borderId="804" xfId="0" applyFont="1" applyBorder="1" applyAlignment="1">
      <alignment horizontal="left"/>
    </xf>
    <xf numFmtId="0" fontId="0" fillId="27" borderId="761" xfId="0" applyFill="1" applyBorder="1" applyAlignment="1">
      <alignment horizontal="center"/>
    </xf>
    <xf numFmtId="0" fontId="7" fillId="27" borderId="761" xfId="0" applyFont="1" applyFill="1" applyBorder="1" applyAlignment="1">
      <alignment horizontal="center"/>
    </xf>
    <xf numFmtId="0" fontId="7" fillId="27" borderId="750" xfId="0" applyFont="1" applyFill="1" applyBorder="1" applyAlignment="1">
      <alignment horizontal="center"/>
    </xf>
    <xf numFmtId="0" fontId="4" fillId="0" borderId="801" xfId="0" applyFont="1" applyBorder="1" applyAlignment="1">
      <alignment horizontal="left"/>
    </xf>
    <xf numFmtId="0" fontId="0" fillId="27" borderId="800" xfId="0" applyFill="1" applyBorder="1" applyAlignment="1">
      <alignment horizontal="center"/>
    </xf>
    <xf numFmtId="0" fontId="0" fillId="0" borderId="794" xfId="0" applyBorder="1" applyAlignment="1">
      <alignment horizontal="left"/>
    </xf>
    <xf numFmtId="0" fontId="7" fillId="25" borderId="761" xfId="0" applyFont="1" applyFill="1" applyBorder="1" applyAlignment="1">
      <alignment horizontal="center"/>
    </xf>
    <xf numFmtId="0" fontId="7" fillId="25" borderId="750" xfId="0" applyFont="1" applyFill="1" applyBorder="1" applyAlignment="1">
      <alignment horizontal="center"/>
    </xf>
    <xf numFmtId="0" fontId="0" fillId="24" borderId="794" xfId="0" applyFill="1" applyBorder="1" applyAlignment="1">
      <alignment horizontal="left"/>
    </xf>
    <xf numFmtId="0" fontId="0" fillId="29" borderId="761" xfId="0" applyFill="1" applyBorder="1" applyAlignment="1">
      <alignment horizontal="center"/>
    </xf>
    <xf numFmtId="0" fontId="0" fillId="30" borderId="761" xfId="0" applyFill="1" applyBorder="1" applyAlignment="1">
      <alignment horizontal="center"/>
    </xf>
    <xf numFmtId="0" fontId="0" fillId="30" borderId="800" xfId="0" applyFill="1" applyBorder="1" applyAlignment="1">
      <alignment horizontal="center"/>
    </xf>
    <xf numFmtId="0" fontId="8" fillId="31" borderId="124" xfId="0" applyFont="1" applyFill="1" applyBorder="1">
      <alignment horizontal="center" vertical="center"/>
    </xf>
    <xf numFmtId="0" fontId="8" fillId="31" borderId="800" xfId="0" applyFont="1" applyFill="1" applyBorder="1" applyAlignment="1">
      <alignment horizontal="center"/>
    </xf>
    <xf numFmtId="0" fontId="8" fillId="31" borderId="803" xfId="0" applyFont="1" applyFill="1" applyBorder="1" applyAlignment="1">
      <alignment horizontal="center"/>
    </xf>
    <xf numFmtId="0" fontId="0" fillId="24" borderId="761" xfId="0" applyFill="1" applyBorder="1" applyAlignment="1">
      <alignment horizontal="center"/>
    </xf>
    <xf numFmtId="0" fontId="7" fillId="24" borderId="750" xfId="0" applyFont="1" applyFill="1" applyBorder="1" applyAlignment="1">
      <alignment horizontal="center"/>
    </xf>
    <xf numFmtId="0" fontId="0" fillId="28" borderId="761" xfId="0" applyFill="1" applyBorder="1" applyAlignment="1">
      <alignment horizontal="center"/>
    </xf>
    <xf numFmtId="0" fontId="0" fillId="28" borderId="800" xfId="0" applyFill="1" applyBorder="1" applyAlignment="1">
      <alignment horizontal="center"/>
    </xf>
    <xf numFmtId="0" fontId="0" fillId="0" borderId="749" xfId="0" applyBorder="1" applyAlignment="1">
      <alignment horizontal="center"/>
    </xf>
    <xf numFmtId="0" fontId="6" fillId="0" borderId="750" xfId="0" applyFont="1" applyBorder="1" applyAlignment="1">
      <alignment horizontal="center"/>
    </xf>
    <xf numFmtId="0" fontId="0" fillId="0" borderId="809" xfId="0" applyBorder="1" applyAlignment="1">
      <alignment horizontal="left"/>
    </xf>
    <xf numFmtId="0" fontId="0" fillId="0" borderId="120" xfId="0" applyBorder="1" applyAlignment="1">
      <alignment horizontal="center"/>
    </xf>
    <xf numFmtId="0" fontId="0" fillId="0" borderId="809" xfId="0" applyBorder="1" applyAlignment="1">
      <alignment horizontal="center"/>
    </xf>
    <xf numFmtId="0" fontId="0" fillId="0" borderId="810" xfId="0" applyBorder="1" applyAlignment="1">
      <alignment horizontal="center"/>
    </xf>
    <xf numFmtId="0" fontId="0" fillId="0" borderId="793" xfId="0" applyBorder="1" applyAlignment="1">
      <alignment horizontal="center"/>
    </xf>
    <xf numFmtId="0" fontId="0" fillId="0" borderId="811" xfId="0" applyBorder="1" applyAlignment="1">
      <alignment horizontal="center"/>
    </xf>
    <xf numFmtId="0" fontId="0" fillId="0" borderId="812" xfId="0" applyBorder="1" applyAlignment="1">
      <alignment horizontal="center"/>
    </xf>
    <xf numFmtId="0" fontId="0" fillId="0" borderId="813" xfId="0" applyBorder="1" applyAlignment="1">
      <alignment horizontal="center"/>
    </xf>
    <xf numFmtId="0" fontId="0" fillId="0" borderId="813" xfId="0" applyBorder="1">
      <alignment horizontal="center" vertical="center"/>
    </xf>
    <xf numFmtId="0" fontId="0" fillId="0" borderId="814" xfId="0" applyBorder="1">
      <alignment horizontal="center" vertical="center"/>
    </xf>
    <xf numFmtId="0" fontId="0" fillId="0" borderId="815" xfId="0" applyBorder="1">
      <alignment horizontal="center" vertical="center"/>
    </xf>
    <xf numFmtId="0" fontId="0" fillId="0" borderId="795" xfId="0" applyBorder="1" applyAlignment="1">
      <alignment horizontal="center"/>
    </xf>
    <xf numFmtId="0" fontId="7" fillId="0" borderId="800" xfId="0" applyFont="1" applyBorder="1" applyAlignment="1">
      <alignment horizontal="center"/>
    </xf>
    <xf numFmtId="0" fontId="0" fillId="24" borderId="803" xfId="0" applyFill="1" applyBorder="1" applyAlignment="1">
      <alignment horizontal="center"/>
    </xf>
    <xf numFmtId="0" fontId="7" fillId="0" borderId="789" xfId="0" applyFont="1" applyBorder="1" applyAlignment="1">
      <alignment horizontal="left"/>
    </xf>
    <xf numFmtId="0" fontId="0" fillId="24" borderId="800" xfId="0" applyFill="1" applyBorder="1" applyAlignment="1">
      <alignment horizontal="center"/>
    </xf>
    <xf numFmtId="0" fontId="4" fillId="0" borderId="816" xfId="0" applyFont="1" applyBorder="1" applyAlignment="1">
      <alignment horizontal="center"/>
    </xf>
    <xf numFmtId="0" fontId="6" fillId="0" borderId="808" xfId="0" applyFont="1" applyBorder="1" applyAlignment="1">
      <alignment horizontal="center"/>
    </xf>
    <xf numFmtId="0" fontId="0" fillId="0" borderId="817" xfId="0" applyBorder="1" applyAlignment="1">
      <alignment horizontal="center"/>
    </xf>
    <xf numFmtId="0" fontId="0" fillId="0" borderId="793" xfId="0" applyBorder="1">
      <alignment horizontal="center" vertical="center"/>
    </xf>
    <xf numFmtId="0" fontId="0" fillId="0" borderId="809" xfId="0" applyBorder="1">
      <alignment horizontal="center" vertical="center"/>
    </xf>
    <xf numFmtId="2" fontId="0" fillId="0" borderId="793" xfId="0" applyNumberFormat="1" applyBorder="1">
      <alignment horizontal="center" vertical="center"/>
    </xf>
    <xf numFmtId="0" fontId="0" fillId="0" borderId="811" xfId="0" applyBorder="1">
      <alignment horizontal="center" vertical="center"/>
    </xf>
    <xf numFmtId="0" fontId="0" fillId="0" borderId="818" xfId="0" applyBorder="1">
      <alignment horizontal="center" vertical="center"/>
    </xf>
    <xf numFmtId="2" fontId="0" fillId="24" borderId="819" xfId="0" applyNumberFormat="1" applyFill="1" applyBorder="1">
      <alignment horizontal="center" vertical="center"/>
    </xf>
    <xf numFmtId="2" fontId="0" fillId="0" borderId="818" xfId="0" applyNumberFormat="1" applyBorder="1">
      <alignment horizontal="center" vertical="center"/>
    </xf>
    <xf numFmtId="0" fontId="4" fillId="0" borderId="820" xfId="0" applyFont="1" applyBorder="1" applyAlignment="1">
      <alignment horizontal="center"/>
    </xf>
    <xf numFmtId="0" fontId="7" fillId="0" borderId="793" xfId="0" applyFont="1" applyBorder="1" applyAlignment="1">
      <alignment horizontal="center"/>
    </xf>
    <xf numFmtId="0" fontId="6" fillId="0" borderId="793" xfId="0" applyFont="1" applyBorder="1" applyAlignment="1">
      <alignment horizontal="center"/>
    </xf>
    <xf numFmtId="0" fontId="6" fillId="0" borderId="821" xfId="0" applyFont="1" applyBorder="1" applyAlignment="1">
      <alignment horizontal="left"/>
    </xf>
    <xf numFmtId="0" fontId="8" fillId="32" borderId="793" xfId="0" applyFont="1" applyFill="1" applyBorder="1" applyAlignment="1">
      <alignment horizontal="center"/>
    </xf>
    <xf numFmtId="2" fontId="0" fillId="0" borderId="793" xfId="0" applyNumberFormat="1" applyBorder="1" applyAlignment="1">
      <alignment horizontal="center"/>
    </xf>
    <xf numFmtId="0" fontId="9" fillId="0" borderId="758" xfId="0" applyFont="1" applyBorder="1" applyAlignment="1">
      <alignment horizontal="left"/>
    </xf>
    <xf numFmtId="0" fontId="7" fillId="0" borderId="761" xfId="0" applyFont="1" applyBorder="1">
      <alignment horizontal="center" vertical="center"/>
    </xf>
    <xf numFmtId="0" fontId="6" fillId="24" borderId="822" xfId="0" applyFont="1" applyFill="1" applyBorder="1">
      <alignment horizontal="center" vertical="center"/>
    </xf>
    <xf numFmtId="0" fontId="0" fillId="0" borderId="795" xfId="0" applyBorder="1">
      <alignment horizontal="center" vertical="center"/>
    </xf>
    <xf numFmtId="0" fontId="0" fillId="0" borderId="822" xfId="0" applyBorder="1">
      <alignment horizontal="center" vertical="center"/>
    </xf>
    <xf numFmtId="0" fontId="4" fillId="0" borderId="793" xfId="0" applyFont="1" applyBorder="1">
      <alignment horizontal="center" vertical="center"/>
    </xf>
    <xf numFmtId="0" fontId="0" fillId="0" borderId="820" xfId="0" applyBorder="1">
      <alignment horizontal="center" vertical="center"/>
    </xf>
    <xf numFmtId="0" fontId="0" fillId="0" borderId="821" xfId="0" applyBorder="1" applyAlignment="1">
      <alignment horizontal="center"/>
    </xf>
    <xf numFmtId="0" fontId="7" fillId="0" borderId="749" xfId="0" applyFont="1" applyBorder="1">
      <alignment horizontal="center" vertical="center"/>
    </xf>
    <xf numFmtId="0" fontId="6" fillId="24" borderId="776" xfId="0" applyFont="1" applyFill="1" applyBorder="1" applyAlignment="1">
      <alignment horizontal="left"/>
    </xf>
    <xf numFmtId="0" fontId="7" fillId="0" borderId="800" xfId="0" applyFont="1" applyBorder="1">
      <alignment horizontal="center" vertical="center"/>
    </xf>
    <xf numFmtId="0" fontId="6" fillId="0" borderId="761" xfId="0" applyFont="1" applyBorder="1">
      <alignment horizontal="center" vertical="center"/>
    </xf>
    <xf numFmtId="0" fontId="6" fillId="0" borderId="793" xfId="0" applyFont="1" applyBorder="1">
      <alignment horizontal="center" vertical="center"/>
    </xf>
    <xf numFmtId="0" fontId="9" fillId="0" borderId="794" xfId="0" applyFont="1" applyBorder="1" applyAlignment="1">
      <alignment horizontal="left"/>
    </xf>
    <xf numFmtId="0" fontId="7" fillId="0" borderId="761" xfId="0" applyFont="1" applyBorder="1" applyAlignment="1">
      <alignment horizontal="left"/>
    </xf>
    <xf numFmtId="0" fontId="7" fillId="0" borderId="750" xfId="0" applyFont="1" applyBorder="1">
      <alignment horizontal="center" vertical="center"/>
    </xf>
    <xf numFmtId="0" fontId="0" fillId="0" borderId="799" xfId="0" applyBorder="1">
      <alignment horizontal="center" vertical="center"/>
    </xf>
    <xf numFmtId="0" fontId="0" fillId="24" borderId="789" xfId="0" applyFill="1" applyBorder="1" applyAlignment="1">
      <alignment horizontal="center"/>
    </xf>
    <xf numFmtId="0" fontId="7" fillId="0" borderId="802" xfId="0" applyFont="1" applyBorder="1">
      <alignment horizontal="center" vertical="center"/>
    </xf>
    <xf numFmtId="0" fontId="7" fillId="0" borderId="803" xfId="0" applyFont="1" applyBorder="1" applyAlignment="1">
      <alignment horizontal="left"/>
    </xf>
    <xf numFmtId="0" fontId="7" fillId="24" borderId="804" xfId="0" applyFont="1" applyFill="1" applyBorder="1" applyAlignment="1">
      <alignment horizontal="center"/>
    </xf>
    <xf numFmtId="0" fontId="7" fillId="0" borderId="120" xfId="0" applyFont="1" applyBorder="1">
      <alignment horizontal="center" vertical="center"/>
    </xf>
    <xf numFmtId="0" fontId="7" fillId="0" borderId="804" xfId="0" applyFont="1" applyBorder="1" applyAlignment="1">
      <alignment horizontal="center"/>
    </xf>
    <xf numFmtId="2" fontId="0" fillId="24" borderId="817" xfId="0" applyNumberFormat="1" applyFill="1" applyBorder="1">
      <alignment horizontal="center" vertical="center"/>
    </xf>
    <xf numFmtId="0" fontId="4" fillId="0" borderId="795" xfId="0" applyFont="1" applyBorder="1" applyAlignment="1">
      <alignment horizontal="left"/>
    </xf>
    <xf numFmtId="0" fontId="6" fillId="0" borderId="823" xfId="0" applyFont="1" applyBorder="1" applyAlignment="1">
      <alignment horizontal="center"/>
    </xf>
    <xf numFmtId="0" fontId="0" fillId="0" borderId="796" xfId="0" applyBorder="1">
      <alignment horizontal="center" vertical="center"/>
    </xf>
    <xf numFmtId="0" fontId="6" fillId="0" borderId="822" xfId="0" applyFont="1" applyBorder="1" applyAlignment="1">
      <alignment horizontal="left"/>
    </xf>
    <xf numFmtId="0" fontId="0" fillId="0" borderId="805" xfId="0" applyBorder="1">
      <alignment horizontal="center" vertical="center"/>
    </xf>
    <xf numFmtId="0" fontId="0" fillId="0" borderId="824" xfId="0" applyBorder="1">
      <alignment horizontal="center" vertical="center"/>
    </xf>
    <xf numFmtId="0" fontId="0" fillId="24" borderId="795" xfId="0" applyFill="1" applyBorder="1" applyAlignment="1">
      <alignment horizontal="left"/>
    </xf>
    <xf numFmtId="0" fontId="4" fillId="33" borderId="796" xfId="0" applyFont="1" applyFill="1" applyBorder="1" applyAlignment="1">
      <alignment horizontal="center"/>
    </xf>
    <xf numFmtId="0" fontId="10" fillId="34" borderId="796" xfId="0" applyFont="1" applyFill="1" applyBorder="1">
      <alignment horizontal="center" vertical="center"/>
    </xf>
    <xf numFmtId="0" fontId="0" fillId="24" borderId="825" xfId="0" applyFill="1" applyBorder="1" applyAlignment="1">
      <alignment horizontal="left"/>
    </xf>
    <xf numFmtId="0" fontId="4" fillId="40" borderId="809" xfId="0" applyFont="1" applyFill="1" applyBorder="1">
      <alignment horizontal="center" vertical="center"/>
    </xf>
    <xf numFmtId="0" fontId="0" fillId="40" borderId="811" xfId="0" applyFill="1" applyBorder="1">
      <alignment horizontal="center" vertical="center"/>
    </xf>
    <xf numFmtId="0" fontId="7" fillId="40" borderId="811" xfId="0" applyFont="1" applyFill="1" applyBorder="1">
      <alignment horizontal="center" vertical="center"/>
    </xf>
    <xf numFmtId="0" fontId="4" fillId="26" borderId="809" xfId="0" applyFont="1" applyFill="1" applyBorder="1">
      <alignment horizontal="center" vertical="center"/>
    </xf>
    <xf numFmtId="0" fontId="0" fillId="26" borderId="811" xfId="0" applyFill="1" applyBorder="1">
      <alignment horizontal="center" vertical="center"/>
    </xf>
    <xf numFmtId="0" fontId="0" fillId="0" borderId="795" xfId="0" applyBorder="1" applyAlignment="1">
      <alignment horizontal="left"/>
    </xf>
    <xf numFmtId="0" fontId="6" fillId="25" borderId="796" xfId="0" applyFont="1" applyFill="1" applyBorder="1" applyAlignment="1">
      <alignment horizontal="center"/>
    </xf>
    <xf numFmtId="0" fontId="10" fillId="35" borderId="796" xfId="0" applyFont="1" applyFill="1" applyBorder="1">
      <alignment horizontal="center" vertical="center"/>
    </xf>
    <xf numFmtId="0" fontId="10" fillId="35" borderId="823" xfId="0" applyFont="1" applyFill="1" applyBorder="1">
      <alignment horizontal="center" vertical="center"/>
    </xf>
    <xf numFmtId="0" fontId="0" fillId="0" borderId="825" xfId="0" applyBorder="1" applyAlignment="1">
      <alignment horizontal="left"/>
    </xf>
    <xf numFmtId="0" fontId="4" fillId="42" borderId="809" xfId="0" applyFont="1" applyFill="1" applyBorder="1" applyAlignment="1">
      <alignment horizontal="left"/>
    </xf>
    <xf numFmtId="0" fontId="0" fillId="42" borderId="811" xfId="0" applyFill="1" applyBorder="1">
      <alignment horizontal="center" vertical="center"/>
    </xf>
    <xf numFmtId="0" fontId="4" fillId="39" borderId="809" xfId="0" applyFont="1" applyFill="1" applyBorder="1">
      <alignment horizontal="center" vertical="center"/>
    </xf>
    <xf numFmtId="0" fontId="0" fillId="39" borderId="811" xfId="0" applyFill="1" applyBorder="1">
      <alignment horizontal="center" vertical="center"/>
    </xf>
    <xf numFmtId="0" fontId="6" fillId="36" borderId="796" xfId="0" applyFont="1" applyFill="1" applyBorder="1" applyAlignment="1">
      <alignment horizontal="center"/>
    </xf>
    <xf numFmtId="0" fontId="7" fillId="0" borderId="796" xfId="0" applyFont="1" applyBorder="1" applyAlignment="1">
      <alignment horizontal="center"/>
    </xf>
    <xf numFmtId="0" fontId="7" fillId="0" borderId="823" xfId="0" applyFont="1" applyBorder="1" applyAlignment="1">
      <alignment horizontal="center"/>
    </xf>
    <xf numFmtId="0" fontId="0" fillId="0" borderId="796" xfId="0" applyBorder="1" applyAlignment="1">
      <alignment horizontal="center"/>
    </xf>
    <xf numFmtId="0" fontId="4" fillId="37" borderId="809" xfId="0" applyFont="1" applyFill="1" applyBorder="1">
      <alignment horizontal="center" vertical="center"/>
    </xf>
    <xf numFmtId="0" fontId="0" fillId="37" borderId="811" xfId="0" applyFill="1" applyBorder="1">
      <alignment horizontal="center" vertical="center"/>
    </xf>
    <xf numFmtId="0" fontId="0" fillId="0" borderId="823" xfId="0" applyBorder="1">
      <alignment horizontal="center" vertical="center"/>
    </xf>
    <xf numFmtId="0" fontId="4" fillId="37" borderId="796" xfId="0" applyFont="1" applyFill="1" applyBorder="1" applyAlignment="1">
      <alignment horizontal="center"/>
    </xf>
    <xf numFmtId="0" fontId="4" fillId="37" borderId="823" xfId="0" applyFont="1" applyFill="1" applyBorder="1" applyAlignment="1">
      <alignment horizontal="center"/>
    </xf>
    <xf numFmtId="0" fontId="4" fillId="0" borderId="825" xfId="0" applyFont="1" applyBorder="1" applyAlignment="1">
      <alignment horizontal="left"/>
    </xf>
    <xf numFmtId="0" fontId="4" fillId="38" borderId="796" xfId="0" applyFont="1" applyFill="1" applyBorder="1" applyAlignment="1">
      <alignment horizontal="center"/>
    </xf>
    <xf numFmtId="0" fontId="4" fillId="41" borderId="826" xfId="0" applyFont="1" applyFill="1" applyBorder="1" applyAlignment="1">
      <alignment horizontal="left"/>
    </xf>
    <xf numFmtId="0" fontId="0" fillId="41" borderId="814" xfId="0" applyFill="1" applyBorder="1">
      <alignment horizontal="center" vertical="center"/>
    </xf>
    <xf numFmtId="0" fontId="4" fillId="24" borderId="796" xfId="0" applyFont="1" applyFill="1" applyBorder="1" applyAlignment="1">
      <alignment horizontal="center"/>
    </xf>
    <xf numFmtId="0" fontId="4" fillId="24" borderId="826" xfId="0" applyFont="1" applyFill="1" applyBorder="1">
      <alignment horizontal="center" vertical="center"/>
    </xf>
    <xf numFmtId="0" fontId="0" fillId="24" borderId="814" xfId="0" applyFill="1" applyBorder="1">
      <alignment horizontal="center" vertical="center"/>
    </xf>
    <xf numFmtId="0" fontId="10" fillId="31" borderId="826" xfId="0" applyFont="1" applyFill="1" applyBorder="1">
      <alignment horizontal="center" vertical="center"/>
    </xf>
    <xf numFmtId="0" fontId="8" fillId="31" borderId="814" xfId="0" applyFont="1" applyFill="1" applyBorder="1">
      <alignment horizontal="center" vertical="center"/>
    </xf>
    <xf numFmtId="0" fontId="0" fillId="31" borderId="814" xfId="0" applyFill="1" applyBorder="1">
      <alignment horizontal="center" vertical="center"/>
    </xf>
    <xf numFmtId="0" fontId="4" fillId="38" borderId="809" xfId="0" applyFont="1" applyFill="1" applyBorder="1">
      <alignment horizontal="center" vertical="center"/>
    </xf>
    <xf numFmtId="0" fontId="0" fillId="38" borderId="811" xfId="0" applyFill="1" applyBorder="1">
      <alignment horizontal="center" vertical="center"/>
    </xf>
    <xf numFmtId="0" fontId="4" fillId="25" borderId="809" xfId="0" applyFont="1" applyFill="1" applyBorder="1">
      <alignment horizontal="center" vertical="center"/>
    </xf>
    <xf numFmtId="0" fontId="0" fillId="25" borderId="827" xfId="0" applyFill="1" applyBorder="1">
      <alignment horizontal="center" vertical="center"/>
    </xf>
    <xf numFmtId="0" fontId="4" fillId="36" borderId="809" xfId="0" applyFont="1" applyFill="1" applyBorder="1">
      <alignment horizontal="center" vertical="center"/>
    </xf>
    <xf numFmtId="0" fontId="0" fillId="36" borderId="827" xfId="0" applyFill="1" applyBorder="1">
      <alignment horizontal="center" vertical="center"/>
    </xf>
    <xf numFmtId="0" fontId="4" fillId="33" borderId="809" xfId="0" applyFont="1" applyFill="1" applyBorder="1">
      <alignment horizontal="center" vertical="center"/>
    </xf>
    <xf numFmtId="0" fontId="0" fillId="33" borderId="827" xfId="0" applyFill="1" applyBorder="1">
      <alignment horizontal="center" vertical="center"/>
    </xf>
    <xf numFmtId="0" fontId="6" fillId="39" borderId="796" xfId="0" applyFont="1" applyFill="1" applyBorder="1" applyAlignment="1">
      <alignment horizontal="center"/>
    </xf>
    <xf numFmtId="0" fontId="0" fillId="0" borderId="796" xfId="0" applyBorder="1" applyAlignment="1">
      <alignment horizontal="left"/>
    </xf>
    <xf numFmtId="0" fontId="4" fillId="35" borderId="809" xfId="0" applyFont="1" applyFill="1" applyBorder="1">
      <alignment horizontal="center" vertical="center"/>
    </xf>
    <xf numFmtId="0" fontId="0" fillId="35" borderId="811" xfId="0" applyFill="1" applyBorder="1">
      <alignment horizontal="center" vertical="center"/>
    </xf>
    <xf numFmtId="0" fontId="0" fillId="35" borderId="827" xfId="0" applyFill="1" applyBorder="1">
      <alignment horizontal="center" vertical="center"/>
    </xf>
    <xf numFmtId="0" fontId="4" fillId="40" borderId="796" xfId="0" applyFont="1" applyFill="1" applyBorder="1" applyAlignment="1">
      <alignment horizontal="center"/>
    </xf>
    <xf numFmtId="0" fontId="4" fillId="0" borderId="823" xfId="0" applyFont="1" applyBorder="1" applyAlignment="1">
      <alignment horizontal="center"/>
    </xf>
    <xf numFmtId="0" fontId="4" fillId="41" borderId="823" xfId="0" applyFont="1" applyFill="1" applyBorder="1" applyAlignment="1">
      <alignment horizontal="center"/>
    </xf>
    <xf numFmtId="0" fontId="0" fillId="0" borderId="798" xfId="0" applyBorder="1">
      <alignment horizontal="center" vertical="center"/>
    </xf>
    <xf numFmtId="0" fontId="4" fillId="34" borderId="809" xfId="0" applyFont="1" applyFill="1" applyBorder="1">
      <alignment horizontal="center" vertical="center"/>
    </xf>
    <xf numFmtId="0" fontId="0" fillId="34" borderId="811" xfId="0" applyFill="1" applyBorder="1">
      <alignment horizontal="center" vertical="center"/>
    </xf>
    <xf numFmtId="0" fontId="0" fillId="34" borderId="827" xfId="0" applyFill="1" applyBorder="1">
      <alignment horizontal="center" vertical="center"/>
    </xf>
    <xf numFmtId="0" fontId="4" fillId="42" borderId="823" xfId="0" applyFont="1" applyFill="1" applyBorder="1" applyAlignment="1">
      <alignment horizontal="center"/>
    </xf>
    <xf numFmtId="0" fontId="4" fillId="42" borderId="796" xfId="0" applyFont="1" applyFill="1" applyBorder="1" applyAlignment="1">
      <alignment horizontal="center"/>
    </xf>
    <xf numFmtId="0" fontId="0" fillId="0" borderId="798" xfId="0" applyBorder="1" applyAlignment="1">
      <alignment horizontal="center"/>
    </xf>
    <xf numFmtId="0" fontId="7" fillId="0" borderId="828" xfId="0" applyFont="1" applyBorder="1" applyAlignment="1">
      <alignment horizontal="center"/>
    </xf>
    <xf numFmtId="0" fontId="7" fillId="0" borderId="797" xfId="0" applyFont="1" applyBorder="1" applyAlignment="1">
      <alignment horizontal="center"/>
    </xf>
    <xf numFmtId="0" fontId="4" fillId="0" borderId="828" xfId="0" applyFont="1" applyBorder="1" applyAlignment="1">
      <alignment horizontal="center"/>
    </xf>
    <xf numFmtId="0" fontId="4" fillId="0" borderId="797" xfId="0" applyFont="1" applyBorder="1" applyAlignment="1">
      <alignment horizontal="center"/>
    </xf>
    <xf numFmtId="0" fontId="4" fillId="0" borderId="761" xfId="0" applyFont="1" applyBorder="1" applyAlignment="1">
      <alignment horizontal="left"/>
    </xf>
    <xf numFmtId="0" fontId="4" fillId="0" borderId="829" xfId="0" applyFont="1" applyBorder="1" applyAlignment="1">
      <alignment horizontal="center"/>
    </xf>
    <xf numFmtId="0" fontId="7" fillId="0" borderId="813" xfId="0" applyFont="1" applyBorder="1" applyAlignment="1">
      <alignment horizontal="center"/>
    </xf>
    <xf numFmtId="0" fontId="6" fillId="0" borderId="813" xfId="0" applyFont="1" applyBorder="1" applyAlignment="1">
      <alignment horizontal="center"/>
    </xf>
    <xf numFmtId="0" fontId="7" fillId="0" borderId="815" xfId="0" applyFont="1" applyBorder="1" applyAlignment="1">
      <alignment horizontal="left"/>
    </xf>
    <xf numFmtId="165" fontId="7" fillId="0" borderId="761" xfId="0" applyNumberFormat="1" applyFont="1" applyBorder="1" applyAlignment="1">
      <alignment horizontal="center"/>
    </xf>
    <xf numFmtId="0" fontId="4" fillId="0" borderId="799" xfId="0" applyFont="1" applyBorder="1" applyAlignment="1">
      <alignment horizontal="center"/>
    </xf>
    <xf numFmtId="0" fontId="4" fillId="0" borderId="751" xfId="0" applyFont="1" applyBorder="1" applyAlignment="1">
      <alignment horizontal="center"/>
    </xf>
    <xf numFmtId="0" fontId="4" fillId="0" borderId="799" xfId="0" applyFont="1" applyBorder="1" applyAlignment="1">
      <alignment horizontal="left"/>
    </xf>
    <xf numFmtId="0" fontId="4" fillId="0" borderId="749" xfId="0" applyFont="1" applyBorder="1" applyAlignment="1">
      <alignment horizontal="center"/>
    </xf>
    <xf numFmtId="0" fontId="4" fillId="0" borderId="830" xfId="0" applyFont="1" applyBorder="1" applyAlignment="1">
      <alignment horizontal="left"/>
    </xf>
    <xf numFmtId="0" fontId="0" fillId="0" borderId="797" xfId="0" applyBorder="1" applyAlignment="1">
      <alignment horizontal="center"/>
    </xf>
    <xf numFmtId="0" fontId="7" fillId="0" borderId="798" xfId="0" applyFont="1" applyBorder="1" applyAlignment="1">
      <alignment horizontal="left"/>
    </xf>
    <xf numFmtId="0" fontId="7" fillId="0" borderId="795" xfId="0" applyFont="1" applyBorder="1" applyAlignment="1">
      <alignment horizontal="left"/>
    </xf>
    <xf numFmtId="166" fontId="0" fillId="0" borderId="124" xfId="0" applyNumberFormat="1" applyBorder="1">
      <alignment horizontal="center" vertical="center"/>
    </xf>
    <xf numFmtId="0" fontId="0" fillId="0" borderId="829" xfId="0" applyBorder="1">
      <alignment horizontal="center" vertical="center"/>
    </xf>
    <xf numFmtId="0" fontId="0" fillId="0" borderId="815" xfId="0" applyBorder="1" applyAlignment="1">
      <alignment horizontal="center"/>
    </xf>
    <xf numFmtId="0" fontId="7" fillId="0" borderId="794" xfId="0" applyFont="1" applyBorder="1" applyAlignment="1">
      <alignment horizontal="left"/>
    </xf>
    <xf numFmtId="0" fontId="4" fillId="0" borderId="749" xfId="0" applyFont="1" applyBorder="1" applyAlignment="1">
      <alignment horizontal="left"/>
    </xf>
    <xf numFmtId="0" fontId="7" fillId="40" borderId="800" xfId="0" applyFont="1" applyFill="1" applyBorder="1" applyAlignment="1">
      <alignment horizontal="center"/>
    </xf>
    <xf numFmtId="0" fontId="7" fillId="24" borderId="795" xfId="0" applyFont="1" applyFill="1" applyBorder="1" applyAlignment="1">
      <alignment horizontal="left"/>
    </xf>
    <xf numFmtId="0" fontId="7" fillId="24" borderId="761" xfId="0" applyFont="1" applyFill="1" applyBorder="1" applyAlignment="1">
      <alignment horizontal="center"/>
    </xf>
    <xf numFmtId="0" fontId="7" fillId="24" borderId="749" xfId="0" applyFont="1" applyFill="1" applyBorder="1">
      <alignment horizontal="center" vertical="center"/>
    </xf>
    <xf numFmtId="0" fontId="7" fillId="24" borderId="776" xfId="0" applyFont="1" applyFill="1" applyBorder="1" applyAlignment="1">
      <alignment horizontal="left"/>
    </xf>
    <xf numFmtId="0" fontId="7" fillId="24" borderId="800" xfId="0" applyFont="1" applyFill="1" applyBorder="1" applyAlignment="1">
      <alignment horizontal="center"/>
    </xf>
    <xf numFmtId="0" fontId="6" fillId="24" borderId="761" xfId="0" applyFont="1" applyFill="1" applyBorder="1" applyAlignment="1">
      <alignment horizontal="center"/>
    </xf>
    <xf numFmtId="0" fontId="0" fillId="0" borderId="794" xfId="0" applyBorder="1">
      <alignment horizontal="center" vertical="center"/>
    </xf>
    <xf numFmtId="0" fontId="0" fillId="0" borderId="758" xfId="0" applyBorder="1">
      <alignment horizontal="center" vertical="center"/>
    </xf>
    <xf numFmtId="2" fontId="0" fillId="0" borderId="776" xfId="0" applyNumberFormat="1" applyBorder="1">
      <alignment horizontal="center" vertical="center"/>
    </xf>
    <xf numFmtId="0" fontId="0" fillId="0" borderId="810" xfId="0" applyBorder="1">
      <alignment horizontal="center" vertical="center"/>
    </xf>
    <xf numFmtId="2" fontId="0" fillId="0" borderId="821" xfId="0" applyNumberFormat="1" applyBorder="1">
      <alignment horizontal="center" vertical="center"/>
    </xf>
    <xf numFmtId="0" fontId="0" fillId="0" borderId="801" xfId="0" applyBorder="1">
      <alignment horizontal="center" vertical="center"/>
    </xf>
    <xf numFmtId="2" fontId="0" fillId="24" borderId="789" xfId="0" applyNumberFormat="1" applyFill="1" applyBorder="1">
      <alignment horizontal="center" vertical="center"/>
    </xf>
    <xf numFmtId="0" fontId="0" fillId="0" borderId="758" xfId="0" applyBorder="1" applyAlignment="1" applyProtection="1">
      <alignment horizontal="center"/>
      <protection locked="0"/>
    </xf>
    <xf numFmtId="0" fontId="12" fillId="0" borderId="799" xfId="0" applyFont="1" applyBorder="1" applyAlignment="1">
      <alignment horizontal="left"/>
    </xf>
    <xf numFmtId="0" fontId="4" fillId="0" borderId="133" xfId="0" applyFont="1" applyBorder="1" applyAlignment="1">
      <alignment horizontal="center"/>
    </xf>
    <xf numFmtId="0" fontId="0" fillId="0" borderId="799" xfId="0" applyBorder="1" applyAlignment="1">
      <alignment horizontal="left"/>
    </xf>
    <xf numFmtId="0" fontId="0" fillId="0" borderId="793" xfId="0" applyBorder="1" applyAlignment="1" applyProtection="1">
      <alignment horizontal="center"/>
      <protection locked="0"/>
    </xf>
    <xf numFmtId="0" fontId="4" fillId="0" borderId="800" xfId="0" applyFont="1" applyBorder="1" applyAlignment="1">
      <alignment horizontal="center"/>
    </xf>
    <xf numFmtId="0" fontId="6" fillId="0" borderId="800" xfId="0" applyFont="1" applyBorder="1" applyAlignment="1">
      <alignment horizontal="center"/>
    </xf>
    <xf numFmtId="0" fontId="6" fillId="0" borderId="789" xfId="0" applyFont="1" applyBorder="1" applyAlignment="1">
      <alignment horizontal="left"/>
    </xf>
    <xf numFmtId="0" fontId="0" fillId="0" borderId="820" xfId="0" applyBorder="1" applyAlignment="1">
      <alignment horizontal="center"/>
    </xf>
    <xf numFmtId="0" fontId="7" fillId="0" borderId="821" xfId="0" applyFont="1" applyBorder="1" applyAlignment="1">
      <alignment horizontal="left"/>
    </xf>
    <xf numFmtId="0" fontId="4" fillId="0" borderId="829" xfId="0" applyFont="1" applyBorder="1">
      <alignment horizontal="center" vertical="center"/>
    </xf>
    <xf numFmtId="0" fontId="6" fillId="24" borderId="815" xfId="0" applyFont="1" applyFill="1" applyBorder="1" applyAlignment="1">
      <alignment horizontal="left"/>
    </xf>
    <xf numFmtId="0" fontId="4" fillId="0" borderId="820" xfId="0" applyFont="1" applyBorder="1">
      <alignment horizontal="center" vertical="center"/>
    </xf>
    <xf numFmtId="0" fontId="7" fillId="0" borderId="793" xfId="0" applyFont="1" applyBorder="1">
      <alignment horizontal="center" vertical="center"/>
    </xf>
    <xf numFmtId="0" fontId="6" fillId="24" borderId="821" xfId="0" applyFont="1" applyFill="1" applyBorder="1" applyAlignment="1">
      <alignment horizontal="left"/>
    </xf>
    <xf numFmtId="0" fontId="7" fillId="0" borderId="813" xfId="0" applyFont="1" applyBorder="1">
      <alignment horizontal="center" vertical="center"/>
    </xf>
    <xf numFmtId="0" fontId="6" fillId="0" borderId="820" xfId="0" applyFont="1" applyBorder="1">
      <alignment horizontal="center" vertical="center"/>
    </xf>
    <xf numFmtId="0" fontId="0" fillId="0" borderId="821" xfId="0" applyBorder="1">
      <alignment horizontal="center" vertical="center"/>
    </xf>
    <xf numFmtId="0" fontId="7" fillId="0" borderId="793" xfId="0" applyFont="1" applyBorder="1" applyAlignment="1">
      <alignment horizontal="left"/>
    </xf>
    <xf numFmtId="0" fontId="7" fillId="0" borderId="800" xfId="0" applyFont="1" applyBorder="1" applyAlignment="1">
      <alignment horizontal="left"/>
    </xf>
    <xf numFmtId="0" fontId="4" fillId="0" borderId="813" xfId="0" applyFont="1" applyBorder="1" applyAlignment="1">
      <alignment horizontal="center"/>
    </xf>
    <xf numFmtId="0" fontId="0" fillId="0" borderId="758" xfId="0" applyBorder="1" applyAlignment="1">
      <alignment horizontal="left"/>
    </xf>
    <xf numFmtId="0" fontId="10" fillId="34" borderId="761" xfId="0" applyFont="1" applyFill="1" applyBorder="1">
      <alignment horizontal="center" vertical="center"/>
    </xf>
    <xf numFmtId="0" fontId="10" fillId="34" borderId="776" xfId="0" applyFont="1" applyFill="1" applyBorder="1">
      <alignment horizontal="center" vertical="center"/>
    </xf>
    <xf numFmtId="0" fontId="11" fillId="34" borderId="800" xfId="0" applyFont="1" applyFill="1" applyBorder="1" applyAlignment="1">
      <alignment horizontal="center"/>
    </xf>
    <xf numFmtId="0" fontId="11" fillId="34" borderId="789" xfId="0" applyFont="1" applyFill="1" applyBorder="1" applyAlignment="1">
      <alignment horizontal="center"/>
    </xf>
    <xf numFmtId="0" fontId="7" fillId="0" borderId="776" xfId="0" applyFont="1" applyBorder="1" applyAlignment="1">
      <alignment horizontal="center"/>
    </xf>
    <xf numFmtId="0" fontId="7" fillId="0" borderId="789" xfId="0" applyFont="1" applyBorder="1" applyAlignment="1">
      <alignment horizontal="center"/>
    </xf>
    <xf numFmtId="0" fontId="4" fillId="0" borderId="776" xfId="0" applyFont="1" applyBorder="1" applyAlignment="1">
      <alignment horizontal="center"/>
    </xf>
    <xf numFmtId="0" fontId="0" fillId="0" borderId="789" xfId="0" applyBorder="1" applyAlignment="1">
      <alignment horizontal="center"/>
    </xf>
    <xf numFmtId="0" fontId="4" fillId="0" borderId="758" xfId="0" applyFont="1" applyBorder="1" applyAlignment="1">
      <alignment horizontal="left"/>
    </xf>
    <xf numFmtId="0" fontId="0" fillId="0" borderId="829" xfId="0" applyBorder="1" applyAlignment="1">
      <alignment horizontal="center"/>
    </xf>
    <xf numFmtId="0" fontId="4" fillId="0" borderId="793" xfId="0" applyFont="1" applyBorder="1" applyAlignment="1">
      <alignment horizontal="center"/>
    </xf>
    <xf numFmtId="0" fontId="0" fillId="0" borderId="805" xfId="0" applyBorder="1" applyAlignment="1">
      <alignment horizontal="center"/>
    </xf>
    <xf numFmtId="0" fontId="0" fillId="0" borderId="806" xfId="0" applyBorder="1" applyAlignment="1">
      <alignment horizontal="center"/>
    </xf>
    <xf numFmtId="0" fontId="6" fillId="0" borderId="831" xfId="0" applyFont="1" applyBorder="1" applyAlignment="1">
      <alignment horizontal="center"/>
    </xf>
    <xf numFmtId="0" fontId="0" fillId="0" borderId="807" xfId="0" applyBorder="1" applyAlignment="1">
      <alignment horizontal="center"/>
    </xf>
    <xf numFmtId="0" fontId="7" fillId="0" borderId="808" xfId="0" applyFont="1" applyBorder="1" applyAlignment="1">
      <alignment horizontal="left"/>
    </xf>
    <xf numFmtId="0" fontId="4" fillId="29" borderId="761" xfId="0" applyFont="1" applyFill="1" applyBorder="1" applyAlignment="1">
      <alignment horizontal="left"/>
    </xf>
    <xf numFmtId="0" fontId="7" fillId="29" borderId="793" xfId="0" applyFont="1" applyFill="1" applyBorder="1" applyAlignment="1">
      <alignment horizontal="center"/>
    </xf>
    <xf numFmtId="0" fontId="4" fillId="29" borderId="813" xfId="0" applyFont="1" applyFill="1" applyBorder="1" applyAlignment="1">
      <alignment horizontal="center"/>
    </xf>
    <xf numFmtId="0" fontId="0" fillId="29" borderId="793" xfId="0" applyFill="1" applyBorder="1" applyAlignment="1">
      <alignment horizontal="center"/>
    </xf>
    <xf numFmtId="0" fontId="4" fillId="29" borderId="800" xfId="0" applyFont="1" applyFill="1" applyBorder="1" applyAlignment="1">
      <alignment horizontal="center"/>
    </xf>
    <xf numFmtId="0" fontId="4" fillId="0" borderId="820" xfId="0" applyFont="1" applyBorder="1" applyAlignment="1">
      <alignment horizontal="left"/>
    </xf>
    <xf numFmtId="0" fontId="4" fillId="0" borderId="829" xfId="0" applyFont="1" applyBorder="1" applyAlignment="1">
      <alignment horizontal="left"/>
    </xf>
    <xf numFmtId="0" fontId="4" fillId="0" borderId="830" xfId="0" applyFont="1" applyBorder="1" applyAlignment="1">
      <alignment horizontal="center"/>
    </xf>
    <xf numFmtId="0" fontId="0" fillId="43" borderId="758" xfId="0" applyFill="1" applyBorder="1" applyAlignment="1" applyProtection="1">
      <alignment horizontal="center"/>
      <protection locked="0"/>
    </xf>
    <xf numFmtId="0" fontId="0" fillId="43" borderId="812" xfId="0" applyFill="1" applyBorder="1" applyAlignment="1" applyProtection="1">
      <alignment horizontal="center"/>
      <protection locked="0"/>
    </xf>
    <xf numFmtId="0" fontId="0" fillId="0" borderId="793" xfId="0" applyBorder="1" applyAlignment="1">
      <alignment horizontal="left"/>
    </xf>
    <xf numFmtId="0" fontId="0" fillId="43" borderId="801" xfId="0" applyFill="1" applyBorder="1" applyAlignment="1" applyProtection="1">
      <alignment horizontal="center"/>
      <protection locked="0"/>
    </xf>
    <xf numFmtId="2" fontId="0" fillId="0" borderId="800" xfId="0" applyNumberFormat="1" applyBorder="1" applyAlignment="1">
      <alignment horizontal="left"/>
    </xf>
    <xf numFmtId="2" fontId="7" fillId="0" borderId="800" xfId="0" applyNumberFormat="1" applyFont="1" applyBorder="1" applyAlignment="1">
      <alignment horizontal="left"/>
    </xf>
    <xf numFmtId="2" fontId="7" fillId="0" borderId="789" xfId="0" applyNumberFormat="1" applyFont="1" applyBorder="1" applyAlignment="1">
      <alignment horizontal="left"/>
    </xf>
    <xf numFmtId="0" fontId="17" fillId="24" borderId="795" xfId="0" applyFont="1" applyFill="1" applyBorder="1">
      <alignment horizontal="center" vertical="center"/>
    </xf>
    <xf numFmtId="0" fontId="17" fillId="24" borderId="828" xfId="0" applyFont="1" applyFill="1" applyBorder="1" applyAlignment="1">
      <alignment horizontal="center"/>
    </xf>
    <xf numFmtId="0" fontId="17" fillId="24" borderId="828" xfId="0" applyFont="1" applyFill="1" applyBorder="1" applyAlignment="1">
      <alignment wrapText="1"/>
    </xf>
    <xf numFmtId="0" fontId="17" fillId="24" borderId="828" xfId="0" applyFont="1" applyFill="1" applyBorder="1">
      <alignment horizontal="center" vertical="center"/>
    </xf>
    <xf numFmtId="0" fontId="17" fillId="24" borderId="822" xfId="0" applyFont="1" applyFill="1" applyBorder="1">
      <alignment horizontal="center" vertical="center"/>
    </xf>
    <xf numFmtId="0" fontId="21" fillId="39" borderId="793" xfId="0" applyFont="1" applyFill="1" applyBorder="1" applyAlignment="1">
      <alignment wrapText="1"/>
    </xf>
    <xf numFmtId="0" fontId="7" fillId="0" borderId="793" xfId="0" applyFont="1" applyBorder="1" applyAlignment="1">
      <alignment wrapText="1"/>
    </xf>
    <xf numFmtId="0" fontId="9" fillId="0" borderId="827" xfId="0" applyFont="1" applyBorder="1" applyAlignment="1">
      <alignment wrapText="1"/>
    </xf>
    <xf numFmtId="0" fontId="17" fillId="0" borderId="793" xfId="0" applyFont="1" applyBorder="1" applyAlignment="1">
      <alignment wrapText="1"/>
    </xf>
    <xf numFmtId="0" fontId="24" fillId="0" borderId="809" xfId="0" applyFont="1" applyBorder="1" applyAlignment="1">
      <alignment horizontal="center" wrapText="1"/>
    </xf>
    <xf numFmtId="3" fontId="24" fillId="0" borderId="820" xfId="0" applyNumberFormat="1" applyFont="1" applyBorder="1" applyAlignment="1"/>
    <xf numFmtId="3" fontId="24" fillId="0" borderId="809" xfId="0" applyNumberFormat="1" applyFont="1" applyBorder="1" applyAlignment="1"/>
    <xf numFmtId="3" fontId="24" fillId="0" borderId="793" xfId="0" applyNumberFormat="1" applyFont="1" applyBorder="1" applyAlignment="1"/>
    <xf numFmtId="3" fontId="24" fillId="0" borderId="821" xfId="0" applyNumberFormat="1" applyFont="1" applyBorder="1" applyAlignment="1"/>
    <xf numFmtId="0" fontId="17" fillId="0" borderId="832" xfId="0" applyFont="1" applyBorder="1">
      <alignment horizontal="center" vertical="center"/>
    </xf>
    <xf numFmtId="0" fontId="24" fillId="24" borderId="795" xfId="0" applyFont="1" applyFill="1" applyBorder="1">
      <alignment horizontal="center" vertical="center"/>
    </xf>
    <xf numFmtId="0" fontId="24" fillId="24" borderId="828" xfId="0" applyFont="1" applyFill="1" applyBorder="1">
      <alignment horizontal="center" vertical="center"/>
    </xf>
    <xf numFmtId="0" fontId="24" fillId="24" borderId="822" xfId="0" applyFont="1" applyFill="1" applyBorder="1">
      <alignment horizontal="center" vertical="center"/>
    </xf>
    <xf numFmtId="0" fontId="9" fillId="0" borderId="793" xfId="0" applyFont="1" applyBorder="1" applyAlignment="1">
      <alignment wrapText="1"/>
    </xf>
    <xf numFmtId="0" fontId="24" fillId="0" borderId="809" xfId="0" applyFont="1" applyBorder="1" applyAlignment="1">
      <alignment horizontal="center"/>
    </xf>
    <xf numFmtId="1" fontId="24" fillId="0" borderId="820" xfId="0" applyNumberFormat="1" applyFont="1" applyBorder="1" applyAlignment="1">
      <alignment horizontal="center"/>
    </xf>
    <xf numFmtId="1" fontId="24" fillId="0" borderId="793" xfId="0" applyNumberFormat="1" applyFont="1" applyBorder="1" applyAlignment="1">
      <alignment horizontal="center"/>
    </xf>
    <xf numFmtId="1" fontId="24" fillId="0" borderId="821" xfId="0" applyNumberFormat="1" applyFont="1" applyBorder="1" applyAlignment="1">
      <alignment horizontal="center"/>
    </xf>
    <xf numFmtId="0" fontId="9" fillId="0" borderId="832" xfId="0" applyFont="1" applyBorder="1" applyAlignment="1">
      <alignment horizontal="center" wrapText="1"/>
    </xf>
    <xf numFmtId="0" fontId="24" fillId="0" borderId="793" xfId="0" applyFont="1" applyBorder="1" applyAlignment="1">
      <alignment wrapText="1"/>
    </xf>
    <xf numFmtId="0" fontId="9" fillId="0" borderId="793" xfId="0" applyFont="1" applyBorder="1" applyAlignment="1">
      <alignment vertical="top" wrapText="1"/>
    </xf>
    <xf numFmtId="0" fontId="17" fillId="0" borderId="832" xfId="0" applyFont="1" applyBorder="1" applyAlignment="1">
      <alignment horizontal="center"/>
    </xf>
    <xf numFmtId="0" fontId="24" fillId="0" borderId="800" xfId="0" applyFont="1" applyBorder="1" applyAlignment="1">
      <alignment wrapText="1"/>
    </xf>
    <xf numFmtId="0" fontId="9" fillId="0" borderId="800" xfId="0" applyFont="1" applyBorder="1" applyAlignment="1">
      <alignment vertical="top" wrapText="1"/>
    </xf>
    <xf numFmtId="0" fontId="24" fillId="0" borderId="803" xfId="0" applyFont="1" applyBorder="1" applyAlignment="1">
      <alignment horizontal="center"/>
    </xf>
    <xf numFmtId="1" fontId="24" fillId="0" borderId="799" xfId="0" applyNumberFormat="1" applyFont="1" applyBorder="1" applyAlignment="1">
      <alignment horizontal="center"/>
    </xf>
    <xf numFmtId="1" fontId="24" fillId="0" borderId="800" xfId="0" applyNumberFormat="1" applyFont="1" applyBorder="1" applyAlignment="1">
      <alignment horizontal="center"/>
    </xf>
    <xf numFmtId="1" fontId="24" fillId="0" borderId="789" xfId="0" applyNumberFormat="1" applyFont="1" applyBorder="1" applyAlignment="1">
      <alignment horizontal="center"/>
    </xf>
    <xf numFmtId="0" fontId="17" fillId="0" borderId="833" xfId="0" applyFont="1" applyBorder="1" applyAlignment="1">
      <alignment horizontal="center"/>
    </xf>
    <xf numFmtId="170" fontId="24" fillId="0" borderId="810" xfId="0" applyNumberFormat="1" applyFont="1" applyBorder="1" applyAlignment="1"/>
    <xf numFmtId="170" fontId="24" fillId="0" borderId="793" xfId="0" applyNumberFormat="1" applyFont="1" applyBorder="1" applyAlignment="1"/>
    <xf numFmtId="170" fontId="24" fillId="0" borderId="821" xfId="0" applyNumberFormat="1" applyFont="1" applyBorder="1" applyAlignment="1"/>
    <xf numFmtId="0" fontId="9" fillId="0" borderId="832" xfId="0" applyFont="1" applyBorder="1" applyAlignment="1">
      <alignment wrapText="1"/>
    </xf>
    <xf numFmtId="3" fontId="24" fillId="0" borderId="799" xfId="0" applyNumberFormat="1" applyFont="1" applyBorder="1" applyAlignment="1"/>
    <xf numFmtId="3" fontId="24" fillId="0" borderId="800" xfId="0" applyNumberFormat="1" applyFont="1" applyBorder="1" applyAlignment="1"/>
    <xf numFmtId="3" fontId="24" fillId="0" borderId="789" xfId="0" applyNumberFormat="1" applyFont="1" applyBorder="1" applyAlignment="1"/>
    <xf numFmtId="0" fontId="17" fillId="0" borderId="833" xfId="0" applyFont="1" applyBorder="1">
      <alignment horizontal="center" vertical="center"/>
    </xf>
    <xf numFmtId="0" fontId="0" fillId="52" borderId="667" xfId="43" applyFont="1" applyFill="1" applyBorder="1">
      <alignment horizontal="center" vertical="center"/>
    </xf>
    <xf numFmtId="0" fontId="7" fillId="53" borderId="651" xfId="43" applyBorder="1">
      <alignment horizontal="center" vertical="center"/>
    </xf>
    <xf numFmtId="49" fontId="0" fillId="86" borderId="667" xfId="0" applyNumberFormat="1" applyFill="1" applyBorder="1">
      <alignment horizontal="center" vertical="center"/>
    </xf>
    <xf numFmtId="0" fontId="7" fillId="79" borderId="668" xfId="56" applyFill="1" applyBorder="1">
      <alignment horizontal="center" vertical="center"/>
    </xf>
    <xf numFmtId="0" fontId="4" fillId="0" borderId="105" xfId="0" applyFont="1" applyBorder="1" applyAlignment="1">
      <alignment wrapText="1"/>
    </xf>
    <xf numFmtId="0" fontId="4" fillId="0" borderId="106" xfId="0" applyFont="1" applyBorder="1" applyAlignment="1">
      <alignment wrapText="1"/>
    </xf>
    <xf numFmtId="0" fontId="4" fillId="0" borderId="107" xfId="0" applyFont="1" applyBorder="1" applyAlignment="1">
      <alignment wrapText="1"/>
    </xf>
    <xf numFmtId="0" fontId="4" fillId="0" borderId="188" xfId="0" applyFont="1" applyBorder="1" applyAlignment="1">
      <alignment wrapText="1"/>
    </xf>
    <xf numFmtId="0" fontId="4" fillId="0" borderId="190" xfId="0" applyFont="1" applyBorder="1" applyAlignment="1">
      <alignment wrapText="1"/>
    </xf>
    <xf numFmtId="0" fontId="4" fillId="0" borderId="189" xfId="0" applyFont="1" applyBorder="1" applyAlignment="1">
      <alignment wrapText="1"/>
    </xf>
    <xf numFmtId="0" fontId="4" fillId="0" borderId="248" xfId="0" applyFont="1" applyBorder="1" applyAlignment="1">
      <alignment wrapText="1"/>
    </xf>
    <xf numFmtId="0" fontId="4" fillId="0" borderId="255" xfId="0" applyFont="1" applyBorder="1" applyAlignment="1">
      <alignment wrapText="1"/>
    </xf>
    <xf numFmtId="0" fontId="4" fillId="0" borderId="254" xfId="0" applyFont="1" applyBorder="1" applyAlignment="1">
      <alignment wrapText="1"/>
    </xf>
    <xf numFmtId="0" fontId="4" fillId="0" borderId="287" xfId="0" applyFont="1" applyBorder="1" applyAlignment="1">
      <alignment wrapText="1"/>
    </xf>
    <xf numFmtId="0" fontId="4" fillId="0" borderId="289" xfId="0" applyFont="1" applyBorder="1" applyAlignment="1">
      <alignment wrapText="1"/>
    </xf>
    <xf numFmtId="0" fontId="4" fillId="0" borderId="288" xfId="0" applyFont="1" applyBorder="1" applyAlignment="1">
      <alignment wrapText="1"/>
    </xf>
    <xf numFmtId="0" fontId="4" fillId="0" borderId="317" xfId="0" applyFont="1" applyBorder="1" applyAlignment="1">
      <alignment wrapText="1"/>
    </xf>
    <xf numFmtId="0" fontId="4" fillId="0" borderId="321" xfId="0" applyFont="1" applyBorder="1" applyAlignment="1">
      <alignment wrapText="1"/>
    </xf>
    <xf numFmtId="0" fontId="4" fillId="0" borderId="320" xfId="0" applyFont="1" applyBorder="1" applyAlignment="1">
      <alignment wrapText="1"/>
    </xf>
    <xf numFmtId="0" fontId="4" fillId="0" borderId="444" xfId="0" applyFont="1" applyBorder="1" applyAlignment="1">
      <alignment wrapText="1"/>
    </xf>
    <xf numFmtId="0" fontId="4" fillId="0" borderId="382" xfId="0" applyFont="1" applyBorder="1" applyAlignment="1">
      <alignment wrapText="1"/>
    </xf>
    <xf numFmtId="0" fontId="74" fillId="0" borderId="489" xfId="0" applyFont="1" applyBorder="1" applyAlignment="1">
      <alignment wrapText="1"/>
    </xf>
    <xf numFmtId="0" fontId="4" fillId="0" borderId="489" xfId="0" applyFont="1" applyBorder="1" applyAlignment="1">
      <alignment wrapText="1"/>
    </xf>
    <xf numFmtId="0" fontId="4" fillId="0" borderId="653" xfId="0" applyFont="1" applyBorder="1" applyAlignment="1">
      <alignment wrapText="1"/>
    </xf>
  </cellXfs>
  <cellStyles count="57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4" xr:uid="{00000000-0005-0000-0000-000013000000}"/>
    <cellStyle name="Barn Syg" xfId="33" xr:uid="{00000000-0005-0000-0000-000014000000}"/>
    <cellStyle name="Barsel" xfId="51" xr:uid="{00000000-0005-0000-0000-000015000000}"/>
    <cellStyle name="Bemærk!" xfId="20" builtinId="10" customBuiltin="1"/>
    <cellStyle name="Beregning" xfId="21" builtinId="22" customBuiltin="1"/>
    <cellStyle name="Covid-19" xfId="52" xr:uid="{914B8FD2-7F15-4717-AAE9-FC0B1319214C}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8" xr:uid="{00000000-0005-0000-0000-00001E000000}"/>
    <cellStyle name="FerieFridag" xfId="50" xr:uid="{00000000-0005-0000-0000-00001F000000}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ormal" xfId="0" builtinId="0" customBuiltin="1"/>
    <cellStyle name="Normal 2" xfId="53" xr:uid="{130BB17D-D5B0-4A4A-8663-391BA36288D9}"/>
    <cellStyle name="Normal 2 2" xfId="55" xr:uid="{6D9AC72A-5AE7-4CBB-9CDB-3E6B97494505}"/>
    <cellStyle name="Normal 3" xfId="54" xr:uid="{5ECD478F-A4BF-481A-A0D3-98BEA4F3592F}"/>
    <cellStyle name="Oplæring" xfId="47" xr:uid="{00000000-0005-0000-0000-000029000000}"/>
    <cellStyle name="Oplæring af nye" xfId="56" xr:uid="{73EE5456-7C28-4D48-B345-F808B5E22C57}"/>
    <cellStyle name="Orlov" xfId="49" xr:uid="{00000000-0005-0000-0000-00002A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45" xr:uid="{00000000-0005-0000-0000-000030000000}"/>
    <cellStyle name="Sammenkædet celle" xfId="39" builtinId="24" customBuiltin="1"/>
    <cellStyle name="Seniordag" xfId="46" xr:uid="{00000000-0005-0000-0000-000032000000}"/>
    <cellStyle name="Syg" xfId="43" xr:uid="{00000000-0005-0000-0000-000033000000}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00"/>
      <color rgb="FFCC99FF"/>
      <color rgb="FFFFCC99"/>
      <color rgb="FF0000FF"/>
      <color rgb="FF9E6FFC"/>
      <color rgb="FFFFDDAA"/>
      <color rgb="FF99CCFF"/>
      <color rgb="FFF79443"/>
      <color rgb="FFFF99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5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7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8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9"/>
  <dimension ref="A1:AO335"/>
  <sheetViews>
    <sheetView topLeftCell="B40" zoomScaleNormal="100" workbookViewId="0">
      <pane xSplit="1" topLeftCell="C1" activePane="topRight" state="frozen"/>
      <selection activeCell="B11" sqref="B11"/>
      <selection pane="topRight" activeCell="AN25" sqref="AN25"/>
    </sheetView>
  </sheetViews>
  <sheetFormatPr defaultRowHeight="12" x14ac:dyDescent="0.2"/>
  <cols>
    <col min="1" max="1" width="0" hidden="1" customWidth="1"/>
    <col min="2" max="2" width="31.28515625" customWidth="1"/>
    <col min="3" max="33" width="4.5703125" customWidth="1"/>
    <col min="34" max="34" width="4.28515625" customWidth="1"/>
    <col min="35" max="35" width="7.5703125" customWidth="1"/>
    <col min="39" max="40" width="11.85546875" customWidth="1"/>
  </cols>
  <sheetData>
    <row r="1" spans="1:38" ht="12.75" x14ac:dyDescent="0.2">
      <c r="A1" t="s">
        <v>0</v>
      </c>
      <c r="B1" s="1" t="s">
        <v>1</v>
      </c>
    </row>
    <row r="2" spans="1:38" ht="12.75" x14ac:dyDescent="0.2">
      <c r="B2" s="514" t="s">
        <v>2</v>
      </c>
      <c r="C2" s="515" t="s">
        <v>3</v>
      </c>
      <c r="D2" s="516"/>
      <c r="E2" s="517" t="s">
        <v>4</v>
      </c>
      <c r="F2" s="518"/>
      <c r="G2" s="519"/>
      <c r="H2" s="519"/>
      <c r="I2" s="519"/>
      <c r="J2" s="519"/>
      <c r="K2" s="520"/>
      <c r="L2" s="521" t="s">
        <v>5</v>
      </c>
      <c r="M2" s="522"/>
      <c r="N2" s="523"/>
      <c r="O2" s="524" t="s">
        <v>6</v>
      </c>
      <c r="P2" s="525"/>
      <c r="Q2" s="526"/>
      <c r="R2" s="527"/>
      <c r="S2" s="528" t="s">
        <v>7</v>
      </c>
      <c r="T2" s="529"/>
      <c r="U2" s="530"/>
      <c r="V2" s="529"/>
      <c r="W2" s="531" t="s">
        <v>8</v>
      </c>
      <c r="X2" s="532"/>
      <c r="Y2" s="533"/>
      <c r="Z2" s="105" t="s">
        <v>9</v>
      </c>
      <c r="AA2" s="534"/>
      <c r="AB2" s="535"/>
      <c r="AC2" s="536"/>
      <c r="AD2" s="537" t="s">
        <v>10</v>
      </c>
      <c r="AE2" s="538"/>
      <c r="AF2" s="538"/>
      <c r="AG2" s="539"/>
    </row>
    <row r="3" spans="1:38" ht="12.75" x14ac:dyDescent="0.2">
      <c r="A3" s="1"/>
      <c r="B3" s="540" t="s">
        <v>10</v>
      </c>
      <c r="C3" s="541" t="s">
        <v>10</v>
      </c>
      <c r="D3" s="542"/>
      <c r="E3" s="543"/>
      <c r="F3" s="544"/>
      <c r="G3" s="544"/>
      <c r="H3" s="545" t="s">
        <v>10</v>
      </c>
      <c r="I3" s="546"/>
      <c r="J3" s="546"/>
      <c r="K3" s="547"/>
      <c r="L3" s="548" t="s">
        <v>11</v>
      </c>
      <c r="M3" s="549"/>
      <c r="N3" s="550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555"/>
      <c r="Y3" s="545" t="s">
        <v>10</v>
      </c>
      <c r="Z3" s="549"/>
      <c r="AA3" s="549"/>
      <c r="AB3" s="556"/>
      <c r="AC3" s="557"/>
      <c r="AD3" s="558" t="s">
        <v>13</v>
      </c>
      <c r="AE3" s="559"/>
      <c r="AF3" s="559"/>
      <c r="AG3" s="559"/>
      <c r="AH3" s="560" t="s">
        <v>14</v>
      </c>
      <c r="AI3" s="561"/>
      <c r="AJ3" s="562"/>
    </row>
    <row r="4" spans="1:38" ht="12.75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2.75" x14ac:dyDescent="0.2">
      <c r="A5" s="103" t="s">
        <v>16</v>
      </c>
      <c r="B5" s="1"/>
      <c r="C5" s="563"/>
      <c r="D5" s="564" t="s">
        <v>17</v>
      </c>
      <c r="E5" s="565"/>
      <c r="F5" s="563"/>
      <c r="G5" s="564" t="s">
        <v>18</v>
      </c>
      <c r="H5" s="565"/>
      <c r="I5" s="563"/>
      <c r="J5" s="564" t="s">
        <v>19</v>
      </c>
      <c r="K5" s="565"/>
      <c r="L5" s="563"/>
      <c r="M5" s="564" t="s">
        <v>20</v>
      </c>
      <c r="N5" s="565"/>
      <c r="O5" s="563"/>
      <c r="P5" s="564" t="s">
        <v>21</v>
      </c>
      <c r="Q5" s="565"/>
      <c r="R5" s="563"/>
      <c r="S5" s="564" t="s">
        <v>22</v>
      </c>
      <c r="T5" s="566"/>
      <c r="U5" s="567"/>
      <c r="V5" s="568" t="s">
        <v>23</v>
      </c>
      <c r="W5" s="566"/>
    </row>
    <row r="6" spans="1:38" ht="15" x14ac:dyDescent="0.2">
      <c r="A6" s="569"/>
      <c r="B6" s="441" t="s">
        <v>24</v>
      </c>
      <c r="C6" s="570" t="s">
        <v>25</v>
      </c>
      <c r="D6" s="571"/>
      <c r="E6" s="443"/>
      <c r="F6" s="572" t="s">
        <v>25</v>
      </c>
      <c r="G6" s="442"/>
      <c r="H6" s="442"/>
      <c r="I6" s="570" t="s">
        <v>26</v>
      </c>
      <c r="J6" s="442"/>
      <c r="K6" s="443"/>
      <c r="L6" s="572" t="s">
        <v>26</v>
      </c>
      <c r="M6" s="442"/>
      <c r="N6" s="443"/>
      <c r="O6" s="572" t="s">
        <v>27</v>
      </c>
      <c r="P6" s="442"/>
      <c r="Q6" s="443"/>
      <c r="R6" s="442"/>
      <c r="S6" s="442"/>
      <c r="T6" s="442"/>
      <c r="U6" s="441"/>
      <c r="V6" s="442"/>
      <c r="W6" s="443"/>
      <c r="X6" s="442"/>
      <c r="Y6" s="442"/>
      <c r="Z6" s="442"/>
      <c r="AA6" s="442"/>
      <c r="AB6" s="573"/>
      <c r="AC6" s="443"/>
      <c r="AD6" s="123"/>
      <c r="AE6" s="123"/>
      <c r="AF6" s="123"/>
      <c r="AG6" s="123"/>
    </row>
    <row r="7" spans="1:38" ht="15" x14ac:dyDescent="0.2">
      <c r="A7" s="569"/>
      <c r="B7" s="441" t="s">
        <v>28</v>
      </c>
      <c r="C7" s="570" t="s">
        <v>29</v>
      </c>
      <c r="D7" s="442"/>
      <c r="E7" s="443"/>
      <c r="F7" s="572" t="s">
        <v>29</v>
      </c>
      <c r="G7" s="442"/>
      <c r="H7" s="442"/>
      <c r="I7" s="570" t="s">
        <v>29</v>
      </c>
      <c r="J7" s="442"/>
      <c r="K7" s="443"/>
      <c r="L7" s="572" t="s">
        <v>29</v>
      </c>
      <c r="M7" s="442"/>
      <c r="N7" s="443"/>
      <c r="O7" s="572" t="s">
        <v>30</v>
      </c>
      <c r="P7" s="442"/>
      <c r="Q7" s="443"/>
      <c r="R7" s="442"/>
      <c r="S7" s="442"/>
      <c r="T7" s="442"/>
      <c r="U7" s="441"/>
      <c r="V7" s="442"/>
      <c r="W7" s="443"/>
      <c r="X7" s="442"/>
      <c r="Y7" s="442"/>
      <c r="Z7" s="442"/>
      <c r="AA7" s="442"/>
      <c r="AB7" s="574"/>
      <c r="AC7" s="443"/>
      <c r="AD7" s="123"/>
      <c r="AE7" s="123"/>
      <c r="AF7" s="123"/>
      <c r="AG7" s="123"/>
    </row>
    <row r="8" spans="1:38" ht="15" x14ac:dyDescent="0.2">
      <c r="A8" s="441"/>
      <c r="B8" s="441" t="s">
        <v>31</v>
      </c>
      <c r="C8" s="575" t="s">
        <v>32</v>
      </c>
      <c r="D8" s="576"/>
      <c r="E8" s="577"/>
      <c r="F8" s="572" t="s">
        <v>33</v>
      </c>
      <c r="G8" s="576"/>
      <c r="H8" s="576"/>
      <c r="I8" s="575" t="s">
        <v>33</v>
      </c>
      <c r="J8" s="576"/>
      <c r="K8" s="577"/>
      <c r="L8" s="572" t="s">
        <v>33</v>
      </c>
      <c r="M8" s="576"/>
      <c r="N8" s="576"/>
      <c r="O8" s="575" t="s">
        <v>34</v>
      </c>
      <c r="P8" s="576"/>
      <c r="Q8" s="577"/>
      <c r="R8" s="412" t="s">
        <v>35</v>
      </c>
      <c r="S8" s="413"/>
      <c r="T8" s="413"/>
      <c r="U8" s="578" t="s">
        <v>35</v>
      </c>
      <c r="V8" s="413"/>
      <c r="W8" s="414"/>
      <c r="X8" s="442"/>
      <c r="Y8" s="442"/>
      <c r="Z8" s="442"/>
      <c r="AA8" s="442"/>
      <c r="AB8" s="574"/>
      <c r="AC8" s="443"/>
      <c r="AD8" s="123"/>
      <c r="AE8" s="123"/>
      <c r="AF8" s="123"/>
      <c r="AG8" s="123"/>
    </row>
    <row r="9" spans="1:38" ht="15" x14ac:dyDescent="0.2">
      <c r="A9" s="441"/>
      <c r="B9" s="441" t="s">
        <v>36</v>
      </c>
      <c r="C9" s="570" t="s">
        <v>37</v>
      </c>
      <c r="D9" s="576"/>
      <c r="E9" s="577"/>
      <c r="F9" s="572" t="s">
        <v>37</v>
      </c>
      <c r="G9" s="442"/>
      <c r="H9" s="442"/>
      <c r="I9" s="570" t="s">
        <v>37</v>
      </c>
      <c r="J9" s="442"/>
      <c r="K9" s="443"/>
      <c r="L9" s="572" t="s">
        <v>37</v>
      </c>
      <c r="M9" s="442"/>
      <c r="N9" s="443"/>
      <c r="O9" s="572" t="s">
        <v>38</v>
      </c>
      <c r="P9" s="442"/>
      <c r="Q9" s="443"/>
      <c r="R9" s="572" t="s">
        <v>39</v>
      </c>
      <c r="S9" s="442"/>
      <c r="T9" s="442"/>
      <c r="U9" s="570" t="s">
        <v>40</v>
      </c>
      <c r="V9" s="442"/>
      <c r="W9" s="443"/>
      <c r="X9" s="442"/>
      <c r="Y9" s="442"/>
      <c r="Z9" s="442"/>
      <c r="AA9" s="442"/>
      <c r="AB9" s="574"/>
      <c r="AC9" s="443"/>
      <c r="AD9" s="123"/>
      <c r="AE9" s="123"/>
      <c r="AF9" s="123"/>
      <c r="AG9" s="123"/>
    </row>
    <row r="10" spans="1:38" ht="12.75" x14ac:dyDescent="0.2">
      <c r="A10" s="103" t="s">
        <v>10</v>
      </c>
    </row>
    <row r="11" spans="1:38" ht="12.75" x14ac:dyDescent="0.2">
      <c r="A11" s="103" t="s">
        <v>10</v>
      </c>
      <c r="AG11" s="123"/>
      <c r="AH11" s="244"/>
      <c r="AI11" s="111"/>
      <c r="AJ11" s="579" t="s">
        <v>41</v>
      </c>
    </row>
    <row r="12" spans="1:38" x14ac:dyDescent="0.2">
      <c r="AH12" s="116"/>
      <c r="AI12" s="116"/>
      <c r="AJ12" s="579">
        <v>160.33000000000001</v>
      </c>
    </row>
    <row r="13" spans="1:38" ht="14.25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114"/>
    </row>
    <row r="14" spans="1:38" x14ac:dyDescent="0.2">
      <c r="A14" s="580" t="s">
        <v>43</v>
      </c>
      <c r="B14" s="581" t="s">
        <v>44</v>
      </c>
      <c r="C14" s="582">
        <v>1</v>
      </c>
      <c r="D14" s="583">
        <v>2</v>
      </c>
      <c r="E14" s="583">
        <v>3</v>
      </c>
      <c r="F14" s="582">
        <v>4</v>
      </c>
      <c r="G14" s="582">
        <v>5</v>
      </c>
      <c r="H14" s="583">
        <v>6</v>
      </c>
      <c r="I14" s="583">
        <v>7</v>
      </c>
      <c r="J14" s="583">
        <v>8</v>
      </c>
      <c r="K14" s="582">
        <v>9</v>
      </c>
      <c r="L14" s="583">
        <v>10</v>
      </c>
      <c r="M14" s="582">
        <v>11</v>
      </c>
      <c r="N14" s="582">
        <v>12</v>
      </c>
      <c r="O14" s="583">
        <v>13</v>
      </c>
      <c r="P14" s="583">
        <v>14</v>
      </c>
      <c r="Q14" s="583">
        <v>15</v>
      </c>
      <c r="R14" s="583">
        <v>16</v>
      </c>
      <c r="S14" s="583">
        <v>17</v>
      </c>
      <c r="T14" s="582">
        <v>18</v>
      </c>
      <c r="U14" s="582">
        <v>19</v>
      </c>
      <c r="V14" s="582">
        <v>20</v>
      </c>
      <c r="W14" s="583">
        <v>21</v>
      </c>
      <c r="X14" s="583">
        <v>22</v>
      </c>
      <c r="Y14" s="583">
        <v>23</v>
      </c>
      <c r="Z14" s="583">
        <v>24</v>
      </c>
      <c r="AA14" s="582">
        <v>25</v>
      </c>
      <c r="AB14" s="582">
        <v>26</v>
      </c>
      <c r="AC14" s="583">
        <v>27</v>
      </c>
      <c r="AD14" s="583">
        <v>28</v>
      </c>
      <c r="AE14" s="583">
        <v>29</v>
      </c>
      <c r="AF14" s="583">
        <v>30</v>
      </c>
      <c r="AG14" s="583">
        <v>31</v>
      </c>
      <c r="AH14" s="116"/>
      <c r="AI14" s="116"/>
    </row>
    <row r="15" spans="1:38" x14ac:dyDescent="0.2">
      <c r="A15" s="584">
        <v>8500</v>
      </c>
      <c r="B15" s="585" t="s">
        <v>45</v>
      </c>
      <c r="C15" s="586"/>
      <c r="D15" s="587" t="s">
        <v>46</v>
      </c>
      <c r="E15" s="588" t="s">
        <v>46</v>
      </c>
      <c r="F15" s="588"/>
      <c r="G15" s="589"/>
      <c r="H15" s="589" t="s">
        <v>46</v>
      </c>
      <c r="I15" s="590" t="s">
        <v>46</v>
      </c>
      <c r="J15" s="586" t="s">
        <v>46</v>
      </c>
      <c r="K15" s="588"/>
      <c r="L15" s="588" t="s">
        <v>46</v>
      </c>
      <c r="M15" s="588"/>
      <c r="N15" s="589"/>
      <c r="O15" s="589" t="s">
        <v>46</v>
      </c>
      <c r="P15" s="588" t="s">
        <v>46</v>
      </c>
      <c r="Q15" s="586" t="s">
        <v>46</v>
      </c>
      <c r="R15" s="588" t="s">
        <v>46</v>
      </c>
      <c r="S15" s="588" t="s">
        <v>46</v>
      </c>
      <c r="T15" s="588"/>
      <c r="U15" s="589"/>
      <c r="V15" s="589"/>
      <c r="W15" s="588" t="s">
        <v>46</v>
      </c>
      <c r="X15" s="586" t="s">
        <v>46</v>
      </c>
      <c r="Y15" s="588" t="s">
        <v>46</v>
      </c>
      <c r="Z15" s="588" t="s">
        <v>46</v>
      </c>
      <c r="AA15" s="588"/>
      <c r="AB15" s="589"/>
      <c r="AC15" s="589" t="s">
        <v>46</v>
      </c>
      <c r="AD15" s="588" t="s">
        <v>46</v>
      </c>
      <c r="AE15" s="586" t="s">
        <v>46</v>
      </c>
      <c r="AF15" s="588" t="s">
        <v>46</v>
      </c>
      <c r="AG15" s="588" t="s">
        <v>46</v>
      </c>
      <c r="AH15" s="116"/>
      <c r="AI15" s="116"/>
      <c r="AL15" t="s">
        <v>0</v>
      </c>
    </row>
    <row r="16" spans="1:38" ht="12.75" x14ac:dyDescent="0.2">
      <c r="A16" s="591" t="s">
        <v>47</v>
      </c>
      <c r="B16" s="592"/>
      <c r="C16" s="592"/>
      <c r="D16" s="592"/>
      <c r="E16" s="592"/>
      <c r="F16" s="592"/>
      <c r="G16" s="592"/>
      <c r="H16" s="592"/>
      <c r="I16" s="592"/>
      <c r="J16" s="592"/>
      <c r="K16" s="592"/>
      <c r="L16" s="592"/>
      <c r="M16" s="592"/>
      <c r="N16" s="592"/>
      <c r="O16" s="592"/>
      <c r="P16" s="592"/>
      <c r="Q16" s="592"/>
      <c r="R16" s="592"/>
      <c r="S16" s="592"/>
      <c r="T16" s="592"/>
      <c r="U16" s="592"/>
      <c r="V16" s="592"/>
      <c r="W16" s="592"/>
      <c r="X16" s="592"/>
      <c r="Y16" s="592"/>
      <c r="Z16" s="592"/>
      <c r="AA16" s="592"/>
      <c r="AB16" s="592"/>
      <c r="AC16" s="592"/>
      <c r="AD16" s="592"/>
      <c r="AE16" s="592"/>
      <c r="AF16" s="592"/>
      <c r="AG16" s="592"/>
      <c r="AH16" s="116"/>
      <c r="AI16" s="116"/>
    </row>
    <row r="17" spans="1:41" x14ac:dyDescent="0.2">
      <c r="A17" s="593">
        <v>8546</v>
      </c>
      <c r="B17" s="594" t="s">
        <v>48</v>
      </c>
      <c r="C17" s="595" t="s">
        <v>49</v>
      </c>
      <c r="D17" s="595" t="s">
        <v>49</v>
      </c>
      <c r="E17" s="595" t="s">
        <v>49</v>
      </c>
      <c r="F17" s="595"/>
      <c r="G17" s="595"/>
      <c r="H17" s="595" t="s">
        <v>50</v>
      </c>
      <c r="I17" s="595" t="s">
        <v>50</v>
      </c>
      <c r="J17" s="595" t="s">
        <v>50</v>
      </c>
      <c r="K17" s="595" t="s">
        <v>50</v>
      </c>
      <c r="L17" s="595" t="s">
        <v>50</v>
      </c>
      <c r="M17" s="595" t="s">
        <v>0</v>
      </c>
      <c r="N17" s="595"/>
      <c r="O17" s="595" t="s">
        <v>51</v>
      </c>
      <c r="P17" s="595" t="s">
        <v>51</v>
      </c>
      <c r="Q17" s="595" t="s">
        <v>51</v>
      </c>
      <c r="R17" s="595" t="s">
        <v>51</v>
      </c>
      <c r="S17" s="596" t="s">
        <v>51</v>
      </c>
      <c r="T17" s="595" t="s">
        <v>52</v>
      </c>
      <c r="U17" s="595" t="s">
        <v>52</v>
      </c>
      <c r="V17" s="597" t="s">
        <v>50</v>
      </c>
      <c r="W17" s="597" t="s">
        <v>50</v>
      </c>
      <c r="X17" s="597" t="s">
        <v>50</v>
      </c>
      <c r="Y17" s="595" t="s">
        <v>50</v>
      </c>
      <c r="Z17" s="596" t="s">
        <v>50</v>
      </c>
      <c r="AA17" s="597" t="s">
        <v>53</v>
      </c>
      <c r="AB17" s="595" t="s">
        <v>53</v>
      </c>
      <c r="AC17" s="595" t="s">
        <v>49</v>
      </c>
      <c r="AD17" s="595" t="s">
        <v>49</v>
      </c>
      <c r="AE17" s="596" t="s">
        <v>49</v>
      </c>
      <c r="AF17" s="595" t="s">
        <v>49</v>
      </c>
      <c r="AG17" s="595" t="s">
        <v>49</v>
      </c>
      <c r="AH17" s="116"/>
      <c r="AI17" s="116"/>
    </row>
    <row r="18" spans="1:41" x14ac:dyDescent="0.2">
      <c r="A18" s="598">
        <v>8500</v>
      </c>
      <c r="B18" s="599" t="s">
        <v>54</v>
      </c>
      <c r="C18" s="600" t="s">
        <v>50</v>
      </c>
      <c r="D18" s="600" t="s">
        <v>50</v>
      </c>
      <c r="E18" s="600" t="s">
        <v>50</v>
      </c>
      <c r="F18" s="600"/>
      <c r="G18" s="601" t="s">
        <v>53</v>
      </c>
      <c r="H18" s="600" t="s">
        <v>51</v>
      </c>
      <c r="I18" s="600" t="s">
        <v>51</v>
      </c>
      <c r="J18" s="600" t="s">
        <v>51</v>
      </c>
      <c r="K18" s="600" t="s">
        <v>51</v>
      </c>
      <c r="L18" s="600" t="s">
        <v>51</v>
      </c>
      <c r="M18" s="600" t="s">
        <v>52</v>
      </c>
      <c r="N18" s="600" t="s">
        <v>52</v>
      </c>
      <c r="O18" s="600" t="s">
        <v>50</v>
      </c>
      <c r="P18" s="600" t="s">
        <v>50</v>
      </c>
      <c r="Q18" s="600" t="s">
        <v>50</v>
      </c>
      <c r="R18" s="600" t="s">
        <v>50</v>
      </c>
      <c r="S18" s="600" t="s">
        <v>50</v>
      </c>
      <c r="T18" s="600" t="s">
        <v>53</v>
      </c>
      <c r="U18" s="600" t="s">
        <v>53</v>
      </c>
      <c r="V18" s="600" t="s">
        <v>49</v>
      </c>
      <c r="W18" s="600" t="s">
        <v>49</v>
      </c>
      <c r="X18" s="600" t="s">
        <v>49</v>
      </c>
      <c r="Y18" s="600" t="s">
        <v>49</v>
      </c>
      <c r="Z18" s="600" t="s">
        <v>49</v>
      </c>
      <c r="AA18" s="600"/>
      <c r="AB18" s="600"/>
      <c r="AC18" s="600" t="s">
        <v>50</v>
      </c>
      <c r="AD18" s="600" t="s">
        <v>50</v>
      </c>
      <c r="AE18" s="600" t="s">
        <v>50</v>
      </c>
      <c r="AF18" s="600" t="s">
        <v>50</v>
      </c>
      <c r="AG18" s="600" t="s">
        <v>50</v>
      </c>
      <c r="AH18" s="116"/>
      <c r="AI18" s="116"/>
    </row>
    <row r="19" spans="1:41" x14ac:dyDescent="0.2">
      <c r="A19" s="598">
        <v>8500</v>
      </c>
      <c r="B19" s="602" t="s">
        <v>55</v>
      </c>
      <c r="C19" s="603" t="s">
        <v>51</v>
      </c>
      <c r="D19" s="604" t="s">
        <v>51</v>
      </c>
      <c r="E19" s="604" t="s">
        <v>51</v>
      </c>
      <c r="F19" s="604" t="s">
        <v>52</v>
      </c>
      <c r="G19" s="605" t="s">
        <v>52</v>
      </c>
      <c r="H19" s="605" t="s">
        <v>50</v>
      </c>
      <c r="I19" s="606" t="s">
        <v>50</v>
      </c>
      <c r="J19" s="605" t="s">
        <v>50</v>
      </c>
      <c r="K19" s="607" t="s">
        <v>50</v>
      </c>
      <c r="L19" s="605" t="s">
        <v>50</v>
      </c>
      <c r="M19" s="604" t="s">
        <v>53</v>
      </c>
      <c r="N19" s="604" t="s">
        <v>53</v>
      </c>
      <c r="O19" s="604" t="s">
        <v>49</v>
      </c>
      <c r="P19" s="604" t="s">
        <v>49</v>
      </c>
      <c r="Q19" s="604" t="s">
        <v>49</v>
      </c>
      <c r="R19" s="605" t="s">
        <v>49</v>
      </c>
      <c r="S19" s="608" t="s">
        <v>56</v>
      </c>
      <c r="T19" s="605"/>
      <c r="U19" s="605"/>
      <c r="V19" s="605" t="s">
        <v>50</v>
      </c>
      <c r="W19" s="605" t="s">
        <v>50</v>
      </c>
      <c r="X19" s="605" t="s">
        <v>50</v>
      </c>
      <c r="Y19" s="603" t="s">
        <v>50</v>
      </c>
      <c r="Z19" s="605" t="s">
        <v>50</v>
      </c>
      <c r="AA19" s="605"/>
      <c r="AB19" s="605"/>
      <c r="AC19" s="604" t="s">
        <v>51</v>
      </c>
      <c r="AD19" s="605" t="s">
        <v>51</v>
      </c>
      <c r="AE19" s="604" t="s">
        <v>51</v>
      </c>
      <c r="AF19" s="604" t="s">
        <v>51</v>
      </c>
      <c r="AG19" s="604" t="s">
        <v>51</v>
      </c>
      <c r="AH19" s="114"/>
      <c r="AI19" s="114"/>
      <c r="AJ19" s="241"/>
      <c r="AK19" s="241"/>
      <c r="AL19" s="241"/>
      <c r="AM19" s="241"/>
      <c r="AN19" s="241"/>
    </row>
    <row r="20" spans="1:41" x14ac:dyDescent="0.2">
      <c r="A20" s="598">
        <v>8546</v>
      </c>
      <c r="B20" s="602" t="s">
        <v>57</v>
      </c>
      <c r="C20" s="605" t="s">
        <v>50</v>
      </c>
      <c r="D20" s="604" t="s">
        <v>50</v>
      </c>
      <c r="E20" s="604" t="s">
        <v>50</v>
      </c>
      <c r="F20" s="609" t="s">
        <v>53</v>
      </c>
      <c r="G20" s="609" t="s">
        <v>53</v>
      </c>
      <c r="H20" s="604" t="s">
        <v>49</v>
      </c>
      <c r="I20" s="600" t="s">
        <v>49</v>
      </c>
      <c r="J20" s="600" t="s">
        <v>49</v>
      </c>
      <c r="K20" s="605" t="s">
        <v>49</v>
      </c>
      <c r="L20" s="605" t="s">
        <v>49</v>
      </c>
      <c r="M20" s="605"/>
      <c r="N20" s="605"/>
      <c r="O20" s="605" t="s">
        <v>50</v>
      </c>
      <c r="P20" s="605" t="s">
        <v>50</v>
      </c>
      <c r="Q20" s="610" t="s">
        <v>50</v>
      </c>
      <c r="R20" s="605" t="s">
        <v>50</v>
      </c>
      <c r="S20" s="607" t="s">
        <v>50</v>
      </c>
      <c r="T20" s="444"/>
      <c r="U20" s="444"/>
      <c r="V20" s="605" t="s">
        <v>51</v>
      </c>
      <c r="W20" s="605" t="s">
        <v>51</v>
      </c>
      <c r="X20" s="605" t="s">
        <v>51</v>
      </c>
      <c r="Y20" s="605" t="s">
        <v>51</v>
      </c>
      <c r="Z20" s="604" t="s">
        <v>51</v>
      </c>
      <c r="AA20" s="604" t="s">
        <v>52</v>
      </c>
      <c r="AB20" s="605" t="s">
        <v>52</v>
      </c>
      <c r="AC20" s="610" t="s">
        <v>50</v>
      </c>
      <c r="AD20" s="605" t="s">
        <v>50</v>
      </c>
      <c r="AE20" s="607" t="s">
        <v>50</v>
      </c>
      <c r="AF20" s="604" t="s">
        <v>50</v>
      </c>
      <c r="AG20" s="604" t="s">
        <v>50</v>
      </c>
      <c r="AH20" s="116"/>
      <c r="AI20" s="116"/>
      <c r="AJ20" s="123" t="s">
        <v>0</v>
      </c>
      <c r="AK20" s="123"/>
      <c r="AL20" s="123"/>
      <c r="AM20" s="215"/>
      <c r="AN20" s="215"/>
    </row>
    <row r="21" spans="1:41" x14ac:dyDescent="0.2">
      <c r="A21" s="598">
        <v>8546</v>
      </c>
      <c r="B21" s="602" t="s">
        <v>58</v>
      </c>
      <c r="C21" s="355" t="s">
        <v>24</v>
      </c>
      <c r="D21" s="355" t="s">
        <v>24</v>
      </c>
      <c r="E21" s="611" t="s">
        <v>24</v>
      </c>
      <c r="F21" s="603"/>
      <c r="G21" s="603"/>
      <c r="H21" s="605" t="s">
        <v>28</v>
      </c>
      <c r="I21" s="606" t="s">
        <v>28</v>
      </c>
      <c r="J21" s="605" t="s">
        <v>28</v>
      </c>
      <c r="K21" s="605" t="s">
        <v>28</v>
      </c>
      <c r="L21" s="607" t="s">
        <v>28</v>
      </c>
      <c r="M21" s="605"/>
      <c r="N21" s="605"/>
      <c r="O21" s="612" t="s">
        <v>24</v>
      </c>
      <c r="P21" s="612" t="s">
        <v>24</v>
      </c>
      <c r="Q21" s="612" t="s">
        <v>24</v>
      </c>
      <c r="R21" s="612" t="s">
        <v>24</v>
      </c>
      <c r="S21" s="605" t="s">
        <v>24</v>
      </c>
      <c r="T21" s="607"/>
      <c r="U21" s="605"/>
      <c r="V21" s="604" t="s">
        <v>28</v>
      </c>
      <c r="W21" s="605" t="s">
        <v>28</v>
      </c>
      <c r="X21" s="605" t="s">
        <v>28</v>
      </c>
      <c r="Y21" s="607" t="s">
        <v>28</v>
      </c>
      <c r="Z21" s="605" t="s">
        <v>28</v>
      </c>
      <c r="AA21" s="605"/>
      <c r="AB21" s="605"/>
      <c r="AC21" s="612" t="s">
        <v>24</v>
      </c>
      <c r="AD21" s="612" t="s">
        <v>24</v>
      </c>
      <c r="AE21" s="605" t="s">
        <v>24</v>
      </c>
      <c r="AF21" s="355" t="s">
        <v>24</v>
      </c>
      <c r="AG21" s="603" t="s">
        <v>24</v>
      </c>
      <c r="AH21" s="116"/>
      <c r="AI21" s="116"/>
      <c r="AJ21" s="123"/>
      <c r="AK21" s="123"/>
      <c r="AL21" s="123"/>
      <c r="AM21" s="215"/>
      <c r="AN21" s="215"/>
    </row>
    <row r="22" spans="1:41" x14ac:dyDescent="0.2">
      <c r="A22" s="613">
        <v>8546</v>
      </c>
      <c r="B22" s="614" t="s">
        <v>59</v>
      </c>
      <c r="C22" s="615" t="s">
        <v>28</v>
      </c>
      <c r="D22" s="616" t="s">
        <v>28</v>
      </c>
      <c r="E22" s="616" t="s">
        <v>28</v>
      </c>
      <c r="F22" s="617"/>
      <c r="G22" s="618"/>
      <c r="H22" s="619" t="s">
        <v>24</v>
      </c>
      <c r="I22" s="616" t="s">
        <v>24</v>
      </c>
      <c r="J22" s="617" t="s">
        <v>24</v>
      </c>
      <c r="K22" s="617" t="s">
        <v>24</v>
      </c>
      <c r="L22" s="617" t="s">
        <v>24</v>
      </c>
      <c r="M22" s="617"/>
      <c r="N22" s="617"/>
      <c r="O22" s="617" t="s">
        <v>28</v>
      </c>
      <c r="P22" s="617" t="s">
        <v>28</v>
      </c>
      <c r="Q22" s="617" t="s">
        <v>28</v>
      </c>
      <c r="R22" s="620" t="s">
        <v>28</v>
      </c>
      <c r="S22" s="620" t="s">
        <v>28</v>
      </c>
      <c r="T22" s="615"/>
      <c r="U22" s="615"/>
      <c r="V22" s="615" t="s">
        <v>24</v>
      </c>
      <c r="W22" s="615" t="s">
        <v>24</v>
      </c>
      <c r="X22" s="617" t="s">
        <v>24</v>
      </c>
      <c r="Y22" s="617" t="s">
        <v>24</v>
      </c>
      <c r="Z22" s="617" t="s">
        <v>24</v>
      </c>
      <c r="AA22" s="621" t="s">
        <v>0</v>
      </c>
      <c r="AB22" s="617" t="s">
        <v>0</v>
      </c>
      <c r="AC22" s="622" t="s">
        <v>28</v>
      </c>
      <c r="AD22" s="622" t="s">
        <v>28</v>
      </c>
      <c r="AE22" s="623" t="s">
        <v>28</v>
      </c>
      <c r="AF22" s="619" t="s">
        <v>28</v>
      </c>
      <c r="AG22" s="619" t="s">
        <v>28</v>
      </c>
      <c r="AH22" s="116"/>
      <c r="AI22" s="116"/>
      <c r="AJ22" s="123"/>
      <c r="AK22" s="123"/>
      <c r="AL22" s="123"/>
      <c r="AM22" s="215"/>
      <c r="AN22" s="215"/>
    </row>
    <row r="23" spans="1:41" ht="12.75" x14ac:dyDescent="0.2">
      <c r="A23" s="624" t="s">
        <v>60</v>
      </c>
      <c r="B23" s="625"/>
      <c r="C23" s="625"/>
      <c r="D23" s="625"/>
      <c r="E23" s="625"/>
      <c r="F23" s="625"/>
      <c r="G23" s="625"/>
      <c r="H23" s="625"/>
      <c r="I23" s="625"/>
      <c r="J23" s="625"/>
      <c r="K23" s="625"/>
      <c r="L23" s="625"/>
      <c r="M23" s="625"/>
      <c r="N23" s="625"/>
      <c r="O23" s="625"/>
      <c r="P23" s="625"/>
      <c r="Q23" s="625"/>
      <c r="R23" s="625"/>
      <c r="S23" s="625"/>
      <c r="T23" s="625"/>
      <c r="U23" s="625"/>
      <c r="V23" s="625"/>
      <c r="W23" s="625"/>
      <c r="X23" s="625"/>
      <c r="Y23" s="625"/>
      <c r="Z23" s="625"/>
      <c r="AA23" s="625"/>
      <c r="AB23" s="625"/>
      <c r="AC23" s="625"/>
      <c r="AD23" s="625"/>
      <c r="AE23" s="625"/>
      <c r="AF23" s="625"/>
      <c r="AG23" s="625"/>
      <c r="AJ23" s="123"/>
      <c r="AK23" s="123"/>
      <c r="AL23" s="123"/>
      <c r="AM23" s="215"/>
      <c r="AN23" s="215"/>
    </row>
    <row r="24" spans="1:41" x14ac:dyDescent="0.2">
      <c r="A24" s="626">
        <v>8500</v>
      </c>
      <c r="B24" s="627" t="s">
        <v>61</v>
      </c>
      <c r="C24" s="623"/>
      <c r="D24" s="628" t="s">
        <v>46</v>
      </c>
      <c r="E24" s="629" t="s">
        <v>46</v>
      </c>
      <c r="F24" s="630" t="s">
        <v>53</v>
      </c>
      <c r="G24" s="631"/>
      <c r="H24" s="631" t="s">
        <v>46</v>
      </c>
      <c r="I24" s="632" t="s">
        <v>46</v>
      </c>
      <c r="J24" s="623" t="s">
        <v>46</v>
      </c>
      <c r="K24" s="629"/>
      <c r="L24" s="629" t="s">
        <v>46</v>
      </c>
      <c r="M24" s="629"/>
      <c r="N24" s="631"/>
      <c r="O24" s="631" t="s">
        <v>46</v>
      </c>
      <c r="P24" s="629" t="s">
        <v>46</v>
      </c>
      <c r="Q24" s="623" t="s">
        <v>46</v>
      </c>
      <c r="R24" s="629" t="s">
        <v>46</v>
      </c>
      <c r="S24" s="629" t="s">
        <v>46</v>
      </c>
      <c r="T24" s="629"/>
      <c r="U24" s="631"/>
      <c r="V24" s="631"/>
      <c r="W24" s="629" t="s">
        <v>46</v>
      </c>
      <c r="X24" s="623" t="s">
        <v>46</v>
      </c>
      <c r="Y24" s="629" t="s">
        <v>46</v>
      </c>
      <c r="Z24" s="629" t="s">
        <v>46</v>
      </c>
      <c r="AA24" s="629"/>
      <c r="AB24" s="631"/>
      <c r="AC24" s="631" t="s">
        <v>46</v>
      </c>
      <c r="AD24" s="629" t="s">
        <v>46</v>
      </c>
      <c r="AE24" s="623" t="s">
        <v>46</v>
      </c>
      <c r="AF24" s="629" t="s">
        <v>46</v>
      </c>
      <c r="AG24" s="629" t="s">
        <v>46</v>
      </c>
      <c r="AJ24" s="579" t="s">
        <v>41</v>
      </c>
      <c r="AK24" s="579" t="s">
        <v>62</v>
      </c>
      <c r="AL24" s="579" t="s">
        <v>63</v>
      </c>
      <c r="AM24" s="579" t="s">
        <v>64</v>
      </c>
      <c r="AN24" s="579" t="s">
        <v>65</v>
      </c>
      <c r="AO24" s="579" t="s">
        <v>66</v>
      </c>
    </row>
    <row r="25" spans="1:41" x14ac:dyDescent="0.2">
      <c r="A25" s="626">
        <v>8500</v>
      </c>
      <c r="B25" s="602" t="s">
        <v>67</v>
      </c>
      <c r="C25" s="605"/>
      <c r="D25" s="605" t="s">
        <v>49</v>
      </c>
      <c r="E25" s="605" t="s">
        <v>50</v>
      </c>
      <c r="F25" s="603" t="s">
        <v>68</v>
      </c>
      <c r="G25" s="600" t="s">
        <v>68</v>
      </c>
      <c r="H25" s="605" t="s">
        <v>46</v>
      </c>
      <c r="I25" s="605" t="s">
        <v>46</v>
      </c>
      <c r="J25" s="604" t="s">
        <v>46</v>
      </c>
      <c r="K25" s="604" t="s">
        <v>0</v>
      </c>
      <c r="L25" s="605" t="s">
        <v>69</v>
      </c>
      <c r="M25" s="604" t="s">
        <v>70</v>
      </c>
      <c r="N25" s="633" t="s">
        <v>71</v>
      </c>
      <c r="O25" s="605" t="s">
        <v>50</v>
      </c>
      <c r="P25" s="606" t="s">
        <v>50</v>
      </c>
      <c r="Q25" s="634" t="s">
        <v>46</v>
      </c>
      <c r="R25" s="634" t="s">
        <v>46</v>
      </c>
      <c r="S25" s="605" t="s">
        <v>68</v>
      </c>
      <c r="T25" s="603" t="s">
        <v>68</v>
      </c>
      <c r="U25" s="600" t="s">
        <v>68</v>
      </c>
      <c r="V25" s="635" t="s">
        <v>72</v>
      </c>
      <c r="W25" s="635" t="s">
        <v>72</v>
      </c>
      <c r="X25" s="635" t="s">
        <v>72</v>
      </c>
      <c r="Y25" s="635" t="s">
        <v>72</v>
      </c>
      <c r="Z25" s="635" t="s">
        <v>72</v>
      </c>
      <c r="AA25" s="636" t="s">
        <v>73</v>
      </c>
      <c r="AB25" s="636" t="s">
        <v>74</v>
      </c>
      <c r="AC25" s="600" t="s">
        <v>50</v>
      </c>
      <c r="AD25" s="600" t="s">
        <v>50</v>
      </c>
      <c r="AE25" s="601" t="s">
        <v>50</v>
      </c>
      <c r="AF25" s="600" t="s">
        <v>50</v>
      </c>
      <c r="AG25" s="637" t="s">
        <v>50</v>
      </c>
      <c r="AH25" s="123"/>
      <c r="AJ25" s="638">
        <v>136.25</v>
      </c>
      <c r="AK25" s="638">
        <v>8.5</v>
      </c>
      <c r="AL25" s="638">
        <f>IF(AJ25="","",SUM(AJ25:AK25))</f>
        <v>144.75</v>
      </c>
      <c r="AM25" s="639">
        <f>IF(AJ25="","",AL25-_xlfn.SINGLE(NormTid))</f>
        <v>-15.580000000000013</v>
      </c>
      <c r="AN25" s="639">
        <f>IF(AM25="","",AM25+AO25)</f>
        <v>-40.650000000000013</v>
      </c>
      <c r="AO25" s="639">
        <v>-25.07</v>
      </c>
    </row>
    <row r="26" spans="1:41" x14ac:dyDescent="0.2">
      <c r="A26" s="640"/>
      <c r="B26" s="567" t="s">
        <v>75</v>
      </c>
      <c r="C26" s="641"/>
      <c r="D26" s="641" t="s">
        <v>46</v>
      </c>
      <c r="E26" s="641" t="s">
        <v>46</v>
      </c>
      <c r="F26" s="444"/>
      <c r="G26" s="444"/>
      <c r="H26" s="600" t="s">
        <v>46</v>
      </c>
      <c r="I26" s="601" t="s">
        <v>46</v>
      </c>
      <c r="J26" s="444" t="s">
        <v>46</v>
      </c>
      <c r="K26" s="444"/>
      <c r="L26" s="642" t="s">
        <v>46</v>
      </c>
      <c r="M26" s="444"/>
      <c r="N26" s="444"/>
      <c r="O26" s="600" t="s">
        <v>46</v>
      </c>
      <c r="P26" s="600" t="s">
        <v>46</v>
      </c>
      <c r="Q26" s="444" t="s">
        <v>76</v>
      </c>
      <c r="R26" s="600" t="s">
        <v>46</v>
      </c>
      <c r="S26" s="604" t="s">
        <v>77</v>
      </c>
      <c r="T26" s="643"/>
      <c r="U26" s="643"/>
      <c r="V26" s="600"/>
      <c r="W26" s="600" t="s">
        <v>46</v>
      </c>
      <c r="X26" s="600" t="s">
        <v>46</v>
      </c>
      <c r="Y26" s="444" t="s">
        <v>46</v>
      </c>
      <c r="Z26" s="444" t="s">
        <v>46</v>
      </c>
      <c r="AA26" s="444"/>
      <c r="AB26" s="444"/>
      <c r="AC26" s="600" t="s">
        <v>46</v>
      </c>
      <c r="AD26" s="644" t="s">
        <v>46</v>
      </c>
      <c r="AE26" s="623" t="s">
        <v>46</v>
      </c>
      <c r="AF26" s="600" t="s">
        <v>46</v>
      </c>
      <c r="AG26" s="645" t="s">
        <v>46</v>
      </c>
      <c r="AH26" s="123"/>
    </row>
    <row r="27" spans="1:41" x14ac:dyDescent="0.2">
      <c r="A27" s="646"/>
      <c r="B27" s="647" t="s">
        <v>78</v>
      </c>
      <c r="C27" s="648"/>
      <c r="D27" s="648" t="s">
        <v>46</v>
      </c>
      <c r="E27" s="648" t="s">
        <v>79</v>
      </c>
      <c r="F27" s="649"/>
      <c r="G27" s="649"/>
      <c r="H27" s="649" t="s">
        <v>46</v>
      </c>
      <c r="I27" s="650" t="s">
        <v>46</v>
      </c>
      <c r="J27" s="651" t="s">
        <v>46</v>
      </c>
      <c r="K27" s="650"/>
      <c r="L27" s="652" t="s">
        <v>46</v>
      </c>
      <c r="M27" s="650"/>
      <c r="N27" s="653"/>
      <c r="O27" s="654" t="s">
        <v>46</v>
      </c>
      <c r="P27" s="650" t="s">
        <v>46</v>
      </c>
      <c r="Q27" s="258" t="s">
        <v>69</v>
      </c>
      <c r="R27" s="259" t="s">
        <v>46</v>
      </c>
      <c r="S27" s="259" t="s">
        <v>46</v>
      </c>
      <c r="T27" s="650"/>
      <c r="U27" s="654"/>
      <c r="V27" s="654"/>
      <c r="W27" s="650" t="s">
        <v>46</v>
      </c>
      <c r="X27" s="651" t="s">
        <v>46</v>
      </c>
      <c r="Y27" s="650" t="s">
        <v>46</v>
      </c>
      <c r="Z27" s="650" t="s">
        <v>46</v>
      </c>
      <c r="AA27" s="650"/>
      <c r="AB27" s="654"/>
      <c r="AC27" s="654" t="s">
        <v>46</v>
      </c>
      <c r="AD27" s="650" t="s">
        <v>46</v>
      </c>
      <c r="AE27" s="623" t="s">
        <v>46</v>
      </c>
      <c r="AF27" s="655" t="s">
        <v>46</v>
      </c>
      <c r="AG27" s="656" t="s">
        <v>46</v>
      </c>
      <c r="AH27" s="123"/>
    </row>
    <row r="28" spans="1:41" x14ac:dyDescent="0.2">
      <c r="A28" s="245"/>
      <c r="B28" s="246"/>
      <c r="C28" s="247"/>
      <c r="D28" s="248"/>
      <c r="E28" s="248"/>
      <c r="F28" s="248"/>
      <c r="G28" s="246"/>
      <c r="H28" s="246"/>
      <c r="I28" s="248"/>
      <c r="J28" s="247"/>
      <c r="K28" s="246"/>
      <c r="L28" s="246" t="s">
        <v>0</v>
      </c>
      <c r="M28" s="246"/>
      <c r="N28" s="638" t="s">
        <v>0</v>
      </c>
      <c r="O28" s="246" t="s">
        <v>0</v>
      </c>
      <c r="P28" s="248"/>
      <c r="Q28" s="247"/>
      <c r="R28" s="248" t="s">
        <v>0</v>
      </c>
      <c r="S28" s="633" t="s">
        <v>0</v>
      </c>
      <c r="T28" s="633" t="s">
        <v>0</v>
      </c>
      <c r="U28" s="633" t="s">
        <v>0</v>
      </c>
      <c r="V28" s="257"/>
      <c r="W28" s="257"/>
      <c r="X28" s="257">
        <v>21</v>
      </c>
      <c r="Y28" s="257">
        <v>21</v>
      </c>
      <c r="Z28" s="257"/>
      <c r="AA28" s="257"/>
      <c r="AB28" s="257"/>
      <c r="AC28" s="257"/>
      <c r="AD28" s="248"/>
      <c r="AE28" s="247"/>
      <c r="AF28" s="248"/>
      <c r="AG28" s="246" t="s">
        <v>0</v>
      </c>
      <c r="AH28" s="123"/>
    </row>
    <row r="29" spans="1:41" x14ac:dyDescent="0.2">
      <c r="A29" s="249"/>
      <c r="B29" s="250"/>
      <c r="C29" s="251"/>
      <c r="D29" s="604" t="s">
        <v>0</v>
      </c>
      <c r="E29" s="252"/>
      <c r="F29" s="252"/>
      <c r="G29" s="250"/>
      <c r="H29" s="250"/>
      <c r="I29" s="252"/>
      <c r="J29" s="251"/>
      <c r="K29" s="252"/>
      <c r="L29" s="250"/>
      <c r="M29" s="250"/>
      <c r="N29" s="250"/>
      <c r="O29" s="250" t="s">
        <v>0</v>
      </c>
      <c r="P29" s="250" t="s">
        <v>69</v>
      </c>
      <c r="Q29" s="250" t="s">
        <v>0</v>
      </c>
      <c r="R29" s="250" t="s">
        <v>0</v>
      </c>
      <c r="S29" s="633"/>
      <c r="T29" s="633"/>
      <c r="U29" s="256"/>
      <c r="V29" s="252" t="s">
        <v>0</v>
      </c>
      <c r="W29" s="252" t="s">
        <v>0</v>
      </c>
      <c r="X29" s="252" t="s">
        <v>0</v>
      </c>
      <c r="Y29" s="252" t="s">
        <v>0</v>
      </c>
      <c r="Z29" s="657"/>
      <c r="AA29" s="252" t="s">
        <v>0</v>
      </c>
      <c r="AB29" s="252" t="s">
        <v>0</v>
      </c>
      <c r="AC29" s="607" t="s">
        <v>0</v>
      </c>
      <c r="AD29" s="643" t="s">
        <v>0</v>
      </c>
      <c r="AE29" s="643" t="s">
        <v>0</v>
      </c>
      <c r="AF29" s="643" t="s">
        <v>80</v>
      </c>
      <c r="AG29" s="658"/>
      <c r="AH29" s="123"/>
    </row>
    <row r="30" spans="1:41" x14ac:dyDescent="0.2">
      <c r="A30" s="249"/>
      <c r="B30" s="250"/>
      <c r="C30" s="251"/>
      <c r="D30" s="252"/>
      <c r="E30" s="252"/>
      <c r="F30" s="252"/>
      <c r="G30" s="250"/>
      <c r="H30" s="250"/>
      <c r="I30" s="252"/>
      <c r="J30" s="251"/>
      <c r="K30" s="252"/>
      <c r="L30" s="250"/>
      <c r="M30" s="250"/>
      <c r="N30" s="250"/>
      <c r="O30" s="250" t="s">
        <v>0</v>
      </c>
      <c r="P30" s="250" t="s">
        <v>0</v>
      </c>
      <c r="Q30" s="250"/>
      <c r="R30" s="250" t="s">
        <v>0</v>
      </c>
      <c r="S30" s="250"/>
      <c r="T30" s="252"/>
      <c r="U30" s="250"/>
      <c r="V30" s="246"/>
      <c r="W30" s="248"/>
      <c r="X30" s="247"/>
      <c r="Y30" s="248"/>
      <c r="Z30" s="248"/>
      <c r="AA30" s="248"/>
      <c r="AB30" s="246"/>
      <c r="AC30" s="250"/>
      <c r="AD30" s="250"/>
      <c r="AE30" s="250"/>
      <c r="AF30" s="659">
        <v>1</v>
      </c>
      <c r="AG30" s="250"/>
      <c r="AH30" s="123"/>
    </row>
    <row r="31" spans="1:41" x14ac:dyDescent="0.2">
      <c r="A31" s="249"/>
      <c r="B31" s="250"/>
      <c r="C31" s="251"/>
      <c r="D31" s="252"/>
      <c r="E31" s="252"/>
      <c r="F31" s="252"/>
      <c r="G31" s="250"/>
      <c r="H31" s="250"/>
      <c r="I31" s="252"/>
      <c r="J31" s="251"/>
      <c r="K31" s="252"/>
      <c r="L31" s="250"/>
      <c r="M31" s="250"/>
      <c r="N31" s="250"/>
      <c r="O31" s="250"/>
      <c r="P31" s="252"/>
      <c r="Q31" s="251"/>
      <c r="R31" s="252"/>
      <c r="S31" s="252"/>
      <c r="T31" s="252"/>
      <c r="U31" s="250"/>
      <c r="V31" s="250"/>
      <c r="W31" s="252"/>
      <c r="X31" s="251"/>
      <c r="Y31" s="252"/>
      <c r="Z31" s="252"/>
      <c r="AA31" s="252"/>
      <c r="AB31" s="250"/>
      <c r="AC31" s="250"/>
      <c r="AD31" s="252"/>
      <c r="AE31" s="251"/>
      <c r="AF31" s="252" t="s">
        <v>0</v>
      </c>
      <c r="AG31" s="250"/>
      <c r="AH31" s="123"/>
    </row>
    <row r="32" spans="1:41" x14ac:dyDescent="0.2">
      <c r="A32" s="249"/>
      <c r="B32" s="250"/>
      <c r="C32" s="251"/>
      <c r="D32" s="252"/>
      <c r="E32" s="252"/>
      <c r="F32" s="252"/>
      <c r="G32" s="250"/>
      <c r="H32" s="250"/>
      <c r="I32" s="252"/>
      <c r="J32" s="251"/>
      <c r="K32" s="252"/>
      <c r="L32" s="250"/>
      <c r="M32" s="250"/>
      <c r="N32" s="250"/>
      <c r="O32" s="250"/>
      <c r="P32" s="252"/>
      <c r="Q32" s="251"/>
      <c r="R32" s="252"/>
      <c r="S32" s="252"/>
      <c r="T32" s="252"/>
      <c r="U32" s="250"/>
      <c r="V32" s="250"/>
      <c r="W32" s="252" t="s">
        <v>81</v>
      </c>
      <c r="X32" s="251"/>
      <c r="Y32" s="252"/>
      <c r="Z32" s="252"/>
      <c r="AA32" s="252"/>
      <c r="AB32" s="250"/>
      <c r="AC32" s="250"/>
      <c r="AD32" s="252"/>
      <c r="AE32" s="251"/>
      <c r="AF32" s="252"/>
      <c r="AG32" s="250"/>
      <c r="AH32" s="123"/>
    </row>
    <row r="33" spans="1:38" x14ac:dyDescent="0.2">
      <c r="A33" s="249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  <c r="AB33" s="250"/>
      <c r="AC33" s="250"/>
      <c r="AD33" s="250"/>
      <c r="AE33" s="250"/>
      <c r="AF33" s="250"/>
      <c r="AG33" s="250"/>
    </row>
    <row r="34" spans="1:38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</row>
    <row r="35" spans="1:38" ht="12.75" x14ac:dyDescent="0.2">
      <c r="A35" s="103" t="s">
        <v>82</v>
      </c>
      <c r="B35" s="103" t="s">
        <v>82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 t="s">
        <v>0</v>
      </c>
      <c r="Q35" s="48"/>
      <c r="R35" s="48" t="s">
        <v>83</v>
      </c>
      <c r="S35" s="48" t="s">
        <v>0</v>
      </c>
      <c r="T35" s="48" t="s">
        <v>84</v>
      </c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K35" s="1"/>
    </row>
    <row r="36" spans="1:38" ht="12.75" x14ac:dyDescent="0.2">
      <c r="A36" s="660" t="s">
        <v>10</v>
      </c>
      <c r="B36" s="660" t="s">
        <v>85</v>
      </c>
      <c r="C36" s="661"/>
      <c r="D36" s="661"/>
      <c r="E36" s="662" t="s">
        <v>86</v>
      </c>
      <c r="F36" s="663"/>
      <c r="G36" s="663"/>
      <c r="H36" s="663"/>
      <c r="I36" s="663"/>
      <c r="J36" s="663"/>
      <c r="K36" s="663"/>
      <c r="L36" s="663"/>
      <c r="M36" s="663"/>
      <c r="N36" s="664" t="s">
        <v>87</v>
      </c>
      <c r="O36" s="663"/>
      <c r="P36" s="663"/>
      <c r="Q36" s="663"/>
      <c r="R36" s="663"/>
      <c r="S36" s="663"/>
      <c r="T36" s="665"/>
      <c r="U36" s="4967" t="s">
        <v>88</v>
      </c>
      <c r="V36" s="4968"/>
      <c r="W36" s="4968"/>
      <c r="X36" s="4968"/>
      <c r="Y36" s="4968"/>
      <c r="Z36" s="4968"/>
      <c r="AA36" s="4969"/>
      <c r="AB36" s="666" t="s">
        <v>89</v>
      </c>
      <c r="AC36" s="465"/>
      <c r="AD36" s="465"/>
      <c r="AE36" s="465"/>
      <c r="AF36" s="465"/>
      <c r="AG36" s="465"/>
      <c r="AK36" s="1"/>
    </row>
    <row r="37" spans="1:38" ht="15" x14ac:dyDescent="0.2">
      <c r="A37" s="424" t="s">
        <v>10</v>
      </c>
      <c r="B37" s="424" t="s">
        <v>90</v>
      </c>
      <c r="C37" s="667"/>
      <c r="D37" s="667"/>
      <c r="E37" s="668" t="s">
        <v>91</v>
      </c>
      <c r="F37" s="669"/>
      <c r="G37" s="549"/>
      <c r="H37" s="549"/>
      <c r="I37" s="549"/>
      <c r="J37" s="549"/>
      <c r="K37" s="549"/>
      <c r="L37" s="549"/>
      <c r="M37" s="670"/>
      <c r="N37" s="671" t="s">
        <v>92</v>
      </c>
      <c r="O37" s="667"/>
      <c r="P37" s="672"/>
      <c r="Q37" s="667"/>
      <c r="R37" s="667"/>
      <c r="S37" s="667"/>
      <c r="T37" s="673"/>
      <c r="U37" s="668" t="s">
        <v>93</v>
      </c>
      <c r="V37" s="549"/>
      <c r="W37" s="669"/>
      <c r="X37" s="549"/>
      <c r="Y37" s="549"/>
      <c r="Z37" s="549"/>
      <c r="AA37" s="670"/>
      <c r="AB37" s="104" t="s">
        <v>94</v>
      </c>
      <c r="AE37" s="60"/>
      <c r="AK37" s="1"/>
    </row>
    <row r="38" spans="1:38" ht="15" x14ac:dyDescent="0.2">
      <c r="A38" s="674" t="s">
        <v>10</v>
      </c>
      <c r="B38" s="674" t="s">
        <v>95</v>
      </c>
      <c r="C38" s="549"/>
      <c r="D38" s="549"/>
      <c r="E38" s="675"/>
      <c r="F38" s="549"/>
      <c r="G38" s="549"/>
      <c r="H38" s="670"/>
      <c r="I38" s="676" t="s">
        <v>96</v>
      </c>
      <c r="J38" s="549"/>
      <c r="K38" s="549"/>
      <c r="L38" s="549"/>
      <c r="M38" s="549"/>
      <c r="N38" s="677"/>
      <c r="O38" s="549"/>
      <c r="P38" s="549"/>
      <c r="Q38" s="549"/>
      <c r="R38" s="549"/>
      <c r="S38" s="549"/>
      <c r="T38" s="549"/>
      <c r="U38" s="675"/>
      <c r="V38" s="103" t="s">
        <v>97</v>
      </c>
      <c r="AB38" s="672"/>
      <c r="AC38" s="667"/>
      <c r="AD38" s="667"/>
      <c r="AE38" s="667"/>
      <c r="AF38" s="667"/>
      <c r="AG38" s="667"/>
      <c r="AK38" s="42"/>
    </row>
    <row r="39" spans="1:38" ht="15" x14ac:dyDescent="0.2">
      <c r="A39" s="678" t="s">
        <v>10</v>
      </c>
      <c r="B39" s="678" t="s">
        <v>98</v>
      </c>
      <c r="C39" s="679"/>
      <c r="D39" s="679"/>
      <c r="E39" s="680"/>
      <c r="F39" s="679"/>
      <c r="G39" s="679"/>
      <c r="H39" s="681"/>
      <c r="I39" s="682" t="s">
        <v>99</v>
      </c>
      <c r="J39" s="681"/>
      <c r="K39" s="679"/>
      <c r="L39" s="679"/>
      <c r="M39" s="679"/>
      <c r="N39" s="683"/>
      <c r="O39" s="679"/>
      <c r="P39" s="679"/>
      <c r="Q39" s="679"/>
      <c r="R39" s="684"/>
      <c r="S39" s="684"/>
      <c r="T39" s="684"/>
      <c r="U39" s="680"/>
      <c r="V39" s="685" t="s">
        <v>100</v>
      </c>
      <c r="W39" s="679"/>
      <c r="X39" s="679"/>
      <c r="Y39" s="679"/>
      <c r="Z39" s="679"/>
      <c r="AA39" s="679"/>
      <c r="AB39" s="679"/>
      <c r="AC39" s="679"/>
      <c r="AD39" s="679"/>
      <c r="AE39" s="679"/>
      <c r="AF39" s="679"/>
      <c r="AG39" s="679"/>
      <c r="AK39" s="1"/>
    </row>
    <row r="40" spans="1:38" ht="12.75" x14ac:dyDescent="0.2">
      <c r="B40" s="64" t="s">
        <v>42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</row>
    <row r="41" spans="1:38" ht="15.75" customHeight="1" x14ac:dyDescent="0.2">
      <c r="A41" s="686" t="s">
        <v>43</v>
      </c>
      <c r="B41" s="687" t="s">
        <v>44</v>
      </c>
      <c r="C41" s="582">
        <v>1</v>
      </c>
      <c r="D41" s="583">
        <v>2</v>
      </c>
      <c r="E41" s="583">
        <v>3</v>
      </c>
      <c r="F41" s="582">
        <v>4</v>
      </c>
      <c r="G41" s="582">
        <v>5</v>
      </c>
      <c r="H41" s="583">
        <v>6</v>
      </c>
      <c r="I41" s="583">
        <v>7</v>
      </c>
      <c r="J41" s="583">
        <v>8</v>
      </c>
      <c r="K41" s="582">
        <v>9</v>
      </c>
      <c r="L41" s="583">
        <v>10</v>
      </c>
      <c r="M41" s="582">
        <v>11</v>
      </c>
      <c r="N41" s="582">
        <v>12</v>
      </c>
      <c r="O41" s="583">
        <v>13</v>
      </c>
      <c r="P41" s="583">
        <v>14</v>
      </c>
      <c r="Q41" s="583">
        <v>15</v>
      </c>
      <c r="R41" s="583">
        <v>16</v>
      </c>
      <c r="S41" s="583">
        <v>17</v>
      </c>
      <c r="T41" s="582">
        <v>18</v>
      </c>
      <c r="U41" s="582">
        <v>19</v>
      </c>
      <c r="V41" s="582">
        <v>20</v>
      </c>
      <c r="W41" s="583">
        <v>21</v>
      </c>
      <c r="X41" s="583">
        <v>22</v>
      </c>
      <c r="Y41" s="583">
        <v>23</v>
      </c>
      <c r="Z41" s="583">
        <v>24</v>
      </c>
      <c r="AA41" s="582">
        <v>25</v>
      </c>
      <c r="AB41" s="582">
        <v>26</v>
      </c>
      <c r="AC41" s="583">
        <v>27</v>
      </c>
      <c r="AD41" s="583">
        <v>28</v>
      </c>
      <c r="AE41" s="583">
        <v>29</v>
      </c>
      <c r="AF41" s="583">
        <v>30</v>
      </c>
      <c r="AG41" s="583">
        <v>31</v>
      </c>
      <c r="AH41" s="110"/>
      <c r="AI41" s="111"/>
      <c r="AL41" t="s">
        <v>0</v>
      </c>
    </row>
    <row r="42" spans="1:38" ht="15.75" customHeight="1" x14ac:dyDescent="0.2">
      <c r="A42" s="688">
        <v>1</v>
      </c>
      <c r="B42" s="627" t="s">
        <v>101</v>
      </c>
      <c r="C42" s="689">
        <v>1</v>
      </c>
      <c r="D42" s="689">
        <v>1</v>
      </c>
      <c r="E42" s="689">
        <v>1</v>
      </c>
      <c r="F42" s="689"/>
      <c r="G42" s="689"/>
      <c r="H42" s="689">
        <v>9</v>
      </c>
      <c r="I42" s="689">
        <v>9</v>
      </c>
      <c r="J42" s="689">
        <v>9</v>
      </c>
      <c r="K42" s="689">
        <v>9</v>
      </c>
      <c r="L42" s="689">
        <v>9</v>
      </c>
      <c r="M42" s="689" t="s">
        <v>70</v>
      </c>
      <c r="N42" s="689" t="s">
        <v>70</v>
      </c>
      <c r="O42" s="689" t="s">
        <v>102</v>
      </c>
      <c r="P42" s="690" t="s">
        <v>50</v>
      </c>
      <c r="Q42" s="691" t="s">
        <v>50</v>
      </c>
      <c r="R42" s="689" t="s">
        <v>50</v>
      </c>
      <c r="S42" s="689" t="s">
        <v>50</v>
      </c>
      <c r="T42" s="689" t="s">
        <v>103</v>
      </c>
      <c r="U42" s="689" t="s">
        <v>104</v>
      </c>
      <c r="V42" s="689">
        <v>6</v>
      </c>
      <c r="W42" s="689">
        <v>6</v>
      </c>
      <c r="X42" s="689">
        <v>6</v>
      </c>
      <c r="Y42" s="689">
        <v>6</v>
      </c>
      <c r="Z42" s="689">
        <v>6</v>
      </c>
      <c r="AA42" s="464"/>
      <c r="AB42" s="464"/>
      <c r="AC42" s="464" t="s">
        <v>50</v>
      </c>
      <c r="AD42" s="464" t="s">
        <v>50</v>
      </c>
      <c r="AE42" s="464" t="s">
        <v>50</v>
      </c>
      <c r="AF42" s="464" t="s">
        <v>50</v>
      </c>
      <c r="AG42" s="448" t="s">
        <v>50</v>
      </c>
      <c r="AH42" s="115"/>
      <c r="AI42" s="116"/>
    </row>
    <row r="43" spans="1:38" ht="15.75" customHeight="1" x14ac:dyDescent="0.2">
      <c r="A43" s="692">
        <v>6</v>
      </c>
      <c r="B43" s="602" t="s">
        <v>105</v>
      </c>
      <c r="C43" s="641"/>
      <c r="D43" s="641">
        <v>5</v>
      </c>
      <c r="E43" s="641">
        <v>5</v>
      </c>
      <c r="F43" s="641"/>
      <c r="G43" s="641"/>
      <c r="H43" s="641">
        <v>10</v>
      </c>
      <c r="I43" s="641">
        <v>10</v>
      </c>
      <c r="J43" s="641">
        <v>10</v>
      </c>
      <c r="K43" s="641">
        <v>10</v>
      </c>
      <c r="L43" s="641">
        <v>10</v>
      </c>
      <c r="M43" s="641" t="s">
        <v>106</v>
      </c>
      <c r="N43" s="641" t="s">
        <v>106</v>
      </c>
      <c r="O43" s="641" t="s">
        <v>50</v>
      </c>
      <c r="P43" s="641" t="s">
        <v>50</v>
      </c>
      <c r="Q43" s="641" t="s">
        <v>50</v>
      </c>
      <c r="R43" s="641" t="s">
        <v>50</v>
      </c>
      <c r="S43" s="641" t="s">
        <v>50</v>
      </c>
      <c r="T43" s="641" t="s">
        <v>107</v>
      </c>
      <c r="U43" s="641" t="s">
        <v>107</v>
      </c>
      <c r="V43" s="641">
        <v>7</v>
      </c>
      <c r="W43" s="641">
        <v>7</v>
      </c>
      <c r="X43" s="641">
        <v>7</v>
      </c>
      <c r="Y43" s="641">
        <v>7</v>
      </c>
      <c r="Z43" s="641">
        <v>7</v>
      </c>
      <c r="AA43" s="641"/>
      <c r="AB43" s="641"/>
      <c r="AC43" s="641">
        <v>4</v>
      </c>
      <c r="AD43" s="641">
        <v>4</v>
      </c>
      <c r="AE43" s="641">
        <v>4</v>
      </c>
      <c r="AF43" s="641">
        <v>4</v>
      </c>
      <c r="AG43" s="693">
        <v>4</v>
      </c>
      <c r="AH43" s="115"/>
      <c r="AI43" s="116"/>
    </row>
    <row r="44" spans="1:38" ht="15.75" customHeight="1" x14ac:dyDescent="0.2">
      <c r="A44" s="694">
        <v>11</v>
      </c>
      <c r="B44" s="614" t="s">
        <v>108</v>
      </c>
      <c r="C44" s="653">
        <v>3</v>
      </c>
      <c r="D44" s="695">
        <v>3</v>
      </c>
      <c r="E44" s="695">
        <v>3</v>
      </c>
      <c r="F44" s="653"/>
      <c r="G44" s="653"/>
      <c r="H44" s="653">
        <v>11</v>
      </c>
      <c r="I44" s="653">
        <v>11</v>
      </c>
      <c r="J44" s="653">
        <v>11</v>
      </c>
      <c r="K44" s="653">
        <v>11</v>
      </c>
      <c r="L44" s="653">
        <v>11</v>
      </c>
      <c r="M44" s="696" t="s">
        <v>109</v>
      </c>
      <c r="N44" s="653" t="s">
        <v>109</v>
      </c>
      <c r="O44" s="653" t="s">
        <v>50</v>
      </c>
      <c r="P44" s="653" t="s">
        <v>50</v>
      </c>
      <c r="Q44" s="697" t="s">
        <v>50</v>
      </c>
      <c r="R44" s="653" t="s">
        <v>50</v>
      </c>
      <c r="S44" s="653" t="s">
        <v>50</v>
      </c>
      <c r="T44" s="650" t="s">
        <v>104</v>
      </c>
      <c r="U44" s="653" t="s">
        <v>104</v>
      </c>
      <c r="V44" s="698">
        <v>8</v>
      </c>
      <c r="W44" s="698">
        <v>8</v>
      </c>
      <c r="X44" s="698">
        <v>8</v>
      </c>
      <c r="Y44" s="698">
        <v>8</v>
      </c>
      <c r="Z44" s="699">
        <v>8</v>
      </c>
      <c r="AA44" s="700" t="s">
        <v>110</v>
      </c>
      <c r="AB44" s="700" t="s">
        <v>110</v>
      </c>
      <c r="AC44" s="653" t="s">
        <v>50</v>
      </c>
      <c r="AD44" s="653" t="s">
        <v>50</v>
      </c>
      <c r="AE44" s="700" t="s">
        <v>50</v>
      </c>
      <c r="AF44" s="700" t="s">
        <v>50</v>
      </c>
      <c r="AG44" s="701" t="s">
        <v>110</v>
      </c>
      <c r="AH44" s="115"/>
      <c r="AI44" s="116"/>
    </row>
    <row r="45" spans="1:38" ht="15.75" customHeight="1" x14ac:dyDescent="0.2">
      <c r="A45" s="688">
        <v>2</v>
      </c>
      <c r="B45" s="627" t="s">
        <v>111</v>
      </c>
      <c r="C45" s="629">
        <v>9</v>
      </c>
      <c r="D45" s="629">
        <v>9</v>
      </c>
      <c r="E45" s="629">
        <v>9</v>
      </c>
      <c r="F45" s="702" t="s">
        <v>70</v>
      </c>
      <c r="G45" s="702" t="s">
        <v>70</v>
      </c>
      <c r="H45" s="690" t="s">
        <v>50</v>
      </c>
      <c r="I45" s="690" t="s">
        <v>50</v>
      </c>
      <c r="J45" s="631" t="s">
        <v>50</v>
      </c>
      <c r="K45" s="631" t="s">
        <v>50</v>
      </c>
      <c r="L45" s="690" t="s">
        <v>50</v>
      </c>
      <c r="M45" s="690" t="s">
        <v>103</v>
      </c>
      <c r="N45" s="690" t="s">
        <v>104</v>
      </c>
      <c r="O45" s="691">
        <v>6</v>
      </c>
      <c r="P45" s="690">
        <v>6</v>
      </c>
      <c r="Q45" s="691">
        <v>6</v>
      </c>
      <c r="R45" s="689" t="s">
        <v>112</v>
      </c>
      <c r="S45" s="464">
        <v>6</v>
      </c>
      <c r="T45" s="691"/>
      <c r="U45" s="691"/>
      <c r="V45" s="691" t="s">
        <v>50</v>
      </c>
      <c r="W45" s="691" t="s">
        <v>50</v>
      </c>
      <c r="X45" s="691" t="s">
        <v>50</v>
      </c>
      <c r="Y45" s="690" t="s">
        <v>50</v>
      </c>
      <c r="Z45" s="690" t="s">
        <v>50</v>
      </c>
      <c r="AA45" s="690"/>
      <c r="AB45" s="690"/>
      <c r="AC45" s="689">
        <v>5</v>
      </c>
      <c r="AD45" s="689">
        <v>5</v>
      </c>
      <c r="AE45" s="689">
        <v>5</v>
      </c>
      <c r="AF45" s="689">
        <v>5</v>
      </c>
      <c r="AG45" s="703" t="s">
        <v>113</v>
      </c>
      <c r="AH45" s="115"/>
      <c r="AI45" s="116"/>
    </row>
    <row r="46" spans="1:38" ht="15.75" customHeight="1" x14ac:dyDescent="0.2">
      <c r="A46" s="692">
        <v>7</v>
      </c>
      <c r="B46" s="602" t="s">
        <v>114</v>
      </c>
      <c r="C46" s="704">
        <v>10</v>
      </c>
      <c r="D46" s="604">
        <v>10</v>
      </c>
      <c r="E46" s="604">
        <v>10</v>
      </c>
      <c r="F46" s="604" t="s">
        <v>106</v>
      </c>
      <c r="G46" s="643" t="s">
        <v>106</v>
      </c>
      <c r="H46" s="643" t="s">
        <v>50</v>
      </c>
      <c r="I46" s="600" t="s">
        <v>50</v>
      </c>
      <c r="J46" s="444" t="s">
        <v>50</v>
      </c>
      <c r="K46" s="444" t="s">
        <v>50</v>
      </c>
      <c r="L46" s="444" t="s">
        <v>50</v>
      </c>
      <c r="M46" s="444" t="s">
        <v>107</v>
      </c>
      <c r="N46" s="704" t="s">
        <v>107</v>
      </c>
      <c r="O46" s="704">
        <v>7</v>
      </c>
      <c r="P46" s="444">
        <v>7</v>
      </c>
      <c r="Q46" s="444">
        <v>7</v>
      </c>
      <c r="R46" s="444">
        <v>7</v>
      </c>
      <c r="S46" s="444">
        <v>7</v>
      </c>
      <c r="T46" s="444"/>
      <c r="U46" s="704"/>
      <c r="V46" s="704">
        <v>4</v>
      </c>
      <c r="W46" s="705">
        <v>4</v>
      </c>
      <c r="X46" s="643">
        <v>4</v>
      </c>
      <c r="Y46" s="634">
        <v>4</v>
      </c>
      <c r="Z46" s="634">
        <v>4</v>
      </c>
      <c r="AA46" s="643"/>
      <c r="AB46" s="643"/>
      <c r="AC46" s="643">
        <v>3</v>
      </c>
      <c r="AD46" s="643">
        <v>3</v>
      </c>
      <c r="AE46" s="643">
        <v>3</v>
      </c>
      <c r="AF46" s="643">
        <v>3</v>
      </c>
      <c r="AG46" s="645">
        <v>3</v>
      </c>
      <c r="AH46" s="115"/>
      <c r="AI46" s="116"/>
    </row>
    <row r="47" spans="1:38" ht="15.75" customHeight="1" x14ac:dyDescent="0.2">
      <c r="A47" s="694">
        <v>12</v>
      </c>
      <c r="B47" s="706" t="s">
        <v>115</v>
      </c>
      <c r="C47" s="696">
        <v>11</v>
      </c>
      <c r="D47" s="696">
        <v>11</v>
      </c>
      <c r="E47" s="696">
        <v>11</v>
      </c>
      <c r="F47" s="696" t="s">
        <v>109</v>
      </c>
      <c r="G47" s="707" t="s">
        <v>109</v>
      </c>
      <c r="H47" s="696" t="s">
        <v>50</v>
      </c>
      <c r="I47" s="696" t="s">
        <v>50</v>
      </c>
      <c r="J47" s="696" t="s">
        <v>50</v>
      </c>
      <c r="K47" s="696" t="s">
        <v>50</v>
      </c>
      <c r="L47" s="696" t="s">
        <v>50</v>
      </c>
      <c r="M47" s="696" t="s">
        <v>104</v>
      </c>
      <c r="N47" s="696" t="s">
        <v>104</v>
      </c>
      <c r="O47" s="707">
        <v>8</v>
      </c>
      <c r="P47" s="696">
        <v>8</v>
      </c>
      <c r="Q47" s="696">
        <v>8</v>
      </c>
      <c r="R47" s="696">
        <v>8</v>
      </c>
      <c r="S47" s="696">
        <v>8</v>
      </c>
      <c r="T47" s="696"/>
      <c r="U47" s="696"/>
      <c r="V47" s="696" t="s">
        <v>50</v>
      </c>
      <c r="W47" s="696" t="s">
        <v>50</v>
      </c>
      <c r="X47" s="696" t="s">
        <v>50</v>
      </c>
      <c r="Y47" s="696" t="s">
        <v>50</v>
      </c>
      <c r="Z47" s="696" t="s">
        <v>50</v>
      </c>
      <c r="AA47" s="696"/>
      <c r="AB47" s="696"/>
      <c r="AC47" s="707">
        <v>1</v>
      </c>
      <c r="AD47" s="696">
        <v>1</v>
      </c>
      <c r="AE47" s="696">
        <v>1</v>
      </c>
      <c r="AF47" s="708">
        <v>1</v>
      </c>
      <c r="AG47" s="709">
        <v>1</v>
      </c>
      <c r="AH47" s="115"/>
      <c r="AI47" s="116"/>
    </row>
    <row r="48" spans="1:38" ht="15.75" customHeight="1" x14ac:dyDescent="0.2">
      <c r="A48" s="688">
        <v>3</v>
      </c>
      <c r="B48" s="710" t="s">
        <v>116</v>
      </c>
      <c r="C48" s="711" t="s">
        <v>50</v>
      </c>
      <c r="D48" s="597" t="s">
        <v>50</v>
      </c>
      <c r="E48" s="712" t="s">
        <v>50</v>
      </c>
      <c r="F48" s="712" t="s">
        <v>103</v>
      </c>
      <c r="G48" s="712" t="s">
        <v>104</v>
      </c>
      <c r="H48" s="712">
        <v>6</v>
      </c>
      <c r="I48" s="712">
        <v>6</v>
      </c>
      <c r="J48" s="597">
        <v>6</v>
      </c>
      <c r="K48" s="597">
        <v>6</v>
      </c>
      <c r="L48" s="597">
        <v>6</v>
      </c>
      <c r="M48" s="597"/>
      <c r="N48" s="713">
        <v>22</v>
      </c>
      <c r="O48" s="597" t="s">
        <v>50</v>
      </c>
      <c r="P48" s="597" t="s">
        <v>50</v>
      </c>
      <c r="Q48" s="597" t="s">
        <v>50</v>
      </c>
      <c r="R48" s="712" t="s">
        <v>50</v>
      </c>
      <c r="S48" s="712" t="s">
        <v>50</v>
      </c>
      <c r="T48" s="712"/>
      <c r="U48" s="712"/>
      <c r="V48" s="597"/>
      <c r="W48" s="597">
        <v>5</v>
      </c>
      <c r="X48" s="711">
        <v>5</v>
      </c>
      <c r="Y48" s="712">
        <v>5</v>
      </c>
      <c r="Z48" s="712">
        <v>5</v>
      </c>
      <c r="AA48" s="712"/>
      <c r="AB48" s="712"/>
      <c r="AC48" s="596">
        <v>10</v>
      </c>
      <c r="AD48" s="714">
        <v>10</v>
      </c>
      <c r="AE48" s="714">
        <v>10</v>
      </c>
      <c r="AF48" s="714">
        <v>10</v>
      </c>
      <c r="AG48" s="715">
        <v>10</v>
      </c>
      <c r="AH48" s="115"/>
      <c r="AI48" s="116"/>
    </row>
    <row r="49" spans="1:38" ht="15.75" customHeight="1" x14ac:dyDescent="0.2">
      <c r="A49" s="692">
        <v>8</v>
      </c>
      <c r="B49" s="602" t="s">
        <v>117</v>
      </c>
      <c r="C49" s="444" t="s">
        <v>50</v>
      </c>
      <c r="D49" s="444" t="s">
        <v>50</v>
      </c>
      <c r="E49" s="444" t="s">
        <v>50</v>
      </c>
      <c r="F49" s="444" t="s">
        <v>107</v>
      </c>
      <c r="G49" s="444" t="s">
        <v>107</v>
      </c>
      <c r="H49" s="444">
        <v>7</v>
      </c>
      <c r="I49" s="603">
        <v>7</v>
      </c>
      <c r="J49" s="444">
        <v>7</v>
      </c>
      <c r="K49" s="444">
        <v>7</v>
      </c>
      <c r="L49" s="444">
        <v>7</v>
      </c>
      <c r="M49" s="444"/>
      <c r="N49" s="604"/>
      <c r="O49" s="444">
        <v>4</v>
      </c>
      <c r="P49" s="444">
        <v>4</v>
      </c>
      <c r="Q49" s="444">
        <v>4</v>
      </c>
      <c r="R49" s="444">
        <v>4</v>
      </c>
      <c r="S49" s="444">
        <v>4</v>
      </c>
      <c r="T49" s="444"/>
      <c r="U49" s="444"/>
      <c r="V49" s="643">
        <v>3</v>
      </c>
      <c r="W49" s="643">
        <v>3</v>
      </c>
      <c r="X49" s="600">
        <v>3</v>
      </c>
      <c r="Y49" s="643">
        <v>3</v>
      </c>
      <c r="Z49" s="643">
        <v>3</v>
      </c>
      <c r="AA49" s="643"/>
      <c r="AB49" s="643"/>
      <c r="AC49" s="643">
        <v>11</v>
      </c>
      <c r="AD49" s="604">
        <v>11</v>
      </c>
      <c r="AE49" s="604">
        <v>11</v>
      </c>
      <c r="AF49" s="634">
        <v>11</v>
      </c>
      <c r="AG49" s="716">
        <v>11</v>
      </c>
      <c r="AH49" s="115"/>
      <c r="AI49" s="116"/>
    </row>
    <row r="50" spans="1:38" ht="15.75" customHeight="1" x14ac:dyDescent="0.2">
      <c r="A50" s="694">
        <v>13</v>
      </c>
      <c r="B50" s="614" t="s">
        <v>118</v>
      </c>
      <c r="C50" s="654" t="s">
        <v>50</v>
      </c>
      <c r="D50" s="654" t="s">
        <v>50</v>
      </c>
      <c r="E50" s="653" t="s">
        <v>50</v>
      </c>
      <c r="F50" s="653" t="s">
        <v>104</v>
      </c>
      <c r="G50" s="717" t="s">
        <v>104</v>
      </c>
      <c r="H50" s="698">
        <v>8</v>
      </c>
      <c r="I50" s="698">
        <v>8</v>
      </c>
      <c r="J50" s="698">
        <v>8</v>
      </c>
      <c r="K50" s="698">
        <v>8</v>
      </c>
      <c r="L50" s="698">
        <v>8</v>
      </c>
      <c r="M50" s="653"/>
      <c r="N50" s="718"/>
      <c r="O50" s="718" t="s">
        <v>50</v>
      </c>
      <c r="P50" s="718" t="s">
        <v>50</v>
      </c>
      <c r="Q50" s="653" t="s">
        <v>50</v>
      </c>
      <c r="R50" s="653" t="s">
        <v>50</v>
      </c>
      <c r="S50" s="653" t="s">
        <v>50</v>
      </c>
      <c r="T50" s="653"/>
      <c r="U50" s="653"/>
      <c r="V50" s="653">
        <v>1</v>
      </c>
      <c r="W50" s="653">
        <v>1</v>
      </c>
      <c r="X50" s="653">
        <v>1</v>
      </c>
      <c r="Y50" s="719">
        <v>1</v>
      </c>
      <c r="Z50" s="653">
        <v>1</v>
      </c>
      <c r="AA50" s="653"/>
      <c r="AB50" s="653"/>
      <c r="AC50" s="720">
        <v>9</v>
      </c>
      <c r="AD50" s="720">
        <v>9</v>
      </c>
      <c r="AE50" s="720">
        <v>9</v>
      </c>
      <c r="AF50" s="720">
        <v>9</v>
      </c>
      <c r="AG50" s="721">
        <v>9</v>
      </c>
      <c r="AH50" s="115"/>
      <c r="AI50" s="116"/>
    </row>
    <row r="51" spans="1:38" ht="15.75" customHeight="1" x14ac:dyDescent="0.2">
      <c r="A51" s="688">
        <v>4</v>
      </c>
      <c r="B51" s="627" t="s">
        <v>119</v>
      </c>
      <c r="C51" s="690">
        <v>6</v>
      </c>
      <c r="D51" s="691">
        <v>6</v>
      </c>
      <c r="E51" s="690">
        <v>6</v>
      </c>
      <c r="F51" s="631"/>
      <c r="G51" s="631"/>
      <c r="H51" s="631" t="s">
        <v>50</v>
      </c>
      <c r="I51" s="631" t="s">
        <v>50</v>
      </c>
      <c r="J51" s="631" t="s">
        <v>50</v>
      </c>
      <c r="K51" s="631" t="s">
        <v>50</v>
      </c>
      <c r="L51" s="631" t="s">
        <v>50</v>
      </c>
      <c r="M51" s="631"/>
      <c r="N51" s="690"/>
      <c r="O51" s="691">
        <v>5</v>
      </c>
      <c r="P51" s="632">
        <v>5</v>
      </c>
      <c r="Q51" s="691">
        <v>5</v>
      </c>
      <c r="R51" s="691">
        <v>5</v>
      </c>
      <c r="S51" s="691">
        <v>5</v>
      </c>
      <c r="T51" s="690"/>
      <c r="U51" s="690"/>
      <c r="V51" s="702">
        <v>10</v>
      </c>
      <c r="W51" s="702">
        <v>10</v>
      </c>
      <c r="X51" s="702">
        <v>10</v>
      </c>
      <c r="Y51" s="702">
        <v>10</v>
      </c>
      <c r="Z51" s="702">
        <v>10</v>
      </c>
      <c r="AA51" s="643" t="s">
        <v>106</v>
      </c>
      <c r="AB51" s="643" t="s">
        <v>106</v>
      </c>
      <c r="AC51" s="690" t="s">
        <v>50</v>
      </c>
      <c r="AD51" s="690" t="s">
        <v>50</v>
      </c>
      <c r="AE51" s="691" t="s">
        <v>50</v>
      </c>
      <c r="AF51" s="690" t="s">
        <v>50</v>
      </c>
      <c r="AG51" s="722" t="s">
        <v>50</v>
      </c>
      <c r="AH51" s="115"/>
      <c r="AI51" s="116"/>
    </row>
    <row r="52" spans="1:38" ht="15.75" customHeight="1" x14ac:dyDescent="0.2">
      <c r="A52" s="692">
        <v>9</v>
      </c>
      <c r="B52" s="602" t="s">
        <v>120</v>
      </c>
      <c r="C52" s="643">
        <v>7</v>
      </c>
      <c r="D52" s="643">
        <v>7</v>
      </c>
      <c r="E52" s="643">
        <v>7</v>
      </c>
      <c r="F52" s="643"/>
      <c r="G52" s="643"/>
      <c r="H52" s="634">
        <v>4</v>
      </c>
      <c r="I52" s="643">
        <v>4</v>
      </c>
      <c r="J52" s="643">
        <v>4</v>
      </c>
      <c r="K52" s="723">
        <v>4</v>
      </c>
      <c r="L52" s="634">
        <v>4</v>
      </c>
      <c r="M52" s="643"/>
      <c r="N52" s="643"/>
      <c r="O52" s="634">
        <v>3</v>
      </c>
      <c r="P52" s="634">
        <v>3</v>
      </c>
      <c r="Q52" s="634">
        <v>3</v>
      </c>
      <c r="R52" s="634">
        <v>3</v>
      </c>
      <c r="S52" s="634">
        <v>3</v>
      </c>
      <c r="T52" s="643"/>
      <c r="U52" s="643"/>
      <c r="V52" s="643">
        <v>11</v>
      </c>
      <c r="W52" s="643">
        <v>11</v>
      </c>
      <c r="X52" s="643">
        <v>11</v>
      </c>
      <c r="Y52" s="643">
        <v>11</v>
      </c>
      <c r="Z52" s="643">
        <v>11</v>
      </c>
      <c r="AA52" s="643" t="s">
        <v>109</v>
      </c>
      <c r="AB52" s="643" t="s">
        <v>109</v>
      </c>
      <c r="AC52" s="643" t="s">
        <v>50</v>
      </c>
      <c r="AD52" s="643" t="s">
        <v>50</v>
      </c>
      <c r="AE52" s="643" t="s">
        <v>50</v>
      </c>
      <c r="AF52" s="643" t="s">
        <v>50</v>
      </c>
      <c r="AG52" s="645" t="s">
        <v>50</v>
      </c>
      <c r="AH52" s="115"/>
      <c r="AI52" s="116"/>
    </row>
    <row r="53" spans="1:38" ht="15.75" customHeight="1" x14ac:dyDescent="0.2">
      <c r="A53" s="694">
        <v>14</v>
      </c>
      <c r="B53" s="614" t="s">
        <v>121</v>
      </c>
      <c r="C53" s="654">
        <v>8</v>
      </c>
      <c r="D53" s="653">
        <v>8</v>
      </c>
      <c r="E53" s="653">
        <v>8</v>
      </c>
      <c r="F53" s="653"/>
      <c r="G53" s="718"/>
      <c r="H53" s="718" t="s">
        <v>50</v>
      </c>
      <c r="I53" s="718" t="s">
        <v>50</v>
      </c>
      <c r="J53" s="653" t="s">
        <v>50</v>
      </c>
      <c r="K53" s="653" t="s">
        <v>50</v>
      </c>
      <c r="L53" s="653" t="s">
        <v>50</v>
      </c>
      <c r="M53" s="653"/>
      <c r="N53" s="653"/>
      <c r="O53" s="652">
        <v>1</v>
      </c>
      <c r="P53" s="652">
        <v>1</v>
      </c>
      <c r="Q53" s="652">
        <v>1</v>
      </c>
      <c r="R53" s="652">
        <v>1</v>
      </c>
      <c r="S53" s="652">
        <v>1</v>
      </c>
      <c r="T53" s="653"/>
      <c r="U53" s="653"/>
      <c r="V53" s="653">
        <v>9</v>
      </c>
      <c r="W53" s="653">
        <v>9</v>
      </c>
      <c r="X53" s="654">
        <v>9</v>
      </c>
      <c r="Y53" s="653">
        <v>9</v>
      </c>
      <c r="Z53" s="653">
        <v>9</v>
      </c>
      <c r="AA53" s="653" t="s">
        <v>70</v>
      </c>
      <c r="AB53" s="653" t="s">
        <v>70</v>
      </c>
      <c r="AC53" s="654" t="s">
        <v>50</v>
      </c>
      <c r="AD53" s="653" t="s">
        <v>50</v>
      </c>
      <c r="AE53" s="653" t="s">
        <v>50</v>
      </c>
      <c r="AF53" s="654" t="s">
        <v>50</v>
      </c>
      <c r="AG53" s="656" t="s">
        <v>50</v>
      </c>
      <c r="AH53" s="115"/>
      <c r="AI53" s="116"/>
      <c r="AK53" t="s">
        <v>0</v>
      </c>
    </row>
    <row r="54" spans="1:38" ht="15.75" customHeight="1" x14ac:dyDescent="0.2">
      <c r="A54" s="688">
        <v>5</v>
      </c>
      <c r="B54" s="602" t="s">
        <v>122</v>
      </c>
      <c r="C54" s="631" t="s">
        <v>50</v>
      </c>
      <c r="D54" s="631" t="s">
        <v>50</v>
      </c>
      <c r="E54" s="631" t="s">
        <v>50</v>
      </c>
      <c r="F54" s="702"/>
      <c r="G54" s="691"/>
      <c r="H54" s="724">
        <v>5</v>
      </c>
      <c r="I54" s="724">
        <v>5</v>
      </c>
      <c r="J54" s="724">
        <v>5</v>
      </c>
      <c r="K54" s="690"/>
      <c r="L54" s="725">
        <v>5</v>
      </c>
      <c r="M54" s="690"/>
      <c r="N54" s="726"/>
      <c r="O54" s="631">
        <v>10</v>
      </c>
      <c r="P54" s="690">
        <v>10</v>
      </c>
      <c r="Q54" s="690">
        <v>10</v>
      </c>
      <c r="R54" s="631">
        <v>10</v>
      </c>
      <c r="S54" s="690">
        <v>10</v>
      </c>
      <c r="T54" s="690" t="s">
        <v>106</v>
      </c>
      <c r="U54" s="691" t="s">
        <v>106</v>
      </c>
      <c r="V54" s="691" t="s">
        <v>50</v>
      </c>
      <c r="W54" s="691" t="s">
        <v>50</v>
      </c>
      <c r="X54" s="691" t="s">
        <v>50</v>
      </c>
      <c r="Y54" s="726" t="s">
        <v>50</v>
      </c>
      <c r="Z54" s="691" t="s">
        <v>50</v>
      </c>
      <c r="AA54" s="691" t="s">
        <v>107</v>
      </c>
      <c r="AB54" s="691" t="s">
        <v>107</v>
      </c>
      <c r="AC54" s="727">
        <v>7</v>
      </c>
      <c r="AD54" s="727">
        <v>7</v>
      </c>
      <c r="AE54" s="727">
        <v>7</v>
      </c>
      <c r="AF54" s="727">
        <v>7</v>
      </c>
      <c r="AG54" s="727">
        <v>7</v>
      </c>
      <c r="AH54" s="115"/>
      <c r="AI54" s="116"/>
    </row>
    <row r="55" spans="1:38" ht="15.75" customHeight="1" x14ac:dyDescent="0.2">
      <c r="A55" s="692">
        <v>10</v>
      </c>
      <c r="B55" s="602" t="s">
        <v>123</v>
      </c>
      <c r="C55" s="604">
        <v>4</v>
      </c>
      <c r="D55" s="604">
        <v>4</v>
      </c>
      <c r="E55" s="604">
        <v>4</v>
      </c>
      <c r="F55" s="604"/>
      <c r="G55" s="603"/>
      <c r="H55" s="603">
        <v>3</v>
      </c>
      <c r="I55" s="603">
        <v>3</v>
      </c>
      <c r="J55" s="603">
        <v>3</v>
      </c>
      <c r="K55" s="603">
        <v>3</v>
      </c>
      <c r="L55" s="603">
        <v>3</v>
      </c>
      <c r="M55" s="603"/>
      <c r="N55" s="603"/>
      <c r="O55" s="604">
        <v>11</v>
      </c>
      <c r="P55" s="604">
        <v>11</v>
      </c>
      <c r="Q55" s="604">
        <v>11</v>
      </c>
      <c r="R55" s="604">
        <v>11</v>
      </c>
      <c r="S55" s="604">
        <v>11</v>
      </c>
      <c r="T55" s="603" t="s">
        <v>109</v>
      </c>
      <c r="U55" s="603" t="s">
        <v>109</v>
      </c>
      <c r="V55" s="444" t="s">
        <v>50</v>
      </c>
      <c r="W55" s="444" t="s">
        <v>50</v>
      </c>
      <c r="X55" s="444" t="s">
        <v>50</v>
      </c>
      <c r="Y55" s="444" t="s">
        <v>50</v>
      </c>
      <c r="Z55" s="444" t="s">
        <v>50</v>
      </c>
      <c r="AA55" s="444" t="s">
        <v>104</v>
      </c>
      <c r="AB55" s="444" t="s">
        <v>104</v>
      </c>
      <c r="AC55" s="643">
        <v>8</v>
      </c>
      <c r="AD55" s="643">
        <v>8</v>
      </c>
      <c r="AE55" s="643">
        <v>8</v>
      </c>
      <c r="AF55" s="643">
        <v>8</v>
      </c>
      <c r="AG55" s="645">
        <v>8</v>
      </c>
      <c r="AH55" s="115"/>
      <c r="AI55" s="116"/>
    </row>
    <row r="56" spans="1:38" ht="15.75" customHeight="1" x14ac:dyDescent="0.2">
      <c r="A56" s="694">
        <v>15</v>
      </c>
      <c r="B56" s="614" t="s">
        <v>124</v>
      </c>
      <c r="C56" s="653" t="s">
        <v>50</v>
      </c>
      <c r="D56" s="653" t="s">
        <v>50</v>
      </c>
      <c r="E56" s="653" t="s">
        <v>50</v>
      </c>
      <c r="F56" s="718"/>
      <c r="G56" s="718"/>
      <c r="H56" s="720">
        <v>1</v>
      </c>
      <c r="I56" s="720">
        <v>1</v>
      </c>
      <c r="J56" s="720">
        <v>1</v>
      </c>
      <c r="K56" s="720">
        <v>1</v>
      </c>
      <c r="L56" s="720">
        <v>1</v>
      </c>
      <c r="M56" s="720"/>
      <c r="N56" s="720"/>
      <c r="O56" s="720">
        <v>9</v>
      </c>
      <c r="P56" s="720">
        <v>9</v>
      </c>
      <c r="Q56" s="720">
        <v>9</v>
      </c>
      <c r="R56" s="720">
        <v>9</v>
      </c>
      <c r="S56" s="720">
        <v>9</v>
      </c>
      <c r="T56" s="720" t="s">
        <v>70</v>
      </c>
      <c r="U56" s="720" t="s">
        <v>106</v>
      </c>
      <c r="V56" s="720" t="s">
        <v>50</v>
      </c>
      <c r="W56" s="720" t="s">
        <v>50</v>
      </c>
      <c r="X56" s="720" t="s">
        <v>50</v>
      </c>
      <c r="Y56" s="720" t="s">
        <v>50</v>
      </c>
      <c r="Z56" s="720" t="s">
        <v>50</v>
      </c>
      <c r="AA56" s="720" t="s">
        <v>103</v>
      </c>
      <c r="AB56" s="720" t="s">
        <v>104</v>
      </c>
      <c r="AC56" s="653">
        <v>6</v>
      </c>
      <c r="AD56" s="653">
        <v>6</v>
      </c>
      <c r="AE56" s="654">
        <v>6</v>
      </c>
      <c r="AF56" s="654">
        <v>6</v>
      </c>
      <c r="AG56" s="728">
        <v>6</v>
      </c>
      <c r="AH56" s="115"/>
      <c r="AI56" s="116"/>
    </row>
    <row r="57" spans="1:38" ht="15.75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38" ht="15.75" customHeight="1" x14ac:dyDescent="0.2">
      <c r="A58" s="69"/>
      <c r="B58" s="42" t="s">
        <v>125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38" ht="15.75" customHeight="1" x14ac:dyDescent="0.2">
      <c r="A59" s="568" t="s">
        <v>43</v>
      </c>
      <c r="B59" s="568"/>
      <c r="C59" s="567"/>
      <c r="D59" s="568" t="s">
        <v>17</v>
      </c>
      <c r="E59" s="566"/>
      <c r="F59" s="567"/>
      <c r="G59" s="568" t="s">
        <v>18</v>
      </c>
      <c r="H59" s="566"/>
      <c r="I59" s="567"/>
      <c r="J59" s="568" t="s">
        <v>19</v>
      </c>
      <c r="K59" s="566"/>
      <c r="L59" s="567"/>
      <c r="M59" s="568" t="s">
        <v>20</v>
      </c>
      <c r="N59" s="566"/>
      <c r="O59" s="567"/>
      <c r="P59" s="568" t="s">
        <v>21</v>
      </c>
      <c r="Q59" s="566"/>
      <c r="R59" s="563"/>
      <c r="S59" s="564" t="s">
        <v>22</v>
      </c>
      <c r="T59" s="566"/>
      <c r="U59" s="567"/>
      <c r="V59" s="568" t="s">
        <v>23</v>
      </c>
      <c r="W59" s="566"/>
      <c r="X59" s="729" t="s">
        <v>126</v>
      </c>
      <c r="Y59" s="566"/>
      <c r="Z59" s="566"/>
      <c r="AA59" s="730"/>
      <c r="AB59" s="556"/>
      <c r="AC59" s="556"/>
      <c r="AD59" s="556"/>
      <c r="AE59" s="556"/>
      <c r="AF59" s="556"/>
      <c r="AG59" s="557"/>
      <c r="AH59" s="1"/>
    </row>
    <row r="60" spans="1:38" ht="15.75" customHeight="1" x14ac:dyDescent="0.2">
      <c r="A60" s="731">
        <v>8517</v>
      </c>
      <c r="B60" s="732" t="s">
        <v>127</v>
      </c>
      <c r="C60" s="733" t="s">
        <v>128</v>
      </c>
      <c r="D60" s="734"/>
      <c r="E60" s="550"/>
      <c r="F60" s="733" t="s">
        <v>128</v>
      </c>
      <c r="G60" s="734"/>
      <c r="H60" s="550"/>
      <c r="I60" s="733" t="s">
        <v>128</v>
      </c>
      <c r="J60" s="734"/>
      <c r="K60" s="550"/>
      <c r="L60" s="733" t="s">
        <v>128</v>
      </c>
      <c r="M60" s="734"/>
      <c r="N60" s="550"/>
      <c r="O60" s="733" t="s">
        <v>129</v>
      </c>
      <c r="P60" s="734"/>
      <c r="Q60" s="550"/>
      <c r="R60" s="733"/>
      <c r="S60" s="734"/>
      <c r="T60" s="550"/>
      <c r="U60" s="733" t="s">
        <v>130</v>
      </c>
      <c r="V60" s="734"/>
      <c r="W60" s="550"/>
      <c r="X60" s="548"/>
      <c r="Y60" s="556"/>
      <c r="Z60" s="556"/>
      <c r="AA60" s="556"/>
      <c r="AB60" s="556"/>
      <c r="AC60" s="556"/>
      <c r="AD60" s="556"/>
      <c r="AE60" s="556"/>
      <c r="AF60" s="556"/>
      <c r="AG60" s="557"/>
      <c r="AH60" s="1"/>
    </row>
    <row r="61" spans="1:38" ht="15.75" customHeight="1" x14ac:dyDescent="0.2">
      <c r="B61" s="598" t="s">
        <v>131</v>
      </c>
      <c r="C61" s="427" t="s">
        <v>132</v>
      </c>
      <c r="D61" s="428"/>
      <c r="E61" s="735"/>
      <c r="F61" s="427" t="s">
        <v>132</v>
      </c>
      <c r="G61" s="736"/>
      <c r="H61" s="735"/>
      <c r="I61" s="733" t="s">
        <v>132</v>
      </c>
      <c r="J61" s="734"/>
      <c r="K61" s="737"/>
      <c r="L61" s="733" t="s">
        <v>132</v>
      </c>
      <c r="M61" s="734"/>
      <c r="N61" s="737"/>
      <c r="O61" s="733" t="s">
        <v>133</v>
      </c>
      <c r="P61" s="734"/>
      <c r="Q61" s="550"/>
      <c r="R61" s="738" t="s">
        <v>0</v>
      </c>
      <c r="S61" s="734"/>
      <c r="T61" s="737"/>
      <c r="U61" s="734" t="s">
        <v>0</v>
      </c>
      <c r="V61" s="734"/>
      <c r="W61" s="550"/>
      <c r="X61" s="386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38" ht="15.75" customHeight="1" x14ac:dyDescent="0.2">
      <c r="A62" s="739"/>
      <c r="B62" s="732" t="s">
        <v>134</v>
      </c>
      <c r="C62" s="427" t="s">
        <v>135</v>
      </c>
      <c r="D62" s="428"/>
      <c r="E62" s="736"/>
      <c r="F62" s="427" t="s">
        <v>135</v>
      </c>
      <c r="G62" s="428"/>
      <c r="H62" s="736"/>
      <c r="I62" s="427" t="s">
        <v>135</v>
      </c>
      <c r="J62" s="428"/>
      <c r="K62" s="736"/>
      <c r="L62" s="427" t="s">
        <v>135</v>
      </c>
      <c r="M62" s="428"/>
      <c r="N62" s="736"/>
      <c r="O62" s="427" t="s">
        <v>136</v>
      </c>
      <c r="P62" s="428"/>
      <c r="Q62" s="736"/>
      <c r="R62" s="387"/>
      <c r="S62" s="208"/>
      <c r="T62" s="735"/>
      <c r="U62" s="428"/>
      <c r="V62" s="428"/>
      <c r="W62" s="736"/>
      <c r="X62" s="548"/>
      <c r="Y62" s="556"/>
      <c r="Z62" s="556"/>
      <c r="AA62" s="556"/>
      <c r="AB62" s="556"/>
      <c r="AC62" s="556"/>
      <c r="AD62" s="556"/>
      <c r="AE62" s="556"/>
      <c r="AF62" s="556"/>
      <c r="AG62" s="557"/>
      <c r="AH62" s="1"/>
      <c r="AL62" t="s">
        <v>0</v>
      </c>
    </row>
    <row r="63" spans="1:38" ht="15.75" customHeight="1" x14ac:dyDescent="0.2">
      <c r="A63" s="568"/>
      <c r="B63" s="732"/>
      <c r="C63" s="740"/>
      <c r="D63" s="741"/>
      <c r="E63" s="742"/>
      <c r="F63" s="740"/>
      <c r="G63" s="741"/>
      <c r="H63" s="742"/>
      <c r="I63" s="740"/>
      <c r="J63" s="741"/>
      <c r="K63" s="742"/>
      <c r="L63" s="740"/>
      <c r="M63" s="741"/>
      <c r="N63" s="742"/>
      <c r="O63" s="740"/>
      <c r="P63" s="741"/>
      <c r="Q63" s="742"/>
      <c r="R63" s="740"/>
      <c r="S63" s="741"/>
      <c r="T63" s="742"/>
      <c r="U63" s="740"/>
      <c r="V63" s="741"/>
      <c r="W63" s="742"/>
      <c r="X63" s="550"/>
      <c r="Y63" s="556"/>
      <c r="Z63" s="556"/>
      <c r="AA63" s="556"/>
      <c r="AB63" s="556"/>
      <c r="AC63" s="556"/>
      <c r="AD63" s="556"/>
      <c r="AE63" s="556"/>
      <c r="AF63" s="556"/>
      <c r="AG63" s="557"/>
      <c r="AH63" s="1"/>
      <c r="AJ63" t="s">
        <v>137</v>
      </c>
    </row>
    <row r="64" spans="1:38" ht="15.75" customHeight="1" x14ac:dyDescent="0.2">
      <c r="A64" s="37"/>
      <c r="B64" s="62"/>
      <c r="C64" s="46"/>
      <c r="D64" s="46"/>
      <c r="E64" s="6"/>
      <c r="F64" s="46"/>
      <c r="G64" s="46"/>
      <c r="H64" s="6"/>
      <c r="I64" s="46"/>
      <c r="J64" s="46"/>
      <c r="K64" s="6"/>
      <c r="L64" s="46"/>
      <c r="M64" s="46"/>
      <c r="N64" s="6"/>
      <c r="O64" s="46"/>
      <c r="P64" s="46"/>
      <c r="Q64" s="6"/>
      <c r="R64" s="46"/>
      <c r="S64" s="46"/>
      <c r="T64" s="6"/>
      <c r="U64" s="46"/>
      <c r="V64" s="46"/>
      <c r="W64" s="6"/>
      <c r="X64" s="6"/>
      <c r="Y64" s="48"/>
      <c r="Z64" s="48"/>
      <c r="AA64" s="48"/>
      <c r="AB64" s="48"/>
      <c r="AC64" s="48"/>
      <c r="AD64" s="48"/>
      <c r="AE64" s="48"/>
      <c r="AF64" s="48"/>
      <c r="AG64" s="48"/>
      <c r="AH64" s="1"/>
    </row>
    <row r="65" spans="1:41" ht="15.75" customHeight="1" thickBot="1" x14ac:dyDescent="0.25">
      <c r="A65" s="743"/>
      <c r="B65" s="744" t="s">
        <v>44</v>
      </c>
      <c r="C65" s="582">
        <v>1</v>
      </c>
      <c r="D65" s="583">
        <v>2</v>
      </c>
      <c r="E65" s="583">
        <v>3</v>
      </c>
      <c r="F65" s="582">
        <v>4</v>
      </c>
      <c r="G65" s="582">
        <v>5</v>
      </c>
      <c r="H65" s="583">
        <v>6</v>
      </c>
      <c r="I65" s="583">
        <v>7</v>
      </c>
      <c r="J65" s="583">
        <v>8</v>
      </c>
      <c r="K65" s="582">
        <v>9</v>
      </c>
      <c r="L65" s="583">
        <v>10</v>
      </c>
      <c r="M65" s="582">
        <v>11</v>
      </c>
      <c r="N65" s="582">
        <v>12</v>
      </c>
      <c r="O65" s="583">
        <v>13</v>
      </c>
      <c r="P65" s="583">
        <v>14</v>
      </c>
      <c r="Q65" s="583">
        <v>15</v>
      </c>
      <c r="R65" s="583">
        <v>16</v>
      </c>
      <c r="S65" s="583">
        <v>17</v>
      </c>
      <c r="T65" s="582">
        <v>18</v>
      </c>
      <c r="U65" s="582">
        <v>19</v>
      </c>
      <c r="V65" s="582">
        <v>20</v>
      </c>
      <c r="W65" s="583">
        <v>21</v>
      </c>
      <c r="X65" s="583">
        <v>22</v>
      </c>
      <c r="Y65" s="583">
        <v>23</v>
      </c>
      <c r="Z65" s="583">
        <v>24</v>
      </c>
      <c r="AA65" s="582">
        <v>25</v>
      </c>
      <c r="AB65" s="582">
        <v>26</v>
      </c>
      <c r="AC65" s="583">
        <v>27</v>
      </c>
      <c r="AD65" s="583">
        <v>28</v>
      </c>
      <c r="AE65" s="583">
        <v>29</v>
      </c>
      <c r="AF65" s="583">
        <v>30</v>
      </c>
      <c r="AG65" s="583">
        <v>31</v>
      </c>
      <c r="AH65" s="1"/>
      <c r="AJ65" s="579" t="s">
        <v>41</v>
      </c>
      <c r="AK65" s="579" t="s">
        <v>62</v>
      </c>
      <c r="AL65" s="579" t="s">
        <v>63</v>
      </c>
      <c r="AM65" s="579" t="s">
        <v>64</v>
      </c>
      <c r="AN65" s="579" t="s">
        <v>65</v>
      </c>
      <c r="AO65" s="579" t="s">
        <v>66</v>
      </c>
    </row>
    <row r="66" spans="1:41" ht="15.75" customHeight="1" x14ac:dyDescent="0.2">
      <c r="A66" s="745"/>
      <c r="B66" s="746" t="s">
        <v>138</v>
      </c>
      <c r="C66" s="631"/>
      <c r="D66" s="702" t="s">
        <v>46</v>
      </c>
      <c r="E66" s="631" t="s">
        <v>139</v>
      </c>
      <c r="F66" s="631" t="s">
        <v>140</v>
      </c>
      <c r="G66" s="631" t="s">
        <v>141</v>
      </c>
      <c r="H66" s="702" t="s">
        <v>50</v>
      </c>
      <c r="I66" s="702" t="s">
        <v>50</v>
      </c>
      <c r="J66" s="702" t="s">
        <v>50</v>
      </c>
      <c r="K66" s="631"/>
      <c r="L66" s="631">
        <v>26</v>
      </c>
      <c r="M66" s="702"/>
      <c r="N66" s="702"/>
      <c r="O66" s="631" t="s">
        <v>142</v>
      </c>
      <c r="P66" s="631" t="s">
        <v>142</v>
      </c>
      <c r="Q66" s="631" t="s">
        <v>142</v>
      </c>
      <c r="R66" s="631" t="s">
        <v>142</v>
      </c>
      <c r="S66" s="631" t="s">
        <v>142</v>
      </c>
      <c r="T66" s="631" t="s">
        <v>143</v>
      </c>
      <c r="U66" s="631" t="s">
        <v>143</v>
      </c>
      <c r="V66" s="631"/>
      <c r="W66" s="702" t="s">
        <v>50</v>
      </c>
      <c r="X66" s="702" t="s">
        <v>50</v>
      </c>
      <c r="Y66" s="702" t="s">
        <v>50</v>
      </c>
      <c r="Z66" s="702" t="s">
        <v>50</v>
      </c>
      <c r="AA66" s="631"/>
      <c r="AB66" s="631">
        <v>26</v>
      </c>
      <c r="AC66" s="631">
        <v>26</v>
      </c>
      <c r="AD66" s="631">
        <v>26</v>
      </c>
      <c r="AE66" s="631">
        <v>26</v>
      </c>
      <c r="AF66" s="631">
        <v>26</v>
      </c>
      <c r="AG66" s="747">
        <v>26</v>
      </c>
      <c r="AH66" s="1"/>
      <c r="AJ66" s="638">
        <v>180</v>
      </c>
      <c r="AK66" s="638">
        <v>11.25</v>
      </c>
      <c r="AL66" s="638">
        <f>IF(AJ66="","",SUM(AJ66:AK66))</f>
        <v>191.25</v>
      </c>
      <c r="AM66" s="639">
        <f t="shared" ref="AM66:AM96" si="0">IF(AJ66="","",AL66-_xlfn.SINGLE(NormTid))</f>
        <v>30.919999999999987</v>
      </c>
      <c r="AN66" s="639">
        <f>IF(AM66="","",AM66+AO66)</f>
        <v>96.1</v>
      </c>
      <c r="AO66" s="638">
        <v>65.180000000000007</v>
      </c>
    </row>
    <row r="67" spans="1:41" ht="15.75" customHeight="1" x14ac:dyDescent="0.2">
      <c r="A67" s="748"/>
      <c r="B67" s="749" t="s">
        <v>144</v>
      </c>
      <c r="C67" s="444"/>
      <c r="D67" s="723">
        <v>25</v>
      </c>
      <c r="E67" s="723">
        <v>25</v>
      </c>
      <c r="F67" s="750" t="s">
        <v>143</v>
      </c>
      <c r="G67" s="750" t="s">
        <v>143</v>
      </c>
      <c r="H67" s="600" t="s">
        <v>142</v>
      </c>
      <c r="I67" s="600" t="s">
        <v>142</v>
      </c>
      <c r="J67" s="600" t="s">
        <v>142</v>
      </c>
      <c r="K67" s="600" t="s">
        <v>143</v>
      </c>
      <c r="L67" s="600" t="s">
        <v>142</v>
      </c>
      <c r="M67" s="600" t="s">
        <v>143</v>
      </c>
      <c r="N67" s="600" t="s">
        <v>143</v>
      </c>
      <c r="O67" s="444" t="s">
        <v>50</v>
      </c>
      <c r="P67" s="444" t="s">
        <v>50</v>
      </c>
      <c r="Q67" s="751" t="s">
        <v>46</v>
      </c>
      <c r="R67" s="751" t="s">
        <v>46</v>
      </c>
      <c r="S67" s="751" t="s">
        <v>46</v>
      </c>
      <c r="T67" s="444" t="s">
        <v>68</v>
      </c>
      <c r="U67" s="444" t="s">
        <v>68</v>
      </c>
      <c r="V67" s="600"/>
      <c r="W67" s="600">
        <v>26</v>
      </c>
      <c r="X67" s="750">
        <v>26</v>
      </c>
      <c r="Y67" s="600">
        <v>26</v>
      </c>
      <c r="Z67" s="600">
        <v>26</v>
      </c>
      <c r="AA67" s="601" t="s">
        <v>0</v>
      </c>
      <c r="AB67" s="601" t="s">
        <v>0</v>
      </c>
      <c r="AC67" s="600">
        <v>1</v>
      </c>
      <c r="AD67" s="600">
        <v>21</v>
      </c>
      <c r="AE67" s="601" t="s">
        <v>50</v>
      </c>
      <c r="AF67" s="601" t="s">
        <v>50</v>
      </c>
      <c r="AG67" s="752" t="s">
        <v>145</v>
      </c>
      <c r="AH67" s="1"/>
      <c r="AJ67" s="638">
        <v>173.75</v>
      </c>
      <c r="AK67" s="638">
        <v>10.5</v>
      </c>
      <c r="AL67" s="638">
        <f t="shared" ref="AL67:AL96" si="1">IF(AJ67="","",SUM(AJ67:AK67))</f>
        <v>184.25</v>
      </c>
      <c r="AM67" s="639">
        <f t="shared" si="0"/>
        <v>23.919999999999987</v>
      </c>
      <c r="AN67" s="639">
        <f t="shared" ref="AN67:AN96" si="2">IF(AM67="","",AM67+AO67)</f>
        <v>-29.900000000000013</v>
      </c>
      <c r="AO67" s="753">
        <v>-53.82</v>
      </c>
    </row>
    <row r="68" spans="1:41" ht="15.75" customHeight="1" x14ac:dyDescent="0.2">
      <c r="A68" s="748"/>
      <c r="B68" s="754" t="s">
        <v>146</v>
      </c>
      <c r="C68" s="600"/>
      <c r="D68" s="634" t="s">
        <v>46</v>
      </c>
      <c r="E68" s="634" t="s">
        <v>46</v>
      </c>
      <c r="F68" s="600"/>
      <c r="G68" s="600"/>
      <c r="H68" s="755">
        <v>25</v>
      </c>
      <c r="I68" s="755">
        <v>25</v>
      </c>
      <c r="J68" s="756">
        <v>25</v>
      </c>
      <c r="K68" s="600"/>
      <c r="L68" s="604" t="s">
        <v>145</v>
      </c>
      <c r="M68" s="643" t="s">
        <v>147</v>
      </c>
      <c r="N68" s="643" t="s">
        <v>148</v>
      </c>
      <c r="O68" s="444" t="s">
        <v>50</v>
      </c>
      <c r="P68" s="444" t="s">
        <v>50</v>
      </c>
      <c r="Q68" s="444" t="s">
        <v>50</v>
      </c>
      <c r="R68" s="444" t="s">
        <v>46</v>
      </c>
      <c r="S68" s="600" t="s">
        <v>50</v>
      </c>
      <c r="T68" s="600" t="s">
        <v>68</v>
      </c>
      <c r="U68" s="600" t="s">
        <v>71</v>
      </c>
      <c r="V68" s="600"/>
      <c r="W68" s="600" t="s">
        <v>50</v>
      </c>
      <c r="X68" s="444" t="s">
        <v>50</v>
      </c>
      <c r="Y68" s="444" t="s">
        <v>50</v>
      </c>
      <c r="Z68" s="600" t="s">
        <v>149</v>
      </c>
      <c r="AA68" s="600" t="s">
        <v>150</v>
      </c>
      <c r="AB68" s="600" t="s">
        <v>71</v>
      </c>
      <c r="AC68" s="444" t="s">
        <v>50</v>
      </c>
      <c r="AD68" s="444" t="s">
        <v>50</v>
      </c>
      <c r="AE68" s="600" t="s">
        <v>50</v>
      </c>
      <c r="AF68" s="600" t="s">
        <v>50</v>
      </c>
      <c r="AG68" s="637" t="s">
        <v>149</v>
      </c>
      <c r="AH68" s="1"/>
      <c r="AJ68" s="638">
        <v>133</v>
      </c>
      <c r="AK68" s="638">
        <v>9</v>
      </c>
      <c r="AL68" s="638">
        <f t="shared" si="1"/>
        <v>142</v>
      </c>
      <c r="AM68" s="639">
        <f t="shared" si="0"/>
        <v>-18.330000000000013</v>
      </c>
      <c r="AN68" s="639">
        <f t="shared" si="2"/>
        <v>-36.400000000000013</v>
      </c>
      <c r="AO68" s="753">
        <v>-18.07</v>
      </c>
    </row>
    <row r="69" spans="1:41" ht="15.75" customHeight="1" x14ac:dyDescent="0.2">
      <c r="A69" s="748"/>
      <c r="B69" s="754" t="s">
        <v>151</v>
      </c>
      <c r="C69" s="600"/>
      <c r="D69" s="600" t="s">
        <v>50</v>
      </c>
      <c r="E69" s="600" t="s">
        <v>50</v>
      </c>
      <c r="F69" s="643"/>
      <c r="G69" s="643" t="s">
        <v>109</v>
      </c>
      <c r="H69" s="600" t="s">
        <v>50</v>
      </c>
      <c r="I69" s="600" t="s">
        <v>50</v>
      </c>
      <c r="J69" s="600" t="s">
        <v>46</v>
      </c>
      <c r="K69" s="643"/>
      <c r="L69" s="604">
        <v>4</v>
      </c>
      <c r="M69" s="643"/>
      <c r="N69" s="604" t="s">
        <v>68</v>
      </c>
      <c r="O69" s="604" t="s">
        <v>152</v>
      </c>
      <c r="P69" s="604" t="s">
        <v>152</v>
      </c>
      <c r="Q69" s="757" t="s">
        <v>46</v>
      </c>
      <c r="R69" s="643" t="s">
        <v>77</v>
      </c>
      <c r="S69" s="643" t="s">
        <v>153</v>
      </c>
      <c r="T69" s="643"/>
      <c r="U69" s="643"/>
      <c r="V69" s="643"/>
      <c r="W69" s="643" t="s">
        <v>153</v>
      </c>
      <c r="X69" s="643" t="s">
        <v>153</v>
      </c>
      <c r="Y69" s="600">
        <v>25</v>
      </c>
      <c r="Z69" s="643" t="s">
        <v>153</v>
      </c>
      <c r="AA69" s="643"/>
      <c r="AB69" s="643" t="s">
        <v>68</v>
      </c>
      <c r="AC69" s="643" t="s">
        <v>154</v>
      </c>
      <c r="AD69" s="643" t="s">
        <v>154</v>
      </c>
      <c r="AE69" s="444" t="s">
        <v>154</v>
      </c>
      <c r="AF69" s="643" t="s">
        <v>154</v>
      </c>
      <c r="AG69" s="758" t="s">
        <v>154</v>
      </c>
      <c r="AH69" s="1"/>
      <c r="AJ69" s="638">
        <v>161.75</v>
      </c>
      <c r="AK69" s="638">
        <v>5.25</v>
      </c>
      <c r="AL69" s="638">
        <f t="shared" si="1"/>
        <v>167</v>
      </c>
      <c r="AM69" s="639">
        <f t="shared" si="0"/>
        <v>6.6699999999999875</v>
      </c>
      <c r="AN69" s="639">
        <f t="shared" si="2"/>
        <v>21.599999999999987</v>
      </c>
      <c r="AO69" s="638">
        <v>14.93</v>
      </c>
    </row>
    <row r="70" spans="1:41" ht="15.75" customHeight="1" x14ac:dyDescent="0.2">
      <c r="A70" s="748"/>
      <c r="B70" s="575" t="s">
        <v>155</v>
      </c>
      <c r="C70" s="444"/>
      <c r="D70" s="600" t="s">
        <v>50</v>
      </c>
      <c r="E70" s="604" t="s">
        <v>145</v>
      </c>
      <c r="F70" s="643" t="s">
        <v>147</v>
      </c>
      <c r="G70" s="643" t="s">
        <v>148</v>
      </c>
      <c r="H70" s="444" t="s">
        <v>50</v>
      </c>
      <c r="I70" s="759" t="s">
        <v>50</v>
      </c>
      <c r="J70" s="759" t="s">
        <v>50</v>
      </c>
      <c r="K70" s="444"/>
      <c r="L70" s="759" t="s">
        <v>50</v>
      </c>
      <c r="M70" s="444"/>
      <c r="N70" s="723" t="s">
        <v>68</v>
      </c>
      <c r="O70" s="759">
        <v>26</v>
      </c>
      <c r="P70" s="759">
        <v>26</v>
      </c>
      <c r="Q70" s="600">
        <v>26</v>
      </c>
      <c r="R70" s="600">
        <v>26</v>
      </c>
      <c r="S70" s="600">
        <v>26</v>
      </c>
      <c r="T70" s="444"/>
      <c r="U70" s="444"/>
      <c r="V70" s="600"/>
      <c r="W70" s="444" t="s">
        <v>50</v>
      </c>
      <c r="X70" s="444" t="s">
        <v>50</v>
      </c>
      <c r="Y70" s="444" t="s">
        <v>50</v>
      </c>
      <c r="Z70" s="604" t="s">
        <v>145</v>
      </c>
      <c r="AA70" s="643" t="s">
        <v>147</v>
      </c>
      <c r="AB70" s="643" t="s">
        <v>148</v>
      </c>
      <c r="AC70" s="600">
        <v>21</v>
      </c>
      <c r="AD70" s="751" t="s">
        <v>46</v>
      </c>
      <c r="AE70" s="444" t="s">
        <v>50</v>
      </c>
      <c r="AF70" s="444" t="s">
        <v>50</v>
      </c>
      <c r="AG70" s="758" t="s">
        <v>50</v>
      </c>
      <c r="AH70" s="1"/>
      <c r="AJ70" s="638">
        <v>135.5</v>
      </c>
      <c r="AK70" s="638">
        <v>8.5</v>
      </c>
      <c r="AL70" s="638">
        <f t="shared" si="1"/>
        <v>144</v>
      </c>
      <c r="AM70" s="639">
        <f t="shared" si="0"/>
        <v>-16.330000000000013</v>
      </c>
      <c r="AN70" s="639">
        <f t="shared" si="2"/>
        <v>13.749999999999986</v>
      </c>
      <c r="AO70" s="638">
        <v>30.08</v>
      </c>
    </row>
    <row r="71" spans="1:41" ht="15.75" customHeight="1" x14ac:dyDescent="0.2">
      <c r="A71" s="760"/>
      <c r="B71" s="749" t="s">
        <v>156</v>
      </c>
      <c r="C71" s="444"/>
      <c r="D71" s="444" t="s">
        <v>46</v>
      </c>
      <c r="E71" s="444" t="s">
        <v>46</v>
      </c>
      <c r="F71" s="444"/>
      <c r="G71" s="444"/>
      <c r="H71" s="600" t="s">
        <v>152</v>
      </c>
      <c r="I71" s="601" t="s">
        <v>152</v>
      </c>
      <c r="J71" s="600" t="s">
        <v>152</v>
      </c>
      <c r="K71" s="600"/>
      <c r="L71" s="600" t="s">
        <v>152</v>
      </c>
      <c r="M71" s="604"/>
      <c r="N71" s="600" t="s">
        <v>0</v>
      </c>
      <c r="O71" s="444">
        <v>1</v>
      </c>
      <c r="P71" s="444" t="s">
        <v>50</v>
      </c>
      <c r="Q71" s="444">
        <v>1</v>
      </c>
      <c r="R71" s="608" t="s">
        <v>157</v>
      </c>
      <c r="S71" s="608" t="s">
        <v>157</v>
      </c>
      <c r="T71" s="761" t="s">
        <v>10</v>
      </c>
      <c r="U71" s="444"/>
      <c r="V71" s="600"/>
      <c r="W71" s="600" t="s">
        <v>46</v>
      </c>
      <c r="X71" s="444" t="s">
        <v>50</v>
      </c>
      <c r="Y71" s="444" t="s">
        <v>50</v>
      </c>
      <c r="Z71" s="600" t="s">
        <v>139</v>
      </c>
      <c r="AA71" s="600" t="s">
        <v>140</v>
      </c>
      <c r="AB71" s="600" t="s">
        <v>141</v>
      </c>
      <c r="AC71" s="444" t="s">
        <v>50</v>
      </c>
      <c r="AD71" s="444" t="s">
        <v>50</v>
      </c>
      <c r="AE71" s="444" t="s">
        <v>158</v>
      </c>
      <c r="AF71" s="444">
        <v>11</v>
      </c>
      <c r="AG71" s="637">
        <v>11</v>
      </c>
      <c r="AJ71" s="638">
        <v>155.25</v>
      </c>
      <c r="AK71" s="638">
        <v>3.75</v>
      </c>
      <c r="AL71" s="638">
        <f t="shared" si="1"/>
        <v>159</v>
      </c>
      <c r="AM71" s="639">
        <f t="shared" si="0"/>
        <v>-1.3300000000000125</v>
      </c>
      <c r="AN71" s="639">
        <f t="shared" si="2"/>
        <v>-0.65000000000001246</v>
      </c>
      <c r="AO71" s="638">
        <v>0.68</v>
      </c>
    </row>
    <row r="72" spans="1:41" ht="15.75" customHeight="1" x14ac:dyDescent="0.2">
      <c r="A72" s="762"/>
      <c r="B72" s="749" t="s">
        <v>159</v>
      </c>
      <c r="C72" s="600"/>
      <c r="D72" s="444" t="s">
        <v>46</v>
      </c>
      <c r="E72" s="600" t="s">
        <v>50</v>
      </c>
      <c r="F72" s="444"/>
      <c r="G72" s="755">
        <v>26</v>
      </c>
      <c r="H72" s="755">
        <v>26</v>
      </c>
      <c r="I72" s="763">
        <v>26</v>
      </c>
      <c r="J72" s="763">
        <v>26</v>
      </c>
      <c r="K72" s="603" t="s">
        <v>68</v>
      </c>
      <c r="L72" s="757" t="s">
        <v>46</v>
      </c>
      <c r="M72" s="444" t="s">
        <v>68</v>
      </c>
      <c r="N72" s="444" t="s">
        <v>68</v>
      </c>
      <c r="O72" s="600" t="s">
        <v>160</v>
      </c>
      <c r="P72" s="600">
        <v>1</v>
      </c>
      <c r="Q72" s="444" t="s">
        <v>50</v>
      </c>
      <c r="R72" s="444" t="s">
        <v>50</v>
      </c>
      <c r="S72" s="604" t="s">
        <v>145</v>
      </c>
      <c r="T72" s="643" t="s">
        <v>147</v>
      </c>
      <c r="U72" s="643" t="s">
        <v>148</v>
      </c>
      <c r="V72" s="600"/>
      <c r="W72" s="444" t="s">
        <v>50</v>
      </c>
      <c r="X72" s="600" t="s">
        <v>46</v>
      </c>
      <c r="Y72" s="600">
        <v>79</v>
      </c>
      <c r="Z72" s="600" t="s">
        <v>46</v>
      </c>
      <c r="AA72" s="444" t="s">
        <v>68</v>
      </c>
      <c r="AB72" s="444" t="s">
        <v>68</v>
      </c>
      <c r="AC72" s="600">
        <v>9</v>
      </c>
      <c r="AD72" s="600">
        <v>9</v>
      </c>
      <c r="AE72" s="444">
        <v>9</v>
      </c>
      <c r="AF72" s="444">
        <v>9</v>
      </c>
      <c r="AG72" s="758">
        <v>9</v>
      </c>
      <c r="AH72" s="1"/>
      <c r="AJ72" s="638">
        <v>156.25</v>
      </c>
      <c r="AK72" s="638">
        <v>8</v>
      </c>
      <c r="AL72" s="638">
        <f t="shared" si="1"/>
        <v>164.25</v>
      </c>
      <c r="AM72" s="639">
        <f t="shared" si="0"/>
        <v>3.9199999999999875</v>
      </c>
      <c r="AN72" s="639">
        <f t="shared" si="2"/>
        <v>54.849999999999987</v>
      </c>
      <c r="AO72" s="638">
        <v>50.93</v>
      </c>
    </row>
    <row r="73" spans="1:41" ht="15.75" customHeight="1" x14ac:dyDescent="0.2">
      <c r="A73" s="764"/>
      <c r="B73" s="575" t="s">
        <v>161</v>
      </c>
      <c r="C73" s="643" t="s">
        <v>162</v>
      </c>
      <c r="D73" s="643" t="s">
        <v>162</v>
      </c>
      <c r="E73" s="643" t="s">
        <v>162</v>
      </c>
      <c r="F73" s="600" t="s">
        <v>163</v>
      </c>
      <c r="G73" s="600" t="s">
        <v>164</v>
      </c>
      <c r="H73" s="444" t="s">
        <v>50</v>
      </c>
      <c r="I73" s="444" t="s">
        <v>50</v>
      </c>
      <c r="J73" s="444" t="s">
        <v>50</v>
      </c>
      <c r="K73" s="600"/>
      <c r="L73" s="444" t="s">
        <v>50</v>
      </c>
      <c r="M73" s="643"/>
      <c r="N73" s="643"/>
      <c r="O73" s="643" t="s">
        <v>162</v>
      </c>
      <c r="P73" s="643" t="s">
        <v>162</v>
      </c>
      <c r="Q73" s="643" t="s">
        <v>162</v>
      </c>
      <c r="R73" s="643" t="s">
        <v>162</v>
      </c>
      <c r="S73" s="643" t="s">
        <v>162</v>
      </c>
      <c r="T73" s="600" t="s">
        <v>163</v>
      </c>
      <c r="U73" s="600" t="s">
        <v>164</v>
      </c>
      <c r="V73" s="600"/>
      <c r="W73" s="600" t="s">
        <v>50</v>
      </c>
      <c r="X73" s="444" t="s">
        <v>50</v>
      </c>
      <c r="Y73" s="444" t="s">
        <v>50</v>
      </c>
      <c r="Z73" s="600" t="s">
        <v>50</v>
      </c>
      <c r="AA73" s="600"/>
      <c r="AB73" s="600"/>
      <c r="AC73" s="643" t="s">
        <v>162</v>
      </c>
      <c r="AD73" s="643" t="s">
        <v>162</v>
      </c>
      <c r="AE73" s="643" t="s">
        <v>162</v>
      </c>
      <c r="AF73" s="643" t="s">
        <v>162</v>
      </c>
      <c r="AG73" s="645" t="s">
        <v>162</v>
      </c>
      <c r="AH73" s="1"/>
      <c r="AJ73" s="638">
        <v>161.5</v>
      </c>
      <c r="AK73" s="638">
        <v>12.5</v>
      </c>
      <c r="AL73" s="638">
        <f t="shared" si="1"/>
        <v>174</v>
      </c>
      <c r="AM73" s="639">
        <f t="shared" si="0"/>
        <v>13.669999999999987</v>
      </c>
      <c r="AN73" s="639">
        <f t="shared" si="2"/>
        <v>-13.400000000000013</v>
      </c>
      <c r="AO73" s="753">
        <v>-27.07</v>
      </c>
    </row>
    <row r="74" spans="1:41" ht="15.75" customHeight="1" x14ac:dyDescent="0.2">
      <c r="A74" s="764"/>
      <c r="B74" s="575" t="s">
        <v>165</v>
      </c>
      <c r="C74" s="444"/>
      <c r="D74" s="705">
        <v>99</v>
      </c>
      <c r="E74" s="765" t="s">
        <v>46</v>
      </c>
      <c r="F74" s="600"/>
      <c r="G74" s="600"/>
      <c r="H74" s="643" t="s">
        <v>72</v>
      </c>
      <c r="I74" s="643" t="s">
        <v>72</v>
      </c>
      <c r="J74" s="643" t="s">
        <v>72</v>
      </c>
      <c r="K74" s="766" t="s">
        <v>72</v>
      </c>
      <c r="L74" s="643" t="s">
        <v>72</v>
      </c>
      <c r="M74" s="600" t="s">
        <v>73</v>
      </c>
      <c r="N74" s="600" t="s">
        <v>74</v>
      </c>
      <c r="O74" s="643" t="s">
        <v>50</v>
      </c>
      <c r="P74" s="643" t="s">
        <v>50</v>
      </c>
      <c r="Q74" s="643" t="s">
        <v>50</v>
      </c>
      <c r="R74" s="643" t="s">
        <v>50</v>
      </c>
      <c r="S74" s="567"/>
      <c r="T74" s="600" t="s">
        <v>0</v>
      </c>
      <c r="U74" s="600"/>
      <c r="V74" s="600"/>
      <c r="W74" s="765" t="s">
        <v>46</v>
      </c>
      <c r="X74" s="765" t="s">
        <v>46</v>
      </c>
      <c r="Y74" s="765" t="s">
        <v>46</v>
      </c>
      <c r="Z74" s="765" t="s">
        <v>46</v>
      </c>
      <c r="AA74" s="600"/>
      <c r="AB74" s="600"/>
      <c r="AC74" s="751" t="s">
        <v>46</v>
      </c>
      <c r="AD74" s="751" t="s">
        <v>46</v>
      </c>
      <c r="AE74" s="751" t="s">
        <v>46</v>
      </c>
      <c r="AF74" s="751" t="s">
        <v>46</v>
      </c>
      <c r="AG74" s="767" t="s">
        <v>46</v>
      </c>
      <c r="AH74" s="1"/>
      <c r="AJ74" s="638">
        <v>154.5</v>
      </c>
      <c r="AK74" s="638">
        <v>7.5</v>
      </c>
      <c r="AL74" s="638">
        <f t="shared" si="1"/>
        <v>162</v>
      </c>
      <c r="AM74" s="639">
        <f t="shared" si="0"/>
        <v>1.6699999999999875</v>
      </c>
      <c r="AN74" s="639">
        <f t="shared" si="2"/>
        <v>-55.400000000000013</v>
      </c>
      <c r="AO74" s="753">
        <v>-57.07</v>
      </c>
    </row>
    <row r="75" spans="1:41" ht="15.75" customHeight="1" x14ac:dyDescent="0.2">
      <c r="A75" s="768"/>
      <c r="B75" s="575" t="s">
        <v>166</v>
      </c>
      <c r="C75" s="723">
        <v>23</v>
      </c>
      <c r="D75" s="723">
        <v>23</v>
      </c>
      <c r="E75" s="723">
        <v>23</v>
      </c>
      <c r="F75" s="723">
        <v>23</v>
      </c>
      <c r="G75" s="723">
        <v>23</v>
      </c>
      <c r="H75" s="444" t="s">
        <v>50</v>
      </c>
      <c r="I75" s="444" t="s">
        <v>50</v>
      </c>
      <c r="J75" s="444" t="s">
        <v>50</v>
      </c>
      <c r="K75" s="444"/>
      <c r="L75" s="444">
        <v>69</v>
      </c>
      <c r="M75" s="444"/>
      <c r="N75" s="600">
        <v>26</v>
      </c>
      <c r="O75" s="567" t="s">
        <v>50</v>
      </c>
      <c r="P75" s="601" t="s">
        <v>50</v>
      </c>
      <c r="Q75" s="600" t="s">
        <v>77</v>
      </c>
      <c r="R75" s="600">
        <v>9</v>
      </c>
      <c r="S75" s="643" t="s">
        <v>50</v>
      </c>
      <c r="T75" s="600" t="s">
        <v>0</v>
      </c>
      <c r="U75" s="600" t="s">
        <v>0</v>
      </c>
      <c r="V75" s="444"/>
      <c r="W75" s="444" t="s">
        <v>46</v>
      </c>
      <c r="X75" s="444" t="s">
        <v>46</v>
      </c>
      <c r="Y75" s="444" t="s">
        <v>46</v>
      </c>
      <c r="Z75" s="444" t="s">
        <v>46</v>
      </c>
      <c r="AA75" s="444"/>
      <c r="AB75" s="600" t="s">
        <v>0</v>
      </c>
      <c r="AC75" s="643" t="s">
        <v>158</v>
      </c>
      <c r="AD75" s="643" t="s">
        <v>158</v>
      </c>
      <c r="AE75" s="751" t="s">
        <v>158</v>
      </c>
      <c r="AF75" s="643" t="s">
        <v>158</v>
      </c>
      <c r="AG75" s="645" t="s">
        <v>158</v>
      </c>
      <c r="AH75" s="1"/>
      <c r="AJ75" s="638">
        <v>161.5</v>
      </c>
      <c r="AK75" s="638">
        <v>2.25</v>
      </c>
      <c r="AL75" s="638">
        <f t="shared" si="1"/>
        <v>163.75</v>
      </c>
      <c r="AM75" s="639">
        <f t="shared" si="0"/>
        <v>3.4199999999999875</v>
      </c>
      <c r="AN75" s="639">
        <f t="shared" si="2"/>
        <v>14.599999999999987</v>
      </c>
      <c r="AO75" s="638">
        <v>11.18</v>
      </c>
    </row>
    <row r="76" spans="1:41" ht="15.75" customHeight="1" x14ac:dyDescent="0.2">
      <c r="A76" s="768"/>
      <c r="B76" s="769" t="s">
        <v>167</v>
      </c>
      <c r="C76" s="600"/>
      <c r="D76" s="600" t="s">
        <v>168</v>
      </c>
      <c r="E76" s="600" t="s">
        <v>168</v>
      </c>
      <c r="F76" s="444"/>
      <c r="G76" s="567" t="s">
        <v>0</v>
      </c>
      <c r="H76" s="600" t="s">
        <v>168</v>
      </c>
      <c r="I76" s="600" t="s">
        <v>168</v>
      </c>
      <c r="J76" s="600" t="s">
        <v>168</v>
      </c>
      <c r="K76" s="600"/>
      <c r="L76" s="600" t="s">
        <v>168</v>
      </c>
      <c r="M76" s="444"/>
      <c r="N76" s="567" t="s">
        <v>0</v>
      </c>
      <c r="O76" s="600" t="s">
        <v>168</v>
      </c>
      <c r="P76" s="600" t="s">
        <v>168</v>
      </c>
      <c r="Q76" s="600" t="s">
        <v>168</v>
      </c>
      <c r="R76" s="600" t="s">
        <v>168</v>
      </c>
      <c r="S76" s="600" t="s">
        <v>168</v>
      </c>
      <c r="T76" s="444"/>
      <c r="U76" s="567" t="s">
        <v>0</v>
      </c>
      <c r="V76" s="567" t="s">
        <v>0</v>
      </c>
      <c r="W76" s="600" t="s">
        <v>168</v>
      </c>
      <c r="X76" s="600" t="s">
        <v>168</v>
      </c>
      <c r="Y76" s="600" t="s">
        <v>168</v>
      </c>
      <c r="Z76" s="600" t="s">
        <v>168</v>
      </c>
      <c r="AA76" s="444"/>
      <c r="AB76" s="567" t="s">
        <v>0</v>
      </c>
      <c r="AC76" s="600" t="s">
        <v>168</v>
      </c>
      <c r="AD76" s="608" t="s">
        <v>168</v>
      </c>
      <c r="AE76" s="608" t="s">
        <v>169</v>
      </c>
      <c r="AF76" s="723" t="s">
        <v>168</v>
      </c>
      <c r="AG76" s="770" t="s">
        <v>168</v>
      </c>
      <c r="AH76" s="1"/>
      <c r="AJ76" s="638">
        <v>176.25</v>
      </c>
      <c r="AK76" s="638">
        <v>1.25</v>
      </c>
      <c r="AL76" s="638">
        <f t="shared" ref="AL76:AL78" si="3">IF(AJ76="","",SUM(AJ76:AK76))</f>
        <v>177.5</v>
      </c>
      <c r="AM76" s="639">
        <f t="shared" si="0"/>
        <v>17.169999999999987</v>
      </c>
      <c r="AN76" s="639">
        <f t="shared" si="2"/>
        <v>-36.400000000000013</v>
      </c>
      <c r="AO76" s="753">
        <v>-53.57</v>
      </c>
    </row>
    <row r="77" spans="1:41" ht="15.75" customHeight="1" x14ac:dyDescent="0.2">
      <c r="A77" s="768"/>
      <c r="B77" s="769" t="s">
        <v>170</v>
      </c>
      <c r="C77" s="608" t="s">
        <v>143</v>
      </c>
      <c r="D77" s="608" t="s">
        <v>142</v>
      </c>
      <c r="E77" s="608" t="s">
        <v>142</v>
      </c>
      <c r="F77" s="608" t="s">
        <v>143</v>
      </c>
      <c r="G77" s="608" t="s">
        <v>171</v>
      </c>
      <c r="H77" s="567" t="s">
        <v>50</v>
      </c>
      <c r="I77" s="567" t="s">
        <v>50</v>
      </c>
      <c r="J77" s="567" t="s">
        <v>50</v>
      </c>
      <c r="K77" s="444" t="s">
        <v>50</v>
      </c>
      <c r="L77" s="444" t="s">
        <v>50</v>
      </c>
      <c r="M77" s="444"/>
      <c r="N77" s="444"/>
      <c r="O77" s="444">
        <v>3</v>
      </c>
      <c r="P77" s="444">
        <v>3</v>
      </c>
      <c r="Q77" s="444">
        <v>3</v>
      </c>
      <c r="R77" s="444">
        <v>3</v>
      </c>
      <c r="S77" s="444">
        <v>3</v>
      </c>
      <c r="T77" s="444"/>
      <c r="U77" s="444"/>
      <c r="V77" s="600"/>
      <c r="W77" s="600" t="s">
        <v>172</v>
      </c>
      <c r="X77" s="600" t="s">
        <v>152</v>
      </c>
      <c r="Y77" s="771" t="s">
        <v>152</v>
      </c>
      <c r="Z77" s="771" t="s">
        <v>172</v>
      </c>
      <c r="AA77" s="600"/>
      <c r="AB77" s="600"/>
      <c r="AC77" s="600" t="s">
        <v>142</v>
      </c>
      <c r="AD77" s="600" t="s">
        <v>142</v>
      </c>
      <c r="AE77" s="600" t="s">
        <v>142</v>
      </c>
      <c r="AF77" s="600" t="s">
        <v>142</v>
      </c>
      <c r="AG77" s="637" t="s">
        <v>142</v>
      </c>
      <c r="AH77" s="1"/>
      <c r="AJ77" s="638">
        <v>169.25</v>
      </c>
      <c r="AK77" s="638"/>
      <c r="AL77" s="638">
        <f t="shared" si="3"/>
        <v>169.25</v>
      </c>
      <c r="AM77" s="639">
        <f t="shared" si="0"/>
        <v>8.9199999999999875</v>
      </c>
      <c r="AN77" s="639">
        <f t="shared" si="2"/>
        <v>20.599999999999987</v>
      </c>
      <c r="AO77" s="638">
        <v>11.68</v>
      </c>
    </row>
    <row r="78" spans="1:41" ht="15.75" customHeight="1" x14ac:dyDescent="0.2">
      <c r="A78" s="768"/>
      <c r="B78" s="772" t="s">
        <v>173</v>
      </c>
      <c r="C78" s="643" t="s">
        <v>143</v>
      </c>
      <c r="D78" s="643" t="s">
        <v>142</v>
      </c>
      <c r="E78" s="643" t="s">
        <v>142</v>
      </c>
      <c r="F78" s="600"/>
      <c r="G78" s="600"/>
      <c r="H78" s="600">
        <v>99</v>
      </c>
      <c r="I78" s="601" t="s">
        <v>46</v>
      </c>
      <c r="J78" s="600">
        <v>99</v>
      </c>
      <c r="K78" s="600"/>
      <c r="L78" s="600" t="s">
        <v>174</v>
      </c>
      <c r="M78" s="773">
        <v>22</v>
      </c>
      <c r="N78" s="567" t="s">
        <v>0</v>
      </c>
      <c r="O78" s="600">
        <v>25</v>
      </c>
      <c r="P78" s="600">
        <v>25</v>
      </c>
      <c r="Q78" s="600">
        <v>25</v>
      </c>
      <c r="R78" s="600">
        <v>25</v>
      </c>
      <c r="S78" s="774" t="s">
        <v>153</v>
      </c>
      <c r="T78" s="600"/>
      <c r="U78" s="600"/>
      <c r="V78" s="600">
        <v>21</v>
      </c>
      <c r="W78" s="608">
        <v>21</v>
      </c>
      <c r="X78" s="608">
        <v>21</v>
      </c>
      <c r="Y78" s="608">
        <v>21</v>
      </c>
      <c r="Z78" s="775">
        <v>21</v>
      </c>
      <c r="AA78" s="775">
        <v>21</v>
      </c>
      <c r="AB78" s="775" t="s">
        <v>175</v>
      </c>
      <c r="AC78" s="600" t="s">
        <v>50</v>
      </c>
      <c r="AD78" s="600" t="s">
        <v>50</v>
      </c>
      <c r="AE78" s="750" t="s">
        <v>50</v>
      </c>
      <c r="AF78" s="600" t="s">
        <v>50</v>
      </c>
      <c r="AG78" s="776" t="s">
        <v>50</v>
      </c>
      <c r="AH78" s="1"/>
      <c r="AJ78" s="638">
        <v>182.5</v>
      </c>
      <c r="AK78" s="638">
        <v>4.75</v>
      </c>
      <c r="AL78" s="638">
        <f t="shared" si="3"/>
        <v>187.25</v>
      </c>
      <c r="AM78" s="639">
        <f t="shared" si="0"/>
        <v>26.919999999999987</v>
      </c>
      <c r="AN78" s="639">
        <f t="shared" si="2"/>
        <v>0.17999999999998906</v>
      </c>
      <c r="AO78" s="753">
        <v>-26.74</v>
      </c>
    </row>
    <row r="79" spans="1:41" ht="15.75" customHeight="1" x14ac:dyDescent="0.2">
      <c r="A79" s="768"/>
      <c r="B79" s="772" t="s">
        <v>176</v>
      </c>
      <c r="C79" s="444"/>
      <c r="D79" s="444" t="s">
        <v>160</v>
      </c>
      <c r="E79" s="444" t="s">
        <v>160</v>
      </c>
      <c r="F79" s="444"/>
      <c r="G79" s="444"/>
      <c r="H79" s="444" t="s">
        <v>160</v>
      </c>
      <c r="I79" s="444" t="s">
        <v>160</v>
      </c>
      <c r="J79" s="444" t="s">
        <v>160</v>
      </c>
      <c r="K79" s="444"/>
      <c r="L79" s="600" t="s">
        <v>160</v>
      </c>
      <c r="M79" s="600" t="s">
        <v>150</v>
      </c>
      <c r="N79" s="444"/>
      <c r="O79" s="444" t="s">
        <v>50</v>
      </c>
      <c r="P79" s="444" t="s">
        <v>160</v>
      </c>
      <c r="Q79" s="444" t="s">
        <v>160</v>
      </c>
      <c r="R79" s="567" t="s">
        <v>160</v>
      </c>
      <c r="S79" s="567" t="s">
        <v>160</v>
      </c>
      <c r="T79" s="723"/>
      <c r="U79" s="723" t="s">
        <v>0</v>
      </c>
      <c r="V79" s="723"/>
      <c r="W79" s="444" t="s">
        <v>160</v>
      </c>
      <c r="X79" s="444" t="s">
        <v>160</v>
      </c>
      <c r="Y79" s="444" t="s">
        <v>160</v>
      </c>
      <c r="Z79" s="444" t="s">
        <v>160</v>
      </c>
      <c r="AA79" s="444"/>
      <c r="AB79" s="444"/>
      <c r="AC79" s="444" t="s">
        <v>160</v>
      </c>
      <c r="AD79" s="444" t="s">
        <v>160</v>
      </c>
      <c r="AE79" s="444" t="s">
        <v>160</v>
      </c>
      <c r="AF79" s="444" t="s">
        <v>160</v>
      </c>
      <c r="AG79" s="758" t="s">
        <v>160</v>
      </c>
      <c r="AH79" s="1"/>
      <c r="AJ79" s="638">
        <v>175.25</v>
      </c>
      <c r="AK79" s="638">
        <v>1</v>
      </c>
      <c r="AL79" s="638">
        <f t="shared" ref="AL79:AL81" si="4">IF(AJ79="","",SUM(AJ79:AK79))</f>
        <v>176.25</v>
      </c>
      <c r="AM79" s="639">
        <f t="shared" si="0"/>
        <v>15.919999999999987</v>
      </c>
      <c r="AN79" s="639">
        <f t="shared" si="2"/>
        <v>13.549999999999986</v>
      </c>
      <c r="AO79" s="753">
        <v>-2.37</v>
      </c>
    </row>
    <row r="80" spans="1:41" ht="15.75" customHeight="1" x14ac:dyDescent="0.2">
      <c r="A80" s="768"/>
      <c r="B80" s="575" t="s">
        <v>177</v>
      </c>
      <c r="C80" s="444"/>
      <c r="D80" s="765">
        <v>26</v>
      </c>
      <c r="E80" s="765">
        <v>26</v>
      </c>
      <c r="F80" s="444"/>
      <c r="G80" s="444"/>
      <c r="H80" s="723">
        <v>4</v>
      </c>
      <c r="I80" s="773" t="s">
        <v>46</v>
      </c>
      <c r="J80" s="765" t="s">
        <v>46</v>
      </c>
      <c r="K80" s="444"/>
      <c r="L80" s="600" t="s">
        <v>139</v>
      </c>
      <c r="M80" s="600" t="s">
        <v>140</v>
      </c>
      <c r="N80" s="600" t="s">
        <v>141</v>
      </c>
      <c r="O80" s="444" t="s">
        <v>50</v>
      </c>
      <c r="P80" s="444" t="s">
        <v>50</v>
      </c>
      <c r="Q80" s="444" t="s">
        <v>50</v>
      </c>
      <c r="R80" s="444" t="s">
        <v>50</v>
      </c>
      <c r="S80" s="444" t="s">
        <v>50</v>
      </c>
      <c r="T80" s="600"/>
      <c r="U80" s="600"/>
      <c r="V80" s="600" t="s">
        <v>143</v>
      </c>
      <c r="W80" s="600" t="s">
        <v>142</v>
      </c>
      <c r="X80" s="600" t="s">
        <v>142</v>
      </c>
      <c r="Y80" s="600" t="s">
        <v>142</v>
      </c>
      <c r="Z80" s="600" t="s">
        <v>142</v>
      </c>
      <c r="AA80" s="600" t="s">
        <v>143</v>
      </c>
      <c r="AB80" s="600" t="s">
        <v>143</v>
      </c>
      <c r="AC80" s="444" t="s">
        <v>50</v>
      </c>
      <c r="AD80" s="444" t="s">
        <v>50</v>
      </c>
      <c r="AE80" s="444" t="s">
        <v>50</v>
      </c>
      <c r="AF80" s="444" t="s">
        <v>50</v>
      </c>
      <c r="AG80" s="758" t="s">
        <v>50</v>
      </c>
      <c r="AH80" s="1"/>
      <c r="AJ80" s="638">
        <v>148.25</v>
      </c>
      <c r="AK80" s="638">
        <v>9</v>
      </c>
      <c r="AL80" s="638">
        <f t="shared" si="4"/>
        <v>157.25</v>
      </c>
      <c r="AM80" s="639">
        <f t="shared" si="0"/>
        <v>-3.0800000000000125</v>
      </c>
      <c r="AN80" s="639">
        <f t="shared" si="2"/>
        <v>-7.4000000000000128</v>
      </c>
      <c r="AO80" s="753">
        <v>-4.32</v>
      </c>
    </row>
    <row r="81" spans="1:41" ht="15.75" customHeight="1" x14ac:dyDescent="0.2">
      <c r="A81" s="768"/>
      <c r="B81" s="575" t="s">
        <v>178</v>
      </c>
      <c r="C81" s="444">
        <v>1</v>
      </c>
      <c r="D81" s="444">
        <v>1</v>
      </c>
      <c r="E81" s="444">
        <v>1</v>
      </c>
      <c r="F81" s="444"/>
      <c r="G81" s="444"/>
      <c r="H81" s="643" t="s">
        <v>179</v>
      </c>
      <c r="I81" s="643" t="s">
        <v>179</v>
      </c>
      <c r="J81" s="600">
        <v>23</v>
      </c>
      <c r="K81" s="643" t="s">
        <v>179</v>
      </c>
      <c r="L81" s="643" t="s">
        <v>179</v>
      </c>
      <c r="M81" s="643" t="s">
        <v>179</v>
      </c>
      <c r="N81" s="643" t="s">
        <v>179</v>
      </c>
      <c r="O81" s="600" t="s">
        <v>50</v>
      </c>
      <c r="P81" s="643" t="s">
        <v>50</v>
      </c>
      <c r="Q81" s="604" t="s">
        <v>50</v>
      </c>
      <c r="R81" s="750">
        <v>6</v>
      </c>
      <c r="S81" s="567" t="s">
        <v>50</v>
      </c>
      <c r="T81" s="643" t="s">
        <v>103</v>
      </c>
      <c r="U81" s="643" t="s">
        <v>104</v>
      </c>
      <c r="V81" s="723">
        <v>6</v>
      </c>
      <c r="W81" s="723">
        <v>6</v>
      </c>
      <c r="X81" s="723">
        <v>6</v>
      </c>
      <c r="Y81" s="723">
        <v>6</v>
      </c>
      <c r="Z81" s="723">
        <v>6</v>
      </c>
      <c r="AA81" s="444"/>
      <c r="AB81" s="444"/>
      <c r="AC81" s="643" t="s">
        <v>50</v>
      </c>
      <c r="AD81" s="643" t="s">
        <v>50</v>
      </c>
      <c r="AE81" s="643" t="s">
        <v>50</v>
      </c>
      <c r="AF81" s="643" t="s">
        <v>50</v>
      </c>
      <c r="AG81" s="645" t="s">
        <v>50</v>
      </c>
      <c r="AH81" s="1"/>
      <c r="AJ81" s="638">
        <v>145</v>
      </c>
      <c r="AK81" s="638">
        <v>8</v>
      </c>
      <c r="AL81" s="638">
        <f t="shared" si="4"/>
        <v>153</v>
      </c>
      <c r="AM81" s="639">
        <f t="shared" si="0"/>
        <v>-7.3300000000000125</v>
      </c>
      <c r="AN81" s="639">
        <f t="shared" si="2"/>
        <v>-23.320000000000014</v>
      </c>
      <c r="AO81" s="753">
        <v>-15.99</v>
      </c>
    </row>
    <row r="82" spans="1:41" ht="15.75" customHeight="1" x14ac:dyDescent="0.2">
      <c r="A82" s="777"/>
      <c r="B82" s="749" t="s">
        <v>180</v>
      </c>
      <c r="C82" s="444" t="s">
        <v>50</v>
      </c>
      <c r="D82" s="444" t="s">
        <v>50</v>
      </c>
      <c r="E82" s="444" t="s">
        <v>50</v>
      </c>
      <c r="F82" s="600" t="s">
        <v>0</v>
      </c>
      <c r="G82" s="604" t="s">
        <v>0</v>
      </c>
      <c r="H82" s="444" t="s">
        <v>46</v>
      </c>
      <c r="I82" s="444" t="s">
        <v>46</v>
      </c>
      <c r="J82" s="444" t="s">
        <v>46</v>
      </c>
      <c r="K82" s="444" t="s">
        <v>46</v>
      </c>
      <c r="L82" s="444" t="s">
        <v>46</v>
      </c>
      <c r="M82" s="600" t="s">
        <v>46</v>
      </c>
      <c r="N82" s="600" t="s">
        <v>46</v>
      </c>
      <c r="O82" s="444" t="s">
        <v>50</v>
      </c>
      <c r="P82" s="444" t="s">
        <v>50</v>
      </c>
      <c r="Q82" s="444" t="s">
        <v>50</v>
      </c>
      <c r="R82" s="444" t="s">
        <v>50</v>
      </c>
      <c r="S82" s="444" t="s">
        <v>50</v>
      </c>
      <c r="T82" s="444" t="s">
        <v>0</v>
      </c>
      <c r="U82" s="444" t="s">
        <v>0</v>
      </c>
      <c r="V82" s="600" t="s">
        <v>46</v>
      </c>
      <c r="W82" s="600" t="s">
        <v>46</v>
      </c>
      <c r="X82" s="600" t="s">
        <v>46</v>
      </c>
      <c r="Y82" s="600" t="s">
        <v>46</v>
      </c>
      <c r="Z82" s="634" t="s">
        <v>46</v>
      </c>
      <c r="AA82" s="634" t="s">
        <v>46</v>
      </c>
      <c r="AB82" s="634" t="s">
        <v>46</v>
      </c>
      <c r="AC82" s="643" t="s">
        <v>50</v>
      </c>
      <c r="AD82" s="643" t="s">
        <v>50</v>
      </c>
      <c r="AE82" s="643" t="s">
        <v>50</v>
      </c>
      <c r="AF82" s="643" t="s">
        <v>50</v>
      </c>
      <c r="AG82" s="645" t="s">
        <v>50</v>
      </c>
      <c r="AH82" s="1"/>
      <c r="AJ82" s="638">
        <v>160.33000000000001</v>
      </c>
      <c r="AK82" s="638"/>
      <c r="AL82" s="638">
        <f t="shared" ref="AL82:AL87" si="5">NormTid</f>
        <v>160.33000000000001</v>
      </c>
      <c r="AM82" s="639">
        <f t="shared" si="0"/>
        <v>0</v>
      </c>
      <c r="AN82" s="639">
        <f t="shared" si="2"/>
        <v>0</v>
      </c>
      <c r="AO82" s="638">
        <v>0</v>
      </c>
    </row>
    <row r="83" spans="1:41" ht="15.75" customHeight="1" x14ac:dyDescent="0.2">
      <c r="A83" s="768"/>
      <c r="B83" s="749" t="s">
        <v>181</v>
      </c>
      <c r="C83" s="600"/>
      <c r="D83" s="444"/>
      <c r="E83" s="444"/>
      <c r="F83" s="600"/>
      <c r="G83" s="600"/>
      <c r="H83" s="600"/>
      <c r="I83" s="600"/>
      <c r="J83" s="600"/>
      <c r="K83" s="600"/>
      <c r="L83" s="600"/>
      <c r="M83" s="600"/>
      <c r="N83" s="600"/>
      <c r="O83" s="444"/>
      <c r="P83" s="444"/>
      <c r="Q83" s="444"/>
      <c r="R83" s="444"/>
      <c r="S83" s="444"/>
      <c r="T83" s="600"/>
      <c r="U83" s="600"/>
      <c r="V83" s="600" t="s">
        <v>46</v>
      </c>
      <c r="W83" s="600" t="s">
        <v>46</v>
      </c>
      <c r="X83" s="600" t="s">
        <v>46</v>
      </c>
      <c r="Y83" s="600" t="s">
        <v>46</v>
      </c>
      <c r="Z83" s="600" t="s">
        <v>46</v>
      </c>
      <c r="AA83" s="600" t="s">
        <v>46</v>
      </c>
      <c r="AB83" s="600"/>
      <c r="AC83" s="600" t="s">
        <v>50</v>
      </c>
      <c r="AD83" s="600" t="s">
        <v>50</v>
      </c>
      <c r="AE83" s="600" t="s">
        <v>50</v>
      </c>
      <c r="AF83" s="600" t="s">
        <v>50</v>
      </c>
      <c r="AG83" s="637" t="s">
        <v>50</v>
      </c>
      <c r="AH83" s="1"/>
      <c r="AJ83" s="638">
        <v>160.33000000000001</v>
      </c>
      <c r="AK83" s="638"/>
      <c r="AL83" s="638">
        <f t="shared" si="5"/>
        <v>160.33000000000001</v>
      </c>
      <c r="AM83" s="639">
        <f t="shared" si="0"/>
        <v>0</v>
      </c>
      <c r="AN83" s="639">
        <f t="shared" si="2"/>
        <v>0</v>
      </c>
      <c r="AO83" s="638">
        <v>0</v>
      </c>
    </row>
    <row r="84" spans="1:41" ht="15.75" customHeight="1" x14ac:dyDescent="0.2">
      <c r="A84" s="768"/>
      <c r="B84" s="778"/>
      <c r="C84" s="643"/>
      <c r="D84" s="643" t="s">
        <v>46</v>
      </c>
      <c r="E84" s="643" t="s">
        <v>46</v>
      </c>
      <c r="F84" s="444"/>
      <c r="G84" s="444"/>
      <c r="H84" s="600" t="s">
        <v>46</v>
      </c>
      <c r="I84" s="600" t="s">
        <v>46</v>
      </c>
      <c r="J84" s="600" t="s">
        <v>46</v>
      </c>
      <c r="K84" s="771"/>
      <c r="L84" s="771" t="s">
        <v>46</v>
      </c>
      <c r="M84" s="600"/>
      <c r="N84" s="600"/>
      <c r="O84" s="600" t="s">
        <v>46</v>
      </c>
      <c r="P84" s="600" t="s">
        <v>46</v>
      </c>
      <c r="Q84" s="600" t="s">
        <v>46</v>
      </c>
      <c r="R84" s="600" t="s">
        <v>46</v>
      </c>
      <c r="S84" s="600" t="s">
        <v>46</v>
      </c>
      <c r="T84" s="771"/>
      <c r="U84" s="600"/>
      <c r="V84" s="444"/>
      <c r="W84" s="444" t="s">
        <v>46</v>
      </c>
      <c r="X84" s="444" t="s">
        <v>46</v>
      </c>
      <c r="Y84" s="444" t="s">
        <v>46</v>
      </c>
      <c r="Z84" s="444" t="s">
        <v>46</v>
      </c>
      <c r="AA84" s="444"/>
      <c r="AB84" s="444"/>
      <c r="AC84" s="607" t="s">
        <v>46</v>
      </c>
      <c r="AD84" s="643" t="s">
        <v>46</v>
      </c>
      <c r="AE84" s="643" t="s">
        <v>46</v>
      </c>
      <c r="AF84" s="643" t="s">
        <v>46</v>
      </c>
      <c r="AG84" s="779" t="s">
        <v>46</v>
      </c>
      <c r="AH84" s="1"/>
      <c r="AJ84" s="638">
        <v>160.33000000000001</v>
      </c>
      <c r="AK84" s="638"/>
      <c r="AL84" s="638">
        <f t="shared" si="5"/>
        <v>160.33000000000001</v>
      </c>
      <c r="AM84" s="639">
        <f>IF(AJ84="","",AL84-_xlfn.SINGLE(NormTid))</f>
        <v>0</v>
      </c>
      <c r="AN84" s="639">
        <f>IF(AM84="","",AM84+AO84)</f>
        <v>0</v>
      </c>
      <c r="AO84" s="638">
        <v>0</v>
      </c>
    </row>
    <row r="85" spans="1:41" ht="15.75" customHeight="1" x14ac:dyDescent="0.2">
      <c r="A85" s="768"/>
      <c r="B85" s="754"/>
      <c r="C85" s="600"/>
      <c r="D85" s="604"/>
      <c r="E85" s="643"/>
      <c r="F85" s="643"/>
      <c r="G85" s="643"/>
      <c r="H85" s="643"/>
      <c r="I85" s="643"/>
      <c r="J85" s="604"/>
      <c r="K85" s="604"/>
      <c r="L85" s="604"/>
      <c r="M85" s="723"/>
      <c r="N85" s="723"/>
      <c r="O85" s="723"/>
      <c r="P85" s="723"/>
      <c r="Q85" s="723"/>
      <c r="R85" s="723"/>
      <c r="S85" s="723"/>
      <c r="T85" s="723"/>
      <c r="U85" s="723"/>
      <c r="V85" s="723"/>
      <c r="W85" s="723"/>
      <c r="X85" s="723"/>
      <c r="Y85" s="723"/>
      <c r="Z85" s="723"/>
      <c r="AA85" s="723"/>
      <c r="AB85" s="723"/>
      <c r="AC85" s="723"/>
      <c r="AD85" s="723"/>
      <c r="AE85" s="723"/>
      <c r="AF85" s="723"/>
      <c r="AG85" s="770"/>
      <c r="AH85" s="1"/>
      <c r="AJ85" s="638">
        <v>160.33000000000001</v>
      </c>
      <c r="AK85" s="638"/>
      <c r="AL85" s="638">
        <f t="shared" si="5"/>
        <v>160.33000000000001</v>
      </c>
      <c r="AM85" s="639">
        <f>IF(AJ85="","",AL85-_xlfn.SINGLE(NormTid))</f>
        <v>0</v>
      </c>
      <c r="AN85" s="639">
        <f>IF(AM85="","",AM85+AO85)</f>
        <v>0</v>
      </c>
      <c r="AO85" s="638">
        <v>0</v>
      </c>
    </row>
    <row r="86" spans="1:41" ht="15.75" customHeight="1" x14ac:dyDescent="0.2">
      <c r="A86" s="768"/>
      <c r="B86" s="754"/>
      <c r="C86" s="711"/>
      <c r="D86" s="597"/>
      <c r="E86" s="712"/>
      <c r="F86" s="712"/>
      <c r="G86" s="712"/>
      <c r="H86" s="712"/>
      <c r="I86" s="712"/>
      <c r="J86" s="597"/>
      <c r="K86" s="597"/>
      <c r="L86" s="597"/>
      <c r="M86" s="780"/>
      <c r="N86" s="780"/>
      <c r="O86" s="780"/>
      <c r="P86" s="780"/>
      <c r="Q86" s="780"/>
      <c r="R86" s="780"/>
      <c r="S86" s="780"/>
      <c r="T86" s="780"/>
      <c r="U86" s="780"/>
      <c r="V86" s="780"/>
      <c r="W86" s="780"/>
      <c r="X86" s="780"/>
      <c r="Y86" s="780"/>
      <c r="Z86" s="780"/>
      <c r="AA86" s="780"/>
      <c r="AB86" s="780"/>
      <c r="AC86" s="780"/>
      <c r="AD86" s="780"/>
      <c r="AE86" s="780"/>
      <c r="AF86" s="780"/>
      <c r="AG86" s="781"/>
      <c r="AH86" s="1"/>
      <c r="AJ86" s="638">
        <v>160.33000000000001</v>
      </c>
      <c r="AK86" s="638"/>
      <c r="AL86" s="638">
        <f t="shared" si="5"/>
        <v>160.33000000000001</v>
      </c>
      <c r="AM86" s="639">
        <f>IF(AJ86="","",AL86-_xlfn.SINGLE(NormTid))</f>
        <v>0</v>
      </c>
      <c r="AN86" s="639">
        <f>IF(AM86="","",AM86+AO86)</f>
        <v>0</v>
      </c>
      <c r="AO86" s="638">
        <v>0</v>
      </c>
    </row>
    <row r="87" spans="1:41" ht="15.75" customHeight="1" thickBot="1" x14ac:dyDescent="0.25">
      <c r="A87" s="777"/>
      <c r="B87" s="782"/>
      <c r="C87" s="783"/>
      <c r="D87" s="784"/>
      <c r="E87" s="783"/>
      <c r="F87" s="785"/>
      <c r="G87" s="785"/>
      <c r="H87" s="785"/>
      <c r="I87" s="785"/>
      <c r="J87" s="785"/>
      <c r="K87" s="785"/>
      <c r="L87" s="785"/>
      <c r="M87" s="785"/>
      <c r="N87" s="785"/>
      <c r="O87" s="785"/>
      <c r="P87" s="785"/>
      <c r="Q87" s="785"/>
      <c r="R87" s="785"/>
      <c r="S87" s="785"/>
      <c r="T87" s="783"/>
      <c r="U87" s="783"/>
      <c r="V87" s="786"/>
      <c r="W87" s="783"/>
      <c r="X87" s="783"/>
      <c r="Y87" s="785"/>
      <c r="Z87" s="783"/>
      <c r="AA87" s="783"/>
      <c r="AB87" s="783"/>
      <c r="AC87" s="783"/>
      <c r="AD87" s="783"/>
      <c r="AE87" s="784"/>
      <c r="AF87" s="783" t="s">
        <v>0</v>
      </c>
      <c r="AG87" s="787"/>
      <c r="AH87" s="1"/>
      <c r="AJ87" s="638">
        <v>160.33000000000001</v>
      </c>
      <c r="AK87" s="638"/>
      <c r="AL87" s="638">
        <f t="shared" si="5"/>
        <v>160.33000000000001</v>
      </c>
      <c r="AM87" s="639">
        <f>IF(AJ87="","",AL87-_xlfn.SINGLE(NormTid))</f>
        <v>0</v>
      </c>
      <c r="AN87" s="639">
        <f>IF(AM87="","",AM87+AO87)</f>
        <v>0</v>
      </c>
      <c r="AO87" s="638">
        <v>0</v>
      </c>
    </row>
    <row r="88" spans="1:41" ht="15.75" customHeight="1" thickBot="1" x14ac:dyDescent="0.25">
      <c r="A88" s="242"/>
      <c r="B88" s="243" t="s">
        <v>182</v>
      </c>
      <c r="C88" s="788">
        <v>1</v>
      </c>
      <c r="D88" s="589">
        <v>2</v>
      </c>
      <c r="E88" s="589">
        <v>3</v>
      </c>
      <c r="F88" s="788">
        <v>4</v>
      </c>
      <c r="G88" s="788">
        <v>5</v>
      </c>
      <c r="H88" s="589">
        <v>6</v>
      </c>
      <c r="I88" s="589">
        <v>7</v>
      </c>
      <c r="J88" s="589">
        <v>8</v>
      </c>
      <c r="K88" s="788">
        <v>9</v>
      </c>
      <c r="L88" s="589">
        <v>10</v>
      </c>
      <c r="M88" s="788">
        <v>11</v>
      </c>
      <c r="N88" s="788">
        <v>12</v>
      </c>
      <c r="O88" s="589">
        <v>13</v>
      </c>
      <c r="P88" s="589">
        <v>14</v>
      </c>
      <c r="Q88" s="589">
        <v>15</v>
      </c>
      <c r="R88" s="589">
        <v>16</v>
      </c>
      <c r="S88" s="589">
        <v>17</v>
      </c>
      <c r="T88" s="788">
        <v>18</v>
      </c>
      <c r="U88" s="788">
        <v>19</v>
      </c>
      <c r="V88" s="788">
        <v>20</v>
      </c>
      <c r="W88" s="589">
        <v>21</v>
      </c>
      <c r="X88" s="589">
        <v>22</v>
      </c>
      <c r="Y88" s="589">
        <v>23</v>
      </c>
      <c r="Z88" s="589">
        <v>24</v>
      </c>
      <c r="AA88" s="788">
        <v>25</v>
      </c>
      <c r="AB88" s="788">
        <v>26</v>
      </c>
      <c r="AC88" s="589">
        <v>27</v>
      </c>
      <c r="AD88" s="589">
        <v>28</v>
      </c>
      <c r="AE88" s="589">
        <v>29</v>
      </c>
      <c r="AF88" s="589">
        <v>30</v>
      </c>
      <c r="AG88" s="589">
        <v>31</v>
      </c>
      <c r="AH88" s="1"/>
      <c r="AJ88" s="638"/>
      <c r="AK88" s="638"/>
      <c r="AL88" s="638"/>
      <c r="AM88" s="639"/>
      <c r="AN88" s="639"/>
      <c r="AO88" s="638"/>
    </row>
    <row r="89" spans="1:41" ht="15.75" customHeight="1" x14ac:dyDescent="0.2">
      <c r="A89" s="789"/>
      <c r="B89" s="575" t="s">
        <v>183</v>
      </c>
      <c r="C89" s="790"/>
      <c r="D89" s="791" t="s">
        <v>50</v>
      </c>
      <c r="E89" s="792" t="s">
        <v>149</v>
      </c>
      <c r="F89" s="792" t="s">
        <v>150</v>
      </c>
      <c r="G89" s="792" t="s">
        <v>71</v>
      </c>
      <c r="H89" s="791" t="s">
        <v>50</v>
      </c>
      <c r="I89" s="791" t="s">
        <v>50</v>
      </c>
      <c r="J89" s="793" t="s">
        <v>46</v>
      </c>
      <c r="K89" s="792"/>
      <c r="L89" s="793" t="s">
        <v>46</v>
      </c>
      <c r="M89" s="792" t="s">
        <v>0</v>
      </c>
      <c r="N89" s="792" t="s">
        <v>0</v>
      </c>
      <c r="O89" s="793" t="s">
        <v>46</v>
      </c>
      <c r="P89" s="793" t="s">
        <v>46</v>
      </c>
      <c r="Q89" s="791" t="s">
        <v>50</v>
      </c>
      <c r="R89" s="791" t="s">
        <v>50</v>
      </c>
      <c r="S89" s="792" t="s">
        <v>139</v>
      </c>
      <c r="T89" s="792" t="s">
        <v>140</v>
      </c>
      <c r="U89" s="792" t="s">
        <v>141</v>
      </c>
      <c r="V89" s="791"/>
      <c r="W89" s="791" t="s">
        <v>50</v>
      </c>
      <c r="X89" s="794" t="s">
        <v>79</v>
      </c>
      <c r="Y89" s="795">
        <v>99</v>
      </c>
      <c r="Z89" s="796">
        <v>4</v>
      </c>
      <c r="AA89" s="791"/>
      <c r="AB89" s="791"/>
      <c r="AC89" s="797">
        <v>25</v>
      </c>
      <c r="AD89" s="797">
        <v>25</v>
      </c>
      <c r="AE89" s="797">
        <v>25</v>
      </c>
      <c r="AF89" s="797">
        <v>25</v>
      </c>
      <c r="AG89" s="798">
        <v>25</v>
      </c>
      <c r="AH89" s="1"/>
      <c r="AJ89" s="638">
        <v>182</v>
      </c>
      <c r="AK89" s="638">
        <v>11</v>
      </c>
      <c r="AL89" s="638">
        <f t="shared" si="1"/>
        <v>193</v>
      </c>
      <c r="AM89" s="639">
        <f t="shared" si="0"/>
        <v>32.669999999999987</v>
      </c>
      <c r="AN89" s="639">
        <f t="shared" si="2"/>
        <v>64.759999999999991</v>
      </c>
      <c r="AO89" s="638">
        <v>32.090000000000003</v>
      </c>
    </row>
    <row r="90" spans="1:41" ht="15.75" customHeight="1" x14ac:dyDescent="0.2">
      <c r="A90" s="768"/>
      <c r="B90" s="575" t="s">
        <v>184</v>
      </c>
      <c r="C90" s="799" t="s">
        <v>0</v>
      </c>
      <c r="D90" s="799" t="s">
        <v>50</v>
      </c>
      <c r="E90" s="799" t="s">
        <v>50</v>
      </c>
      <c r="F90" s="636" t="s">
        <v>0</v>
      </c>
      <c r="G90" s="800" t="s">
        <v>0</v>
      </c>
      <c r="H90" s="636">
        <v>21</v>
      </c>
      <c r="I90" s="636">
        <v>21</v>
      </c>
      <c r="J90" s="636">
        <v>21</v>
      </c>
      <c r="K90" s="636">
        <v>21</v>
      </c>
      <c r="L90" s="636">
        <v>21</v>
      </c>
      <c r="M90" s="636">
        <v>21</v>
      </c>
      <c r="N90" s="636">
        <v>21</v>
      </c>
      <c r="O90" s="799" t="s">
        <v>50</v>
      </c>
      <c r="P90" s="799" t="s">
        <v>50</v>
      </c>
      <c r="Q90" s="799" t="s">
        <v>50</v>
      </c>
      <c r="R90" s="799" t="s">
        <v>50</v>
      </c>
      <c r="S90" s="799" t="s">
        <v>50</v>
      </c>
      <c r="T90" s="799" t="s">
        <v>0</v>
      </c>
      <c r="U90" s="799" t="s">
        <v>0</v>
      </c>
      <c r="V90" s="636">
        <v>22</v>
      </c>
      <c r="W90" s="636">
        <v>22</v>
      </c>
      <c r="X90" s="636">
        <v>22</v>
      </c>
      <c r="Y90" s="636">
        <v>22</v>
      </c>
      <c r="Z90" s="636">
        <v>22</v>
      </c>
      <c r="AA90" s="636">
        <v>22</v>
      </c>
      <c r="AB90" s="636">
        <v>22</v>
      </c>
      <c r="AC90" s="635" t="s">
        <v>50</v>
      </c>
      <c r="AD90" s="635" t="s">
        <v>50</v>
      </c>
      <c r="AE90" s="635" t="s">
        <v>50</v>
      </c>
      <c r="AF90" s="635" t="s">
        <v>50</v>
      </c>
      <c r="AG90" s="801" t="s">
        <v>50</v>
      </c>
      <c r="AH90" s="1"/>
      <c r="AJ90" s="638">
        <v>157.5</v>
      </c>
      <c r="AK90" s="638">
        <v>9.75</v>
      </c>
      <c r="AL90" s="638">
        <f t="shared" si="1"/>
        <v>167.25</v>
      </c>
      <c r="AM90" s="639">
        <f t="shared" si="0"/>
        <v>6.9199999999999875</v>
      </c>
      <c r="AN90" s="639">
        <f t="shared" si="2"/>
        <v>1.8399999999999874</v>
      </c>
      <c r="AO90" s="753">
        <v>-5.08</v>
      </c>
    </row>
    <row r="91" spans="1:41" ht="15.75" customHeight="1" x14ac:dyDescent="0.2">
      <c r="A91" s="768"/>
      <c r="B91" s="575" t="s">
        <v>185</v>
      </c>
      <c r="C91" s="635"/>
      <c r="D91" s="802" t="s">
        <v>186</v>
      </c>
      <c r="E91" s="802">
        <v>26</v>
      </c>
      <c r="F91" s="799"/>
      <c r="G91" s="799"/>
      <c r="H91" s="803">
        <v>25</v>
      </c>
      <c r="I91" s="803">
        <v>25</v>
      </c>
      <c r="J91" s="804">
        <v>25</v>
      </c>
      <c r="K91" s="805"/>
      <c r="L91" s="805">
        <v>25</v>
      </c>
      <c r="M91" s="805"/>
      <c r="N91" s="805"/>
      <c r="O91" s="805" t="s">
        <v>50</v>
      </c>
      <c r="P91" s="806" t="s">
        <v>79</v>
      </c>
      <c r="Q91" s="807" t="s">
        <v>46</v>
      </c>
      <c r="R91" s="807" t="s">
        <v>46</v>
      </c>
      <c r="S91" s="807" t="s">
        <v>46</v>
      </c>
      <c r="T91" s="636" t="s">
        <v>0</v>
      </c>
      <c r="U91" s="636" t="s">
        <v>0</v>
      </c>
      <c r="V91" s="799"/>
      <c r="W91" s="799" t="s">
        <v>50</v>
      </c>
      <c r="X91" s="799" t="s">
        <v>50</v>
      </c>
      <c r="Y91" s="808">
        <v>99</v>
      </c>
      <c r="Z91" s="808" t="s">
        <v>46</v>
      </c>
      <c r="AA91" s="808"/>
      <c r="AB91" s="808"/>
      <c r="AC91" s="808" t="s">
        <v>46</v>
      </c>
      <c r="AD91" s="808" t="s">
        <v>46</v>
      </c>
      <c r="AE91" s="808" t="s">
        <v>46</v>
      </c>
      <c r="AF91" s="808" t="s">
        <v>46</v>
      </c>
      <c r="AG91" s="809">
        <v>21</v>
      </c>
      <c r="AH91" s="1"/>
      <c r="AJ91" s="638">
        <v>162.5</v>
      </c>
      <c r="AK91" s="638"/>
      <c r="AL91" s="638">
        <f t="shared" si="1"/>
        <v>162.5</v>
      </c>
      <c r="AM91" s="639">
        <f t="shared" si="0"/>
        <v>2.1699999999999875</v>
      </c>
      <c r="AN91" s="639">
        <f t="shared" si="2"/>
        <v>23.089999999999989</v>
      </c>
      <c r="AO91" s="638">
        <v>20.92</v>
      </c>
    </row>
    <row r="92" spans="1:41" ht="15.75" customHeight="1" x14ac:dyDescent="0.2">
      <c r="A92" s="768"/>
      <c r="B92" s="575" t="s">
        <v>187</v>
      </c>
      <c r="C92" s="636"/>
      <c r="D92" s="635" t="s">
        <v>188</v>
      </c>
      <c r="E92" s="635" t="s">
        <v>188</v>
      </c>
      <c r="F92" s="799"/>
      <c r="G92" s="806">
        <v>26</v>
      </c>
      <c r="H92" s="810" t="s">
        <v>189</v>
      </c>
      <c r="I92" s="811">
        <v>26</v>
      </c>
      <c r="J92" s="811">
        <v>26</v>
      </c>
      <c r="K92" s="812"/>
      <c r="L92" s="812" t="s">
        <v>50</v>
      </c>
      <c r="M92" s="636"/>
      <c r="N92" s="636"/>
      <c r="O92" s="636">
        <v>23</v>
      </c>
      <c r="P92" s="636">
        <v>23</v>
      </c>
      <c r="Q92" s="636">
        <v>23</v>
      </c>
      <c r="R92" s="636">
        <v>23</v>
      </c>
      <c r="S92" s="636">
        <v>23</v>
      </c>
      <c r="T92" s="636">
        <v>23</v>
      </c>
      <c r="U92" s="636">
        <v>23</v>
      </c>
      <c r="V92" s="799"/>
      <c r="W92" s="799" t="s">
        <v>50</v>
      </c>
      <c r="X92" s="799" t="s">
        <v>50</v>
      </c>
      <c r="Y92" s="799" t="s">
        <v>50</v>
      </c>
      <c r="Z92" s="799" t="s">
        <v>50</v>
      </c>
      <c r="AA92" s="799"/>
      <c r="AB92" s="799"/>
      <c r="AC92" s="813">
        <v>21</v>
      </c>
      <c r="AD92" s="635" t="s">
        <v>110</v>
      </c>
      <c r="AE92" s="635" t="s">
        <v>110</v>
      </c>
      <c r="AF92" s="635" t="s">
        <v>110</v>
      </c>
      <c r="AG92" s="814">
        <v>21</v>
      </c>
      <c r="AH92" s="1"/>
      <c r="AJ92" s="638"/>
      <c r="AK92" s="638"/>
      <c r="AL92" s="638" t="str">
        <f t="shared" si="1"/>
        <v/>
      </c>
      <c r="AM92" s="639" t="str">
        <f t="shared" si="0"/>
        <v/>
      </c>
      <c r="AN92" s="639" t="str">
        <f t="shared" si="2"/>
        <v/>
      </c>
      <c r="AO92" s="638">
        <v>16.670000000000002</v>
      </c>
    </row>
    <row r="93" spans="1:41" ht="15.75" customHeight="1" x14ac:dyDescent="0.2">
      <c r="A93" s="768"/>
      <c r="B93" s="575" t="s">
        <v>190</v>
      </c>
      <c r="C93" s="636"/>
      <c r="D93" s="636" t="s">
        <v>50</v>
      </c>
      <c r="E93" s="636" t="s">
        <v>50</v>
      </c>
      <c r="F93" s="815" t="s">
        <v>107</v>
      </c>
      <c r="G93" s="815" t="s">
        <v>107</v>
      </c>
      <c r="H93" s="815">
        <v>8</v>
      </c>
      <c r="I93" s="816">
        <v>8</v>
      </c>
      <c r="J93" s="815">
        <v>8</v>
      </c>
      <c r="K93" s="815">
        <v>8</v>
      </c>
      <c r="L93" s="815">
        <v>8</v>
      </c>
      <c r="M93" s="636"/>
      <c r="N93" s="636"/>
      <c r="O93" s="636" t="s">
        <v>50</v>
      </c>
      <c r="P93" s="636" t="s">
        <v>50</v>
      </c>
      <c r="Q93" s="636" t="s">
        <v>50</v>
      </c>
      <c r="R93" s="636" t="s">
        <v>50</v>
      </c>
      <c r="S93" s="636" t="s">
        <v>50</v>
      </c>
      <c r="T93" s="636"/>
      <c r="U93" s="636"/>
      <c r="V93" s="803">
        <v>8</v>
      </c>
      <c r="W93" s="803">
        <v>8</v>
      </c>
      <c r="X93" s="803">
        <v>8</v>
      </c>
      <c r="Y93" s="803">
        <v>8</v>
      </c>
      <c r="Z93" s="803">
        <v>8</v>
      </c>
      <c r="AA93" s="636"/>
      <c r="AB93" s="636"/>
      <c r="AC93" s="811">
        <v>6</v>
      </c>
      <c r="AD93" s="811">
        <v>6</v>
      </c>
      <c r="AE93" s="811">
        <v>6</v>
      </c>
      <c r="AF93" s="811">
        <v>6</v>
      </c>
      <c r="AG93" s="817">
        <v>6</v>
      </c>
      <c r="AH93" s="1"/>
      <c r="AJ93" s="638">
        <v>136.75</v>
      </c>
      <c r="AK93" s="638">
        <v>7.5</v>
      </c>
      <c r="AL93" s="638">
        <f t="shared" si="1"/>
        <v>144.25</v>
      </c>
      <c r="AM93" s="639">
        <f t="shared" si="0"/>
        <v>-16.080000000000013</v>
      </c>
      <c r="AN93" s="639">
        <f t="shared" si="2"/>
        <v>7.0099999999999874</v>
      </c>
      <c r="AO93" s="638">
        <v>23.09</v>
      </c>
    </row>
    <row r="94" spans="1:41" ht="15.75" customHeight="1" x14ac:dyDescent="0.2">
      <c r="A94" s="768"/>
      <c r="B94" s="749" t="s">
        <v>0</v>
      </c>
      <c r="C94" s="636"/>
      <c r="D94" s="636"/>
      <c r="E94" s="636"/>
      <c r="F94" s="813"/>
      <c r="G94" s="813"/>
      <c r="H94" s="818"/>
      <c r="I94" s="818"/>
      <c r="J94" s="818"/>
      <c r="K94" s="818"/>
      <c r="L94" s="818"/>
      <c r="M94" s="818"/>
      <c r="N94" s="818"/>
      <c r="O94" s="818"/>
      <c r="P94" s="818"/>
      <c r="Q94" s="818"/>
      <c r="R94" s="818"/>
      <c r="S94" s="818"/>
      <c r="T94" s="818"/>
      <c r="U94" s="818"/>
      <c r="V94" s="818"/>
      <c r="W94" s="818"/>
      <c r="X94" s="818"/>
      <c r="Y94" s="818"/>
      <c r="Z94" s="818"/>
      <c r="AA94" s="818"/>
      <c r="AB94" s="818"/>
      <c r="AC94" s="818"/>
      <c r="AD94" s="818"/>
      <c r="AE94" s="818"/>
      <c r="AF94" s="818"/>
      <c r="AG94" s="819"/>
      <c r="AH94" s="1"/>
      <c r="AJ94" s="638"/>
      <c r="AK94" s="638"/>
      <c r="AL94" s="638" t="str">
        <f t="shared" si="1"/>
        <v/>
      </c>
      <c r="AM94" s="639" t="str">
        <f t="shared" si="0"/>
        <v/>
      </c>
      <c r="AN94" s="639" t="str">
        <f t="shared" si="2"/>
        <v/>
      </c>
      <c r="AO94" s="638"/>
    </row>
    <row r="95" spans="1:41" ht="15.75" customHeight="1" x14ac:dyDescent="0.2">
      <c r="A95" s="768"/>
      <c r="B95" s="749" t="s">
        <v>0</v>
      </c>
      <c r="C95" s="636"/>
      <c r="D95" s="636"/>
      <c r="E95" s="636"/>
      <c r="F95" s="813"/>
      <c r="G95" s="813"/>
      <c r="H95" s="818"/>
      <c r="I95" s="818"/>
      <c r="J95" s="818"/>
      <c r="K95" s="818"/>
      <c r="L95" s="818"/>
      <c r="M95" s="818"/>
      <c r="N95" s="818"/>
      <c r="O95" s="818"/>
      <c r="P95" s="818"/>
      <c r="Q95" s="818"/>
      <c r="R95" s="818"/>
      <c r="S95" s="818"/>
      <c r="T95" s="818"/>
      <c r="U95" s="818"/>
      <c r="V95" s="818"/>
      <c r="W95" s="818"/>
      <c r="X95" s="818"/>
      <c r="Y95" s="818"/>
      <c r="Z95" s="818"/>
      <c r="AA95" s="818"/>
      <c r="AB95" s="818"/>
      <c r="AC95" s="818"/>
      <c r="AD95" s="818"/>
      <c r="AE95" s="818"/>
      <c r="AF95" s="818"/>
      <c r="AG95" s="819"/>
      <c r="AH95" s="1"/>
      <c r="AJ95" s="638"/>
      <c r="AK95" s="638"/>
      <c r="AL95" s="638" t="str">
        <f t="shared" si="1"/>
        <v/>
      </c>
      <c r="AM95" s="639" t="str">
        <f t="shared" si="0"/>
        <v/>
      </c>
      <c r="AN95" s="639" t="str">
        <f t="shared" si="2"/>
        <v/>
      </c>
      <c r="AO95" s="638"/>
    </row>
    <row r="96" spans="1:41" ht="15.75" customHeight="1" thickBot="1" x14ac:dyDescent="0.25">
      <c r="A96" s="768"/>
      <c r="B96" s="749" t="s">
        <v>0</v>
      </c>
      <c r="C96" s="633"/>
      <c r="D96" s="633"/>
      <c r="E96" s="633"/>
      <c r="F96" s="820"/>
      <c r="G96" s="820"/>
      <c r="H96" s="655"/>
      <c r="I96" s="655"/>
      <c r="J96" s="655"/>
      <c r="K96" s="655"/>
      <c r="L96" s="655"/>
      <c r="M96" s="655"/>
      <c r="N96" s="655"/>
      <c r="O96" s="655"/>
      <c r="P96" s="655"/>
      <c r="Q96" s="655"/>
      <c r="R96" s="655"/>
      <c r="S96" s="655"/>
      <c r="T96" s="655"/>
      <c r="U96" s="655"/>
      <c r="V96" s="655"/>
      <c r="W96" s="655"/>
      <c r="X96" s="655"/>
      <c r="Y96" s="655"/>
      <c r="Z96" s="655"/>
      <c r="AA96" s="655"/>
      <c r="AB96" s="655"/>
      <c r="AC96" s="655"/>
      <c r="AD96" s="655"/>
      <c r="AE96" s="655"/>
      <c r="AF96" s="655"/>
      <c r="AG96" s="821"/>
      <c r="AH96" s="1"/>
      <c r="AJ96" s="638"/>
      <c r="AK96" s="638"/>
      <c r="AL96" s="638" t="str">
        <f t="shared" si="1"/>
        <v/>
      </c>
      <c r="AM96" s="639" t="str">
        <f t="shared" si="0"/>
        <v/>
      </c>
      <c r="AN96" s="639" t="str">
        <f t="shared" si="2"/>
        <v/>
      </c>
      <c r="AO96" s="638"/>
    </row>
    <row r="97" spans="1:40" ht="15.75" customHeight="1" thickBot="1" x14ac:dyDescent="0.25">
      <c r="A97" s="42"/>
      <c r="B97" s="822" t="s">
        <v>191</v>
      </c>
      <c r="C97" s="390">
        <v>1</v>
      </c>
      <c r="D97" s="389">
        <v>2</v>
      </c>
      <c r="E97" s="389">
        <v>3</v>
      </c>
      <c r="F97" s="390">
        <v>4</v>
      </c>
      <c r="G97" s="390">
        <v>5</v>
      </c>
      <c r="H97" s="389">
        <v>6</v>
      </c>
      <c r="I97" s="389">
        <v>7</v>
      </c>
      <c r="J97" s="389">
        <v>8</v>
      </c>
      <c r="K97" s="390">
        <v>9</v>
      </c>
      <c r="L97" s="389">
        <v>10</v>
      </c>
      <c r="M97" s="390">
        <v>11</v>
      </c>
      <c r="N97" s="390">
        <v>12</v>
      </c>
      <c r="O97" s="389">
        <v>13</v>
      </c>
      <c r="P97" s="389">
        <v>14</v>
      </c>
      <c r="Q97" s="389">
        <v>15</v>
      </c>
      <c r="R97" s="389">
        <v>16</v>
      </c>
      <c r="S97" s="389">
        <v>17</v>
      </c>
      <c r="T97" s="390">
        <v>18</v>
      </c>
      <c r="U97" s="390">
        <v>19</v>
      </c>
      <c r="V97" s="390">
        <v>20</v>
      </c>
      <c r="W97" s="389">
        <v>21</v>
      </c>
      <c r="X97" s="389">
        <v>22</v>
      </c>
      <c r="Y97" s="389">
        <v>23</v>
      </c>
      <c r="Z97" s="389">
        <v>24</v>
      </c>
      <c r="AA97" s="390">
        <v>25</v>
      </c>
      <c r="AB97" s="390">
        <v>26</v>
      </c>
      <c r="AC97" s="389">
        <v>27</v>
      </c>
      <c r="AD97" s="389">
        <v>28</v>
      </c>
      <c r="AE97" s="389">
        <v>29</v>
      </c>
      <c r="AF97" s="389">
        <v>30</v>
      </c>
      <c r="AG97" s="389">
        <v>31</v>
      </c>
      <c r="AH97" s="1"/>
      <c r="AJ97" s="823"/>
      <c r="AK97" s="823"/>
      <c r="AL97" s="823"/>
      <c r="AM97" s="824"/>
      <c r="AN97" s="824"/>
    </row>
    <row r="98" spans="1:40" ht="15.75" customHeight="1" x14ac:dyDescent="0.2">
      <c r="A98" s="825"/>
      <c r="B98" s="826" t="s">
        <v>192</v>
      </c>
      <c r="C98" s="790"/>
      <c r="D98" s="790" t="s">
        <v>46</v>
      </c>
      <c r="E98" s="790" t="s">
        <v>46</v>
      </c>
      <c r="F98" s="791"/>
      <c r="G98" s="791"/>
      <c r="H98" s="827">
        <v>5</v>
      </c>
      <c r="I98" s="827">
        <v>5</v>
      </c>
      <c r="J98" s="828">
        <v>5</v>
      </c>
      <c r="K98" s="829"/>
      <c r="L98" s="828">
        <v>5</v>
      </c>
      <c r="M98" s="792"/>
      <c r="N98" s="792"/>
      <c r="O98" s="830">
        <v>9</v>
      </c>
      <c r="P98" s="830">
        <v>9</v>
      </c>
      <c r="Q98" s="830" t="s">
        <v>50</v>
      </c>
      <c r="R98" s="830" t="s">
        <v>46</v>
      </c>
      <c r="S98" s="830">
        <v>9</v>
      </c>
      <c r="T98" s="830" t="s">
        <v>70</v>
      </c>
      <c r="U98" s="830" t="s">
        <v>106</v>
      </c>
      <c r="V98" s="791"/>
      <c r="W98" s="791" t="s">
        <v>50</v>
      </c>
      <c r="X98" s="791" t="s">
        <v>50</v>
      </c>
      <c r="Y98" s="791" t="s">
        <v>50</v>
      </c>
      <c r="Z98" s="791" t="s">
        <v>50</v>
      </c>
      <c r="AA98" s="790" t="s">
        <v>103</v>
      </c>
      <c r="AB98" s="790" t="s">
        <v>104</v>
      </c>
      <c r="AC98" s="797">
        <v>89</v>
      </c>
      <c r="AD98" s="797">
        <v>89</v>
      </c>
      <c r="AE98" s="797">
        <v>89</v>
      </c>
      <c r="AF98" s="830" t="s">
        <v>46</v>
      </c>
      <c r="AG98" s="798">
        <v>89</v>
      </c>
      <c r="AH98" s="1"/>
      <c r="AJ98" s="123"/>
      <c r="AK98" s="123"/>
      <c r="AL98" s="123"/>
      <c r="AM98" s="215"/>
      <c r="AN98" s="215"/>
    </row>
    <row r="99" spans="1:40" ht="15.75" customHeight="1" x14ac:dyDescent="0.2">
      <c r="A99" s="831"/>
      <c r="B99" s="832" t="s">
        <v>193</v>
      </c>
      <c r="C99" s="635"/>
      <c r="D99" s="635" t="s">
        <v>46</v>
      </c>
      <c r="E99" s="635" t="s">
        <v>46</v>
      </c>
      <c r="F99" s="799"/>
      <c r="G99" s="799"/>
      <c r="H99" s="636">
        <v>1</v>
      </c>
      <c r="I99" s="636">
        <v>1</v>
      </c>
      <c r="J99" s="636">
        <v>1</v>
      </c>
      <c r="K99" s="812">
        <v>1</v>
      </c>
      <c r="L99" s="812">
        <v>1</v>
      </c>
      <c r="M99" s="636"/>
      <c r="N99" s="636"/>
      <c r="O99" s="636">
        <v>8</v>
      </c>
      <c r="P99" s="815" t="s">
        <v>46</v>
      </c>
      <c r="Q99" s="833" t="s">
        <v>50</v>
      </c>
      <c r="R99" s="834" t="s">
        <v>46</v>
      </c>
      <c r="S99" s="815" t="s">
        <v>46</v>
      </c>
      <c r="T99" s="812"/>
      <c r="U99" s="636"/>
      <c r="V99" s="799"/>
      <c r="W99" s="800" t="s">
        <v>77</v>
      </c>
      <c r="X99" s="800" t="s">
        <v>50</v>
      </c>
      <c r="Y99" s="799" t="s">
        <v>46</v>
      </c>
      <c r="Z99" s="800" t="s">
        <v>77</v>
      </c>
      <c r="AA99" s="799"/>
      <c r="AB99" s="799"/>
      <c r="AC99" s="815" t="s">
        <v>46</v>
      </c>
      <c r="AD99" s="815" t="s">
        <v>46</v>
      </c>
      <c r="AE99" s="833" t="s">
        <v>50</v>
      </c>
      <c r="AF99" s="834" t="s">
        <v>46</v>
      </c>
      <c r="AG99" s="835" t="s">
        <v>46</v>
      </c>
      <c r="AH99" s="1"/>
      <c r="AJ99" s="123"/>
      <c r="AK99" s="123"/>
      <c r="AL99" s="123"/>
      <c r="AM99" s="123"/>
      <c r="AN99" s="123"/>
    </row>
    <row r="100" spans="1:40" ht="15.75" customHeight="1" x14ac:dyDescent="0.2">
      <c r="A100" s="831"/>
      <c r="B100" s="836" t="s">
        <v>194</v>
      </c>
      <c r="C100" s="635"/>
      <c r="D100" s="635" t="s">
        <v>46</v>
      </c>
      <c r="E100" s="635" t="s">
        <v>46</v>
      </c>
      <c r="F100" s="799"/>
      <c r="G100" s="799"/>
      <c r="H100" s="636" t="s">
        <v>46</v>
      </c>
      <c r="I100" s="636" t="s">
        <v>46</v>
      </c>
      <c r="J100" s="636" t="s">
        <v>46</v>
      </c>
      <c r="K100" s="636" t="s">
        <v>46</v>
      </c>
      <c r="L100" s="636" t="s">
        <v>46</v>
      </c>
      <c r="M100" s="636"/>
      <c r="N100" s="636"/>
      <c r="O100" s="636" t="s">
        <v>46</v>
      </c>
      <c r="P100" s="636" t="s">
        <v>46</v>
      </c>
      <c r="Q100" s="636" t="s">
        <v>46</v>
      </c>
      <c r="R100" s="636" t="s">
        <v>46</v>
      </c>
      <c r="S100" s="636" t="s">
        <v>46</v>
      </c>
      <c r="T100" s="636"/>
      <c r="U100" s="636"/>
      <c r="V100" s="636"/>
      <c r="W100" s="636" t="s">
        <v>46</v>
      </c>
      <c r="X100" s="636" t="s">
        <v>46</v>
      </c>
      <c r="Y100" s="636" t="s">
        <v>46</v>
      </c>
      <c r="Z100" s="636" t="s">
        <v>46</v>
      </c>
      <c r="AA100" s="636"/>
      <c r="AB100" s="636"/>
      <c r="AC100" s="636" t="s">
        <v>46</v>
      </c>
      <c r="AD100" s="636" t="s">
        <v>46</v>
      </c>
      <c r="AE100" s="636" t="s">
        <v>46</v>
      </c>
      <c r="AF100" s="636" t="s">
        <v>46</v>
      </c>
      <c r="AG100" s="819" t="s">
        <v>46</v>
      </c>
      <c r="AH100" s="1"/>
      <c r="AJ100" s="123"/>
      <c r="AK100" s="123"/>
      <c r="AL100" s="123"/>
      <c r="AM100" s="123"/>
      <c r="AN100" s="123"/>
    </row>
    <row r="101" spans="1:40" ht="15.75" customHeight="1" thickBot="1" x14ac:dyDescent="0.25">
      <c r="A101" s="743"/>
      <c r="B101" s="837"/>
      <c r="C101" s="838"/>
      <c r="D101" s="838" t="s">
        <v>46</v>
      </c>
      <c r="E101" s="838" t="s">
        <v>46</v>
      </c>
      <c r="F101" s="425"/>
      <c r="G101" s="425"/>
      <c r="H101" s="633" t="s">
        <v>46</v>
      </c>
      <c r="I101" s="633" t="s">
        <v>46</v>
      </c>
      <c r="J101" s="633" t="s">
        <v>46</v>
      </c>
      <c r="K101" s="839"/>
      <c r="L101" s="839" t="s">
        <v>46</v>
      </c>
      <c r="M101" s="633"/>
      <c r="N101" s="633"/>
      <c r="O101" s="633" t="s">
        <v>46</v>
      </c>
      <c r="P101" s="633" t="s">
        <v>46</v>
      </c>
      <c r="Q101" s="633" t="s">
        <v>46</v>
      </c>
      <c r="R101" s="633" t="s">
        <v>46</v>
      </c>
      <c r="S101" s="633" t="s">
        <v>46</v>
      </c>
      <c r="T101" s="839"/>
      <c r="U101" s="633"/>
      <c r="V101" s="425"/>
      <c r="W101" s="425" t="s">
        <v>46</v>
      </c>
      <c r="X101" s="425" t="s">
        <v>46</v>
      </c>
      <c r="Y101" s="425" t="s">
        <v>46</v>
      </c>
      <c r="Z101" s="425" t="s">
        <v>46</v>
      </c>
      <c r="AA101" s="425"/>
      <c r="AB101" s="425"/>
      <c r="AC101" s="820" t="s">
        <v>46</v>
      </c>
      <c r="AD101" s="838" t="s">
        <v>46</v>
      </c>
      <c r="AE101" s="838" t="s">
        <v>46</v>
      </c>
      <c r="AF101" s="838" t="s">
        <v>46</v>
      </c>
      <c r="AG101" s="840" t="s">
        <v>46</v>
      </c>
      <c r="AH101" s="1"/>
      <c r="AJ101" s="123"/>
      <c r="AK101" s="123"/>
      <c r="AL101" s="123"/>
      <c r="AM101" s="123"/>
      <c r="AN101" s="123"/>
    </row>
    <row r="102" spans="1:40" ht="15.75" customHeight="1" thickBot="1" x14ac:dyDescent="0.25">
      <c r="A102" s="841"/>
      <c r="B102" s="392" t="s">
        <v>44</v>
      </c>
      <c r="C102" s="272">
        <v>1</v>
      </c>
      <c r="D102" s="273">
        <v>2</v>
      </c>
      <c r="E102" s="273">
        <v>3</v>
      </c>
      <c r="F102" s="272">
        <v>4</v>
      </c>
      <c r="G102" s="272">
        <v>5</v>
      </c>
      <c r="H102" s="273">
        <v>6</v>
      </c>
      <c r="I102" s="273">
        <v>7</v>
      </c>
      <c r="J102" s="273">
        <v>8</v>
      </c>
      <c r="K102" s="272">
        <v>9</v>
      </c>
      <c r="L102" s="273">
        <v>10</v>
      </c>
      <c r="M102" s="272">
        <v>11</v>
      </c>
      <c r="N102" s="272">
        <v>12</v>
      </c>
      <c r="O102" s="273">
        <v>13</v>
      </c>
      <c r="P102" s="273">
        <v>14</v>
      </c>
      <c r="Q102" s="273">
        <v>15</v>
      </c>
      <c r="R102" s="273">
        <v>16</v>
      </c>
      <c r="S102" s="273">
        <v>17</v>
      </c>
      <c r="T102" s="272">
        <v>18</v>
      </c>
      <c r="U102" s="272">
        <v>19</v>
      </c>
      <c r="V102" s="272">
        <v>20</v>
      </c>
      <c r="W102" s="273">
        <v>21</v>
      </c>
      <c r="X102" s="273">
        <v>22</v>
      </c>
      <c r="Y102" s="273">
        <v>23</v>
      </c>
      <c r="Z102" s="273">
        <v>24</v>
      </c>
      <c r="AA102" s="272">
        <v>25</v>
      </c>
      <c r="AB102" s="272">
        <v>26</v>
      </c>
      <c r="AC102" s="273">
        <v>27</v>
      </c>
      <c r="AD102" s="273">
        <v>28</v>
      </c>
      <c r="AE102" s="273">
        <v>29</v>
      </c>
      <c r="AF102" s="273">
        <v>30</v>
      </c>
      <c r="AG102" s="273">
        <v>31</v>
      </c>
      <c r="AH102" s="1"/>
    </row>
    <row r="103" spans="1:40" ht="15.75" customHeight="1" x14ac:dyDescent="0.2">
      <c r="A103" s="831"/>
      <c r="B103" s="842" t="s">
        <v>195</v>
      </c>
      <c r="C103" s="631"/>
      <c r="D103" s="843"/>
      <c r="E103" s="631"/>
      <c r="F103" s="631"/>
      <c r="G103" s="631"/>
      <c r="H103" s="631"/>
      <c r="I103" s="631"/>
      <c r="J103" s="631"/>
      <c r="K103" s="631"/>
      <c r="L103" s="631"/>
      <c r="M103" s="631"/>
      <c r="N103" s="631"/>
      <c r="O103" s="631"/>
      <c r="P103" s="631"/>
      <c r="Q103" s="631"/>
      <c r="R103" s="631"/>
      <c r="S103" s="631"/>
      <c r="T103" s="631"/>
      <c r="U103" s="631"/>
      <c r="V103" s="631"/>
      <c r="W103" s="631"/>
      <c r="X103" s="631"/>
      <c r="Y103" s="631"/>
      <c r="Z103" s="631"/>
      <c r="AA103" s="631"/>
      <c r="AB103" s="631"/>
      <c r="AC103" s="631"/>
      <c r="AD103" s="631"/>
      <c r="AE103" s="631"/>
      <c r="AF103" s="631"/>
      <c r="AG103" s="747"/>
      <c r="AH103" s="1"/>
      <c r="AJ103" t="s">
        <v>0</v>
      </c>
    </row>
    <row r="104" spans="1:40" ht="15.75" customHeight="1" x14ac:dyDescent="0.2">
      <c r="A104" s="831"/>
      <c r="B104" s="602" t="s">
        <v>196</v>
      </c>
      <c r="C104" s="844"/>
      <c r="D104" s="844"/>
      <c r="E104" s="844"/>
      <c r="F104" s="603"/>
      <c r="G104" s="603"/>
      <c r="H104" s="844"/>
      <c r="I104" s="844"/>
      <c r="J104" s="844"/>
      <c r="K104" s="844"/>
      <c r="L104" s="844"/>
      <c r="M104" s="844"/>
      <c r="N104" s="844"/>
      <c r="O104" s="844" t="s">
        <v>46</v>
      </c>
      <c r="P104" s="844">
        <v>69</v>
      </c>
      <c r="Q104" s="844">
        <v>89</v>
      </c>
      <c r="R104" s="844" t="s">
        <v>46</v>
      </c>
      <c r="S104" s="844" t="s">
        <v>46</v>
      </c>
      <c r="T104" s="600"/>
      <c r="U104" s="844"/>
      <c r="V104" s="844"/>
      <c r="W104" s="844"/>
      <c r="X104" s="844"/>
      <c r="Y104" s="844"/>
      <c r="Z104" s="844"/>
      <c r="AA104" s="844"/>
      <c r="AB104" s="844"/>
      <c r="AC104" s="844"/>
      <c r="AD104" s="844"/>
      <c r="AE104" s="844"/>
      <c r="AF104" s="844"/>
      <c r="AG104" s="845"/>
      <c r="AH104" s="1"/>
    </row>
    <row r="105" spans="1:40" ht="15.75" customHeight="1" x14ac:dyDescent="0.2">
      <c r="A105" s="831"/>
      <c r="B105" s="602"/>
      <c r="C105" s="600"/>
      <c r="D105" s="600"/>
      <c r="E105" s="600"/>
      <c r="F105" s="600"/>
      <c r="G105" s="600"/>
      <c r="H105" s="600"/>
      <c r="I105" s="600"/>
      <c r="J105" s="600"/>
      <c r="K105" s="600"/>
      <c r="L105" s="600"/>
      <c r="M105" s="600"/>
      <c r="N105" s="600"/>
      <c r="O105" s="600"/>
      <c r="P105" s="600"/>
      <c r="Q105" s="600"/>
      <c r="R105" s="600"/>
      <c r="S105" s="600"/>
      <c r="T105" s="600"/>
      <c r="U105" s="600"/>
      <c r="V105" s="600"/>
      <c r="W105" s="600"/>
      <c r="X105" s="600"/>
      <c r="Y105" s="600"/>
      <c r="Z105" s="600"/>
      <c r="AA105" s="600"/>
      <c r="AB105" s="600"/>
      <c r="AC105" s="600"/>
      <c r="AD105" s="600"/>
      <c r="AE105" s="600"/>
      <c r="AF105" s="600"/>
      <c r="AG105" s="637"/>
      <c r="AH105" s="1"/>
    </row>
    <row r="106" spans="1:40" ht="15.75" customHeight="1" x14ac:dyDescent="0.2">
      <c r="A106" s="126"/>
      <c r="B106" s="614"/>
      <c r="C106" s="846"/>
      <c r="D106" s="846"/>
      <c r="E106" s="846"/>
      <c r="F106" s="846"/>
      <c r="G106" s="846"/>
      <c r="H106" s="846"/>
      <c r="I106" s="846"/>
      <c r="J106" s="846"/>
      <c r="K106" s="846"/>
      <c r="L106" s="846"/>
      <c r="M106" s="846"/>
      <c r="N106" s="846"/>
      <c r="O106" s="846"/>
      <c r="P106" s="846"/>
      <c r="Q106" s="846"/>
      <c r="R106" s="846"/>
      <c r="S106" s="846"/>
      <c r="T106" s="846"/>
      <c r="U106" s="846"/>
      <c r="V106" s="846"/>
      <c r="W106" s="846"/>
      <c r="X106" s="846"/>
      <c r="Y106" s="846"/>
      <c r="Z106" s="846"/>
      <c r="AA106" s="846"/>
      <c r="AB106" s="846"/>
      <c r="AC106" s="846"/>
      <c r="AD106" s="846"/>
      <c r="AE106" s="846"/>
      <c r="AF106" s="846"/>
      <c r="AG106" s="656"/>
      <c r="AH106" s="1"/>
    </row>
    <row r="107" spans="1:40" ht="15.75" customHeight="1" x14ac:dyDescent="0.2">
      <c r="A107" s="126"/>
      <c r="B107" s="127"/>
      <c r="C107" s="142"/>
      <c r="D107" s="142"/>
      <c r="E107" s="142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28"/>
      <c r="AH107" s="1"/>
    </row>
    <row r="108" spans="1:40" ht="15.75" customHeight="1" x14ac:dyDescent="0.2">
      <c r="A108" s="216" t="s">
        <v>197</v>
      </c>
      <c r="B108" s="127"/>
      <c r="C108" s="142"/>
      <c r="D108" s="142"/>
      <c r="E108" s="142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237"/>
      <c r="S108" s="237"/>
      <c r="T108" s="237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28"/>
      <c r="AH108" s="1"/>
    </row>
    <row r="109" spans="1:40" ht="15.75" customHeight="1" x14ac:dyDescent="0.25">
      <c r="A109" s="126"/>
      <c r="B109" s="217"/>
      <c r="C109" s="218"/>
      <c r="D109" s="218"/>
      <c r="E109" s="221" t="s">
        <v>198</v>
      </c>
      <c r="F109" s="218"/>
      <c r="G109" s="218"/>
      <c r="H109" s="218"/>
      <c r="I109" s="218"/>
      <c r="J109" s="218"/>
      <c r="K109" s="226" t="s">
        <v>13</v>
      </c>
      <c r="L109" s="222"/>
      <c r="M109" s="222"/>
      <c r="N109" s="222"/>
      <c r="O109" s="222"/>
      <c r="P109" s="222"/>
      <c r="Q109" s="222"/>
      <c r="R109" s="222"/>
      <c r="S109" s="222"/>
      <c r="T109" s="223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"/>
    </row>
    <row r="110" spans="1:40" ht="15.75" customHeight="1" x14ac:dyDescent="0.25">
      <c r="A110" s="126"/>
      <c r="B110" s="217" t="s">
        <v>199</v>
      </c>
      <c r="C110" s="218"/>
      <c r="D110" s="218"/>
      <c r="E110" s="219" t="s">
        <v>200</v>
      </c>
      <c r="F110" s="218"/>
      <c r="G110" s="218"/>
      <c r="H110" s="218"/>
      <c r="I110" s="218"/>
      <c r="J110" s="218"/>
      <c r="K110" s="218" t="s">
        <v>201</v>
      </c>
      <c r="L110" s="218"/>
      <c r="M110" s="218"/>
      <c r="N110" s="218"/>
      <c r="O110" s="218"/>
      <c r="P110" s="218"/>
      <c r="Q110" s="218"/>
      <c r="R110" s="236" t="s">
        <v>202</v>
      </c>
      <c r="S110" s="236"/>
      <c r="T110" s="236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"/>
    </row>
    <row r="111" spans="1:40" ht="15.75" customHeight="1" x14ac:dyDescent="0.25">
      <c r="A111" s="126"/>
      <c r="B111" s="217" t="s">
        <v>22</v>
      </c>
      <c r="C111" s="218"/>
      <c r="D111" s="218"/>
      <c r="E111" s="221" t="s">
        <v>203</v>
      </c>
      <c r="F111" s="218"/>
      <c r="G111" s="218"/>
      <c r="H111" s="218"/>
      <c r="I111" s="218"/>
      <c r="J111" s="218"/>
      <c r="K111" s="218" t="s">
        <v>204</v>
      </c>
      <c r="L111" s="218"/>
      <c r="M111" s="218"/>
      <c r="N111" s="218"/>
      <c r="O111" s="218"/>
      <c r="P111" s="218"/>
      <c r="Q111" s="218"/>
      <c r="R111" s="218"/>
      <c r="S111" s="218"/>
      <c r="T111" s="220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"/>
    </row>
    <row r="112" spans="1:40" ht="15.75" customHeight="1" x14ac:dyDescent="0.25">
      <c r="A112" s="126"/>
      <c r="B112" s="217" t="s">
        <v>205</v>
      </c>
      <c r="C112" s="218"/>
      <c r="D112" s="218"/>
      <c r="E112" s="221" t="s">
        <v>206</v>
      </c>
      <c r="F112" s="218"/>
      <c r="G112" s="218"/>
      <c r="H112" s="218"/>
      <c r="I112" s="218"/>
      <c r="J112" s="218"/>
      <c r="K112" s="218" t="s">
        <v>207</v>
      </c>
      <c r="L112" s="229"/>
      <c r="M112" s="229"/>
      <c r="N112" s="229"/>
      <c r="O112" s="229"/>
      <c r="P112" s="229"/>
      <c r="Q112" s="229"/>
      <c r="R112" s="229"/>
      <c r="S112" s="229"/>
      <c r="T112" s="230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"/>
    </row>
    <row r="113" spans="1:41" ht="15.75" customHeight="1" x14ac:dyDescent="0.25">
      <c r="A113" s="126"/>
      <c r="B113" s="227"/>
      <c r="C113" s="227"/>
      <c r="D113" s="227"/>
      <c r="E113" s="228"/>
      <c r="F113" s="227"/>
      <c r="G113" s="227"/>
      <c r="H113" s="227"/>
      <c r="I113" s="227"/>
      <c r="J113" s="227"/>
      <c r="K113" s="227"/>
      <c r="L113" s="231"/>
      <c r="M113" s="231"/>
      <c r="N113" s="231"/>
      <c r="O113" s="231"/>
      <c r="P113" s="231"/>
      <c r="Q113" s="231"/>
      <c r="R113" s="231"/>
      <c r="S113" s="231"/>
      <c r="T113" s="231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"/>
    </row>
    <row r="114" spans="1:41" ht="15.75" customHeight="1" x14ac:dyDescent="0.25">
      <c r="A114" s="126"/>
      <c r="B114" s="847" t="s">
        <v>44</v>
      </c>
      <c r="C114" s="582">
        <v>1</v>
      </c>
      <c r="D114" s="583">
        <v>2</v>
      </c>
      <c r="E114" s="583">
        <v>3</v>
      </c>
      <c r="F114" s="582">
        <v>4</v>
      </c>
      <c r="G114" s="582">
        <v>5</v>
      </c>
      <c r="H114" s="583">
        <v>6</v>
      </c>
      <c r="I114" s="583">
        <v>7</v>
      </c>
      <c r="J114" s="583">
        <v>8</v>
      </c>
      <c r="K114" s="582">
        <v>9</v>
      </c>
      <c r="L114" s="583">
        <v>10</v>
      </c>
      <c r="M114" s="582">
        <v>11</v>
      </c>
      <c r="N114" s="582">
        <v>12</v>
      </c>
      <c r="O114" s="583">
        <v>13</v>
      </c>
      <c r="P114" s="583">
        <v>14</v>
      </c>
      <c r="Q114" s="583">
        <v>15</v>
      </c>
      <c r="R114" s="583">
        <v>16</v>
      </c>
      <c r="S114" s="583">
        <v>17</v>
      </c>
      <c r="T114" s="582">
        <v>18</v>
      </c>
      <c r="U114" s="582">
        <v>19</v>
      </c>
      <c r="V114" s="582">
        <v>20</v>
      </c>
      <c r="W114" s="583">
        <v>21</v>
      </c>
      <c r="X114" s="583">
        <v>22</v>
      </c>
      <c r="Y114" s="583">
        <v>23</v>
      </c>
      <c r="Z114" s="583">
        <v>24</v>
      </c>
      <c r="AA114" s="582">
        <v>25</v>
      </c>
      <c r="AB114" s="582">
        <v>26</v>
      </c>
      <c r="AC114" s="583">
        <v>27</v>
      </c>
      <c r="AD114" s="583">
        <v>28</v>
      </c>
      <c r="AE114" s="583">
        <v>29</v>
      </c>
      <c r="AF114" s="583">
        <v>30</v>
      </c>
      <c r="AG114" s="583">
        <v>31</v>
      </c>
      <c r="AH114" s="1"/>
      <c r="AJ114" s="579" t="s">
        <v>41</v>
      </c>
      <c r="AK114" s="579" t="s">
        <v>62</v>
      </c>
      <c r="AL114" s="579" t="s">
        <v>63</v>
      </c>
      <c r="AM114" s="579" t="s">
        <v>64</v>
      </c>
      <c r="AN114" s="579" t="s">
        <v>65</v>
      </c>
      <c r="AO114" s="579" t="s">
        <v>66</v>
      </c>
    </row>
    <row r="115" spans="1:41" ht="15.75" customHeight="1" x14ac:dyDescent="0.2">
      <c r="B115" s="848" t="s">
        <v>208</v>
      </c>
      <c r="C115" s="797" t="s">
        <v>50</v>
      </c>
      <c r="D115" s="790" t="s">
        <v>50</v>
      </c>
      <c r="E115" s="790" t="s">
        <v>50</v>
      </c>
      <c r="F115" s="792"/>
      <c r="G115" s="790"/>
      <c r="H115" s="790" t="s">
        <v>209</v>
      </c>
      <c r="I115" s="790" t="s">
        <v>209</v>
      </c>
      <c r="J115" s="790" t="s">
        <v>209</v>
      </c>
      <c r="K115" s="849" t="s">
        <v>209</v>
      </c>
      <c r="L115" s="850" t="s">
        <v>209</v>
      </c>
      <c r="M115" s="790" t="s">
        <v>210</v>
      </c>
      <c r="N115" s="792" t="s">
        <v>211</v>
      </c>
      <c r="O115" s="790" t="s">
        <v>50</v>
      </c>
      <c r="P115" s="790" t="s">
        <v>50</v>
      </c>
      <c r="Q115" s="797" t="s">
        <v>50</v>
      </c>
      <c r="R115" s="790" t="s">
        <v>50</v>
      </c>
      <c r="S115" s="790" t="s">
        <v>50</v>
      </c>
      <c r="T115" s="792" t="s">
        <v>50</v>
      </c>
      <c r="U115" s="790" t="s">
        <v>50</v>
      </c>
      <c r="V115" s="790" t="s">
        <v>209</v>
      </c>
      <c r="W115" s="790" t="s">
        <v>209</v>
      </c>
      <c r="X115" s="790" t="s">
        <v>209</v>
      </c>
      <c r="Y115" s="790" t="s">
        <v>209</v>
      </c>
      <c r="Z115" s="850" t="s">
        <v>209</v>
      </c>
      <c r="AA115" s="790" t="s">
        <v>210</v>
      </c>
      <c r="AB115" s="792" t="s">
        <v>211</v>
      </c>
      <c r="AC115" s="790" t="s">
        <v>50</v>
      </c>
      <c r="AD115" s="790" t="s">
        <v>50</v>
      </c>
      <c r="AE115" s="797" t="s">
        <v>50</v>
      </c>
      <c r="AF115" s="790" t="s">
        <v>50</v>
      </c>
      <c r="AG115" s="790" t="s">
        <v>50</v>
      </c>
      <c r="AH115" s="1"/>
      <c r="AJ115" s="638">
        <f t="shared" ref="AJ115:AJ116" si="6">$AJ$12</f>
        <v>160.33000000000001</v>
      </c>
      <c r="AK115" s="638"/>
      <c r="AL115" s="638">
        <f t="shared" ref="AL115" si="7">IF(AJ115="","",SUM(AJ115:AK115))</f>
        <v>160.33000000000001</v>
      </c>
      <c r="AM115" s="639">
        <f t="shared" ref="AM115" si="8">IF(AJ115="","",AL115-_xlfn.SINGLE(NormTid))</f>
        <v>0</v>
      </c>
      <c r="AN115" s="639">
        <f t="shared" ref="AN115:AN116" si="9">IF(AM115="","",AM115+AO115)</f>
        <v>0</v>
      </c>
      <c r="AO115" s="638"/>
    </row>
    <row r="116" spans="1:41" ht="15.75" customHeight="1" x14ac:dyDescent="0.2">
      <c r="B116" s="851" t="s">
        <v>212</v>
      </c>
      <c r="C116" s="813" t="s">
        <v>209</v>
      </c>
      <c r="D116" s="635" t="s">
        <v>209</v>
      </c>
      <c r="E116" s="635" t="s">
        <v>209</v>
      </c>
      <c r="F116" s="636" t="s">
        <v>210</v>
      </c>
      <c r="G116" s="635" t="s">
        <v>211</v>
      </c>
      <c r="H116" s="635" t="s">
        <v>50</v>
      </c>
      <c r="I116" s="636" t="s">
        <v>50</v>
      </c>
      <c r="J116" s="636" t="s">
        <v>50</v>
      </c>
      <c r="K116" s="636" t="s">
        <v>50</v>
      </c>
      <c r="L116" s="636" t="s">
        <v>50</v>
      </c>
      <c r="M116" s="636"/>
      <c r="N116" s="636"/>
      <c r="O116" s="636" t="s">
        <v>209</v>
      </c>
      <c r="P116" s="635" t="s">
        <v>209</v>
      </c>
      <c r="Q116" s="813" t="s">
        <v>209</v>
      </c>
      <c r="R116" s="635" t="s">
        <v>209</v>
      </c>
      <c r="S116" s="635" t="s">
        <v>209</v>
      </c>
      <c r="T116" s="636" t="s">
        <v>210</v>
      </c>
      <c r="U116" s="635" t="s">
        <v>211</v>
      </c>
      <c r="V116" s="635" t="s">
        <v>50</v>
      </c>
      <c r="W116" s="636" t="s">
        <v>50</v>
      </c>
      <c r="X116" s="636" t="s">
        <v>50</v>
      </c>
      <c r="Y116" s="636" t="s">
        <v>50</v>
      </c>
      <c r="Z116" s="636" t="s">
        <v>50</v>
      </c>
      <c r="AA116" s="636"/>
      <c r="AB116" s="636"/>
      <c r="AC116" s="636" t="s">
        <v>209</v>
      </c>
      <c r="AD116" s="635" t="s">
        <v>209</v>
      </c>
      <c r="AE116" s="813" t="s">
        <v>209</v>
      </c>
      <c r="AF116" s="635" t="s">
        <v>209</v>
      </c>
      <c r="AG116" s="635" t="s">
        <v>209</v>
      </c>
      <c r="AH116" s="1"/>
      <c r="AJ116" s="638">
        <f t="shared" si="6"/>
        <v>160.33000000000001</v>
      </c>
      <c r="AK116" s="638"/>
      <c r="AL116" s="638">
        <f t="shared" ref="AL116" si="10">IF(AJ116="","",SUM(AJ116:AK116))</f>
        <v>160.33000000000001</v>
      </c>
      <c r="AM116" s="639">
        <f t="shared" ref="AM116" si="11">IF(AJ116="","",AL116-_xlfn.SINGLE(NormTid))</f>
        <v>0</v>
      </c>
      <c r="AN116" s="639">
        <f t="shared" si="9"/>
        <v>0</v>
      </c>
      <c r="AO116" s="638"/>
    </row>
    <row r="117" spans="1:41" ht="15.75" customHeight="1" x14ac:dyDescent="0.2">
      <c r="B117" s="852" t="s">
        <v>0</v>
      </c>
      <c r="C117" s="853" t="s">
        <v>0</v>
      </c>
      <c r="D117" s="853" t="s">
        <v>0</v>
      </c>
      <c r="E117" s="854" t="s">
        <v>145</v>
      </c>
      <c r="F117" s="853" t="s">
        <v>147</v>
      </c>
      <c r="G117" s="855" t="s">
        <v>148</v>
      </c>
      <c r="H117" s="855"/>
      <c r="I117" s="856" t="s">
        <v>0</v>
      </c>
      <c r="J117" s="856" t="s">
        <v>0</v>
      </c>
      <c r="K117" s="633" t="s">
        <v>0</v>
      </c>
      <c r="L117" s="633" t="s">
        <v>145</v>
      </c>
      <c r="M117" s="633" t="s">
        <v>147</v>
      </c>
      <c r="N117" s="633" t="s">
        <v>148</v>
      </c>
      <c r="O117" s="853" t="s">
        <v>0</v>
      </c>
      <c r="P117" s="855" t="s">
        <v>0</v>
      </c>
      <c r="Q117" s="853" t="s">
        <v>0</v>
      </c>
      <c r="R117" s="853" t="s">
        <v>0</v>
      </c>
      <c r="S117" s="854" t="s">
        <v>145</v>
      </c>
      <c r="T117" s="853" t="s">
        <v>147</v>
      </c>
      <c r="U117" s="855" t="s">
        <v>148</v>
      </c>
      <c r="V117" s="855"/>
      <c r="W117" s="856" t="s">
        <v>0</v>
      </c>
      <c r="X117" s="856" t="s">
        <v>0</v>
      </c>
      <c r="Y117" s="633" t="s">
        <v>0</v>
      </c>
      <c r="Z117" s="633" t="s">
        <v>145</v>
      </c>
      <c r="AA117" s="633" t="s">
        <v>147</v>
      </c>
      <c r="AB117" s="633" t="s">
        <v>148</v>
      </c>
      <c r="AC117" s="853" t="s">
        <v>0</v>
      </c>
      <c r="AD117" s="855" t="s">
        <v>0</v>
      </c>
      <c r="AE117" s="853" t="s">
        <v>0</v>
      </c>
      <c r="AF117" s="853" t="s">
        <v>0</v>
      </c>
      <c r="AG117" s="854" t="s">
        <v>145</v>
      </c>
      <c r="AH117" s="1"/>
      <c r="AJ117" s="823"/>
      <c r="AK117" s="823"/>
      <c r="AL117" s="823"/>
      <c r="AM117" s="824"/>
      <c r="AN117" s="824"/>
    </row>
    <row r="118" spans="1:41" ht="15.75" customHeight="1" x14ac:dyDescent="0.2">
      <c r="B118" s="232"/>
      <c r="C118" s="233"/>
      <c r="D118" s="233"/>
      <c r="E118" s="234"/>
      <c r="F118" s="234"/>
      <c r="G118" s="234"/>
      <c r="H118" s="234"/>
      <c r="I118" s="234"/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  <c r="AA118" s="234"/>
      <c r="AB118" s="234"/>
      <c r="AC118" s="234"/>
      <c r="AD118" s="234"/>
      <c r="AE118" s="234"/>
      <c r="AF118" s="234"/>
      <c r="AG118" s="234"/>
      <c r="AH118" s="1"/>
      <c r="AJ118" s="123"/>
      <c r="AK118" s="123"/>
      <c r="AL118" s="123"/>
      <c r="AM118" s="215"/>
      <c r="AN118" s="215"/>
    </row>
    <row r="119" spans="1:41" ht="15.75" customHeight="1" x14ac:dyDescent="0.2">
      <c r="A119" s="3" t="s">
        <v>213</v>
      </c>
      <c r="AH119" s="1"/>
      <c r="AJ119" s="123"/>
      <c r="AK119" s="123"/>
      <c r="AL119" s="123"/>
      <c r="AM119" s="215"/>
      <c r="AN119" s="215"/>
    </row>
    <row r="120" spans="1:41" ht="15.75" customHeight="1" x14ac:dyDescent="0.25">
      <c r="B120" s="217"/>
      <c r="C120" s="218"/>
      <c r="D120" s="218"/>
      <c r="E120" s="221" t="s">
        <v>198</v>
      </c>
      <c r="F120" s="218"/>
      <c r="G120" s="218"/>
      <c r="H120" s="218"/>
      <c r="I120" s="218"/>
      <c r="J120" s="218"/>
      <c r="K120" s="226" t="s">
        <v>13</v>
      </c>
      <c r="L120" s="222"/>
      <c r="M120" s="222"/>
      <c r="N120" s="222"/>
      <c r="O120" s="222"/>
      <c r="P120" s="222"/>
      <c r="Q120" s="222"/>
      <c r="R120" s="222"/>
      <c r="S120" s="222"/>
      <c r="T120" s="223"/>
      <c r="AH120" s="1"/>
      <c r="AJ120" s="123"/>
      <c r="AK120" s="123"/>
      <c r="AL120" s="123"/>
      <c r="AM120" s="215"/>
      <c r="AN120" s="215"/>
    </row>
    <row r="121" spans="1:41" ht="15.75" customHeight="1" x14ac:dyDescent="0.25">
      <c r="B121" s="217" t="s">
        <v>199</v>
      </c>
      <c r="C121" s="218"/>
      <c r="D121" s="218"/>
      <c r="E121" s="219" t="s">
        <v>214</v>
      </c>
      <c r="F121" s="218"/>
      <c r="G121" s="218"/>
      <c r="H121" s="218"/>
      <c r="I121" s="218"/>
      <c r="J121" s="218"/>
      <c r="K121" s="218" t="s">
        <v>215</v>
      </c>
      <c r="L121" s="218"/>
      <c r="M121" s="218"/>
      <c r="N121" s="218"/>
      <c r="O121" s="218"/>
      <c r="P121" s="218"/>
      <c r="Q121" s="218"/>
      <c r="R121" s="236" t="s">
        <v>216</v>
      </c>
      <c r="S121" s="236"/>
      <c r="T121" s="236"/>
      <c r="AH121" s="1"/>
      <c r="AJ121" s="123"/>
      <c r="AK121" s="123"/>
      <c r="AL121" s="123"/>
      <c r="AM121" s="215"/>
      <c r="AN121" s="215"/>
    </row>
    <row r="122" spans="1:41" ht="15.75" customHeight="1" x14ac:dyDescent="0.25">
      <c r="B122" s="217" t="s">
        <v>22</v>
      </c>
      <c r="C122" s="218"/>
      <c r="D122" s="218"/>
      <c r="E122" s="221" t="s">
        <v>217</v>
      </c>
      <c r="F122" s="218"/>
      <c r="G122" s="218"/>
      <c r="H122" s="218"/>
      <c r="I122" s="218"/>
      <c r="J122" s="218"/>
      <c r="K122" s="218" t="s">
        <v>218</v>
      </c>
      <c r="L122" s="218"/>
      <c r="M122" s="218"/>
      <c r="N122" s="218"/>
      <c r="O122" s="218"/>
      <c r="P122" s="218"/>
      <c r="Q122" s="218"/>
      <c r="R122" s="218"/>
      <c r="S122" s="218"/>
      <c r="T122" s="220"/>
      <c r="AH122" s="1"/>
      <c r="AJ122" s="123"/>
      <c r="AK122" s="123"/>
      <c r="AL122" s="123"/>
      <c r="AM122" s="215"/>
      <c r="AN122" s="215"/>
    </row>
    <row r="123" spans="1:41" ht="15.75" customHeight="1" x14ac:dyDescent="0.25">
      <c r="B123" s="217" t="s">
        <v>205</v>
      </c>
      <c r="C123" s="218"/>
      <c r="D123" s="218"/>
      <c r="E123" s="221" t="s">
        <v>219</v>
      </c>
      <c r="F123" s="218"/>
      <c r="G123" s="218"/>
      <c r="H123" s="218"/>
      <c r="I123" s="218"/>
      <c r="J123" s="218"/>
      <c r="K123" s="218" t="s">
        <v>220</v>
      </c>
      <c r="L123" s="229"/>
      <c r="M123" s="229"/>
      <c r="N123" s="229"/>
      <c r="O123" s="229"/>
      <c r="P123" s="229"/>
      <c r="Q123" s="229"/>
      <c r="R123" s="229"/>
      <c r="S123" s="229"/>
      <c r="T123" s="230"/>
      <c r="U123" s="108"/>
      <c r="V123" s="108"/>
      <c r="AH123" s="1"/>
      <c r="AJ123" s="123"/>
      <c r="AK123" s="123"/>
      <c r="AL123" s="123"/>
      <c r="AM123" s="215"/>
      <c r="AN123" s="215"/>
    </row>
    <row r="124" spans="1:41" ht="15.75" customHeight="1" x14ac:dyDescent="0.2">
      <c r="T124" s="108"/>
      <c r="U124" s="108"/>
      <c r="V124" s="108"/>
      <c r="AH124" s="1"/>
      <c r="AJ124" s="123"/>
      <c r="AK124" s="123"/>
      <c r="AL124" s="123"/>
      <c r="AM124" s="215"/>
      <c r="AN124" s="215"/>
    </row>
    <row r="125" spans="1:41" ht="15.75" customHeight="1" x14ac:dyDescent="0.2">
      <c r="B125" s="857" t="s">
        <v>44</v>
      </c>
      <c r="C125" s="582">
        <v>1</v>
      </c>
      <c r="D125" s="583">
        <v>2</v>
      </c>
      <c r="E125" s="583">
        <v>3</v>
      </c>
      <c r="F125" s="582">
        <v>4</v>
      </c>
      <c r="G125" s="582">
        <v>5</v>
      </c>
      <c r="H125" s="583">
        <v>6</v>
      </c>
      <c r="I125" s="583">
        <v>7</v>
      </c>
      <c r="J125" s="583">
        <v>8</v>
      </c>
      <c r="K125" s="582">
        <v>9</v>
      </c>
      <c r="L125" s="583">
        <v>10</v>
      </c>
      <c r="M125" s="582">
        <v>11</v>
      </c>
      <c r="N125" s="582">
        <v>12</v>
      </c>
      <c r="O125" s="583">
        <v>13</v>
      </c>
      <c r="P125" s="583">
        <v>14</v>
      </c>
      <c r="Q125" s="583">
        <v>15</v>
      </c>
      <c r="R125" s="583">
        <v>16</v>
      </c>
      <c r="S125" s="583">
        <v>17</v>
      </c>
      <c r="T125" s="582">
        <v>18</v>
      </c>
      <c r="U125" s="582">
        <v>19</v>
      </c>
      <c r="V125" s="582">
        <v>20</v>
      </c>
      <c r="W125" s="583">
        <v>21</v>
      </c>
      <c r="X125" s="583">
        <v>22</v>
      </c>
      <c r="Y125" s="583">
        <v>23</v>
      </c>
      <c r="Z125" s="583">
        <v>24</v>
      </c>
      <c r="AA125" s="582">
        <v>25</v>
      </c>
      <c r="AB125" s="582">
        <v>26</v>
      </c>
      <c r="AC125" s="583">
        <v>27</v>
      </c>
      <c r="AD125" s="583">
        <v>28</v>
      </c>
      <c r="AE125" s="583">
        <v>29</v>
      </c>
      <c r="AF125" s="583">
        <v>30</v>
      </c>
      <c r="AG125" s="583">
        <v>31</v>
      </c>
      <c r="AH125" s="1"/>
      <c r="AJ125" s="579" t="s">
        <v>41</v>
      </c>
      <c r="AK125" s="579" t="s">
        <v>62</v>
      </c>
      <c r="AL125" s="579" t="s">
        <v>63</v>
      </c>
      <c r="AM125" s="579" t="s">
        <v>64</v>
      </c>
      <c r="AN125" s="579" t="s">
        <v>65</v>
      </c>
      <c r="AO125" s="579" t="s">
        <v>66</v>
      </c>
    </row>
    <row r="126" spans="1:41" ht="15.75" customHeight="1" x14ac:dyDescent="0.2">
      <c r="B126" s="429" t="s">
        <v>221</v>
      </c>
      <c r="C126" s="858" t="s">
        <v>50</v>
      </c>
      <c r="D126" s="858" t="s">
        <v>50</v>
      </c>
      <c r="E126" s="858" t="s">
        <v>50</v>
      </c>
      <c r="F126" s="858"/>
      <c r="G126" s="858"/>
      <c r="H126" s="859" t="s">
        <v>72</v>
      </c>
      <c r="I126" s="859" t="s">
        <v>72</v>
      </c>
      <c r="J126" s="859" t="s">
        <v>72</v>
      </c>
      <c r="K126" s="859" t="s">
        <v>72</v>
      </c>
      <c r="L126" s="859" t="s">
        <v>72</v>
      </c>
      <c r="M126" s="859" t="s">
        <v>73</v>
      </c>
      <c r="N126" s="859" t="s">
        <v>74</v>
      </c>
      <c r="O126" s="859" t="s">
        <v>50</v>
      </c>
      <c r="P126" s="859" t="s">
        <v>50</v>
      </c>
      <c r="Q126" s="859" t="s">
        <v>50</v>
      </c>
      <c r="R126" s="859" t="s">
        <v>50</v>
      </c>
      <c r="S126" s="859" t="s">
        <v>50</v>
      </c>
      <c r="T126" s="859"/>
      <c r="U126" s="859"/>
      <c r="V126" s="859" t="s">
        <v>72</v>
      </c>
      <c r="W126" s="859" t="s">
        <v>72</v>
      </c>
      <c r="X126" s="859" t="s">
        <v>72</v>
      </c>
      <c r="Y126" s="859" t="s">
        <v>72</v>
      </c>
      <c r="Z126" s="859" t="s">
        <v>72</v>
      </c>
      <c r="AA126" s="859" t="s">
        <v>73</v>
      </c>
      <c r="AB126" s="859" t="s">
        <v>74</v>
      </c>
      <c r="AC126" s="858" t="s">
        <v>50</v>
      </c>
      <c r="AD126" s="858" t="s">
        <v>50</v>
      </c>
      <c r="AE126" s="858" t="s">
        <v>50</v>
      </c>
      <c r="AF126" s="858" t="s">
        <v>50</v>
      </c>
      <c r="AG126" s="858" t="s">
        <v>50</v>
      </c>
      <c r="AH126" s="1"/>
      <c r="AJ126" s="638">
        <f t="shared" ref="AJ126:AJ127" si="12">$AJ$12</f>
        <v>160.33000000000001</v>
      </c>
      <c r="AK126" s="638"/>
      <c r="AL126" s="638">
        <f t="shared" ref="AL126:AL127" si="13">IF(AJ126="","",SUM(AJ126:AK126))</f>
        <v>160.33000000000001</v>
      </c>
      <c r="AM126" s="639">
        <f t="shared" ref="AM126:AM127" si="14">IF(AJ126="","",AL126-_xlfn.SINGLE(NormTid))</f>
        <v>0</v>
      </c>
      <c r="AN126" s="639">
        <f t="shared" ref="AN126:AN127" si="15">IF(AM126="","",AM126+AO126)</f>
        <v>0</v>
      </c>
      <c r="AO126" s="638"/>
    </row>
    <row r="127" spans="1:41" ht="15.75" customHeight="1" x14ac:dyDescent="0.2">
      <c r="B127" s="430" t="s">
        <v>222</v>
      </c>
      <c r="C127" s="635" t="s">
        <v>72</v>
      </c>
      <c r="D127" s="635" t="s">
        <v>72</v>
      </c>
      <c r="E127" s="635" t="s">
        <v>72</v>
      </c>
      <c r="F127" s="636" t="s">
        <v>73</v>
      </c>
      <c r="G127" s="636" t="s">
        <v>74</v>
      </c>
      <c r="H127" s="636" t="s">
        <v>50</v>
      </c>
      <c r="I127" s="636" t="s">
        <v>50</v>
      </c>
      <c r="J127" s="636" t="s">
        <v>50</v>
      </c>
      <c r="K127" s="636" t="s">
        <v>50</v>
      </c>
      <c r="L127" s="636" t="s">
        <v>50</v>
      </c>
      <c r="M127" s="636"/>
      <c r="N127" s="636"/>
      <c r="O127" s="635" t="s">
        <v>72</v>
      </c>
      <c r="P127" s="635" t="s">
        <v>72</v>
      </c>
      <c r="Q127" s="635" t="s">
        <v>72</v>
      </c>
      <c r="R127" s="635" t="s">
        <v>72</v>
      </c>
      <c r="S127" s="635" t="s">
        <v>72</v>
      </c>
      <c r="T127" s="636" t="s">
        <v>73</v>
      </c>
      <c r="U127" s="636" t="s">
        <v>74</v>
      </c>
      <c r="V127" s="636" t="s">
        <v>50</v>
      </c>
      <c r="W127" s="636" t="s">
        <v>50</v>
      </c>
      <c r="X127" s="636" t="s">
        <v>50</v>
      </c>
      <c r="Y127" s="636" t="s">
        <v>50</v>
      </c>
      <c r="Z127" s="636" t="s">
        <v>50</v>
      </c>
      <c r="AA127" s="636"/>
      <c r="AB127" s="636"/>
      <c r="AC127" s="635" t="s">
        <v>72</v>
      </c>
      <c r="AD127" s="635" t="s">
        <v>72</v>
      </c>
      <c r="AE127" s="635" t="s">
        <v>72</v>
      </c>
      <c r="AF127" s="635" t="s">
        <v>72</v>
      </c>
      <c r="AG127" s="635" t="s">
        <v>72</v>
      </c>
      <c r="AH127" s="1"/>
      <c r="AJ127" s="638">
        <f t="shared" si="12"/>
        <v>160.33000000000001</v>
      </c>
      <c r="AK127" s="638"/>
      <c r="AL127" s="638">
        <f t="shared" si="13"/>
        <v>160.33000000000001</v>
      </c>
      <c r="AM127" s="639">
        <f t="shared" si="14"/>
        <v>0</v>
      </c>
      <c r="AN127" s="639">
        <f t="shared" si="15"/>
        <v>0</v>
      </c>
      <c r="AO127" s="638"/>
    </row>
    <row r="128" spans="1:41" ht="15.75" customHeight="1" x14ac:dyDescent="0.2">
      <c r="B128" s="860" t="s">
        <v>0</v>
      </c>
      <c r="C128" s="856" t="s">
        <v>50</v>
      </c>
      <c r="D128" s="856" t="s">
        <v>50</v>
      </c>
      <c r="E128" s="856" t="s">
        <v>139</v>
      </c>
      <c r="F128" s="856" t="s">
        <v>140</v>
      </c>
      <c r="G128" s="856" t="s">
        <v>141</v>
      </c>
      <c r="H128" s="856" t="s">
        <v>50</v>
      </c>
      <c r="I128" s="856" t="s">
        <v>50</v>
      </c>
      <c r="J128" s="856" t="s">
        <v>50</v>
      </c>
      <c r="K128" s="856" t="s">
        <v>50</v>
      </c>
      <c r="L128" s="856" t="s">
        <v>139</v>
      </c>
      <c r="M128" s="856" t="s">
        <v>140</v>
      </c>
      <c r="N128" s="856" t="s">
        <v>141</v>
      </c>
      <c r="O128" s="856" t="s">
        <v>50</v>
      </c>
      <c r="P128" s="856" t="s">
        <v>50</v>
      </c>
      <c r="Q128" s="856" t="s">
        <v>50</v>
      </c>
      <c r="R128" s="856" t="s">
        <v>50</v>
      </c>
      <c r="S128" s="856" t="s">
        <v>139</v>
      </c>
      <c r="T128" s="856" t="s">
        <v>140</v>
      </c>
      <c r="U128" s="856" t="s">
        <v>141</v>
      </c>
      <c r="V128" s="856" t="s">
        <v>50</v>
      </c>
      <c r="W128" s="856" t="s">
        <v>50</v>
      </c>
      <c r="X128" s="856" t="s">
        <v>50</v>
      </c>
      <c r="Y128" s="856" t="s">
        <v>50</v>
      </c>
      <c r="Z128" s="856" t="s">
        <v>139</v>
      </c>
      <c r="AA128" s="856" t="s">
        <v>140</v>
      </c>
      <c r="AB128" s="856" t="s">
        <v>141</v>
      </c>
      <c r="AC128" s="856" t="s">
        <v>50</v>
      </c>
      <c r="AD128" s="856" t="s">
        <v>50</v>
      </c>
      <c r="AE128" s="856" t="s">
        <v>50</v>
      </c>
      <c r="AF128" s="856" t="s">
        <v>50</v>
      </c>
      <c r="AG128" s="856" t="s">
        <v>139</v>
      </c>
      <c r="AH128" s="1"/>
    </row>
    <row r="129" spans="1:41" ht="15.75" customHeight="1" x14ac:dyDescent="0.2">
      <c r="B129" s="235" t="s">
        <v>0</v>
      </c>
      <c r="C129" s="234" t="s">
        <v>0</v>
      </c>
      <c r="D129" s="234" t="s">
        <v>0</v>
      </c>
      <c r="E129" s="234" t="s">
        <v>0</v>
      </c>
      <c r="F129" s="234" t="s">
        <v>0</v>
      </c>
      <c r="G129" s="234" t="s">
        <v>0</v>
      </c>
      <c r="H129" s="234" t="s">
        <v>0</v>
      </c>
      <c r="I129" s="234" t="s">
        <v>0</v>
      </c>
      <c r="J129" s="234" t="s">
        <v>0</v>
      </c>
      <c r="K129" s="234" t="s">
        <v>0</v>
      </c>
      <c r="L129" s="234" t="s">
        <v>0</v>
      </c>
      <c r="M129" s="234" t="s">
        <v>0</v>
      </c>
      <c r="N129" s="234" t="s">
        <v>0</v>
      </c>
      <c r="O129" s="234" t="s">
        <v>0</v>
      </c>
      <c r="P129" s="234" t="s">
        <v>0</v>
      </c>
      <c r="Q129" s="234" t="s">
        <v>0</v>
      </c>
      <c r="R129" s="234" t="s">
        <v>0</v>
      </c>
      <c r="S129" s="234" t="s">
        <v>0</v>
      </c>
      <c r="T129" s="234" t="s">
        <v>0</v>
      </c>
      <c r="U129" s="234" t="s">
        <v>0</v>
      </c>
      <c r="V129" s="234" t="s">
        <v>0</v>
      </c>
      <c r="W129" s="234" t="s">
        <v>0</v>
      </c>
      <c r="X129" s="234" t="s">
        <v>0</v>
      </c>
      <c r="Y129" s="234" t="s">
        <v>0</v>
      </c>
      <c r="Z129" s="234" t="s">
        <v>0</v>
      </c>
      <c r="AA129" s="234" t="s">
        <v>0</v>
      </c>
      <c r="AB129" s="234" t="s">
        <v>0</v>
      </c>
      <c r="AC129" s="234" t="s">
        <v>0</v>
      </c>
      <c r="AD129" s="234" t="s">
        <v>0</v>
      </c>
      <c r="AE129" s="234" t="s">
        <v>0</v>
      </c>
      <c r="AF129" s="234" t="s">
        <v>0</v>
      </c>
      <c r="AG129" s="234" t="s">
        <v>0</v>
      </c>
      <c r="AH129" s="1"/>
      <c r="AJ129" s="123"/>
      <c r="AK129" s="123"/>
      <c r="AL129" s="123"/>
      <c r="AM129" s="215"/>
      <c r="AN129" s="215"/>
    </row>
    <row r="130" spans="1:41" ht="15.75" customHeight="1" x14ac:dyDescent="0.2">
      <c r="A130" s="3" t="s">
        <v>223</v>
      </c>
      <c r="AH130" s="1"/>
      <c r="AJ130" s="123"/>
      <c r="AK130" s="123"/>
      <c r="AL130" s="123"/>
      <c r="AM130" s="215"/>
      <c r="AN130" s="215"/>
    </row>
    <row r="131" spans="1:41" ht="15.75" customHeight="1" x14ac:dyDescent="0.25">
      <c r="B131" s="217"/>
      <c r="C131" s="218"/>
      <c r="D131" s="218"/>
      <c r="E131" s="221" t="s">
        <v>198</v>
      </c>
      <c r="F131" s="218"/>
      <c r="G131" s="218"/>
      <c r="H131" s="218"/>
      <c r="I131" s="218"/>
      <c r="J131" s="218"/>
      <c r="K131" s="226" t="s">
        <v>13</v>
      </c>
      <c r="L131" s="222"/>
      <c r="M131" s="222"/>
      <c r="N131" s="222"/>
      <c r="O131" s="222"/>
      <c r="P131" s="222"/>
      <c r="Q131" s="222"/>
      <c r="R131" s="222"/>
      <c r="S131" s="222"/>
      <c r="T131" s="223"/>
      <c r="AH131" s="1"/>
      <c r="AJ131" s="123"/>
      <c r="AK131" s="123"/>
      <c r="AL131" s="123"/>
      <c r="AM131" s="215"/>
      <c r="AN131" s="215"/>
    </row>
    <row r="132" spans="1:41" ht="15.75" customHeight="1" x14ac:dyDescent="0.25">
      <c r="B132" s="217" t="s">
        <v>199</v>
      </c>
      <c r="C132" s="218"/>
      <c r="D132" s="218"/>
      <c r="E132" s="219" t="s">
        <v>224</v>
      </c>
      <c r="F132" s="218"/>
      <c r="G132" s="218"/>
      <c r="H132" s="218"/>
      <c r="I132" s="218"/>
      <c r="J132" s="218"/>
      <c r="K132" s="218" t="s">
        <v>225</v>
      </c>
      <c r="L132" s="218"/>
      <c r="M132" s="218"/>
      <c r="N132" s="218"/>
      <c r="O132" s="218"/>
      <c r="P132" s="218"/>
      <c r="Q132" s="218"/>
      <c r="R132" s="236" t="s">
        <v>226</v>
      </c>
      <c r="S132" s="236"/>
      <c r="T132" s="236"/>
      <c r="AH132" s="1"/>
      <c r="AJ132" s="123"/>
      <c r="AK132" s="123"/>
      <c r="AL132" s="123"/>
      <c r="AM132" s="215"/>
      <c r="AN132" s="215"/>
    </row>
    <row r="133" spans="1:41" ht="15.75" customHeight="1" x14ac:dyDescent="0.25">
      <c r="B133" s="217" t="s">
        <v>22</v>
      </c>
      <c r="C133" s="218"/>
      <c r="D133" s="218"/>
      <c r="E133" s="221" t="s">
        <v>227</v>
      </c>
      <c r="F133" s="218"/>
      <c r="G133" s="218"/>
      <c r="H133" s="218"/>
      <c r="I133" s="218"/>
      <c r="J133" s="218"/>
      <c r="K133" s="218" t="s">
        <v>228</v>
      </c>
      <c r="L133" s="218"/>
      <c r="M133" s="218"/>
      <c r="N133" s="218"/>
      <c r="O133" s="218"/>
      <c r="P133" s="218"/>
      <c r="Q133" s="218"/>
      <c r="R133" s="218"/>
      <c r="S133" s="218"/>
      <c r="T133" s="220"/>
      <c r="AH133" s="1"/>
      <c r="AJ133" s="123"/>
      <c r="AK133" s="123"/>
      <c r="AL133" s="123"/>
      <c r="AM133" s="215"/>
      <c r="AN133" s="215"/>
    </row>
    <row r="134" spans="1:41" ht="15.75" customHeight="1" x14ac:dyDescent="0.25">
      <c r="B134" s="217" t="s">
        <v>205</v>
      </c>
      <c r="C134" s="218"/>
      <c r="D134" s="218"/>
      <c r="E134" s="221" t="s">
        <v>229</v>
      </c>
      <c r="F134" s="218"/>
      <c r="G134" s="218"/>
      <c r="H134" s="218"/>
      <c r="I134" s="218"/>
      <c r="J134" s="218"/>
      <c r="K134" s="218" t="s">
        <v>230</v>
      </c>
      <c r="L134" s="229"/>
      <c r="M134" s="229"/>
      <c r="N134" s="229"/>
      <c r="O134" s="229"/>
      <c r="P134" s="229"/>
      <c r="Q134" s="229"/>
      <c r="R134" s="229"/>
      <c r="S134" s="229"/>
      <c r="T134" s="230"/>
      <c r="U134" s="108"/>
      <c r="V134" s="108"/>
      <c r="AH134" s="1"/>
      <c r="AJ134" s="123"/>
      <c r="AK134" s="123"/>
      <c r="AL134" s="123"/>
      <c r="AM134" s="215"/>
      <c r="AN134" s="215"/>
    </row>
    <row r="135" spans="1:41" ht="15.75" customHeight="1" x14ac:dyDescent="0.2">
      <c r="T135" s="108"/>
      <c r="U135" s="108"/>
      <c r="V135" s="108"/>
      <c r="AH135" s="1"/>
      <c r="AJ135" s="123"/>
      <c r="AK135" s="123"/>
      <c r="AL135" s="123"/>
      <c r="AM135" s="215"/>
      <c r="AN135" s="215"/>
    </row>
    <row r="136" spans="1:41" ht="15.75" customHeight="1" x14ac:dyDescent="0.2">
      <c r="B136" s="857" t="s">
        <v>44</v>
      </c>
      <c r="C136" s="582">
        <v>1</v>
      </c>
      <c r="D136" s="583">
        <v>2</v>
      </c>
      <c r="E136" s="583">
        <v>3</v>
      </c>
      <c r="F136" s="582">
        <v>4</v>
      </c>
      <c r="G136" s="582">
        <v>5</v>
      </c>
      <c r="H136" s="583">
        <v>6</v>
      </c>
      <c r="I136" s="583">
        <v>7</v>
      </c>
      <c r="J136" s="583">
        <v>8</v>
      </c>
      <c r="K136" s="582">
        <v>9</v>
      </c>
      <c r="L136" s="583">
        <v>10</v>
      </c>
      <c r="M136" s="582">
        <v>11</v>
      </c>
      <c r="N136" s="582">
        <v>12</v>
      </c>
      <c r="O136" s="583">
        <v>13</v>
      </c>
      <c r="P136" s="583">
        <v>14</v>
      </c>
      <c r="Q136" s="583">
        <v>15</v>
      </c>
      <c r="R136" s="583">
        <v>16</v>
      </c>
      <c r="S136" s="583">
        <v>17</v>
      </c>
      <c r="T136" s="582">
        <v>18</v>
      </c>
      <c r="U136" s="582">
        <v>19</v>
      </c>
      <c r="V136" s="582">
        <v>20</v>
      </c>
      <c r="W136" s="583">
        <v>21</v>
      </c>
      <c r="X136" s="583">
        <v>22</v>
      </c>
      <c r="Y136" s="583">
        <v>23</v>
      </c>
      <c r="Z136" s="583">
        <v>24</v>
      </c>
      <c r="AA136" s="582">
        <v>25</v>
      </c>
      <c r="AB136" s="582">
        <v>26</v>
      </c>
      <c r="AC136" s="583">
        <v>27</v>
      </c>
      <c r="AD136" s="583">
        <v>28</v>
      </c>
      <c r="AE136" s="583">
        <v>29</v>
      </c>
      <c r="AF136" s="583">
        <v>30</v>
      </c>
      <c r="AG136" s="583">
        <v>31</v>
      </c>
      <c r="AH136" s="1"/>
      <c r="AJ136" s="579" t="s">
        <v>41</v>
      </c>
      <c r="AK136" s="579" t="s">
        <v>62</v>
      </c>
      <c r="AL136" s="579" t="s">
        <v>63</v>
      </c>
      <c r="AM136" s="579" t="s">
        <v>64</v>
      </c>
      <c r="AN136" s="579" t="s">
        <v>65</v>
      </c>
      <c r="AO136" s="579" t="s">
        <v>66</v>
      </c>
    </row>
    <row r="137" spans="1:41" ht="15.75" customHeight="1" x14ac:dyDescent="0.2">
      <c r="B137" s="861" t="s">
        <v>231</v>
      </c>
      <c r="C137" s="792" t="s">
        <v>50</v>
      </c>
      <c r="D137" s="792" t="s">
        <v>50</v>
      </c>
      <c r="E137" s="792" t="s">
        <v>50</v>
      </c>
      <c r="F137" s="792" t="s">
        <v>50</v>
      </c>
      <c r="G137" s="792" t="s">
        <v>50</v>
      </c>
      <c r="H137" s="790" t="s">
        <v>162</v>
      </c>
      <c r="I137" s="790" t="s">
        <v>162</v>
      </c>
      <c r="J137" s="790" t="s">
        <v>162</v>
      </c>
      <c r="K137" s="849" t="s">
        <v>162</v>
      </c>
      <c r="L137" s="790" t="s">
        <v>162</v>
      </c>
      <c r="M137" s="792" t="s">
        <v>163</v>
      </c>
      <c r="N137" s="792" t="s">
        <v>164</v>
      </c>
      <c r="O137" s="792" t="s">
        <v>50</v>
      </c>
      <c r="P137" s="792" t="s">
        <v>50</v>
      </c>
      <c r="Q137" s="792" t="s">
        <v>50</v>
      </c>
      <c r="R137" s="792" t="s">
        <v>50</v>
      </c>
      <c r="S137" s="862" t="s">
        <v>149</v>
      </c>
      <c r="T137" s="862" t="s">
        <v>150</v>
      </c>
      <c r="U137" s="792" t="s">
        <v>50</v>
      </c>
      <c r="V137" s="790" t="s">
        <v>162</v>
      </c>
      <c r="W137" s="790" t="s">
        <v>162</v>
      </c>
      <c r="X137" s="790" t="s">
        <v>162</v>
      </c>
      <c r="Y137" s="790" t="s">
        <v>162</v>
      </c>
      <c r="Z137" s="790" t="s">
        <v>162</v>
      </c>
      <c r="AA137" s="792" t="s">
        <v>163</v>
      </c>
      <c r="AB137" s="792" t="s">
        <v>164</v>
      </c>
      <c r="AC137" s="792" t="s">
        <v>50</v>
      </c>
      <c r="AD137" s="792" t="s">
        <v>50</v>
      </c>
      <c r="AE137" s="792" t="s">
        <v>50</v>
      </c>
      <c r="AF137" s="792" t="s">
        <v>50</v>
      </c>
      <c r="AG137" s="263" t="s">
        <v>139</v>
      </c>
      <c r="AH137" s="1"/>
      <c r="AJ137" s="638">
        <f t="shared" ref="AJ137:AJ138" si="16">$AJ$12</f>
        <v>160.33000000000001</v>
      </c>
      <c r="AK137" s="638"/>
      <c r="AL137" s="638">
        <f t="shared" ref="AL137:AL138" si="17">IF(AJ137="","",SUM(AJ137:AK137))</f>
        <v>160.33000000000001</v>
      </c>
      <c r="AM137" s="639">
        <f t="shared" ref="AM137:AM138" si="18">IF(AJ137="","",AL137-_xlfn.SINGLE(NormTid))</f>
        <v>0</v>
      </c>
      <c r="AN137" s="639">
        <f t="shared" ref="AN137:AN138" si="19">IF(AM137="","",AM137+AO137)</f>
        <v>0</v>
      </c>
      <c r="AO137" s="638"/>
    </row>
    <row r="138" spans="1:41" ht="15.75" customHeight="1" x14ac:dyDescent="0.2">
      <c r="B138" s="863" t="s">
        <v>0</v>
      </c>
      <c r="C138" s="635" t="s">
        <v>162</v>
      </c>
      <c r="D138" s="635" t="s">
        <v>162</v>
      </c>
      <c r="E138" s="635" t="s">
        <v>162</v>
      </c>
      <c r="F138" s="636" t="s">
        <v>163</v>
      </c>
      <c r="G138" s="636" t="s">
        <v>164</v>
      </c>
      <c r="H138" s="636" t="s">
        <v>50</v>
      </c>
      <c r="I138" s="636" t="s">
        <v>50</v>
      </c>
      <c r="J138" s="636" t="s">
        <v>50</v>
      </c>
      <c r="K138" s="636" t="s">
        <v>50</v>
      </c>
      <c r="L138" s="636" t="s">
        <v>50</v>
      </c>
      <c r="M138" s="636" t="s">
        <v>50</v>
      </c>
      <c r="N138" s="636" t="s">
        <v>50</v>
      </c>
      <c r="O138" s="635" t="s">
        <v>162</v>
      </c>
      <c r="P138" s="635" t="s">
        <v>162</v>
      </c>
      <c r="Q138" s="635" t="s">
        <v>162</v>
      </c>
      <c r="R138" s="635" t="s">
        <v>162</v>
      </c>
      <c r="S138" s="635" t="s">
        <v>162</v>
      </c>
      <c r="T138" s="636" t="s">
        <v>163</v>
      </c>
      <c r="U138" s="636" t="s">
        <v>164</v>
      </c>
      <c r="V138" s="636" t="s">
        <v>50</v>
      </c>
      <c r="W138" s="636" t="s">
        <v>50</v>
      </c>
      <c r="X138" s="636" t="s">
        <v>50</v>
      </c>
      <c r="Y138" s="636" t="s">
        <v>50</v>
      </c>
      <c r="Z138" s="636" t="s">
        <v>50</v>
      </c>
      <c r="AA138" s="636" t="s">
        <v>50</v>
      </c>
      <c r="AB138" s="636" t="s">
        <v>50</v>
      </c>
      <c r="AC138" s="635" t="s">
        <v>162</v>
      </c>
      <c r="AD138" s="635" t="s">
        <v>162</v>
      </c>
      <c r="AE138" s="635" t="s">
        <v>162</v>
      </c>
      <c r="AF138" s="635" t="s">
        <v>162</v>
      </c>
      <c r="AG138" s="635" t="s">
        <v>162</v>
      </c>
      <c r="AH138" s="1"/>
      <c r="AJ138" s="638">
        <f t="shared" si="16"/>
        <v>160.33000000000001</v>
      </c>
      <c r="AK138" s="638"/>
      <c r="AL138" s="638">
        <f t="shared" si="17"/>
        <v>160.33000000000001</v>
      </c>
      <c r="AM138" s="639">
        <f t="shared" si="18"/>
        <v>0</v>
      </c>
      <c r="AN138" s="639">
        <f t="shared" si="19"/>
        <v>0</v>
      </c>
      <c r="AO138" s="638"/>
    </row>
    <row r="139" spans="1:41" ht="15.75" customHeight="1" x14ac:dyDescent="0.2">
      <c r="B139" s="864" t="s">
        <v>0</v>
      </c>
      <c r="C139" s="633" t="s">
        <v>50</v>
      </c>
      <c r="D139" s="633" t="s">
        <v>50</v>
      </c>
      <c r="E139" s="633" t="s">
        <v>149</v>
      </c>
      <c r="F139" s="633" t="s">
        <v>150</v>
      </c>
      <c r="G139" s="633" t="s">
        <v>71</v>
      </c>
      <c r="H139" s="633" t="s">
        <v>50</v>
      </c>
      <c r="I139" s="633" t="s">
        <v>50</v>
      </c>
      <c r="J139" s="633" t="s">
        <v>50</v>
      </c>
      <c r="K139" s="633" t="s">
        <v>50</v>
      </c>
      <c r="L139" s="633" t="s">
        <v>149</v>
      </c>
      <c r="M139" s="633" t="s">
        <v>150</v>
      </c>
      <c r="N139" s="633" t="s">
        <v>71</v>
      </c>
      <c r="O139" s="633" t="s">
        <v>50</v>
      </c>
      <c r="P139" s="633" t="s">
        <v>50</v>
      </c>
      <c r="Q139" s="633" t="s">
        <v>50</v>
      </c>
      <c r="R139" s="633" t="s">
        <v>50</v>
      </c>
      <c r="S139" s="633" t="s">
        <v>149</v>
      </c>
      <c r="T139" s="633" t="s">
        <v>150</v>
      </c>
      <c r="U139" s="633" t="s">
        <v>71</v>
      </c>
      <c r="V139" s="633" t="s">
        <v>50</v>
      </c>
      <c r="W139" s="633" t="s">
        <v>50</v>
      </c>
      <c r="X139" s="633" t="s">
        <v>50</v>
      </c>
      <c r="Y139" s="633" t="s">
        <v>50</v>
      </c>
      <c r="Z139" s="633" t="s">
        <v>149</v>
      </c>
      <c r="AA139" s="633" t="s">
        <v>150</v>
      </c>
      <c r="AB139" s="633" t="s">
        <v>71</v>
      </c>
      <c r="AC139" s="633" t="s">
        <v>50</v>
      </c>
      <c r="AD139" s="633" t="s">
        <v>50</v>
      </c>
      <c r="AE139" s="633" t="s">
        <v>50</v>
      </c>
      <c r="AF139" s="633" t="s">
        <v>50</v>
      </c>
      <c r="AG139" s="633" t="s">
        <v>149</v>
      </c>
      <c r="AH139" s="1"/>
      <c r="AJ139" s="123"/>
      <c r="AK139" s="123"/>
      <c r="AL139" s="123"/>
      <c r="AM139" s="215"/>
      <c r="AN139" s="215"/>
    </row>
    <row r="140" spans="1:41" ht="15.75" customHeight="1" x14ac:dyDescent="0.2">
      <c r="B140" s="127"/>
      <c r="C140" s="128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28"/>
      <c r="AH140" s="1"/>
    </row>
    <row r="141" spans="1:41" ht="15.75" customHeight="1" x14ac:dyDescent="0.2">
      <c r="A141" s="107" t="s">
        <v>232</v>
      </c>
    </row>
    <row r="142" spans="1:41" ht="15.75" customHeight="1" x14ac:dyDescent="0.2">
      <c r="B142" s="479" t="s">
        <v>233</v>
      </c>
      <c r="C142" s="460"/>
      <c r="D142" s="663" t="s">
        <v>17</v>
      </c>
      <c r="E142" s="663"/>
      <c r="F142" s="484"/>
      <c r="G142" s="460"/>
      <c r="H142" s="663" t="s">
        <v>18</v>
      </c>
      <c r="I142" s="663"/>
      <c r="J142" s="484"/>
      <c r="K142" s="460"/>
      <c r="L142" s="663" t="s">
        <v>19</v>
      </c>
      <c r="M142" s="663"/>
      <c r="N142" s="484"/>
      <c r="O142" s="460"/>
      <c r="P142" s="663" t="s">
        <v>20</v>
      </c>
      <c r="Q142" s="663"/>
      <c r="R142" s="484"/>
      <c r="S142" s="460"/>
      <c r="T142" s="663" t="s">
        <v>21</v>
      </c>
      <c r="U142" s="663"/>
      <c r="V142" s="484"/>
      <c r="W142" s="460"/>
      <c r="X142" s="663" t="s">
        <v>22</v>
      </c>
      <c r="Y142" s="663"/>
      <c r="Z142" s="484"/>
      <c r="AA142" s="460"/>
      <c r="AB142" s="663" t="s">
        <v>23</v>
      </c>
      <c r="AC142" s="663"/>
      <c r="AD142" s="663"/>
      <c r="AE142" s="663" t="s">
        <v>234</v>
      </c>
      <c r="AF142" s="663"/>
      <c r="AG142" s="663"/>
      <c r="AH142" s="663"/>
      <c r="AI142" s="480"/>
    </row>
    <row r="143" spans="1:41" ht="15.75" customHeight="1" x14ac:dyDescent="0.2">
      <c r="B143" s="492" t="s">
        <v>235</v>
      </c>
      <c r="C143" s="865" t="s">
        <v>10</v>
      </c>
      <c r="D143" s="663"/>
      <c r="E143" s="465"/>
      <c r="F143" s="866"/>
      <c r="G143" s="865" t="s">
        <v>10</v>
      </c>
      <c r="H143" s="445"/>
      <c r="I143" s="465"/>
      <c r="J143" s="866"/>
      <c r="K143" s="867" t="s">
        <v>10</v>
      </c>
      <c r="L143" s="663"/>
      <c r="M143" s="663"/>
      <c r="N143" s="484"/>
      <c r="O143" s="867" t="s">
        <v>10</v>
      </c>
      <c r="P143" s="868"/>
      <c r="Q143" s="465"/>
      <c r="R143" s="866"/>
      <c r="S143" s="865" t="s">
        <v>10</v>
      </c>
      <c r="T143" s="465"/>
      <c r="U143" s="465"/>
      <c r="V143" s="465"/>
      <c r="W143" s="869"/>
      <c r="X143" s="870"/>
      <c r="Y143" s="870"/>
      <c r="Z143" s="871"/>
      <c r="AA143" s="465"/>
      <c r="AB143" s="465"/>
      <c r="AC143" s="465"/>
      <c r="AD143" s="465"/>
      <c r="AE143" s="872">
        <v>37</v>
      </c>
      <c r="AF143" s="663"/>
      <c r="AG143" s="465"/>
      <c r="AH143" s="465"/>
      <c r="AI143" s="873"/>
    </row>
    <row r="144" spans="1:41" ht="15.75" customHeight="1" x14ac:dyDescent="0.2">
      <c r="B144" s="874" t="s">
        <v>236</v>
      </c>
      <c r="C144" s="832" t="s">
        <v>237</v>
      </c>
      <c r="D144" s="549"/>
      <c r="E144" s="549"/>
      <c r="F144" s="670"/>
      <c r="G144" s="832" t="s">
        <v>238</v>
      </c>
      <c r="H144" s="677"/>
      <c r="I144" s="549"/>
      <c r="J144" s="670"/>
      <c r="K144" s="832" t="s">
        <v>239</v>
      </c>
      <c r="L144" s="677" t="s">
        <v>240</v>
      </c>
      <c r="M144" s="549"/>
      <c r="N144" s="670"/>
      <c r="O144" s="832" t="s">
        <v>239</v>
      </c>
      <c r="P144" s="677" t="s">
        <v>240</v>
      </c>
      <c r="Q144" s="549"/>
      <c r="R144" s="670"/>
      <c r="S144" s="832" t="s">
        <v>241</v>
      </c>
      <c r="T144" s="549"/>
      <c r="U144" s="549"/>
      <c r="V144" s="670"/>
      <c r="W144" s="457" t="s">
        <v>143</v>
      </c>
      <c r="X144" s="875" t="s">
        <v>242</v>
      </c>
      <c r="Y144" s="467"/>
      <c r="Z144" s="467"/>
      <c r="AA144" s="876" t="s">
        <v>143</v>
      </c>
      <c r="AB144" s="677" t="s">
        <v>242</v>
      </c>
      <c r="AC144" s="876"/>
      <c r="AD144" s="876"/>
      <c r="AE144" s="876">
        <v>68</v>
      </c>
      <c r="AF144" s="549"/>
      <c r="AG144" s="549"/>
      <c r="AH144" s="549"/>
      <c r="AI144" s="877"/>
    </row>
    <row r="145" spans="1:35" ht="15.75" customHeight="1" x14ac:dyDescent="0.2">
      <c r="B145" s="874" t="s">
        <v>243</v>
      </c>
      <c r="C145" s="878" t="s">
        <v>244</v>
      </c>
      <c r="D145" s="549"/>
      <c r="E145" s="549"/>
      <c r="F145" s="670"/>
      <c r="G145" s="677" t="s">
        <v>244</v>
      </c>
      <c r="H145" s="677"/>
      <c r="I145" s="549"/>
      <c r="J145" s="670"/>
      <c r="K145" s="677" t="s">
        <v>244</v>
      </c>
      <c r="L145" s="549"/>
      <c r="M145" s="549"/>
      <c r="N145" s="670"/>
      <c r="O145" s="677" t="s">
        <v>244</v>
      </c>
      <c r="P145" s="677"/>
      <c r="Q145" s="549"/>
      <c r="R145" s="670"/>
      <c r="S145" s="677" t="s">
        <v>244</v>
      </c>
      <c r="T145" s="549"/>
      <c r="U145" s="549"/>
      <c r="V145" s="670"/>
      <c r="W145" s="876"/>
      <c r="X145" s="549"/>
      <c r="Y145" s="549"/>
      <c r="Z145" s="670"/>
      <c r="AA145" s="876"/>
      <c r="AB145" s="549"/>
      <c r="AC145" s="549"/>
      <c r="AD145" s="549"/>
      <c r="AE145" s="876">
        <v>0</v>
      </c>
      <c r="AF145" s="549"/>
      <c r="AG145" s="549"/>
      <c r="AH145" s="549"/>
      <c r="AI145" s="877"/>
    </row>
    <row r="146" spans="1:35" ht="15.75" customHeight="1" x14ac:dyDescent="0.2">
      <c r="B146" s="879" t="s">
        <v>245</v>
      </c>
      <c r="C146" s="880" t="s">
        <v>10</v>
      </c>
      <c r="D146" s="199"/>
      <c r="E146" s="679"/>
      <c r="F146" s="681"/>
      <c r="G146" s="880" t="s">
        <v>10</v>
      </c>
      <c r="H146" s="201"/>
      <c r="I146" s="679"/>
      <c r="J146" s="681"/>
      <c r="K146" s="880" t="s">
        <v>10</v>
      </c>
      <c r="L146" s="199"/>
      <c r="M146" s="679"/>
      <c r="N146" s="681"/>
      <c r="O146" s="880" t="s">
        <v>10</v>
      </c>
      <c r="P146" s="683"/>
      <c r="Q146" s="679"/>
      <c r="R146" s="681"/>
      <c r="S146" s="880" t="s">
        <v>10</v>
      </c>
      <c r="T146" s="679"/>
      <c r="U146" s="679"/>
      <c r="V146" s="679"/>
      <c r="W146" s="881"/>
      <c r="X146" s="679"/>
      <c r="Y146" s="679"/>
      <c r="Z146" s="882"/>
      <c r="AA146" s="679"/>
      <c r="AB146" s="679"/>
      <c r="AC146" s="679"/>
      <c r="AD146" s="679"/>
      <c r="AE146" s="837">
        <v>37</v>
      </c>
      <c r="AF146" s="679"/>
      <c r="AG146" s="679"/>
      <c r="AH146" s="679"/>
      <c r="AI146" s="883"/>
    </row>
    <row r="147" spans="1:35" ht="15.75" customHeight="1" x14ac:dyDescent="0.2">
      <c r="D147" s="467"/>
    </row>
    <row r="148" spans="1:35" ht="15.75" customHeight="1" x14ac:dyDescent="0.2">
      <c r="A148" s="563"/>
      <c r="B148" s="563" t="s">
        <v>44</v>
      </c>
      <c r="C148" s="582">
        <v>1</v>
      </c>
      <c r="D148" s="583">
        <v>2</v>
      </c>
      <c r="E148" s="583">
        <v>3</v>
      </c>
      <c r="F148" s="582">
        <v>4</v>
      </c>
      <c r="G148" s="582">
        <v>5</v>
      </c>
      <c r="H148" s="583">
        <v>6</v>
      </c>
      <c r="I148" s="583">
        <v>7</v>
      </c>
      <c r="J148" s="583">
        <v>8</v>
      </c>
      <c r="K148" s="582">
        <v>9</v>
      </c>
      <c r="L148" s="583">
        <v>10</v>
      </c>
      <c r="M148" s="582">
        <v>11</v>
      </c>
      <c r="N148" s="582">
        <v>12</v>
      </c>
      <c r="O148" s="583">
        <v>13</v>
      </c>
      <c r="P148" s="583">
        <v>14</v>
      </c>
      <c r="Q148" s="583">
        <v>15</v>
      </c>
      <c r="R148" s="583">
        <v>16</v>
      </c>
      <c r="S148" s="583">
        <v>17</v>
      </c>
      <c r="T148" s="582">
        <v>18</v>
      </c>
      <c r="U148" s="582">
        <v>19</v>
      </c>
      <c r="V148" s="582">
        <v>20</v>
      </c>
      <c r="W148" s="583">
        <v>21</v>
      </c>
      <c r="X148" s="583">
        <v>22</v>
      </c>
      <c r="Y148" s="583">
        <v>23</v>
      </c>
      <c r="Z148" s="583">
        <v>24</v>
      </c>
      <c r="AA148" s="582">
        <v>25</v>
      </c>
      <c r="AB148" s="582">
        <v>26</v>
      </c>
      <c r="AC148" s="583">
        <v>27</v>
      </c>
      <c r="AD148" s="583">
        <v>28</v>
      </c>
      <c r="AE148" s="583">
        <v>29</v>
      </c>
      <c r="AF148" s="583">
        <v>30</v>
      </c>
      <c r="AG148" s="583">
        <v>31</v>
      </c>
      <c r="AH148" s="110"/>
      <c r="AI148" s="111"/>
    </row>
    <row r="149" spans="1:35" ht="15.75" customHeight="1" x14ac:dyDescent="0.2">
      <c r="A149" s="884">
        <v>1</v>
      </c>
      <c r="B149" s="885" t="s">
        <v>246</v>
      </c>
      <c r="C149" s="886" t="s">
        <v>50</v>
      </c>
      <c r="D149" s="886" t="s">
        <v>50</v>
      </c>
      <c r="E149" s="886" t="s">
        <v>50</v>
      </c>
      <c r="F149" s="886"/>
      <c r="G149" s="886"/>
      <c r="H149" s="886" t="s">
        <v>172</v>
      </c>
      <c r="I149" s="886" t="s">
        <v>172</v>
      </c>
      <c r="J149" s="887" t="s">
        <v>172</v>
      </c>
      <c r="K149" s="886"/>
      <c r="L149" s="886" t="s">
        <v>172</v>
      </c>
      <c r="M149" s="886"/>
      <c r="N149" s="886"/>
      <c r="O149" s="886" t="s">
        <v>172</v>
      </c>
      <c r="P149" s="886" t="s">
        <v>172</v>
      </c>
      <c r="Q149" s="886" t="s">
        <v>172</v>
      </c>
      <c r="R149" s="886" t="s">
        <v>172</v>
      </c>
      <c r="S149" s="886" t="s">
        <v>172</v>
      </c>
      <c r="T149" s="888"/>
      <c r="U149" s="888"/>
      <c r="V149" s="886" t="s">
        <v>143</v>
      </c>
      <c r="W149" s="886" t="s">
        <v>142</v>
      </c>
      <c r="X149" s="886" t="s">
        <v>142</v>
      </c>
      <c r="Y149" s="886" t="s">
        <v>142</v>
      </c>
      <c r="Z149" s="886" t="s">
        <v>142</v>
      </c>
      <c r="AA149" s="886" t="s">
        <v>143</v>
      </c>
      <c r="AB149" s="886" t="s">
        <v>143</v>
      </c>
      <c r="AC149" s="886" t="s">
        <v>50</v>
      </c>
      <c r="AD149" s="886" t="s">
        <v>50</v>
      </c>
      <c r="AE149" s="886" t="s">
        <v>50</v>
      </c>
      <c r="AF149" s="886" t="s">
        <v>50</v>
      </c>
      <c r="AG149" s="886" t="s">
        <v>50</v>
      </c>
      <c r="AH149" s="115"/>
      <c r="AI149" s="116"/>
    </row>
    <row r="150" spans="1:35" ht="15.75" customHeight="1" x14ac:dyDescent="0.2">
      <c r="A150" s="889">
        <v>2</v>
      </c>
      <c r="B150" s="890" t="s">
        <v>170</v>
      </c>
      <c r="C150" s="600" t="s">
        <v>142</v>
      </c>
      <c r="D150" s="600" t="s">
        <v>142</v>
      </c>
      <c r="E150" s="600" t="s">
        <v>142</v>
      </c>
      <c r="F150" s="771" t="s">
        <v>143</v>
      </c>
      <c r="G150" s="600" t="s">
        <v>143</v>
      </c>
      <c r="H150" s="444" t="s">
        <v>50</v>
      </c>
      <c r="I150" s="444" t="s">
        <v>50</v>
      </c>
      <c r="J150" s="444" t="s">
        <v>50</v>
      </c>
      <c r="K150" s="444" t="s">
        <v>50</v>
      </c>
      <c r="L150" s="444" t="s">
        <v>50</v>
      </c>
      <c r="M150" s="444"/>
      <c r="N150" s="444"/>
      <c r="O150" s="444" t="s">
        <v>172</v>
      </c>
      <c r="P150" s="444" t="s">
        <v>172</v>
      </c>
      <c r="Q150" s="444" t="s">
        <v>172</v>
      </c>
      <c r="R150" s="444" t="s">
        <v>172</v>
      </c>
      <c r="S150" s="444" t="s">
        <v>172</v>
      </c>
      <c r="T150" s="444"/>
      <c r="U150" s="444"/>
      <c r="V150" s="600"/>
      <c r="W150" s="600" t="s">
        <v>172</v>
      </c>
      <c r="X150" s="600" t="s">
        <v>172</v>
      </c>
      <c r="Y150" s="771" t="s">
        <v>172</v>
      </c>
      <c r="Z150" s="771" t="s">
        <v>172</v>
      </c>
      <c r="AA150" s="600"/>
      <c r="AB150" s="600"/>
      <c r="AC150" s="600" t="s">
        <v>142</v>
      </c>
      <c r="AD150" s="600" t="s">
        <v>142</v>
      </c>
      <c r="AE150" s="600" t="s">
        <v>142</v>
      </c>
      <c r="AF150" s="600" t="s">
        <v>142</v>
      </c>
      <c r="AG150" s="600" t="s">
        <v>142</v>
      </c>
      <c r="AH150" s="115"/>
      <c r="AI150" s="116"/>
    </row>
    <row r="151" spans="1:35" ht="15.75" customHeight="1" x14ac:dyDescent="0.2">
      <c r="A151" s="889">
        <v>3</v>
      </c>
      <c r="B151" s="890" t="s">
        <v>167</v>
      </c>
      <c r="C151" s="600" t="s">
        <v>172</v>
      </c>
      <c r="D151" s="600" t="s">
        <v>172</v>
      </c>
      <c r="E151" s="600" t="s">
        <v>172</v>
      </c>
      <c r="F151" s="600"/>
      <c r="G151" s="771"/>
      <c r="H151" s="600" t="s">
        <v>142</v>
      </c>
      <c r="I151" s="600" t="s">
        <v>142</v>
      </c>
      <c r="J151" s="600" t="s">
        <v>142</v>
      </c>
      <c r="K151" s="600" t="s">
        <v>143</v>
      </c>
      <c r="L151" s="600" t="s">
        <v>142</v>
      </c>
      <c r="M151" s="600" t="s">
        <v>143</v>
      </c>
      <c r="N151" s="600" t="s">
        <v>143</v>
      </c>
      <c r="O151" s="600" t="s">
        <v>50</v>
      </c>
      <c r="P151" s="600" t="s">
        <v>50</v>
      </c>
      <c r="Q151" s="600" t="s">
        <v>50</v>
      </c>
      <c r="R151" s="600" t="s">
        <v>50</v>
      </c>
      <c r="S151" s="600" t="s">
        <v>50</v>
      </c>
      <c r="T151" s="600"/>
      <c r="U151" s="600"/>
      <c r="V151" s="600"/>
      <c r="W151" s="600" t="s">
        <v>172</v>
      </c>
      <c r="X151" s="600" t="s">
        <v>172</v>
      </c>
      <c r="Y151" s="600" t="s">
        <v>172</v>
      </c>
      <c r="Z151" s="600" t="s">
        <v>172</v>
      </c>
      <c r="AA151" s="600"/>
      <c r="AB151" s="600"/>
      <c r="AC151" s="600" t="s">
        <v>172</v>
      </c>
      <c r="AD151" s="600" t="s">
        <v>172</v>
      </c>
      <c r="AE151" s="600" t="s">
        <v>172</v>
      </c>
      <c r="AF151" s="600" t="s">
        <v>172</v>
      </c>
      <c r="AG151" s="600" t="s">
        <v>172</v>
      </c>
      <c r="AH151" s="115"/>
      <c r="AI151" s="116"/>
    </row>
    <row r="152" spans="1:35" ht="15.75" customHeight="1" x14ac:dyDescent="0.2">
      <c r="A152" s="891">
        <v>4</v>
      </c>
      <c r="B152" s="647" t="s">
        <v>246</v>
      </c>
      <c r="C152" s="654" t="s">
        <v>172</v>
      </c>
      <c r="D152" s="654" t="s">
        <v>172</v>
      </c>
      <c r="E152" s="654" t="s">
        <v>172</v>
      </c>
      <c r="F152" s="892"/>
      <c r="G152" s="892"/>
      <c r="H152" s="892" t="s">
        <v>172</v>
      </c>
      <c r="I152" s="892" t="s">
        <v>172</v>
      </c>
      <c r="J152" s="892" t="s">
        <v>172</v>
      </c>
      <c r="K152" s="892"/>
      <c r="L152" s="892" t="s">
        <v>172</v>
      </c>
      <c r="M152" s="892" t="s">
        <v>0</v>
      </c>
      <c r="N152" s="892" t="s">
        <v>0</v>
      </c>
      <c r="O152" s="892" t="s">
        <v>142</v>
      </c>
      <c r="P152" s="892" t="s">
        <v>142</v>
      </c>
      <c r="Q152" s="892" t="s">
        <v>142</v>
      </c>
      <c r="R152" s="892" t="s">
        <v>142</v>
      </c>
      <c r="S152" s="892" t="s">
        <v>142</v>
      </c>
      <c r="T152" s="892" t="s">
        <v>143</v>
      </c>
      <c r="U152" s="654" t="s">
        <v>143</v>
      </c>
      <c r="V152" s="654" t="s">
        <v>50</v>
      </c>
      <c r="W152" s="654" t="s">
        <v>50</v>
      </c>
      <c r="X152" s="654" t="s">
        <v>50</v>
      </c>
      <c r="Y152" s="892" t="s">
        <v>50</v>
      </c>
      <c r="Z152" s="892" t="s">
        <v>50</v>
      </c>
      <c r="AA152" s="654"/>
      <c r="AB152" s="892"/>
      <c r="AC152" s="654" t="s">
        <v>172</v>
      </c>
      <c r="AD152" s="654" t="s">
        <v>172</v>
      </c>
      <c r="AE152" s="654" t="s">
        <v>172</v>
      </c>
      <c r="AF152" s="654" t="s">
        <v>172</v>
      </c>
      <c r="AG152" s="654" t="s">
        <v>172</v>
      </c>
      <c r="AH152" s="115"/>
      <c r="AI152" s="116"/>
    </row>
    <row r="153" spans="1:35" ht="15.75" customHeight="1" x14ac:dyDescent="0.2">
      <c r="A153" s="129"/>
      <c r="B153" s="123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  <c r="Y153" s="130"/>
      <c r="Z153" s="130"/>
      <c r="AA153" s="130"/>
      <c r="AB153" s="130"/>
      <c r="AC153" s="130"/>
      <c r="AD153" s="130"/>
      <c r="AE153" s="130"/>
      <c r="AF153" s="130"/>
      <c r="AG153" s="131"/>
      <c r="AH153" s="132"/>
      <c r="AI153" s="116"/>
    </row>
    <row r="154" spans="1:35" ht="15.75" customHeight="1" x14ac:dyDescent="0.2">
      <c r="A154" s="48"/>
      <c r="B154" s="459" t="s">
        <v>247</v>
      </c>
      <c r="C154" s="872"/>
      <c r="D154" s="893" t="s">
        <v>17</v>
      </c>
      <c r="E154" s="894"/>
      <c r="F154" s="872"/>
      <c r="G154" s="895" t="s">
        <v>18</v>
      </c>
      <c r="H154" s="866"/>
      <c r="I154" s="896"/>
      <c r="J154" s="895" t="s">
        <v>19</v>
      </c>
      <c r="K154" s="897"/>
      <c r="L154" s="896"/>
      <c r="M154" s="898" t="s">
        <v>20</v>
      </c>
      <c r="N154" s="897"/>
      <c r="O154" s="896"/>
      <c r="P154" s="895" t="s">
        <v>21</v>
      </c>
      <c r="Q154" s="899"/>
      <c r="R154" s="896"/>
      <c r="S154" s="895" t="s">
        <v>22</v>
      </c>
      <c r="T154" s="900"/>
      <c r="U154" s="896"/>
      <c r="V154" s="895" t="s">
        <v>23</v>
      </c>
      <c r="W154" s="899"/>
      <c r="X154" s="901" t="s">
        <v>234</v>
      </c>
      <c r="Y154" s="902"/>
      <c r="Z154" s="902"/>
      <c r="AA154" s="903"/>
      <c r="AB154" s="867" t="s">
        <v>126</v>
      </c>
      <c r="AC154" s="904"/>
      <c r="AD154" s="904"/>
      <c r="AE154" s="905"/>
      <c r="AF154" s="905"/>
      <c r="AG154" s="906"/>
      <c r="AH154" s="132"/>
      <c r="AI154" s="116"/>
    </row>
    <row r="155" spans="1:35" ht="15.75" customHeight="1" x14ac:dyDescent="0.2">
      <c r="A155" s="48"/>
      <c r="B155" s="907" t="s">
        <v>248</v>
      </c>
      <c r="C155" s="908" t="s">
        <v>249</v>
      </c>
      <c r="D155" s="556"/>
      <c r="E155" s="557"/>
      <c r="F155" s="908" t="s">
        <v>249</v>
      </c>
      <c r="G155" s="556"/>
      <c r="H155" s="557"/>
      <c r="I155" s="908" t="s">
        <v>249</v>
      </c>
      <c r="J155" s="556"/>
      <c r="K155" s="557"/>
      <c r="L155" s="908" t="s">
        <v>249</v>
      </c>
      <c r="M155" s="556"/>
      <c r="N155" s="557"/>
      <c r="O155" s="908" t="s">
        <v>250</v>
      </c>
      <c r="P155" s="556"/>
      <c r="Q155" s="557"/>
      <c r="R155" s="908"/>
      <c r="S155" s="556"/>
      <c r="T155" s="557"/>
      <c r="U155" s="908"/>
      <c r="V155" s="556"/>
      <c r="W155" s="557"/>
      <c r="X155" s="908"/>
      <c r="Y155" s="431"/>
      <c r="Z155" s="431"/>
      <c r="AA155" s="431"/>
      <c r="AB155" s="548"/>
      <c r="AC155" s="431"/>
      <c r="AD155" s="431"/>
      <c r="AE155" s="431"/>
      <c r="AF155" s="431"/>
      <c r="AG155" s="909"/>
      <c r="AH155" s="132"/>
      <c r="AI155" s="116"/>
    </row>
    <row r="156" spans="1:35" ht="15.75" customHeight="1" x14ac:dyDescent="0.2">
      <c r="A156" s="48"/>
      <c r="B156" s="4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132"/>
      <c r="AI156" s="116"/>
    </row>
    <row r="157" spans="1:35" ht="15.75" customHeight="1" x14ac:dyDescent="0.2">
      <c r="A157" s="432" t="s">
        <v>43</v>
      </c>
      <c r="B157" s="687" t="s">
        <v>44</v>
      </c>
      <c r="C157" s="582">
        <v>1</v>
      </c>
      <c r="D157" s="583">
        <v>2</v>
      </c>
      <c r="E157" s="583">
        <v>3</v>
      </c>
      <c r="F157" s="582">
        <v>4</v>
      </c>
      <c r="G157" s="582">
        <v>5</v>
      </c>
      <c r="H157" s="583">
        <v>6</v>
      </c>
      <c r="I157" s="583">
        <v>7</v>
      </c>
      <c r="J157" s="583">
        <v>8</v>
      </c>
      <c r="K157" s="582">
        <v>9</v>
      </c>
      <c r="L157" s="583">
        <v>10</v>
      </c>
      <c r="M157" s="582">
        <v>11</v>
      </c>
      <c r="N157" s="582">
        <v>12</v>
      </c>
      <c r="O157" s="583">
        <v>13</v>
      </c>
      <c r="P157" s="583">
        <v>14</v>
      </c>
      <c r="Q157" s="583">
        <v>15</v>
      </c>
      <c r="R157" s="583">
        <v>16</v>
      </c>
      <c r="S157" s="583">
        <v>17</v>
      </c>
      <c r="T157" s="582">
        <v>18</v>
      </c>
      <c r="U157" s="582">
        <v>19</v>
      </c>
      <c r="V157" s="582">
        <v>20</v>
      </c>
      <c r="W157" s="583">
        <v>21</v>
      </c>
      <c r="X157" s="583">
        <v>22</v>
      </c>
      <c r="Y157" s="583">
        <v>23</v>
      </c>
      <c r="Z157" s="583">
        <v>24</v>
      </c>
      <c r="AA157" s="582">
        <v>25</v>
      </c>
      <c r="AB157" s="582">
        <v>26</v>
      </c>
      <c r="AC157" s="583">
        <v>27</v>
      </c>
      <c r="AD157" s="583">
        <v>28</v>
      </c>
      <c r="AE157" s="583">
        <v>29</v>
      </c>
      <c r="AF157" s="583">
        <v>30</v>
      </c>
      <c r="AG157" s="583">
        <v>31</v>
      </c>
      <c r="AH157" s="132"/>
      <c r="AI157" s="116"/>
    </row>
    <row r="158" spans="1:35" ht="15.75" customHeight="1" x14ac:dyDescent="0.2">
      <c r="A158" s="910">
        <v>8520</v>
      </c>
      <c r="B158" s="911" t="s">
        <v>251</v>
      </c>
      <c r="C158" s="631"/>
      <c r="D158" s="912" t="s">
        <v>252</v>
      </c>
      <c r="E158" s="631" t="s">
        <v>252</v>
      </c>
      <c r="F158" s="631"/>
      <c r="G158" s="631"/>
      <c r="H158" s="631" t="s">
        <v>252</v>
      </c>
      <c r="I158" s="913" t="s">
        <v>252</v>
      </c>
      <c r="J158" s="631" t="s">
        <v>252</v>
      </c>
      <c r="K158" s="631"/>
      <c r="L158" s="914" t="s">
        <v>252</v>
      </c>
      <c r="M158" s="631"/>
      <c r="N158" s="631"/>
      <c r="O158" s="915" t="s">
        <v>252</v>
      </c>
      <c r="P158" s="915" t="s">
        <v>252</v>
      </c>
      <c r="Q158" s="915" t="s">
        <v>253</v>
      </c>
      <c r="R158" s="631" t="s">
        <v>252</v>
      </c>
      <c r="S158" s="631" t="s">
        <v>252</v>
      </c>
      <c r="T158" s="631"/>
      <c r="U158" s="631"/>
      <c r="V158" s="631"/>
      <c r="W158" s="631" t="s">
        <v>252</v>
      </c>
      <c r="X158" s="631" t="s">
        <v>252</v>
      </c>
      <c r="Y158" s="631" t="s">
        <v>252</v>
      </c>
      <c r="Z158" s="631" t="s">
        <v>252</v>
      </c>
      <c r="AA158" s="631"/>
      <c r="AB158" s="631"/>
      <c r="AC158" s="631" t="s">
        <v>252</v>
      </c>
      <c r="AD158" s="631" t="s">
        <v>252</v>
      </c>
      <c r="AE158" s="631" t="s">
        <v>252</v>
      </c>
      <c r="AF158" s="912" t="s">
        <v>252</v>
      </c>
      <c r="AG158" s="631" t="s">
        <v>252</v>
      </c>
      <c r="AH158" s="132"/>
      <c r="AI158" s="116"/>
    </row>
    <row r="159" spans="1:35" ht="15.75" customHeight="1" x14ac:dyDescent="0.2">
      <c r="A159" s="136"/>
      <c r="B159" s="135"/>
      <c r="C159" s="128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32"/>
      <c r="AI159" s="116"/>
    </row>
    <row r="160" spans="1:35" ht="15.75" customHeight="1" x14ac:dyDescent="0.2">
      <c r="AH160" s="67"/>
      <c r="AI160" s="67"/>
    </row>
    <row r="161" spans="1:35" ht="15.75" customHeight="1" x14ac:dyDescent="0.2">
      <c r="A161" s="107" t="s">
        <v>254</v>
      </c>
      <c r="B161" s="108"/>
      <c r="C161" s="108"/>
      <c r="D161" s="109"/>
      <c r="E161" s="109"/>
      <c r="F161" s="109"/>
      <c r="G161" s="65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8"/>
      <c r="AI161" s="108"/>
    </row>
    <row r="162" spans="1:35" ht="15.75" customHeight="1" x14ac:dyDescent="0.2">
      <c r="A162" s="107"/>
      <c r="B162" s="459" t="s">
        <v>255</v>
      </c>
      <c r="C162" s="916"/>
      <c r="D162" s="917" t="s">
        <v>17</v>
      </c>
      <c r="E162" s="918"/>
      <c r="F162" s="919"/>
      <c r="G162" s="916"/>
      <c r="H162" s="917" t="s">
        <v>18</v>
      </c>
      <c r="I162" s="918"/>
      <c r="J162" s="919"/>
      <c r="K162" s="916"/>
      <c r="L162" s="917" t="s">
        <v>19</v>
      </c>
      <c r="M162" s="918"/>
      <c r="N162" s="919"/>
      <c r="O162" s="916"/>
      <c r="P162" s="917" t="s">
        <v>20</v>
      </c>
      <c r="Q162" s="918"/>
      <c r="R162" s="919"/>
      <c r="S162" s="916"/>
      <c r="T162" s="917" t="s">
        <v>21</v>
      </c>
      <c r="U162" s="918"/>
      <c r="V162" s="919"/>
      <c r="W162" s="916"/>
      <c r="X162" s="917" t="s">
        <v>22</v>
      </c>
      <c r="Y162" s="918"/>
      <c r="Z162" s="919"/>
      <c r="AA162" s="916"/>
      <c r="AB162" s="917" t="s">
        <v>23</v>
      </c>
      <c r="AC162" s="918"/>
      <c r="AD162" s="918"/>
      <c r="AE162" s="920" t="s">
        <v>126</v>
      </c>
      <c r="AF162" s="918"/>
      <c r="AG162" s="918"/>
      <c r="AH162" s="918"/>
      <c r="AI162" s="921"/>
    </row>
    <row r="163" spans="1:35" ht="15.75" customHeight="1" x14ac:dyDescent="0.2">
      <c r="A163" s="107"/>
      <c r="B163" s="922" t="s">
        <v>235</v>
      </c>
      <c r="C163" s="923">
        <v>69</v>
      </c>
      <c r="D163" s="433" t="s">
        <v>256</v>
      </c>
      <c r="E163" s="433"/>
      <c r="F163" s="924"/>
      <c r="G163" s="923">
        <v>69</v>
      </c>
      <c r="H163" s="433" t="s">
        <v>256</v>
      </c>
      <c r="I163" s="433"/>
      <c r="J163" s="924"/>
      <c r="K163" s="923">
        <v>69</v>
      </c>
      <c r="L163" s="433" t="s">
        <v>256</v>
      </c>
      <c r="M163" s="433"/>
      <c r="N163" s="924"/>
      <c r="O163" s="923">
        <v>69</v>
      </c>
      <c r="P163" s="433" t="s">
        <v>256</v>
      </c>
      <c r="Q163" s="433"/>
      <c r="R163" s="924"/>
      <c r="S163" s="923">
        <v>69</v>
      </c>
      <c r="T163" s="433" t="s">
        <v>256</v>
      </c>
      <c r="U163" s="433"/>
      <c r="V163" s="924"/>
      <c r="W163" s="923"/>
      <c r="X163" s="434"/>
      <c r="Y163" s="434"/>
      <c r="Z163" s="925"/>
      <c r="AA163" s="923"/>
      <c r="AB163" s="433"/>
      <c r="AC163" s="433"/>
      <c r="AD163" s="734"/>
      <c r="AE163" s="926">
        <v>35</v>
      </c>
      <c r="AF163" s="433"/>
      <c r="AG163" s="433"/>
      <c r="AH163" s="734"/>
      <c r="AI163" s="927"/>
    </row>
    <row r="164" spans="1:35" ht="15.75" customHeight="1" x14ac:dyDescent="0.2">
      <c r="A164" s="107"/>
      <c r="B164" s="922" t="s">
        <v>236</v>
      </c>
      <c r="C164" s="923">
        <v>79</v>
      </c>
      <c r="D164" s="433" t="s">
        <v>257</v>
      </c>
      <c r="E164" s="433"/>
      <c r="F164" s="924"/>
      <c r="G164" s="923">
        <v>79</v>
      </c>
      <c r="H164" s="433" t="s">
        <v>257</v>
      </c>
      <c r="I164" s="433"/>
      <c r="J164" s="924"/>
      <c r="K164" s="923">
        <v>79</v>
      </c>
      <c r="L164" s="433" t="s">
        <v>257</v>
      </c>
      <c r="M164" s="433"/>
      <c r="N164" s="924"/>
      <c r="O164" s="923">
        <v>79</v>
      </c>
      <c r="P164" s="433" t="s">
        <v>257</v>
      </c>
      <c r="Q164" s="433"/>
      <c r="R164" s="924"/>
      <c r="S164" s="923">
        <v>79</v>
      </c>
      <c r="T164" s="433" t="s">
        <v>257</v>
      </c>
      <c r="U164" s="433"/>
      <c r="V164" s="924"/>
      <c r="W164" s="923"/>
      <c r="X164" s="433"/>
      <c r="Y164" s="433"/>
      <c r="Z164" s="924"/>
      <c r="AA164" s="433"/>
      <c r="AB164" s="433"/>
      <c r="AC164" s="433"/>
      <c r="AD164" s="734"/>
      <c r="AE164" s="926">
        <v>40</v>
      </c>
      <c r="AF164" s="433"/>
      <c r="AG164" s="433"/>
      <c r="AH164" s="734"/>
      <c r="AI164" s="927"/>
    </row>
    <row r="165" spans="1:35" ht="15.75" customHeight="1" x14ac:dyDescent="0.2">
      <c r="A165" s="107"/>
      <c r="B165" s="922" t="s">
        <v>243</v>
      </c>
      <c r="C165" s="923">
        <v>89</v>
      </c>
      <c r="D165" s="433" t="s">
        <v>258</v>
      </c>
      <c r="E165" s="433"/>
      <c r="F165" s="924"/>
      <c r="G165" s="923">
        <v>89</v>
      </c>
      <c r="H165" s="433" t="s">
        <v>258</v>
      </c>
      <c r="I165" s="433"/>
      <c r="J165" s="924"/>
      <c r="K165" s="923">
        <v>89</v>
      </c>
      <c r="L165" s="433" t="s">
        <v>258</v>
      </c>
      <c r="M165" s="433"/>
      <c r="N165" s="924"/>
      <c r="O165" s="923">
        <v>89</v>
      </c>
      <c r="P165" s="433" t="s">
        <v>258</v>
      </c>
      <c r="Q165" s="433"/>
      <c r="R165" s="924"/>
      <c r="S165" s="923">
        <v>89</v>
      </c>
      <c r="T165" s="433" t="s">
        <v>259</v>
      </c>
      <c r="U165" s="433"/>
      <c r="V165" s="924"/>
      <c r="W165" s="435"/>
      <c r="X165" s="436" t="s">
        <v>260</v>
      </c>
      <c r="Y165" s="436"/>
      <c r="Z165" s="426"/>
      <c r="AA165" s="435"/>
      <c r="AB165" s="436"/>
      <c r="AC165" s="436"/>
      <c r="AD165" s="428"/>
      <c r="AE165" s="926">
        <v>44</v>
      </c>
      <c r="AF165" s="433"/>
      <c r="AG165" s="433"/>
      <c r="AH165" s="734"/>
      <c r="AI165" s="927"/>
    </row>
    <row r="166" spans="1:35" ht="15.75" customHeight="1" x14ac:dyDescent="0.2">
      <c r="A166" s="107"/>
      <c r="B166" s="19" t="s">
        <v>245</v>
      </c>
      <c r="C166" s="435">
        <v>99</v>
      </c>
      <c r="D166" s="436" t="s">
        <v>261</v>
      </c>
      <c r="E166" s="436"/>
      <c r="F166" s="426"/>
      <c r="G166" s="435">
        <v>99</v>
      </c>
      <c r="H166" s="436" t="s">
        <v>261</v>
      </c>
      <c r="I166" s="436"/>
      <c r="J166" s="426"/>
      <c r="K166" s="435">
        <v>99</v>
      </c>
      <c r="L166" s="436" t="s">
        <v>261</v>
      </c>
      <c r="M166" s="436"/>
      <c r="N166" s="426"/>
      <c r="O166" s="435">
        <v>99</v>
      </c>
      <c r="P166" s="436" t="s">
        <v>261</v>
      </c>
      <c r="Q166" s="436"/>
      <c r="R166" s="426"/>
      <c r="S166" s="435">
        <v>99</v>
      </c>
      <c r="T166" s="436" t="s">
        <v>244</v>
      </c>
      <c r="U166" s="436"/>
      <c r="V166" s="428"/>
      <c r="W166" s="427"/>
      <c r="X166" s="428"/>
      <c r="Y166" s="436"/>
      <c r="Z166" s="426"/>
      <c r="AA166" s="427"/>
      <c r="AB166" s="428"/>
      <c r="AC166" s="436"/>
      <c r="AD166" s="426"/>
      <c r="AE166" s="437">
        <v>28</v>
      </c>
      <c r="AF166" s="436"/>
      <c r="AG166" s="436"/>
      <c r="AH166" s="428"/>
      <c r="AI166" s="423"/>
    </row>
    <row r="167" spans="1:35" ht="15.75" customHeight="1" x14ac:dyDescent="0.2">
      <c r="A167" s="107"/>
      <c r="B167" s="928" t="s">
        <v>262</v>
      </c>
      <c r="C167" s="929" t="s">
        <v>77</v>
      </c>
      <c r="D167" s="930" t="s">
        <v>263</v>
      </c>
      <c r="E167" s="931"/>
      <c r="F167" s="681"/>
      <c r="G167" s="929" t="s">
        <v>77</v>
      </c>
      <c r="H167" s="930" t="s">
        <v>263</v>
      </c>
      <c r="I167" s="679"/>
      <c r="J167" s="931"/>
      <c r="K167" s="929" t="s">
        <v>77</v>
      </c>
      <c r="L167" s="930" t="s">
        <v>263</v>
      </c>
      <c r="M167" s="931"/>
      <c r="N167" s="932"/>
      <c r="O167" s="929" t="s">
        <v>77</v>
      </c>
      <c r="P167" s="930" t="s">
        <v>263</v>
      </c>
      <c r="Q167" s="931"/>
      <c r="R167" s="930"/>
      <c r="S167" s="929" t="s">
        <v>77</v>
      </c>
      <c r="T167" s="683" t="s">
        <v>264</v>
      </c>
      <c r="U167" s="930"/>
      <c r="V167" s="932"/>
      <c r="W167" s="931"/>
      <c r="X167" s="930"/>
      <c r="Y167" s="930"/>
      <c r="Z167" s="930"/>
      <c r="AA167" s="933"/>
      <c r="AB167" s="934"/>
      <c r="AC167" s="930"/>
      <c r="AD167" s="935"/>
      <c r="AE167" s="930"/>
      <c r="AF167" s="930"/>
      <c r="AG167" s="930"/>
      <c r="AH167" s="936"/>
      <c r="AI167" s="937"/>
    </row>
    <row r="168" spans="1:35" ht="15.75" customHeight="1" x14ac:dyDescent="0.2">
      <c r="A168" s="68"/>
      <c r="B168" s="107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8"/>
      <c r="AI168" s="108"/>
    </row>
    <row r="169" spans="1:35" ht="15.75" customHeight="1" x14ac:dyDescent="0.2">
      <c r="A169" s="432"/>
      <c r="B169" s="687" t="s">
        <v>44</v>
      </c>
      <c r="C169" s="582">
        <v>1</v>
      </c>
      <c r="D169" s="583">
        <v>2</v>
      </c>
      <c r="E169" s="583">
        <v>3</v>
      </c>
      <c r="F169" s="582">
        <v>4</v>
      </c>
      <c r="G169" s="582">
        <v>5</v>
      </c>
      <c r="H169" s="583">
        <v>6</v>
      </c>
      <c r="I169" s="583">
        <v>7</v>
      </c>
      <c r="J169" s="583">
        <v>8</v>
      </c>
      <c r="K169" s="582">
        <v>9</v>
      </c>
      <c r="L169" s="583">
        <v>10</v>
      </c>
      <c r="M169" s="582">
        <v>11</v>
      </c>
      <c r="N169" s="582">
        <v>12</v>
      </c>
      <c r="O169" s="583">
        <v>13</v>
      </c>
      <c r="P169" s="583">
        <v>14</v>
      </c>
      <c r="Q169" s="583">
        <v>15</v>
      </c>
      <c r="R169" s="583">
        <v>16</v>
      </c>
      <c r="S169" s="583">
        <v>17</v>
      </c>
      <c r="T169" s="582">
        <v>18</v>
      </c>
      <c r="U169" s="582">
        <v>19</v>
      </c>
      <c r="V169" s="582">
        <v>20</v>
      </c>
      <c r="W169" s="583">
        <v>21</v>
      </c>
      <c r="X169" s="583">
        <v>22</v>
      </c>
      <c r="Y169" s="583">
        <v>23</v>
      </c>
      <c r="Z169" s="583">
        <v>24</v>
      </c>
      <c r="AA169" s="582">
        <v>25</v>
      </c>
      <c r="AB169" s="582">
        <v>26</v>
      </c>
      <c r="AC169" s="583">
        <v>27</v>
      </c>
      <c r="AD169" s="583">
        <v>28</v>
      </c>
      <c r="AE169" s="583">
        <v>29</v>
      </c>
      <c r="AF169" s="583">
        <v>30</v>
      </c>
      <c r="AG169" s="583">
        <v>31</v>
      </c>
      <c r="AH169" s="110"/>
      <c r="AI169" s="111"/>
    </row>
    <row r="170" spans="1:35" ht="15.75" customHeight="1" x14ac:dyDescent="0.2">
      <c r="A170" s="884">
        <v>1</v>
      </c>
      <c r="B170" s="938" t="s">
        <v>265</v>
      </c>
      <c r="C170" s="939"/>
      <c r="D170" s="356">
        <v>99</v>
      </c>
      <c r="E170" s="886" t="s">
        <v>50</v>
      </c>
      <c r="F170" s="886"/>
      <c r="G170" s="691"/>
      <c r="H170" s="940" t="s">
        <v>77</v>
      </c>
      <c r="I170" s="940" t="s">
        <v>77</v>
      </c>
      <c r="J170" s="940" t="s">
        <v>77</v>
      </c>
      <c r="K170" s="939"/>
      <c r="L170" s="357" t="s">
        <v>77</v>
      </c>
      <c r="M170" s="886"/>
      <c r="N170" s="939"/>
      <c r="O170" s="939">
        <v>69</v>
      </c>
      <c r="P170" s="939">
        <v>69</v>
      </c>
      <c r="Q170" s="939">
        <v>69</v>
      </c>
      <c r="R170" s="939">
        <v>69</v>
      </c>
      <c r="S170" s="886">
        <v>69</v>
      </c>
      <c r="T170" s="886"/>
      <c r="U170" s="939"/>
      <c r="V170" s="939"/>
      <c r="W170" s="939">
        <v>79</v>
      </c>
      <c r="X170" s="941">
        <v>79</v>
      </c>
      <c r="Y170" s="941">
        <v>79</v>
      </c>
      <c r="Z170" s="939">
        <v>79</v>
      </c>
      <c r="AA170" s="691"/>
      <c r="AB170" s="939"/>
      <c r="AC170" s="942">
        <v>89</v>
      </c>
      <c r="AD170" s="942">
        <v>89</v>
      </c>
      <c r="AE170" s="942">
        <v>89</v>
      </c>
      <c r="AF170" s="942">
        <v>89</v>
      </c>
      <c r="AG170" s="942">
        <v>89</v>
      </c>
      <c r="AH170" s="124"/>
      <c r="AI170" s="67"/>
    </row>
    <row r="171" spans="1:35" ht="15.75" customHeight="1" x14ac:dyDescent="0.2">
      <c r="A171" s="889">
        <v>2</v>
      </c>
      <c r="B171" s="943" t="s">
        <v>266</v>
      </c>
      <c r="C171" s="603"/>
      <c r="D171" s="601" t="s">
        <v>77</v>
      </c>
      <c r="E171" s="603" t="s">
        <v>77</v>
      </c>
      <c r="F171" s="603"/>
      <c r="G171" s="603"/>
      <c r="H171" s="643">
        <v>69</v>
      </c>
      <c r="I171" s="944">
        <v>69</v>
      </c>
      <c r="J171" s="643">
        <v>69</v>
      </c>
      <c r="K171" s="643"/>
      <c r="L171" s="634">
        <v>69</v>
      </c>
      <c r="M171" s="600"/>
      <c r="N171" s="643"/>
      <c r="O171" s="643">
        <v>79</v>
      </c>
      <c r="P171" s="643">
        <v>79</v>
      </c>
      <c r="Q171" s="643">
        <v>79</v>
      </c>
      <c r="R171" s="604">
        <v>79</v>
      </c>
      <c r="S171" s="643">
        <v>79</v>
      </c>
      <c r="T171" s="600"/>
      <c r="U171" s="643"/>
      <c r="V171" s="643"/>
      <c r="W171" s="643">
        <v>89</v>
      </c>
      <c r="X171" s="846">
        <v>89</v>
      </c>
      <c r="Y171" s="643">
        <v>89</v>
      </c>
      <c r="Z171" s="643">
        <v>89</v>
      </c>
      <c r="AA171" s="600">
        <v>89</v>
      </c>
      <c r="AB171" s="604"/>
      <c r="AC171" s="444">
        <v>99</v>
      </c>
      <c r="AD171" s="773">
        <v>99</v>
      </c>
      <c r="AE171" s="444">
        <v>99</v>
      </c>
      <c r="AF171" s="912">
        <v>99</v>
      </c>
      <c r="AG171" s="444" t="s">
        <v>50</v>
      </c>
      <c r="AH171" s="125"/>
      <c r="AI171" s="106"/>
    </row>
    <row r="172" spans="1:35" ht="15.75" customHeight="1" x14ac:dyDescent="0.2">
      <c r="A172" s="889">
        <v>3</v>
      </c>
      <c r="B172" s="943" t="s">
        <v>267</v>
      </c>
      <c r="C172" s="945"/>
      <c r="D172" s="601">
        <v>69</v>
      </c>
      <c r="E172" s="600">
        <v>69</v>
      </c>
      <c r="F172" s="945"/>
      <c r="G172" s="604"/>
      <c r="H172" s="723">
        <v>79</v>
      </c>
      <c r="I172" s="944">
        <v>79</v>
      </c>
      <c r="J172" s="945">
        <v>79</v>
      </c>
      <c r="K172" s="945"/>
      <c r="L172" s="945">
        <v>79</v>
      </c>
      <c r="M172" s="945"/>
      <c r="N172" s="643"/>
      <c r="O172" s="946">
        <v>89</v>
      </c>
      <c r="P172" s="947" t="s">
        <v>268</v>
      </c>
      <c r="Q172" s="723">
        <v>89</v>
      </c>
      <c r="R172" s="444">
        <v>89</v>
      </c>
      <c r="S172" s="444">
        <v>89</v>
      </c>
      <c r="T172" s="444">
        <v>89</v>
      </c>
      <c r="U172" s="444"/>
      <c r="V172" s="641"/>
      <c r="W172" s="641">
        <v>99</v>
      </c>
      <c r="X172" s="641">
        <v>99</v>
      </c>
      <c r="Y172" s="945">
        <v>99</v>
      </c>
      <c r="Z172" s="945" t="s">
        <v>50</v>
      </c>
      <c r="AA172" s="945"/>
      <c r="AB172" s="945"/>
      <c r="AC172" s="945" t="s">
        <v>77</v>
      </c>
      <c r="AD172" s="945" t="s">
        <v>77</v>
      </c>
      <c r="AE172" s="945" t="s">
        <v>77</v>
      </c>
      <c r="AF172" s="912" t="s">
        <v>77</v>
      </c>
      <c r="AG172" s="945" t="s">
        <v>77</v>
      </c>
      <c r="AH172" s="124"/>
      <c r="AI172" s="67"/>
    </row>
    <row r="173" spans="1:35" ht="15.75" customHeight="1" x14ac:dyDescent="0.2">
      <c r="A173" s="889">
        <v>4</v>
      </c>
      <c r="B173" s="943" t="s">
        <v>269</v>
      </c>
      <c r="C173" s="600"/>
      <c r="D173" s="601">
        <v>79</v>
      </c>
      <c r="E173" s="600">
        <v>79</v>
      </c>
      <c r="F173" s="600"/>
      <c r="G173" s="600"/>
      <c r="H173" s="600">
        <v>89</v>
      </c>
      <c r="I173" s="944">
        <v>89</v>
      </c>
      <c r="J173" s="600">
        <v>89</v>
      </c>
      <c r="K173" s="600"/>
      <c r="L173" s="600">
        <v>89</v>
      </c>
      <c r="M173" s="600">
        <v>89</v>
      </c>
      <c r="N173" s="643"/>
      <c r="O173" s="600">
        <v>99</v>
      </c>
      <c r="P173" s="600">
        <v>99</v>
      </c>
      <c r="Q173" s="844">
        <v>99</v>
      </c>
      <c r="R173" s="844">
        <v>99</v>
      </c>
      <c r="S173" s="600" t="s">
        <v>50</v>
      </c>
      <c r="T173" s="600"/>
      <c r="U173" s="600"/>
      <c r="V173" s="600"/>
      <c r="W173" s="751" t="s">
        <v>77</v>
      </c>
      <c r="X173" s="751" t="s">
        <v>77</v>
      </c>
      <c r="Y173" s="751" t="s">
        <v>152</v>
      </c>
      <c r="Z173" s="751" t="s">
        <v>152</v>
      </c>
      <c r="AA173" s="751"/>
      <c r="AB173" s="751"/>
      <c r="AC173" s="600">
        <v>69</v>
      </c>
      <c r="AD173" s="600">
        <v>69</v>
      </c>
      <c r="AE173" s="600">
        <v>69</v>
      </c>
      <c r="AF173" s="912">
        <v>69</v>
      </c>
      <c r="AG173" s="844">
        <v>69</v>
      </c>
      <c r="AH173" s="124"/>
      <c r="AI173" s="67"/>
    </row>
    <row r="174" spans="1:35" ht="15.75" customHeight="1" x14ac:dyDescent="0.2">
      <c r="A174" s="891">
        <v>5</v>
      </c>
      <c r="B174" s="706" t="s">
        <v>270</v>
      </c>
      <c r="C174" s="846"/>
      <c r="D174" s="601">
        <v>89</v>
      </c>
      <c r="E174" s="654">
        <v>89</v>
      </c>
      <c r="F174" s="696">
        <v>89</v>
      </c>
      <c r="G174" s="696"/>
      <c r="H174" s="720">
        <v>99</v>
      </c>
      <c r="I174" s="944">
        <v>99</v>
      </c>
      <c r="J174" s="720">
        <v>99</v>
      </c>
      <c r="K174" s="720"/>
      <c r="L174" s="720" t="s">
        <v>50</v>
      </c>
      <c r="M174" s="720"/>
      <c r="N174" s="720"/>
      <c r="O174" s="720" t="s">
        <v>77</v>
      </c>
      <c r="P174" s="720" t="s">
        <v>77</v>
      </c>
      <c r="Q174" s="720" t="s">
        <v>77</v>
      </c>
      <c r="R174" s="720" t="s">
        <v>77</v>
      </c>
      <c r="S174" s="720" t="s">
        <v>77</v>
      </c>
      <c r="T174" s="720"/>
      <c r="U174" s="720"/>
      <c r="V174" s="846"/>
      <c r="W174" s="846">
        <v>69</v>
      </c>
      <c r="X174" s="846">
        <v>69</v>
      </c>
      <c r="Y174" s="846">
        <v>69</v>
      </c>
      <c r="Z174" s="846">
        <v>69</v>
      </c>
      <c r="AA174" s="696"/>
      <c r="AB174" s="846"/>
      <c r="AC174" s="654">
        <v>79</v>
      </c>
      <c r="AD174" s="773">
        <v>79</v>
      </c>
      <c r="AE174" s="654">
        <v>79</v>
      </c>
      <c r="AF174" s="912">
        <v>79</v>
      </c>
      <c r="AG174" s="654">
        <v>79</v>
      </c>
      <c r="AH174" s="124"/>
      <c r="AI174" s="67"/>
    </row>
    <row r="175" spans="1:35" ht="15.75" customHeight="1" x14ac:dyDescent="0.2">
      <c r="A175" s="129"/>
      <c r="B175" s="141"/>
      <c r="C175" s="142"/>
      <c r="D175" s="142"/>
      <c r="E175" s="142"/>
      <c r="F175" s="128"/>
      <c r="G175" s="140"/>
      <c r="H175" s="140"/>
      <c r="I175" s="140"/>
      <c r="J175" s="140"/>
      <c r="K175" s="140"/>
      <c r="L175" s="128"/>
      <c r="M175" s="128"/>
      <c r="N175" s="142"/>
      <c r="O175" s="142"/>
      <c r="P175" s="142"/>
      <c r="Q175" s="142"/>
      <c r="R175" s="142"/>
      <c r="S175" s="128"/>
      <c r="T175" s="143"/>
      <c r="U175" s="142"/>
      <c r="V175" s="142"/>
      <c r="W175" s="142"/>
      <c r="X175" s="142"/>
      <c r="Y175" s="142"/>
      <c r="Z175" s="144"/>
      <c r="AA175" s="144"/>
      <c r="AB175" s="142"/>
      <c r="AC175" s="142"/>
      <c r="AD175" s="142"/>
      <c r="AE175" s="142"/>
      <c r="AF175" s="142"/>
      <c r="AG175" s="144"/>
      <c r="AH175" s="124"/>
      <c r="AI175" s="358"/>
    </row>
    <row r="176" spans="1:35" ht="15.75" customHeight="1" x14ac:dyDescent="0.2">
      <c r="A176" s="69"/>
      <c r="B176" s="70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7"/>
      <c r="AI176" s="67"/>
    </row>
    <row r="177" spans="1:35" ht="15.75" customHeight="1" x14ac:dyDescent="0.2">
      <c r="A177" s="107" t="s">
        <v>271</v>
      </c>
      <c r="B177" s="108"/>
      <c r="C177" s="108"/>
      <c r="D177" s="109"/>
      <c r="E177" s="109"/>
      <c r="F177" s="109"/>
      <c r="G177" s="65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8"/>
      <c r="AI177" s="108"/>
    </row>
    <row r="178" spans="1:35" ht="15.75" customHeight="1" x14ac:dyDescent="0.2">
      <c r="A178" s="107"/>
      <c r="B178" s="459" t="s">
        <v>255</v>
      </c>
      <c r="C178" s="916"/>
      <c r="D178" s="917" t="s">
        <v>17</v>
      </c>
      <c r="E178" s="918"/>
      <c r="F178" s="919"/>
      <c r="G178" s="916"/>
      <c r="H178" s="917" t="s">
        <v>18</v>
      </c>
      <c r="I178" s="918"/>
      <c r="J178" s="919"/>
      <c r="K178" s="916"/>
      <c r="L178" s="917" t="s">
        <v>19</v>
      </c>
      <c r="M178" s="918"/>
      <c r="N178" s="919"/>
      <c r="O178" s="916"/>
      <c r="P178" s="917" t="s">
        <v>20</v>
      </c>
      <c r="Q178" s="918"/>
      <c r="R178" s="919"/>
      <c r="S178" s="916"/>
      <c r="T178" s="917" t="s">
        <v>21</v>
      </c>
      <c r="U178" s="918"/>
      <c r="V178" s="919"/>
      <c r="W178" s="916"/>
      <c r="X178" s="917" t="s">
        <v>22</v>
      </c>
      <c r="Y178" s="918"/>
      <c r="Z178" s="919"/>
      <c r="AA178" s="916"/>
      <c r="AB178" s="917" t="s">
        <v>23</v>
      </c>
      <c r="AC178" s="918"/>
      <c r="AD178" s="918"/>
      <c r="AE178" s="920" t="s">
        <v>126</v>
      </c>
      <c r="AF178" s="918"/>
      <c r="AG178" s="918"/>
      <c r="AH178" s="918"/>
      <c r="AI178" s="921"/>
    </row>
    <row r="179" spans="1:35" ht="15.75" customHeight="1" x14ac:dyDescent="0.2">
      <c r="A179" s="107"/>
      <c r="B179" s="922" t="s">
        <v>272</v>
      </c>
      <c r="C179" s="733" t="s">
        <v>273</v>
      </c>
      <c r="D179" s="433"/>
      <c r="E179" s="433"/>
      <c r="F179" s="924"/>
      <c r="G179" s="733" t="s">
        <v>273</v>
      </c>
      <c r="H179" s="433"/>
      <c r="I179" s="433"/>
      <c r="J179" s="924"/>
      <c r="K179" s="733" t="s">
        <v>273</v>
      </c>
      <c r="L179" s="433"/>
      <c r="M179" s="433"/>
      <c r="N179" s="924"/>
      <c r="O179" s="733" t="s">
        <v>274</v>
      </c>
      <c r="P179" s="433"/>
      <c r="Q179" s="433"/>
      <c r="R179" s="924"/>
      <c r="S179" s="733" t="s">
        <v>275</v>
      </c>
      <c r="T179" s="433"/>
      <c r="U179" s="433"/>
      <c r="V179" s="924"/>
      <c r="W179" s="733" t="s">
        <v>276</v>
      </c>
      <c r="X179" s="434"/>
      <c r="Y179" s="434"/>
      <c r="Z179" s="925"/>
      <c r="AA179" s="733" t="s">
        <v>276</v>
      </c>
      <c r="AB179" s="433"/>
      <c r="AC179" s="433"/>
      <c r="AD179" s="734"/>
      <c r="AE179" s="926">
        <v>68</v>
      </c>
      <c r="AF179" s="948"/>
      <c r="AG179" s="948"/>
      <c r="AH179" s="948"/>
      <c r="AI179" s="949"/>
    </row>
    <row r="180" spans="1:35" ht="15.75" customHeight="1" x14ac:dyDescent="0.2">
      <c r="A180" s="107"/>
      <c r="B180" s="922"/>
      <c r="C180" s="733" t="s">
        <v>244</v>
      </c>
      <c r="D180" s="433"/>
      <c r="E180" s="433"/>
      <c r="F180" s="924"/>
      <c r="G180" s="733" t="s">
        <v>244</v>
      </c>
      <c r="H180" s="433"/>
      <c r="I180" s="433"/>
      <c r="J180" s="924"/>
      <c r="K180" s="733" t="s">
        <v>244</v>
      </c>
      <c r="L180" s="433"/>
      <c r="M180" s="433"/>
      <c r="N180" s="924"/>
      <c r="O180" s="733" t="s">
        <v>244</v>
      </c>
      <c r="P180" s="433"/>
      <c r="Q180" s="433"/>
      <c r="R180" s="924"/>
      <c r="S180" s="733" t="s">
        <v>244</v>
      </c>
      <c r="T180" s="433"/>
      <c r="U180" s="433"/>
      <c r="V180" s="924"/>
      <c r="W180" s="733" t="s">
        <v>244</v>
      </c>
      <c r="X180" s="433"/>
      <c r="Y180" s="433"/>
      <c r="Z180" s="924"/>
      <c r="AA180" s="433" t="s">
        <v>244</v>
      </c>
      <c r="AB180" s="433"/>
      <c r="AC180" s="433"/>
      <c r="AD180" s="734"/>
      <c r="AE180" s="926">
        <v>0</v>
      </c>
      <c r="AF180" s="948"/>
      <c r="AG180" s="948"/>
      <c r="AH180" s="948"/>
      <c r="AI180" s="949"/>
    </row>
    <row r="181" spans="1:35" ht="15.75" customHeight="1" x14ac:dyDescent="0.2">
      <c r="A181" s="107"/>
      <c r="B181" s="922" t="s">
        <v>277</v>
      </c>
      <c r="C181" s="733" t="s">
        <v>274</v>
      </c>
      <c r="D181" s="433"/>
      <c r="E181" s="433"/>
      <c r="F181" s="924"/>
      <c r="G181" s="733" t="s">
        <v>274</v>
      </c>
      <c r="H181" s="433"/>
      <c r="I181" s="433"/>
      <c r="J181" s="924"/>
      <c r="K181" s="733" t="s">
        <v>274</v>
      </c>
      <c r="L181" s="433"/>
      <c r="M181" s="433"/>
      <c r="N181" s="924"/>
      <c r="O181" s="733" t="s">
        <v>273</v>
      </c>
      <c r="P181" s="433"/>
      <c r="Q181" s="433"/>
      <c r="R181" s="924"/>
      <c r="S181" s="733" t="s">
        <v>273</v>
      </c>
      <c r="T181" s="433"/>
      <c r="U181" s="433"/>
      <c r="V181" s="924"/>
      <c r="W181" s="733" t="s">
        <v>275</v>
      </c>
      <c r="X181" s="434"/>
      <c r="Y181" s="434"/>
      <c r="Z181" s="925"/>
      <c r="AA181" s="733" t="s">
        <v>275</v>
      </c>
      <c r="AB181" s="433"/>
      <c r="AC181" s="433"/>
      <c r="AD181" s="734"/>
      <c r="AE181" s="926">
        <v>68</v>
      </c>
      <c r="AF181" s="433"/>
      <c r="AG181" s="433" t="s">
        <v>0</v>
      </c>
      <c r="AH181" s="734"/>
      <c r="AI181" s="927"/>
    </row>
    <row r="182" spans="1:35" ht="15.75" customHeight="1" x14ac:dyDescent="0.2">
      <c r="A182" s="107"/>
      <c r="B182" s="922"/>
      <c r="C182" s="733" t="s">
        <v>244</v>
      </c>
      <c r="D182" s="433"/>
      <c r="E182" s="433"/>
      <c r="F182" s="924"/>
      <c r="G182" s="733" t="s">
        <v>244</v>
      </c>
      <c r="H182" s="433"/>
      <c r="I182" s="433"/>
      <c r="J182" s="924"/>
      <c r="K182" s="733" t="s">
        <v>244</v>
      </c>
      <c r="L182" s="433"/>
      <c r="M182" s="433"/>
      <c r="N182" s="924"/>
      <c r="O182" s="733" t="s">
        <v>244</v>
      </c>
      <c r="P182" s="433"/>
      <c r="Q182" s="433"/>
      <c r="R182" s="924"/>
      <c r="S182" s="733" t="s">
        <v>244</v>
      </c>
      <c r="T182" s="433"/>
      <c r="U182" s="433"/>
      <c r="V182" s="924"/>
      <c r="W182" s="733" t="s">
        <v>244</v>
      </c>
      <c r="X182" s="433"/>
      <c r="Y182" s="433"/>
      <c r="Z182" s="924"/>
      <c r="AA182" s="433" t="s">
        <v>244</v>
      </c>
      <c r="AB182" s="433"/>
      <c r="AC182" s="433"/>
      <c r="AD182" s="734"/>
      <c r="AE182" s="926">
        <v>0</v>
      </c>
      <c r="AF182" s="433"/>
      <c r="AG182" s="433"/>
      <c r="AH182" s="734"/>
      <c r="AI182" s="927"/>
    </row>
    <row r="183" spans="1:35" ht="15.75" customHeight="1" x14ac:dyDescent="0.2">
      <c r="A183" s="107"/>
      <c r="B183" s="922" t="s">
        <v>278</v>
      </c>
      <c r="C183" s="733" t="s">
        <v>273</v>
      </c>
      <c r="D183" s="433"/>
      <c r="E183" s="433"/>
      <c r="F183" s="924"/>
      <c r="G183" s="733" t="s">
        <v>273</v>
      </c>
      <c r="H183" s="433"/>
      <c r="I183" s="433"/>
      <c r="J183" s="924"/>
      <c r="K183" s="733" t="s">
        <v>273</v>
      </c>
      <c r="L183" s="433"/>
      <c r="M183" s="433"/>
      <c r="N183" s="924"/>
      <c r="O183" s="733" t="s">
        <v>273</v>
      </c>
      <c r="P183" s="433"/>
      <c r="Q183" s="433"/>
      <c r="R183" s="924"/>
      <c r="S183" s="733" t="s">
        <v>273</v>
      </c>
      <c r="T183" s="433"/>
      <c r="U183" s="433"/>
      <c r="V183" s="924"/>
      <c r="W183" s="733" t="s">
        <v>279</v>
      </c>
      <c r="X183" s="436"/>
      <c r="Y183" s="436"/>
      <c r="Z183" s="426"/>
      <c r="AA183" s="733" t="s">
        <v>279</v>
      </c>
      <c r="AB183" s="436"/>
      <c r="AC183" s="436"/>
      <c r="AD183" s="428"/>
      <c r="AE183" s="926">
        <v>68</v>
      </c>
      <c r="AF183" s="433"/>
      <c r="AG183" s="433"/>
      <c r="AH183" s="734"/>
      <c r="AI183" s="927"/>
    </row>
    <row r="184" spans="1:35" ht="15.75" customHeight="1" x14ac:dyDescent="0.2">
      <c r="A184" s="107"/>
      <c r="B184" s="922"/>
      <c r="C184" s="950" t="s">
        <v>244</v>
      </c>
      <c r="D184" s="951"/>
      <c r="E184" s="951"/>
      <c r="F184" s="952"/>
      <c r="G184" s="950" t="s">
        <v>244</v>
      </c>
      <c r="H184" s="951"/>
      <c r="I184" s="951"/>
      <c r="J184" s="952"/>
      <c r="K184" s="950" t="s">
        <v>244</v>
      </c>
      <c r="L184" s="951"/>
      <c r="M184" s="951"/>
      <c r="N184" s="952"/>
      <c r="O184" s="950" t="s">
        <v>244</v>
      </c>
      <c r="P184" s="951"/>
      <c r="Q184" s="951"/>
      <c r="R184" s="952"/>
      <c r="S184" s="950" t="s">
        <v>244</v>
      </c>
      <c r="T184" s="951"/>
      <c r="U184" s="951"/>
      <c r="V184" s="936"/>
      <c r="W184" s="950" t="s">
        <v>244</v>
      </c>
      <c r="X184" s="936"/>
      <c r="Y184" s="951"/>
      <c r="Z184" s="952"/>
      <c r="AA184" s="950" t="s">
        <v>244</v>
      </c>
      <c r="AB184" s="936"/>
      <c r="AC184" s="951"/>
      <c r="AD184" s="952"/>
      <c r="AE184" s="953" t="s">
        <v>280</v>
      </c>
      <c r="AF184" s="951"/>
      <c r="AG184" s="951"/>
      <c r="AH184" s="936"/>
      <c r="AI184" s="937"/>
    </row>
    <row r="185" spans="1:35" ht="15.75" customHeight="1" x14ac:dyDescent="0.2">
      <c r="A185" s="68"/>
      <c r="B185" s="107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8"/>
      <c r="AI185" s="108"/>
    </row>
    <row r="186" spans="1:35" ht="15.75" customHeight="1" x14ac:dyDescent="0.2">
      <c r="A186" s="432"/>
      <c r="B186" s="687" t="s">
        <v>44</v>
      </c>
      <c r="C186" s="582">
        <v>1</v>
      </c>
      <c r="D186" s="583">
        <v>2</v>
      </c>
      <c r="E186" s="583">
        <v>3</v>
      </c>
      <c r="F186" s="582">
        <v>4</v>
      </c>
      <c r="G186" s="582">
        <v>5</v>
      </c>
      <c r="H186" s="583">
        <v>6</v>
      </c>
      <c r="I186" s="583">
        <v>7</v>
      </c>
      <c r="J186" s="583">
        <v>8</v>
      </c>
      <c r="K186" s="582">
        <v>9</v>
      </c>
      <c r="L186" s="583">
        <v>10</v>
      </c>
      <c r="M186" s="582">
        <v>11</v>
      </c>
      <c r="N186" s="582">
        <v>12</v>
      </c>
      <c r="O186" s="583">
        <v>13</v>
      </c>
      <c r="P186" s="583">
        <v>14</v>
      </c>
      <c r="Q186" s="583">
        <v>15</v>
      </c>
      <c r="R186" s="583">
        <v>16</v>
      </c>
      <c r="S186" s="583">
        <v>17</v>
      </c>
      <c r="T186" s="582">
        <v>18</v>
      </c>
      <c r="U186" s="582">
        <v>19</v>
      </c>
      <c r="V186" s="582">
        <v>20</v>
      </c>
      <c r="W186" s="583">
        <v>21</v>
      </c>
      <c r="X186" s="583">
        <v>22</v>
      </c>
      <c r="Y186" s="583">
        <v>23</v>
      </c>
      <c r="Z186" s="583">
        <v>24</v>
      </c>
      <c r="AA186" s="582">
        <v>25</v>
      </c>
      <c r="AB186" s="582">
        <v>26</v>
      </c>
      <c r="AC186" s="583">
        <v>27</v>
      </c>
      <c r="AD186" s="583">
        <v>28</v>
      </c>
      <c r="AE186" s="583">
        <v>29</v>
      </c>
      <c r="AF186" s="583">
        <v>30</v>
      </c>
      <c r="AG186" s="583">
        <v>31</v>
      </c>
      <c r="AH186" s="110"/>
      <c r="AI186" s="111"/>
    </row>
    <row r="187" spans="1:35" ht="15.75" customHeight="1" x14ac:dyDescent="0.2">
      <c r="A187" s="954">
        <v>1</v>
      </c>
      <c r="B187" s="955"/>
      <c r="C187" s="791" t="s">
        <v>50</v>
      </c>
      <c r="D187" s="791" t="s">
        <v>50</v>
      </c>
      <c r="E187" s="791" t="s">
        <v>50</v>
      </c>
      <c r="F187" s="792" t="s">
        <v>0</v>
      </c>
      <c r="G187" s="850" t="s">
        <v>0</v>
      </c>
      <c r="H187" s="792">
        <v>21</v>
      </c>
      <c r="I187" s="792">
        <v>21</v>
      </c>
      <c r="J187" s="792">
        <v>21</v>
      </c>
      <c r="K187" s="792">
        <v>21</v>
      </c>
      <c r="L187" s="792">
        <v>21</v>
      </c>
      <c r="M187" s="792">
        <v>21</v>
      </c>
      <c r="N187" s="792">
        <v>21</v>
      </c>
      <c r="O187" s="791" t="s">
        <v>50</v>
      </c>
      <c r="P187" s="791" t="s">
        <v>50</v>
      </c>
      <c r="Q187" s="791" t="s">
        <v>50</v>
      </c>
      <c r="R187" s="791" t="s">
        <v>50</v>
      </c>
      <c r="S187" s="791" t="s">
        <v>50</v>
      </c>
      <c r="T187" s="791" t="s">
        <v>0</v>
      </c>
      <c r="U187" s="791" t="s">
        <v>0</v>
      </c>
      <c r="V187" s="792">
        <v>22</v>
      </c>
      <c r="W187" s="792">
        <v>22</v>
      </c>
      <c r="X187" s="792">
        <v>22</v>
      </c>
      <c r="Y187" s="792">
        <v>22</v>
      </c>
      <c r="Z187" s="792">
        <v>22</v>
      </c>
      <c r="AA187" s="792">
        <v>22</v>
      </c>
      <c r="AB187" s="792">
        <v>22</v>
      </c>
      <c r="AC187" s="635" t="s">
        <v>50</v>
      </c>
      <c r="AD187" s="635" t="s">
        <v>50</v>
      </c>
      <c r="AE187" s="635" t="s">
        <v>50</v>
      </c>
      <c r="AF187" s="635" t="s">
        <v>50</v>
      </c>
      <c r="AG187" s="635" t="s">
        <v>50</v>
      </c>
      <c r="AH187" s="67"/>
      <c r="AI187" s="67"/>
    </row>
    <row r="188" spans="1:35" ht="15.75" customHeight="1" x14ac:dyDescent="0.2">
      <c r="A188" s="956">
        <v>2</v>
      </c>
      <c r="B188" s="748" t="s">
        <v>181</v>
      </c>
      <c r="C188" s="791" t="s">
        <v>50</v>
      </c>
      <c r="D188" s="791" t="s">
        <v>50</v>
      </c>
      <c r="E188" s="791" t="s">
        <v>50</v>
      </c>
      <c r="F188" s="636" t="s">
        <v>0</v>
      </c>
      <c r="G188" s="636" t="s">
        <v>0</v>
      </c>
      <c r="H188" s="800">
        <v>22</v>
      </c>
      <c r="I188" s="800">
        <v>22</v>
      </c>
      <c r="J188" s="800">
        <v>22</v>
      </c>
      <c r="K188" s="800">
        <v>22</v>
      </c>
      <c r="L188" s="800">
        <v>22</v>
      </c>
      <c r="M188" s="800">
        <v>22</v>
      </c>
      <c r="N188" s="800">
        <v>22</v>
      </c>
      <c r="O188" s="791" t="s">
        <v>50</v>
      </c>
      <c r="P188" s="791" t="s">
        <v>50</v>
      </c>
      <c r="Q188" s="791" t="s">
        <v>50</v>
      </c>
      <c r="R188" s="791" t="s">
        <v>50</v>
      </c>
      <c r="S188" s="791" t="s">
        <v>50</v>
      </c>
      <c r="T188" s="791" t="s">
        <v>0</v>
      </c>
      <c r="U188" s="791" t="s">
        <v>0</v>
      </c>
      <c r="V188" s="819">
        <v>23</v>
      </c>
      <c r="W188" s="819">
        <v>23</v>
      </c>
      <c r="X188" s="819">
        <v>23</v>
      </c>
      <c r="Y188" s="819">
        <v>23</v>
      </c>
      <c r="Z188" s="819">
        <v>23</v>
      </c>
      <c r="AA188" s="819">
        <v>23</v>
      </c>
      <c r="AB188" s="819">
        <v>23</v>
      </c>
      <c r="AC188" s="635" t="s">
        <v>50</v>
      </c>
      <c r="AD188" s="635" t="s">
        <v>50</v>
      </c>
      <c r="AE188" s="635" t="s">
        <v>50</v>
      </c>
      <c r="AF188" s="635" t="s">
        <v>50</v>
      </c>
      <c r="AG188" s="635" t="s">
        <v>50</v>
      </c>
      <c r="AH188" s="67"/>
      <c r="AI188" s="67"/>
    </row>
    <row r="189" spans="1:35" ht="15.75" customHeight="1" x14ac:dyDescent="0.2">
      <c r="A189" s="956">
        <v>3</v>
      </c>
      <c r="B189" s="748" t="s">
        <v>0</v>
      </c>
      <c r="C189" s="791" t="s">
        <v>50</v>
      </c>
      <c r="D189" s="791" t="s">
        <v>50</v>
      </c>
      <c r="E189" s="791" t="s">
        <v>50</v>
      </c>
      <c r="F189" s="636" t="s">
        <v>0</v>
      </c>
      <c r="G189" s="800" t="s">
        <v>0</v>
      </c>
      <c r="H189" s="799">
        <v>23</v>
      </c>
      <c r="I189" s="636">
        <v>23</v>
      </c>
      <c r="J189" s="636">
        <v>23</v>
      </c>
      <c r="K189" s="957">
        <v>23</v>
      </c>
      <c r="L189" s="957">
        <v>23</v>
      </c>
      <c r="M189" s="636">
        <v>23</v>
      </c>
      <c r="N189" s="800">
        <v>23</v>
      </c>
      <c r="O189" s="791" t="s">
        <v>50</v>
      </c>
      <c r="P189" s="791" t="s">
        <v>50</v>
      </c>
      <c r="Q189" s="791" t="s">
        <v>50</v>
      </c>
      <c r="R189" s="791" t="s">
        <v>50</v>
      </c>
      <c r="S189" s="791" t="s">
        <v>50</v>
      </c>
      <c r="T189" s="791" t="s">
        <v>0</v>
      </c>
      <c r="U189" s="791" t="s">
        <v>0</v>
      </c>
      <c r="V189" s="819">
        <v>21</v>
      </c>
      <c r="W189" s="819">
        <v>21</v>
      </c>
      <c r="X189" s="819">
        <v>21</v>
      </c>
      <c r="Y189" s="819">
        <v>21</v>
      </c>
      <c r="Z189" s="819">
        <v>21</v>
      </c>
      <c r="AA189" s="819">
        <v>21</v>
      </c>
      <c r="AB189" s="819">
        <v>21</v>
      </c>
      <c r="AC189" s="635" t="s">
        <v>50</v>
      </c>
      <c r="AD189" s="635" t="s">
        <v>50</v>
      </c>
      <c r="AE189" s="635" t="s">
        <v>50</v>
      </c>
      <c r="AF189" s="635" t="s">
        <v>50</v>
      </c>
      <c r="AG189" s="635" t="s">
        <v>50</v>
      </c>
      <c r="AH189" s="67"/>
      <c r="AI189" s="67"/>
    </row>
    <row r="190" spans="1:35" ht="15.75" customHeight="1" x14ac:dyDescent="0.2">
      <c r="A190" s="956">
        <v>4</v>
      </c>
      <c r="B190" s="958" t="s">
        <v>281</v>
      </c>
      <c r="C190" s="959">
        <v>23</v>
      </c>
      <c r="D190" s="959">
        <v>23</v>
      </c>
      <c r="E190" s="959">
        <v>23</v>
      </c>
      <c r="F190" s="959">
        <v>23</v>
      </c>
      <c r="G190" s="959">
        <v>23</v>
      </c>
      <c r="H190" s="808" t="s">
        <v>50</v>
      </c>
      <c r="I190" s="808" t="s">
        <v>50</v>
      </c>
      <c r="J190" s="808" t="s">
        <v>50</v>
      </c>
      <c r="K190" s="808" t="s">
        <v>50</v>
      </c>
      <c r="L190" s="808" t="s">
        <v>50</v>
      </c>
      <c r="M190" s="808" t="s">
        <v>0</v>
      </c>
      <c r="N190" s="808" t="s">
        <v>0</v>
      </c>
      <c r="O190" s="792">
        <v>21</v>
      </c>
      <c r="P190" s="792">
        <v>21</v>
      </c>
      <c r="Q190" s="792">
        <v>21</v>
      </c>
      <c r="R190" s="792">
        <v>21</v>
      </c>
      <c r="S190" s="792">
        <v>21</v>
      </c>
      <c r="T190" s="792">
        <v>21</v>
      </c>
      <c r="U190" s="792">
        <v>21</v>
      </c>
      <c r="V190" s="960">
        <v>23</v>
      </c>
      <c r="W190" s="960">
        <v>23</v>
      </c>
      <c r="X190" s="960">
        <v>23</v>
      </c>
      <c r="Y190" s="960">
        <v>23</v>
      </c>
      <c r="Z190" s="635" t="s">
        <v>50</v>
      </c>
      <c r="AA190" s="635" t="s">
        <v>0</v>
      </c>
      <c r="AB190" s="635" t="s">
        <v>0</v>
      </c>
      <c r="AC190" s="792">
        <v>22</v>
      </c>
      <c r="AD190" s="792">
        <v>22</v>
      </c>
      <c r="AE190" s="792">
        <v>22</v>
      </c>
      <c r="AF190" s="792">
        <v>22</v>
      </c>
      <c r="AG190" s="792">
        <v>22</v>
      </c>
      <c r="AH190" s="67"/>
      <c r="AI190" s="67"/>
    </row>
    <row r="191" spans="1:35" ht="15.75" customHeight="1" x14ac:dyDescent="0.2">
      <c r="A191" s="956">
        <v>5</v>
      </c>
      <c r="B191" s="429" t="s">
        <v>282</v>
      </c>
      <c r="C191" s="636">
        <v>21</v>
      </c>
      <c r="D191" s="636">
        <v>21</v>
      </c>
      <c r="E191" s="636">
        <v>21</v>
      </c>
      <c r="F191" s="636">
        <v>21</v>
      </c>
      <c r="G191" s="636">
        <v>21</v>
      </c>
      <c r="H191" s="961">
        <v>22</v>
      </c>
      <c r="I191" s="961">
        <v>22</v>
      </c>
      <c r="J191" s="961">
        <v>22</v>
      </c>
      <c r="K191" s="961">
        <v>22</v>
      </c>
      <c r="L191" s="961">
        <v>22</v>
      </c>
      <c r="M191" s="636" t="s">
        <v>0</v>
      </c>
      <c r="N191" s="636" t="s">
        <v>0</v>
      </c>
      <c r="O191" s="800">
        <v>22</v>
      </c>
      <c r="P191" s="800">
        <v>22</v>
      </c>
      <c r="Q191" s="800">
        <v>22</v>
      </c>
      <c r="R191" s="800">
        <v>22</v>
      </c>
      <c r="S191" s="800">
        <v>22</v>
      </c>
      <c r="T191" s="800">
        <v>22</v>
      </c>
      <c r="U191" s="800">
        <v>22</v>
      </c>
      <c r="V191" s="635" t="s">
        <v>50</v>
      </c>
      <c r="W191" s="635" t="s">
        <v>50</v>
      </c>
      <c r="X191" s="635" t="s">
        <v>50</v>
      </c>
      <c r="Y191" s="635" t="s">
        <v>50</v>
      </c>
      <c r="Z191" s="960">
        <v>23</v>
      </c>
      <c r="AA191" s="960">
        <v>23</v>
      </c>
      <c r="AB191" s="960">
        <v>23</v>
      </c>
      <c r="AC191" s="819">
        <v>23</v>
      </c>
      <c r="AD191" s="819">
        <v>23</v>
      </c>
      <c r="AE191" s="819">
        <v>23</v>
      </c>
      <c r="AF191" s="819">
        <v>23</v>
      </c>
      <c r="AG191" s="819">
        <v>23</v>
      </c>
      <c r="AH191" s="67"/>
      <c r="AI191" s="67"/>
    </row>
    <row r="192" spans="1:35" ht="15.75" customHeight="1" x14ac:dyDescent="0.2">
      <c r="A192" s="962">
        <v>6</v>
      </c>
      <c r="B192" s="754" t="s">
        <v>283</v>
      </c>
      <c r="C192" s="636">
        <v>22</v>
      </c>
      <c r="D192" s="636">
        <v>22</v>
      </c>
      <c r="E192" s="636">
        <v>22</v>
      </c>
      <c r="F192" s="636">
        <v>22</v>
      </c>
      <c r="G192" s="800">
        <v>22</v>
      </c>
      <c r="H192" s="799" t="s">
        <v>50</v>
      </c>
      <c r="I192" s="799" t="s">
        <v>50</v>
      </c>
      <c r="J192" s="799" t="s">
        <v>50</v>
      </c>
      <c r="K192" s="799" t="s">
        <v>50</v>
      </c>
      <c r="L192" s="799" t="s">
        <v>50</v>
      </c>
      <c r="M192" s="655" t="s">
        <v>0</v>
      </c>
      <c r="N192" s="963" t="s">
        <v>0</v>
      </c>
      <c r="O192" s="964">
        <v>23</v>
      </c>
      <c r="P192" s="965">
        <v>23</v>
      </c>
      <c r="Q192" s="965">
        <v>23</v>
      </c>
      <c r="R192" s="966">
        <v>23</v>
      </c>
      <c r="S192" s="966">
        <v>23</v>
      </c>
      <c r="T192" s="965">
        <v>23</v>
      </c>
      <c r="U192" s="967">
        <v>23</v>
      </c>
      <c r="V192" s="968" t="s">
        <v>50</v>
      </c>
      <c r="W192" s="968" t="s">
        <v>50</v>
      </c>
      <c r="X192" s="968" t="s">
        <v>50</v>
      </c>
      <c r="Y192" s="968" t="s">
        <v>50</v>
      </c>
      <c r="Z192" s="968" t="s">
        <v>50</v>
      </c>
      <c r="AA192" s="968" t="s">
        <v>0</v>
      </c>
      <c r="AB192" s="968" t="s">
        <v>0</v>
      </c>
      <c r="AC192" s="969">
        <v>21</v>
      </c>
      <c r="AD192" s="969">
        <v>21</v>
      </c>
      <c r="AE192" s="969">
        <v>21</v>
      </c>
      <c r="AF192" s="969">
        <v>21</v>
      </c>
      <c r="AG192" s="969">
        <v>21</v>
      </c>
      <c r="AH192" s="67"/>
      <c r="AI192" s="67"/>
    </row>
    <row r="193" spans="1:35" ht="15.75" customHeight="1" x14ac:dyDescent="0.2">
      <c r="A193" s="129"/>
      <c r="B193" s="127"/>
      <c r="C193" s="128"/>
      <c r="D193" s="128"/>
      <c r="E193" s="140"/>
      <c r="F193" s="128"/>
      <c r="G193" s="128"/>
      <c r="H193" s="145"/>
      <c r="I193" s="145"/>
      <c r="J193" s="145"/>
      <c r="K193" s="145"/>
      <c r="L193" s="145"/>
      <c r="M193" s="145"/>
      <c r="N193" s="125"/>
      <c r="O193" s="125"/>
      <c r="P193" s="140"/>
      <c r="Q193" s="128"/>
      <c r="R193" s="128"/>
      <c r="S193" s="140"/>
      <c r="T193" s="128"/>
      <c r="U193" s="128"/>
      <c r="V193" s="128"/>
      <c r="W193" s="128"/>
      <c r="X193" s="128"/>
      <c r="Y193" s="128"/>
      <c r="Z193" s="128"/>
      <c r="AA193" s="128"/>
      <c r="AB193" s="125"/>
      <c r="AC193" s="125"/>
      <c r="AD193" s="140"/>
      <c r="AE193" s="128"/>
      <c r="AF193" s="128"/>
      <c r="AG193" s="140"/>
      <c r="AH193" s="67"/>
      <c r="AI193" s="67"/>
    </row>
    <row r="194" spans="1:35" ht="15.75" customHeight="1" x14ac:dyDescent="0.2">
      <c r="A194" s="69"/>
      <c r="B194" s="70"/>
      <c r="C194" s="120"/>
      <c r="D194" s="120"/>
      <c r="E194" s="106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106"/>
      <c r="Q194" s="120"/>
      <c r="R194" s="120"/>
      <c r="S194" s="106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1"/>
      <c r="AD194" s="121"/>
      <c r="AE194" s="121"/>
      <c r="AF194" s="120"/>
      <c r="AG194" s="106"/>
      <c r="AH194" s="67"/>
      <c r="AI194" s="67"/>
    </row>
    <row r="195" spans="1:35" ht="15.75" customHeight="1" x14ac:dyDescent="0.2">
      <c r="A195" s="103" t="s">
        <v>284</v>
      </c>
      <c r="D195" s="48"/>
      <c r="E195" s="48"/>
      <c r="F195" s="48"/>
      <c r="G195" s="65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</row>
    <row r="196" spans="1:35" ht="15.75" customHeight="1" x14ac:dyDescent="0.2">
      <c r="A196" s="1"/>
      <c r="B196" s="459" t="s">
        <v>255</v>
      </c>
      <c r="C196" s="872"/>
      <c r="D196" s="917" t="s">
        <v>17</v>
      </c>
      <c r="E196" s="465"/>
      <c r="F196" s="866"/>
      <c r="G196" s="872"/>
      <c r="H196" s="917" t="s">
        <v>18</v>
      </c>
      <c r="I196" s="465"/>
      <c r="J196" s="866"/>
      <c r="K196" s="872"/>
      <c r="L196" s="917" t="s">
        <v>19</v>
      </c>
      <c r="M196" s="465"/>
      <c r="N196" s="866"/>
      <c r="O196" s="872"/>
      <c r="P196" s="917" t="s">
        <v>20</v>
      </c>
      <c r="Q196" s="465"/>
      <c r="R196" s="866"/>
      <c r="S196" s="872"/>
      <c r="T196" s="917" t="s">
        <v>21</v>
      </c>
      <c r="U196" s="465"/>
      <c r="V196" s="866"/>
      <c r="W196" s="872"/>
      <c r="X196" s="917" t="s">
        <v>22</v>
      </c>
      <c r="Y196" s="465"/>
      <c r="Z196" s="866"/>
      <c r="AA196" s="872"/>
      <c r="AB196" s="917" t="s">
        <v>23</v>
      </c>
      <c r="AC196" s="465"/>
      <c r="AD196" s="465"/>
      <c r="AE196" s="920" t="s">
        <v>126</v>
      </c>
      <c r="AF196" s="465"/>
      <c r="AG196" s="465"/>
      <c r="AH196" s="465"/>
      <c r="AI196" s="873"/>
    </row>
    <row r="197" spans="1:35" ht="15.75" customHeight="1" x14ac:dyDescent="0.2">
      <c r="A197" s="1"/>
      <c r="B197" s="922" t="s">
        <v>235</v>
      </c>
      <c r="C197" s="733" t="s">
        <v>256</v>
      </c>
      <c r="D197" s="549"/>
      <c r="E197" s="549"/>
      <c r="F197" s="924"/>
      <c r="G197" s="733" t="s">
        <v>256</v>
      </c>
      <c r="H197" s="549"/>
      <c r="I197" s="549"/>
      <c r="J197" s="924"/>
      <c r="K197" s="733" t="s">
        <v>256</v>
      </c>
      <c r="L197" s="549"/>
      <c r="M197" s="549"/>
      <c r="N197" s="924"/>
      <c r="O197" s="733" t="s">
        <v>285</v>
      </c>
      <c r="P197" s="549"/>
      <c r="Q197" s="549"/>
      <c r="R197" s="924"/>
      <c r="S197" s="733" t="s">
        <v>244</v>
      </c>
      <c r="T197" s="549"/>
      <c r="U197" s="549"/>
      <c r="V197" s="924"/>
      <c r="W197" s="970"/>
      <c r="X197" s="971"/>
      <c r="Y197" s="971"/>
      <c r="Z197" s="925"/>
      <c r="AA197" s="923"/>
      <c r="AB197" s="549"/>
      <c r="AC197" s="549"/>
      <c r="AD197" s="734"/>
      <c r="AE197" s="926">
        <v>27</v>
      </c>
      <c r="AF197" s="549"/>
      <c r="AG197" s="549"/>
      <c r="AH197" s="734"/>
      <c r="AI197" s="877"/>
    </row>
    <row r="198" spans="1:35" ht="15.75" customHeight="1" x14ac:dyDescent="0.2">
      <c r="A198" s="1"/>
      <c r="B198" s="922" t="s">
        <v>236</v>
      </c>
      <c r="C198" s="733" t="s">
        <v>286</v>
      </c>
      <c r="D198" s="549"/>
      <c r="E198" s="549"/>
      <c r="F198" s="924"/>
      <c r="G198" s="733" t="s">
        <v>286</v>
      </c>
      <c r="H198" s="549"/>
      <c r="I198" s="549"/>
      <c r="J198" s="924"/>
      <c r="K198" s="733" t="s">
        <v>286</v>
      </c>
      <c r="L198" s="549"/>
      <c r="M198" s="549"/>
      <c r="N198" s="924"/>
      <c r="O198" s="733" t="s">
        <v>286</v>
      </c>
      <c r="P198" s="549"/>
      <c r="Q198" s="549"/>
      <c r="R198" s="924"/>
      <c r="S198" s="733" t="s">
        <v>256</v>
      </c>
      <c r="T198" s="549"/>
      <c r="U198" s="549"/>
      <c r="V198" s="924"/>
      <c r="W198" s="733"/>
      <c r="X198" s="549"/>
      <c r="Y198" s="549"/>
      <c r="Z198" s="924"/>
      <c r="AA198" s="549"/>
      <c r="AB198" s="549"/>
      <c r="AC198" s="549"/>
      <c r="AD198" s="734"/>
      <c r="AE198" s="926">
        <v>39</v>
      </c>
      <c r="AF198" s="549"/>
      <c r="AG198" s="549"/>
      <c r="AH198" s="734"/>
      <c r="AI198" s="877"/>
    </row>
    <row r="199" spans="1:35" ht="15.75" customHeight="1" x14ac:dyDescent="0.2">
      <c r="A199" s="1"/>
      <c r="B199" s="922" t="s">
        <v>243</v>
      </c>
      <c r="C199" s="733" t="s">
        <v>286</v>
      </c>
      <c r="D199" s="549"/>
      <c r="E199" s="549"/>
      <c r="F199" s="924"/>
      <c r="G199" s="733" t="s">
        <v>286</v>
      </c>
      <c r="H199" s="549"/>
      <c r="I199" s="549"/>
      <c r="J199" s="924"/>
      <c r="K199" s="733" t="s">
        <v>286</v>
      </c>
      <c r="L199" s="549"/>
      <c r="M199" s="549"/>
      <c r="N199" s="924"/>
      <c r="O199" s="733" t="s">
        <v>286</v>
      </c>
      <c r="P199" s="549"/>
      <c r="Q199" s="549"/>
      <c r="R199" s="924"/>
      <c r="S199" s="733" t="s">
        <v>286</v>
      </c>
      <c r="T199" s="549"/>
      <c r="U199" s="549"/>
      <c r="V199" s="924"/>
      <c r="W199" s="427" t="s">
        <v>260</v>
      </c>
      <c r="X199" s="667"/>
      <c r="Y199" s="667"/>
      <c r="Z199" s="426"/>
      <c r="AA199" s="435"/>
      <c r="AB199" s="667"/>
      <c r="AC199" s="667"/>
      <c r="AD199" s="428"/>
      <c r="AE199" s="926">
        <v>45</v>
      </c>
      <c r="AF199" s="549"/>
      <c r="AG199" s="549"/>
      <c r="AH199" s="734"/>
      <c r="AI199" s="877"/>
    </row>
    <row r="200" spans="1:35" ht="15.75" customHeight="1" x14ac:dyDescent="0.2">
      <c r="A200" s="1"/>
      <c r="B200" s="147" t="s">
        <v>245</v>
      </c>
      <c r="C200" s="950"/>
      <c r="D200" s="679"/>
      <c r="E200" s="679"/>
      <c r="F200" s="952"/>
      <c r="G200" s="950"/>
      <c r="H200" s="679"/>
      <c r="I200" s="679"/>
      <c r="J200" s="952"/>
      <c r="K200" s="950"/>
      <c r="L200" s="679"/>
      <c r="M200" s="679"/>
      <c r="N200" s="952"/>
      <c r="O200" s="950"/>
      <c r="P200" s="679"/>
      <c r="Q200" s="679"/>
      <c r="R200" s="952"/>
      <c r="S200" s="950"/>
      <c r="T200" s="679"/>
      <c r="U200" s="679"/>
      <c r="V200" s="936"/>
      <c r="W200" s="950"/>
      <c r="X200" s="936"/>
      <c r="Y200" s="679"/>
      <c r="Z200" s="952"/>
      <c r="AA200" s="950"/>
      <c r="AB200" s="936"/>
      <c r="AC200" s="679"/>
      <c r="AD200" s="952"/>
      <c r="AE200" s="972"/>
      <c r="AF200" s="679"/>
      <c r="AG200" s="679"/>
      <c r="AH200" s="936"/>
      <c r="AI200" s="883"/>
    </row>
    <row r="201" spans="1:35" ht="15.75" customHeight="1" x14ac:dyDescent="0.2">
      <c r="A201" s="68"/>
      <c r="B201" s="1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</row>
    <row r="202" spans="1:35" ht="15.75" customHeight="1" x14ac:dyDescent="0.2">
      <c r="A202" s="432"/>
      <c r="B202" s="687" t="s">
        <v>44</v>
      </c>
      <c r="C202" s="582">
        <v>1</v>
      </c>
      <c r="D202" s="583">
        <v>2</v>
      </c>
      <c r="E202" s="583">
        <v>3</v>
      </c>
      <c r="F202" s="582">
        <v>4</v>
      </c>
      <c r="G202" s="582">
        <v>5</v>
      </c>
      <c r="H202" s="583">
        <v>6</v>
      </c>
      <c r="I202" s="583">
        <v>7</v>
      </c>
      <c r="J202" s="583">
        <v>8</v>
      </c>
      <c r="K202" s="582">
        <v>9</v>
      </c>
      <c r="L202" s="583">
        <v>10</v>
      </c>
      <c r="M202" s="582">
        <v>11</v>
      </c>
      <c r="N202" s="582">
        <v>12</v>
      </c>
      <c r="O202" s="583">
        <v>13</v>
      </c>
      <c r="P202" s="583">
        <v>14</v>
      </c>
      <c r="Q202" s="583">
        <v>15</v>
      </c>
      <c r="R202" s="583">
        <v>16</v>
      </c>
      <c r="S202" s="583">
        <v>17</v>
      </c>
      <c r="T202" s="582">
        <v>18</v>
      </c>
      <c r="U202" s="582">
        <v>19</v>
      </c>
      <c r="V202" s="582">
        <v>20</v>
      </c>
      <c r="W202" s="583">
        <v>21</v>
      </c>
      <c r="X202" s="583">
        <v>22</v>
      </c>
      <c r="Y202" s="583">
        <v>23</v>
      </c>
      <c r="Z202" s="583">
        <v>24</v>
      </c>
      <c r="AA202" s="582">
        <v>25</v>
      </c>
      <c r="AB202" s="582">
        <v>26</v>
      </c>
      <c r="AC202" s="583">
        <v>27</v>
      </c>
      <c r="AD202" s="583">
        <v>28</v>
      </c>
      <c r="AE202" s="583">
        <v>29</v>
      </c>
      <c r="AF202" s="583">
        <v>30</v>
      </c>
      <c r="AG202" s="583">
        <v>31</v>
      </c>
      <c r="AH202" s="110"/>
      <c r="AI202" s="111"/>
    </row>
    <row r="203" spans="1:35" ht="15.75" customHeight="1" x14ac:dyDescent="0.2">
      <c r="A203" s="884">
        <v>1</v>
      </c>
      <c r="B203" s="973"/>
      <c r="C203" s="886"/>
      <c r="D203" s="886" t="s">
        <v>46</v>
      </c>
      <c r="E203" s="974" t="s">
        <v>46</v>
      </c>
      <c r="F203" s="886"/>
      <c r="G203" s="886"/>
      <c r="H203" s="886" t="s">
        <v>46</v>
      </c>
      <c r="I203" s="886" t="s">
        <v>46</v>
      </c>
      <c r="J203" s="886" t="s">
        <v>46</v>
      </c>
      <c r="K203" s="886"/>
      <c r="L203" s="886" t="s">
        <v>46</v>
      </c>
      <c r="M203" s="886"/>
      <c r="N203" s="886"/>
      <c r="O203" s="886" t="s">
        <v>46</v>
      </c>
      <c r="P203" s="691" t="s">
        <v>46</v>
      </c>
      <c r="Q203" s="886" t="s">
        <v>46</v>
      </c>
      <c r="R203" s="691" t="s">
        <v>46</v>
      </c>
      <c r="S203" s="691" t="s">
        <v>46</v>
      </c>
      <c r="T203" s="691"/>
      <c r="U203" s="886"/>
      <c r="V203" s="886"/>
      <c r="W203" s="886" t="s">
        <v>46</v>
      </c>
      <c r="X203" s="886" t="s">
        <v>46</v>
      </c>
      <c r="Y203" s="886" t="s">
        <v>46</v>
      </c>
      <c r="Z203" s="974" t="s">
        <v>46</v>
      </c>
      <c r="AA203" s="886"/>
      <c r="AB203" s="886"/>
      <c r="AC203" s="886" t="s">
        <v>46</v>
      </c>
      <c r="AD203" s="886" t="s">
        <v>46</v>
      </c>
      <c r="AE203" s="886" t="s">
        <v>46</v>
      </c>
      <c r="AF203" s="886" t="s">
        <v>46</v>
      </c>
      <c r="AG203" s="975"/>
      <c r="AH203" s="132"/>
      <c r="AI203" s="116"/>
    </row>
    <row r="204" spans="1:35" ht="15.75" customHeight="1" x14ac:dyDescent="0.2">
      <c r="A204" s="889">
        <v>2</v>
      </c>
      <c r="B204" s="976" t="s">
        <v>287</v>
      </c>
      <c r="C204" s="600"/>
      <c r="D204" s="600" t="s">
        <v>288</v>
      </c>
      <c r="E204" s="600" t="s">
        <v>50</v>
      </c>
      <c r="F204" s="600"/>
      <c r="G204" s="600"/>
      <c r="H204" s="600" t="s">
        <v>289</v>
      </c>
      <c r="I204" s="600" t="s">
        <v>289</v>
      </c>
      <c r="J204" s="600" t="s">
        <v>289</v>
      </c>
      <c r="K204" s="600"/>
      <c r="L204" s="757" t="s">
        <v>289</v>
      </c>
      <c r="M204" s="600"/>
      <c r="N204" s="600"/>
      <c r="O204" s="600" t="s">
        <v>290</v>
      </c>
      <c r="P204" s="600" t="s">
        <v>290</v>
      </c>
      <c r="Q204" s="600" t="s">
        <v>290</v>
      </c>
      <c r="R204" s="600" t="s">
        <v>290</v>
      </c>
      <c r="S204" s="600" t="s">
        <v>290</v>
      </c>
      <c r="T204" s="600" t="s">
        <v>290</v>
      </c>
      <c r="U204" s="600"/>
      <c r="V204" s="600"/>
      <c r="W204" s="444" t="s">
        <v>288</v>
      </c>
      <c r="X204" s="600" t="s">
        <v>288</v>
      </c>
      <c r="Y204" s="600" t="s">
        <v>288</v>
      </c>
      <c r="Z204" s="600" t="s">
        <v>50</v>
      </c>
      <c r="AA204" s="601" t="s">
        <v>290</v>
      </c>
      <c r="AB204" s="600"/>
      <c r="AC204" s="600" t="s">
        <v>289</v>
      </c>
      <c r="AD204" s="600" t="s">
        <v>289</v>
      </c>
      <c r="AE204" s="600" t="s">
        <v>289</v>
      </c>
      <c r="AF204" s="600" t="s">
        <v>289</v>
      </c>
      <c r="AG204" s="600" t="s">
        <v>289</v>
      </c>
      <c r="AH204" s="132"/>
      <c r="AI204" s="116"/>
    </row>
    <row r="205" spans="1:35" ht="15.75" customHeight="1" x14ac:dyDescent="0.2">
      <c r="A205" s="889">
        <v>3</v>
      </c>
      <c r="B205" s="977" t="s">
        <v>291</v>
      </c>
      <c r="C205" s="600"/>
      <c r="D205" s="600" t="s">
        <v>289</v>
      </c>
      <c r="E205" s="600" t="s">
        <v>289</v>
      </c>
      <c r="F205" s="600"/>
      <c r="G205" s="600"/>
      <c r="H205" s="600" t="s">
        <v>290</v>
      </c>
      <c r="I205" s="600" t="s">
        <v>290</v>
      </c>
      <c r="J205" s="600" t="s">
        <v>290</v>
      </c>
      <c r="K205" s="600"/>
      <c r="L205" s="600" t="s">
        <v>290</v>
      </c>
      <c r="M205" s="600" t="s">
        <v>290</v>
      </c>
      <c r="N205" s="600"/>
      <c r="O205" s="600" t="s">
        <v>288</v>
      </c>
      <c r="P205" s="444" t="s">
        <v>288</v>
      </c>
      <c r="Q205" s="600" t="s">
        <v>288</v>
      </c>
      <c r="R205" s="600" t="s">
        <v>288</v>
      </c>
      <c r="S205" s="600" t="s">
        <v>50</v>
      </c>
      <c r="T205" s="600"/>
      <c r="U205" s="600"/>
      <c r="V205" s="600"/>
      <c r="W205" s="600" t="s">
        <v>289</v>
      </c>
      <c r="X205" s="600" t="s">
        <v>289</v>
      </c>
      <c r="Y205" s="600" t="s">
        <v>289</v>
      </c>
      <c r="Z205" s="600" t="s">
        <v>289</v>
      </c>
      <c r="AA205" s="600"/>
      <c r="AB205" s="600"/>
      <c r="AC205" s="600" t="s">
        <v>290</v>
      </c>
      <c r="AD205" s="600" t="s">
        <v>290</v>
      </c>
      <c r="AE205" s="600" t="s">
        <v>290</v>
      </c>
      <c r="AF205" s="600" t="s">
        <v>290</v>
      </c>
      <c r="AG205" s="600" t="s">
        <v>290</v>
      </c>
      <c r="AH205" s="132"/>
      <c r="AI205" s="116"/>
    </row>
    <row r="206" spans="1:35" ht="15.75" customHeight="1" x14ac:dyDescent="0.2">
      <c r="A206" s="889">
        <v>4</v>
      </c>
      <c r="B206" s="977"/>
      <c r="C206" s="600"/>
      <c r="D206" s="600"/>
      <c r="E206" s="600"/>
      <c r="F206" s="600"/>
      <c r="G206" s="600"/>
      <c r="H206" s="600"/>
      <c r="I206" s="600"/>
      <c r="J206" s="600"/>
      <c r="K206" s="600"/>
      <c r="L206" s="603"/>
      <c r="M206" s="603"/>
      <c r="N206" s="600"/>
      <c r="O206" s="600"/>
      <c r="P206" s="600"/>
      <c r="Q206" s="600"/>
      <c r="R206" s="600"/>
      <c r="S206" s="600"/>
      <c r="T206" s="600"/>
      <c r="U206" s="600"/>
      <c r="V206" s="600"/>
      <c r="W206" s="600"/>
      <c r="X206" s="600"/>
      <c r="Y206" s="600"/>
      <c r="Z206" s="600"/>
      <c r="AA206" s="600"/>
      <c r="AB206" s="600"/>
      <c r="AC206" s="600"/>
      <c r="AD206" s="600"/>
      <c r="AE206" s="600"/>
      <c r="AF206" s="600"/>
      <c r="AG206" s="978"/>
      <c r="AH206" s="132"/>
      <c r="AI206" s="116"/>
    </row>
    <row r="207" spans="1:35" ht="15.75" customHeight="1" x14ac:dyDescent="0.2">
      <c r="A207" s="889">
        <v>5</v>
      </c>
      <c r="B207" s="977" t="s">
        <v>292</v>
      </c>
      <c r="C207" s="600"/>
      <c r="D207" s="600" t="s">
        <v>46</v>
      </c>
      <c r="E207" s="600" t="s">
        <v>46</v>
      </c>
      <c r="F207" s="604"/>
      <c r="G207" s="600"/>
      <c r="H207" s="600" t="s">
        <v>46</v>
      </c>
      <c r="I207" s="600" t="s">
        <v>46</v>
      </c>
      <c r="J207" s="600" t="s">
        <v>46</v>
      </c>
      <c r="K207" s="600"/>
      <c r="L207" s="723" t="s">
        <v>46</v>
      </c>
      <c r="M207" s="600"/>
      <c r="N207" s="643"/>
      <c r="O207" s="600" t="s">
        <v>46</v>
      </c>
      <c r="P207" s="603" t="s">
        <v>46</v>
      </c>
      <c r="Q207" s="603" t="s">
        <v>46</v>
      </c>
      <c r="R207" s="603" t="s">
        <v>46</v>
      </c>
      <c r="S207" s="603" t="s">
        <v>46</v>
      </c>
      <c r="T207" s="600"/>
      <c r="U207" s="600"/>
      <c r="V207" s="604"/>
      <c r="W207" s="600" t="s">
        <v>46</v>
      </c>
      <c r="X207" s="600" t="s">
        <v>46</v>
      </c>
      <c r="Y207" s="600" t="s">
        <v>46</v>
      </c>
      <c r="Z207" s="600" t="s">
        <v>46</v>
      </c>
      <c r="AA207" s="604"/>
      <c r="AB207" s="600"/>
      <c r="AC207" s="600" t="s">
        <v>46</v>
      </c>
      <c r="AD207" s="600" t="s">
        <v>46</v>
      </c>
      <c r="AE207" s="600" t="s">
        <v>46</v>
      </c>
      <c r="AF207" s="600" t="s">
        <v>46</v>
      </c>
      <c r="AG207" s="758"/>
      <c r="AH207" s="132"/>
      <c r="AI207" s="116"/>
    </row>
    <row r="208" spans="1:35" ht="15.75" customHeight="1" x14ac:dyDescent="0.2">
      <c r="A208" s="889">
        <v>6</v>
      </c>
      <c r="B208" s="602" t="s">
        <v>293</v>
      </c>
      <c r="C208" s="600"/>
      <c r="D208" s="600" t="s">
        <v>46</v>
      </c>
      <c r="E208" s="600" t="s">
        <v>46</v>
      </c>
      <c r="F208" s="604"/>
      <c r="G208" s="600"/>
      <c r="H208" s="600" t="s">
        <v>46</v>
      </c>
      <c r="I208" s="600" t="s">
        <v>46</v>
      </c>
      <c r="J208" s="751" t="s">
        <v>46</v>
      </c>
      <c r="K208" s="600"/>
      <c r="L208" s="751" t="s">
        <v>46</v>
      </c>
      <c r="M208" s="600"/>
      <c r="N208" s="643"/>
      <c r="O208" s="600" t="s">
        <v>46</v>
      </c>
      <c r="P208" s="603" t="s">
        <v>46</v>
      </c>
      <c r="Q208" s="603" t="s">
        <v>46</v>
      </c>
      <c r="R208" s="603" t="s">
        <v>46</v>
      </c>
      <c r="S208" s="603" t="s">
        <v>46</v>
      </c>
      <c r="T208" s="600"/>
      <c r="U208" s="600"/>
      <c r="V208" s="604"/>
      <c r="W208" s="600" t="s">
        <v>46</v>
      </c>
      <c r="X208" s="600" t="s">
        <v>46</v>
      </c>
      <c r="Y208" s="600" t="s">
        <v>46</v>
      </c>
      <c r="Z208" s="600" t="s">
        <v>46</v>
      </c>
      <c r="AA208" s="604"/>
      <c r="AB208" s="600"/>
      <c r="AC208" s="600" t="s">
        <v>46</v>
      </c>
      <c r="AD208" s="600" t="s">
        <v>46</v>
      </c>
      <c r="AE208" s="600" t="s">
        <v>46</v>
      </c>
      <c r="AF208" s="979" t="s">
        <v>46</v>
      </c>
      <c r="AG208" s="758"/>
      <c r="AH208" s="124"/>
      <c r="AI208" s="67"/>
    </row>
    <row r="209" spans="1:36" ht="15.75" customHeight="1" x14ac:dyDescent="0.2">
      <c r="A209" s="891"/>
      <c r="B209" s="614"/>
      <c r="C209" s="654"/>
      <c r="D209" s="654"/>
      <c r="E209" s="654"/>
      <c r="F209" s="654"/>
      <c r="G209" s="654"/>
      <c r="H209" s="654"/>
      <c r="I209" s="654"/>
      <c r="J209" s="654"/>
      <c r="K209" s="654"/>
      <c r="L209" s="654"/>
      <c r="M209" s="654"/>
      <c r="N209" s="654"/>
      <c r="O209" s="654"/>
      <c r="P209" s="654"/>
      <c r="Q209" s="654"/>
      <c r="R209" s="654"/>
      <c r="S209" s="654"/>
      <c r="T209" s="654"/>
      <c r="U209" s="654"/>
      <c r="V209" s="654"/>
      <c r="W209" s="654"/>
      <c r="X209" s="654"/>
      <c r="Y209" s="654"/>
      <c r="Z209" s="654"/>
      <c r="AA209" s="654"/>
      <c r="AB209" s="654"/>
      <c r="AC209" s="654"/>
      <c r="AD209" s="654"/>
      <c r="AE209" s="654"/>
      <c r="AF209" s="654"/>
      <c r="AG209" s="656"/>
      <c r="AH209" s="67"/>
      <c r="AI209" s="67"/>
    </row>
    <row r="210" spans="1:36" ht="15.75" customHeight="1" x14ac:dyDescent="0.2">
      <c r="A210" s="129"/>
      <c r="B210" s="127"/>
      <c r="C210" s="128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28"/>
      <c r="AH210" s="67"/>
      <c r="AI210" s="67"/>
    </row>
    <row r="211" spans="1:36" ht="15.75" customHeight="1" x14ac:dyDescent="0.2">
      <c r="A211" s="129"/>
      <c r="B211" s="127"/>
      <c r="C211" s="128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67"/>
      <c r="AI211" s="67"/>
    </row>
    <row r="212" spans="1:36" ht="15.75" customHeight="1" x14ac:dyDescent="0.2">
      <c r="A212" s="97" t="s">
        <v>294</v>
      </c>
      <c r="B212" s="48"/>
      <c r="C212" s="66"/>
      <c r="D212" s="48"/>
      <c r="E212" s="48"/>
      <c r="F212" s="66"/>
      <c r="G212" s="48"/>
      <c r="H212" s="48"/>
      <c r="I212" s="66"/>
      <c r="J212" s="66"/>
      <c r="K212" s="48"/>
      <c r="L212" s="66"/>
      <c r="M212" s="48"/>
      <c r="N212" s="48"/>
      <c r="O212" s="66"/>
      <c r="P212" s="48"/>
      <c r="Q212" s="66"/>
      <c r="R212" s="66"/>
      <c r="S212" s="48"/>
      <c r="T212" s="48"/>
      <c r="U212" s="66"/>
      <c r="V212" s="48"/>
      <c r="W212" s="66"/>
      <c r="X212" s="66"/>
      <c r="Y212" s="48"/>
      <c r="Z212" s="48"/>
      <c r="AA212" s="48"/>
      <c r="AB212" s="48"/>
      <c r="AC212" s="48"/>
      <c r="AD212" s="48"/>
      <c r="AE212" s="66"/>
      <c r="AF212" s="48"/>
      <c r="AG212" s="48"/>
      <c r="AH212" s="67"/>
      <c r="AI212" s="67"/>
    </row>
    <row r="213" spans="1:36" ht="15.75" customHeight="1" x14ac:dyDescent="0.2">
      <c r="A213" s="69"/>
      <c r="B213" s="438" t="s">
        <v>295</v>
      </c>
      <c r="C213" s="980"/>
      <c r="D213" s="224" t="s">
        <v>17</v>
      </c>
      <c r="E213" s="225"/>
      <c r="F213" s="981"/>
      <c r="G213" s="439"/>
      <c r="H213" s="224" t="s">
        <v>18</v>
      </c>
      <c r="I213" s="225"/>
      <c r="J213" s="981"/>
      <c r="K213" s="439"/>
      <c r="L213" s="224" t="s">
        <v>19</v>
      </c>
      <c r="M213" s="225"/>
      <c r="N213" s="981"/>
      <c r="O213" s="439"/>
      <c r="P213" s="224" t="s">
        <v>20</v>
      </c>
      <c r="Q213" s="225"/>
      <c r="R213" s="981"/>
      <c r="S213" s="439"/>
      <c r="T213" s="224" t="s">
        <v>21</v>
      </c>
      <c r="U213" s="225"/>
      <c r="V213" s="981"/>
      <c r="W213" s="439"/>
      <c r="X213" s="224" t="s">
        <v>22</v>
      </c>
      <c r="Y213" s="225"/>
      <c r="Z213" s="981"/>
      <c r="AA213" s="439"/>
      <c r="AB213" s="224" t="s">
        <v>23</v>
      </c>
      <c r="AC213" s="225"/>
      <c r="AD213" s="225"/>
      <c r="AE213" s="440" t="s">
        <v>126</v>
      </c>
      <c r="AF213" s="225"/>
      <c r="AG213" s="225"/>
      <c r="AH213" s="225"/>
      <c r="AI213" s="982"/>
    </row>
    <row r="214" spans="1:36" ht="15.75" customHeight="1" x14ac:dyDescent="0.2">
      <c r="A214" s="69"/>
      <c r="B214" s="441" t="s">
        <v>296</v>
      </c>
      <c r="C214" s="983" t="s">
        <v>297</v>
      </c>
      <c r="D214" s="984" t="s">
        <v>298</v>
      </c>
      <c r="E214" s="985"/>
      <c r="F214" s="986"/>
      <c r="G214" s="987"/>
      <c r="H214" s="988" t="s">
        <v>298</v>
      </c>
      <c r="I214" s="989"/>
      <c r="J214" s="986"/>
      <c r="K214" s="987"/>
      <c r="L214" s="988" t="s">
        <v>298</v>
      </c>
      <c r="M214" s="989"/>
      <c r="N214" s="986"/>
      <c r="O214" s="987"/>
      <c r="P214" s="988" t="s">
        <v>299</v>
      </c>
      <c r="Q214" s="989"/>
      <c r="R214" s="986"/>
      <c r="S214" s="987"/>
      <c r="T214" s="988" t="s">
        <v>300</v>
      </c>
      <c r="U214" s="989"/>
      <c r="V214" s="986"/>
      <c r="W214" s="990"/>
      <c r="X214" s="991"/>
      <c r="Y214" s="991"/>
      <c r="Z214" s="992"/>
      <c r="AA214" s="990"/>
      <c r="AB214" s="991"/>
      <c r="AC214" s="991"/>
      <c r="AD214" s="991"/>
      <c r="AE214" s="990"/>
      <c r="AF214" s="991"/>
      <c r="AG214" s="991"/>
      <c r="AH214" s="993"/>
      <c r="AI214" s="994"/>
    </row>
    <row r="215" spans="1:36" ht="15.75" customHeight="1" x14ac:dyDescent="0.2">
      <c r="A215" s="69"/>
      <c r="B215" s="441" t="s">
        <v>301</v>
      </c>
      <c r="C215" s="983" t="s">
        <v>174</v>
      </c>
      <c r="D215" s="984" t="s">
        <v>298</v>
      </c>
      <c r="E215" s="985"/>
      <c r="F215" s="986"/>
      <c r="G215" s="987"/>
      <c r="H215" s="988" t="s">
        <v>298</v>
      </c>
      <c r="I215" s="989"/>
      <c r="J215" s="986"/>
      <c r="K215" s="987"/>
      <c r="L215" s="988" t="s">
        <v>302</v>
      </c>
      <c r="M215" s="989"/>
      <c r="N215" s="986"/>
      <c r="O215" s="987"/>
      <c r="P215" s="988" t="s">
        <v>303</v>
      </c>
      <c r="Q215" s="989"/>
      <c r="R215" s="986"/>
      <c r="S215" s="987"/>
      <c r="T215" s="988" t="s">
        <v>304</v>
      </c>
      <c r="U215" s="989"/>
      <c r="V215" s="986"/>
      <c r="W215" s="990"/>
      <c r="X215" s="991"/>
      <c r="Y215" s="991"/>
      <c r="Z215" s="992"/>
      <c r="AA215" s="990"/>
      <c r="AB215" s="991"/>
      <c r="AC215" s="991"/>
      <c r="AD215" s="991"/>
      <c r="AE215" s="990"/>
      <c r="AF215" s="991"/>
      <c r="AG215" s="991"/>
      <c r="AH215" s="993"/>
      <c r="AI215" s="994"/>
    </row>
    <row r="216" spans="1:36" ht="15.75" customHeight="1" x14ac:dyDescent="0.2">
      <c r="A216" s="69"/>
      <c r="B216" s="441" t="s">
        <v>305</v>
      </c>
      <c r="C216" s="983" t="s">
        <v>154</v>
      </c>
      <c r="D216" s="984" t="s">
        <v>306</v>
      </c>
      <c r="E216" s="985"/>
      <c r="F216" s="986"/>
      <c r="G216" s="987"/>
      <c r="H216" s="984" t="s">
        <v>306</v>
      </c>
      <c r="I216" s="989"/>
      <c r="J216" s="986"/>
      <c r="K216" s="987"/>
      <c r="L216" s="984" t="s">
        <v>306</v>
      </c>
      <c r="M216" s="989"/>
      <c r="N216" s="986"/>
      <c r="O216" s="987"/>
      <c r="P216" s="988" t="s">
        <v>307</v>
      </c>
      <c r="Q216" s="989"/>
      <c r="R216" s="986"/>
      <c r="S216" s="987"/>
      <c r="T216" s="988" t="s">
        <v>304</v>
      </c>
      <c r="U216" s="989"/>
      <c r="V216" s="986"/>
      <c r="W216" s="990"/>
      <c r="X216" s="991"/>
      <c r="Y216" s="991"/>
      <c r="Z216" s="992"/>
      <c r="AA216" s="990"/>
      <c r="AB216" s="991"/>
      <c r="AC216" s="991"/>
      <c r="AD216" s="991"/>
      <c r="AE216" s="990"/>
      <c r="AF216" s="991"/>
      <c r="AG216" s="991"/>
      <c r="AH216" s="993"/>
      <c r="AI216" s="994"/>
    </row>
    <row r="217" spans="1:36" ht="15.75" customHeight="1" x14ac:dyDescent="0.2">
      <c r="A217" s="69"/>
      <c r="B217" s="441" t="s">
        <v>308</v>
      </c>
      <c r="C217" s="983" t="s">
        <v>309</v>
      </c>
      <c r="D217" s="984" t="s">
        <v>310</v>
      </c>
      <c r="E217" s="985"/>
      <c r="F217" s="986"/>
      <c r="G217" s="987"/>
      <c r="H217" s="988" t="s">
        <v>298</v>
      </c>
      <c r="I217" s="989"/>
      <c r="J217" s="986"/>
      <c r="K217" s="987"/>
      <c r="L217" s="988" t="s">
        <v>298</v>
      </c>
      <c r="M217" s="989"/>
      <c r="N217" s="986"/>
      <c r="O217" s="987"/>
      <c r="P217" s="988" t="s">
        <v>311</v>
      </c>
      <c r="Q217" s="989"/>
      <c r="R217" s="986"/>
      <c r="S217" s="987"/>
      <c r="T217" s="988" t="s">
        <v>312</v>
      </c>
      <c r="U217" s="989"/>
      <c r="V217" s="986"/>
      <c r="W217" s="990"/>
      <c r="X217" s="991"/>
      <c r="Y217" s="991"/>
      <c r="Z217" s="992"/>
      <c r="AA217" s="990"/>
      <c r="AB217" s="991"/>
      <c r="AC217" s="991"/>
      <c r="AD217" s="991"/>
      <c r="AE217" s="990"/>
      <c r="AF217" s="991"/>
      <c r="AG217" s="991"/>
      <c r="AH217" s="993"/>
      <c r="AI217" s="994"/>
    </row>
    <row r="218" spans="1:36" ht="15.75" customHeight="1" x14ac:dyDescent="0.2">
      <c r="A218" s="69"/>
      <c r="B218" s="778" t="s">
        <v>313</v>
      </c>
      <c r="C218" s="983" t="s">
        <v>160</v>
      </c>
      <c r="D218" s="984" t="s">
        <v>314</v>
      </c>
      <c r="E218" s="985"/>
      <c r="F218" s="995"/>
      <c r="G218" s="996"/>
      <c r="H218" s="984" t="s">
        <v>314</v>
      </c>
      <c r="I218" s="997"/>
      <c r="J218" s="995"/>
      <c r="K218" s="996"/>
      <c r="L218" s="984" t="s">
        <v>314</v>
      </c>
      <c r="M218" s="997"/>
      <c r="N218" s="995"/>
      <c r="O218" s="996"/>
      <c r="P218" s="988" t="s">
        <v>315</v>
      </c>
      <c r="Q218" s="997"/>
      <c r="R218" s="995"/>
      <c r="S218" s="996"/>
      <c r="T218" s="988" t="s">
        <v>304</v>
      </c>
      <c r="U218" s="997"/>
      <c r="V218" s="443"/>
      <c r="W218" s="998"/>
      <c r="X218" s="999"/>
      <c r="Y218" s="999"/>
      <c r="Z218" s="1000"/>
      <c r="AA218" s="998"/>
      <c r="AB218" s="999"/>
      <c r="AC218" s="999"/>
      <c r="AD218" s="999"/>
      <c r="AE218" s="998"/>
      <c r="AF218" s="999"/>
      <c r="AG218" s="999"/>
      <c r="AH218" s="1001"/>
      <c r="AI218" s="1002"/>
      <c r="AJ218" s="123"/>
    </row>
    <row r="219" spans="1:36" ht="15.75" customHeight="1" x14ac:dyDescent="0.2">
      <c r="A219" s="69"/>
      <c r="B219" s="441" t="s">
        <v>316</v>
      </c>
      <c r="C219" s="983" t="s">
        <v>168</v>
      </c>
      <c r="D219" s="984" t="s">
        <v>317</v>
      </c>
      <c r="E219" s="985"/>
      <c r="F219" s="986"/>
      <c r="G219" s="987"/>
      <c r="H219" s="984" t="s">
        <v>317</v>
      </c>
      <c r="I219" s="989"/>
      <c r="J219" s="986"/>
      <c r="K219" s="987"/>
      <c r="L219" s="984" t="s">
        <v>317</v>
      </c>
      <c r="M219" s="989"/>
      <c r="N219" s="986"/>
      <c r="O219" s="987"/>
      <c r="P219" s="988" t="s">
        <v>318</v>
      </c>
      <c r="Q219" s="989"/>
      <c r="R219" s="986"/>
      <c r="S219" s="987"/>
      <c r="T219" s="988" t="s">
        <v>304</v>
      </c>
      <c r="U219" s="989"/>
      <c r="V219" s="986"/>
      <c r="W219" s="990"/>
      <c r="X219" s="991"/>
      <c r="Y219" s="991"/>
      <c r="Z219" s="991"/>
      <c r="AA219" s="990"/>
      <c r="AB219" s="991"/>
      <c r="AC219" s="991"/>
      <c r="AD219" s="991"/>
      <c r="AE219" s="990"/>
      <c r="AF219" s="991"/>
      <c r="AG219" s="991"/>
      <c r="AH219" s="993"/>
      <c r="AI219" s="994"/>
      <c r="AJ219" s="123"/>
    </row>
    <row r="220" spans="1:36" ht="15.75" customHeight="1" x14ac:dyDescent="0.2">
      <c r="A220" s="69"/>
      <c r="B220" s="441" t="s">
        <v>319</v>
      </c>
      <c r="C220" s="983" t="s">
        <v>158</v>
      </c>
      <c r="D220" s="984" t="s">
        <v>320</v>
      </c>
      <c r="E220" s="985"/>
      <c r="F220" s="986"/>
      <c r="G220" s="987"/>
      <c r="H220" s="988" t="s">
        <v>320</v>
      </c>
      <c r="I220" s="989"/>
      <c r="J220" s="986"/>
      <c r="K220" s="987"/>
      <c r="L220" s="988" t="s">
        <v>320</v>
      </c>
      <c r="M220" s="989"/>
      <c r="N220" s="989"/>
      <c r="O220" s="987"/>
      <c r="P220" s="988" t="s">
        <v>320</v>
      </c>
      <c r="Q220" s="989"/>
      <c r="R220" s="989"/>
      <c r="S220" s="987"/>
      <c r="T220" s="988" t="s">
        <v>304</v>
      </c>
      <c r="U220" s="989"/>
      <c r="V220" s="986"/>
      <c r="W220" s="1003"/>
      <c r="X220" s="991"/>
      <c r="Y220" s="991"/>
      <c r="Z220" s="991"/>
      <c r="AA220" s="990"/>
      <c r="AB220" s="991"/>
      <c r="AC220" s="991"/>
      <c r="AD220" s="991"/>
      <c r="AE220" s="990"/>
      <c r="AF220" s="991"/>
      <c r="AG220" s="991"/>
      <c r="AH220" s="993"/>
      <c r="AI220" s="994"/>
      <c r="AJ220" s="123"/>
    </row>
    <row r="221" spans="1:36" ht="15.75" customHeight="1" x14ac:dyDescent="0.2">
      <c r="A221" s="69"/>
      <c r="B221" s="441" t="s">
        <v>321</v>
      </c>
      <c r="C221" s="983" t="s">
        <v>322</v>
      </c>
      <c r="D221" s="984" t="s">
        <v>320</v>
      </c>
      <c r="E221" s="985"/>
      <c r="F221" s="986"/>
      <c r="G221" s="987"/>
      <c r="H221" s="988" t="s">
        <v>320</v>
      </c>
      <c r="I221" s="989"/>
      <c r="J221" s="986"/>
      <c r="K221" s="987"/>
      <c r="L221" s="988" t="s">
        <v>320</v>
      </c>
      <c r="M221" s="989"/>
      <c r="N221" s="989"/>
      <c r="O221" s="987"/>
      <c r="P221" s="988" t="s">
        <v>320</v>
      </c>
      <c r="Q221" s="989"/>
      <c r="R221" s="989"/>
      <c r="S221" s="987"/>
      <c r="T221" s="988" t="s">
        <v>304</v>
      </c>
      <c r="U221" s="989"/>
      <c r="V221" s="986"/>
      <c r="W221" s="1003"/>
      <c r="X221" s="991"/>
      <c r="Y221" s="991"/>
      <c r="Z221" s="992"/>
      <c r="AA221" s="1004"/>
      <c r="AB221" s="991"/>
      <c r="AC221" s="991"/>
      <c r="AD221" s="991"/>
      <c r="AE221" s="990"/>
      <c r="AF221" s="991"/>
      <c r="AG221" s="991"/>
      <c r="AH221" s="993"/>
      <c r="AI221" s="994"/>
      <c r="AJ221" s="123"/>
    </row>
    <row r="222" spans="1:36" ht="15.75" customHeight="1" x14ac:dyDescent="0.2">
      <c r="A222" s="69"/>
      <c r="B222" s="123"/>
      <c r="C222" s="253"/>
      <c r="D222" s="254"/>
      <c r="E222" s="254"/>
      <c r="F222" s="253"/>
      <c r="G222" s="255"/>
      <c r="H222" s="254"/>
      <c r="I222" s="253"/>
      <c r="J222" s="253"/>
      <c r="K222" s="255"/>
      <c r="L222" s="254"/>
      <c r="M222" s="253"/>
      <c r="N222" s="253"/>
      <c r="O222" s="255"/>
      <c r="P222" s="254"/>
      <c r="Q222" s="253"/>
      <c r="R222" s="253"/>
      <c r="S222" s="255"/>
      <c r="T222" s="254"/>
      <c r="U222" s="253"/>
      <c r="V222" s="253"/>
      <c r="W222" s="136"/>
      <c r="X222" s="136"/>
      <c r="Y222" s="136"/>
      <c r="Z222" s="136"/>
      <c r="AA222" s="137"/>
      <c r="AB222" s="136"/>
      <c r="AC222" s="136"/>
      <c r="AD222" s="136"/>
      <c r="AE222" s="137"/>
      <c r="AF222" s="136"/>
      <c r="AG222" s="136"/>
      <c r="AH222" s="124"/>
      <c r="AI222" s="124"/>
      <c r="AJ222" s="123"/>
    </row>
    <row r="223" spans="1:36" ht="15.75" customHeight="1" x14ac:dyDescent="0.2">
      <c r="A223" s="69"/>
      <c r="B223" t="s">
        <v>323</v>
      </c>
      <c r="C223" s="122"/>
      <c r="F223" s="122"/>
      <c r="I223" s="122"/>
      <c r="J223" s="122"/>
      <c r="L223" s="122"/>
      <c r="O223" s="122"/>
      <c r="Q223" s="122"/>
      <c r="R223" s="122"/>
      <c r="U223" s="122"/>
      <c r="W223" s="122"/>
      <c r="X223" s="122"/>
      <c r="AE223" s="122"/>
      <c r="AH223" s="67"/>
      <c r="AI223" s="67"/>
      <c r="AJ223" s="123"/>
    </row>
    <row r="224" spans="1:36" ht="15.75" customHeight="1" x14ac:dyDescent="0.2">
      <c r="A224" s="69"/>
      <c r="B224" s="438" t="s">
        <v>295</v>
      </c>
      <c r="C224" s="1005"/>
      <c r="D224" s="224" t="s">
        <v>17</v>
      </c>
      <c r="E224" s="225"/>
      <c r="F224" s="981"/>
      <c r="G224" s="439"/>
      <c r="H224" s="224" t="s">
        <v>18</v>
      </c>
      <c r="I224" s="225"/>
      <c r="J224" s="981"/>
      <c r="K224" s="439"/>
      <c r="L224" s="224" t="s">
        <v>19</v>
      </c>
      <c r="M224" s="225"/>
      <c r="N224" s="981"/>
      <c r="O224" s="439"/>
      <c r="P224" s="224" t="s">
        <v>20</v>
      </c>
      <c r="Q224" s="225"/>
      <c r="R224" s="981"/>
      <c r="S224" s="439"/>
      <c r="T224" s="224" t="s">
        <v>21</v>
      </c>
      <c r="U224" s="225"/>
      <c r="V224" s="981"/>
      <c r="W224" s="439"/>
      <c r="X224" s="224" t="s">
        <v>22</v>
      </c>
      <c r="Y224" s="225"/>
      <c r="Z224" s="981"/>
      <c r="AA224" s="439"/>
      <c r="AB224" s="224" t="s">
        <v>23</v>
      </c>
      <c r="AC224" s="225"/>
      <c r="AD224" s="225"/>
      <c r="AE224" s="440" t="s">
        <v>126</v>
      </c>
      <c r="AF224" s="225"/>
      <c r="AG224" s="225"/>
      <c r="AH224" s="225"/>
      <c r="AI224" s="982"/>
      <c r="AJ224" s="123"/>
    </row>
    <row r="225" spans="1:37" ht="15.75" customHeight="1" x14ac:dyDescent="0.2">
      <c r="A225" s="69"/>
      <c r="B225" s="441" t="s">
        <v>296</v>
      </c>
      <c r="C225" s="983" t="s">
        <v>297</v>
      </c>
      <c r="D225" s="984" t="s">
        <v>324</v>
      </c>
      <c r="E225" s="985"/>
      <c r="F225" s="986"/>
      <c r="G225" s="987"/>
      <c r="H225" s="984" t="s">
        <v>324</v>
      </c>
      <c r="I225" s="989"/>
      <c r="J225" s="986"/>
      <c r="K225" s="987"/>
      <c r="L225" s="984" t="s">
        <v>324</v>
      </c>
      <c r="M225" s="989"/>
      <c r="N225" s="986"/>
      <c r="O225" s="987"/>
      <c r="P225" s="988" t="s">
        <v>325</v>
      </c>
      <c r="Q225" s="989"/>
      <c r="R225" s="986"/>
      <c r="S225" s="987"/>
      <c r="T225" s="988" t="s">
        <v>326</v>
      </c>
      <c r="U225" s="989"/>
      <c r="V225" s="986"/>
      <c r="W225" s="1006"/>
      <c r="X225" s="442"/>
      <c r="Y225" s="442"/>
      <c r="Z225" s="443"/>
      <c r="AA225" s="1006"/>
      <c r="AB225" s="442"/>
      <c r="AC225" s="442"/>
      <c r="AD225" s="442"/>
      <c r="AE225" s="1006"/>
      <c r="AF225" s="442"/>
      <c r="AG225" s="442"/>
      <c r="AH225" s="993"/>
      <c r="AI225" s="994"/>
      <c r="AJ225" s="123"/>
    </row>
    <row r="226" spans="1:37" ht="15.75" customHeight="1" x14ac:dyDescent="0.2">
      <c r="A226" s="69"/>
      <c r="B226" s="441" t="s">
        <v>301</v>
      </c>
      <c r="C226" s="983" t="s">
        <v>174</v>
      </c>
      <c r="D226" s="984" t="s">
        <v>324</v>
      </c>
      <c r="E226" s="985"/>
      <c r="F226" s="986"/>
      <c r="G226" s="987"/>
      <c r="H226" s="984" t="s">
        <v>324</v>
      </c>
      <c r="I226" s="989"/>
      <c r="J226" s="986"/>
      <c r="K226" s="987"/>
      <c r="L226" s="988" t="s">
        <v>302</v>
      </c>
      <c r="M226" s="989"/>
      <c r="N226" s="986"/>
      <c r="O226" s="987"/>
      <c r="P226" s="988" t="s">
        <v>327</v>
      </c>
      <c r="Q226" s="989"/>
      <c r="R226" s="986"/>
      <c r="S226" s="987"/>
      <c r="T226" s="988" t="s">
        <v>328</v>
      </c>
      <c r="U226" s="989"/>
      <c r="V226" s="986"/>
      <c r="W226" s="1006"/>
      <c r="X226" s="442"/>
      <c r="Y226" s="442"/>
      <c r="Z226" s="443"/>
      <c r="AA226" s="1006"/>
      <c r="AB226" s="442"/>
      <c r="AC226" s="442"/>
      <c r="AD226" s="442"/>
      <c r="AE226" s="1006"/>
      <c r="AF226" s="442"/>
      <c r="AG226" s="442"/>
      <c r="AH226" s="993"/>
      <c r="AI226" s="994"/>
      <c r="AJ226" s="123"/>
    </row>
    <row r="227" spans="1:37" ht="15.75" customHeight="1" x14ac:dyDescent="0.2">
      <c r="A227" s="69"/>
      <c r="B227" s="441" t="s">
        <v>305</v>
      </c>
      <c r="C227" s="983" t="s">
        <v>154</v>
      </c>
      <c r="D227" s="984" t="s">
        <v>324</v>
      </c>
      <c r="E227" s="985"/>
      <c r="F227" s="986"/>
      <c r="G227" s="987"/>
      <c r="H227" s="984" t="s">
        <v>324</v>
      </c>
      <c r="I227" s="989"/>
      <c r="J227" s="986"/>
      <c r="K227" s="987"/>
      <c r="L227" s="984" t="s">
        <v>324</v>
      </c>
      <c r="M227" s="989"/>
      <c r="N227" s="986"/>
      <c r="O227" s="987"/>
      <c r="P227" s="988" t="s">
        <v>329</v>
      </c>
      <c r="Q227" s="989"/>
      <c r="R227" s="986"/>
      <c r="S227" s="987"/>
      <c r="T227" s="988" t="s">
        <v>328</v>
      </c>
      <c r="U227" s="989"/>
      <c r="V227" s="986"/>
      <c r="W227" s="1006"/>
      <c r="X227" s="442"/>
      <c r="Y227" s="442"/>
      <c r="Z227" s="443"/>
      <c r="AA227" s="1006"/>
      <c r="AB227" s="442"/>
      <c r="AC227" s="442"/>
      <c r="AD227" s="442"/>
      <c r="AE227" s="1006"/>
      <c r="AF227" s="442"/>
      <c r="AG227" s="442"/>
      <c r="AH227" s="993"/>
      <c r="AI227" s="994"/>
      <c r="AJ227" s="123"/>
    </row>
    <row r="228" spans="1:37" ht="15.75" customHeight="1" x14ac:dyDescent="0.2">
      <c r="A228" s="69"/>
      <c r="B228" s="441" t="s">
        <v>308</v>
      </c>
      <c r="C228" s="983" t="s">
        <v>309</v>
      </c>
      <c r="D228" s="984" t="s">
        <v>330</v>
      </c>
      <c r="E228" s="985"/>
      <c r="F228" s="986"/>
      <c r="G228" s="987"/>
      <c r="H228" s="984" t="s">
        <v>330</v>
      </c>
      <c r="I228" s="989"/>
      <c r="J228" s="986"/>
      <c r="K228" s="987"/>
      <c r="L228" s="984" t="s">
        <v>314</v>
      </c>
      <c r="M228" s="989"/>
      <c r="N228" s="986"/>
      <c r="O228" s="987"/>
      <c r="P228" s="988" t="s">
        <v>331</v>
      </c>
      <c r="Q228" s="989"/>
      <c r="R228" s="986"/>
      <c r="S228" s="987"/>
      <c r="T228" s="988" t="s">
        <v>326</v>
      </c>
      <c r="U228" s="989"/>
      <c r="V228" s="986"/>
      <c r="W228" s="1006"/>
      <c r="X228" s="442"/>
      <c r="Y228" s="442"/>
      <c r="Z228" s="443"/>
      <c r="AA228" s="1006"/>
      <c r="AB228" s="442"/>
      <c r="AC228" s="442"/>
      <c r="AD228" s="442"/>
      <c r="AE228" s="1006"/>
      <c r="AF228" s="442"/>
      <c r="AG228" s="442"/>
      <c r="AH228" s="993"/>
      <c r="AI228" s="994"/>
      <c r="AJ228" s="123"/>
    </row>
    <row r="229" spans="1:37" ht="15.75" customHeight="1" x14ac:dyDescent="0.2">
      <c r="A229" s="69"/>
      <c r="B229" s="778" t="s">
        <v>313</v>
      </c>
      <c r="C229" s="983" t="s">
        <v>160</v>
      </c>
      <c r="D229" s="984" t="s">
        <v>324</v>
      </c>
      <c r="E229" s="985"/>
      <c r="F229" s="986"/>
      <c r="G229" s="987"/>
      <c r="H229" s="984" t="s">
        <v>324</v>
      </c>
      <c r="I229" s="989"/>
      <c r="J229" s="986"/>
      <c r="K229" s="987"/>
      <c r="L229" s="984" t="s">
        <v>324</v>
      </c>
      <c r="M229" s="989"/>
      <c r="N229" s="986"/>
      <c r="O229" s="987"/>
      <c r="P229" s="988" t="s">
        <v>329</v>
      </c>
      <c r="Q229" s="989"/>
      <c r="R229" s="986"/>
      <c r="S229" s="987"/>
      <c r="T229" s="988" t="s">
        <v>328</v>
      </c>
      <c r="U229" s="989"/>
      <c r="V229" s="986"/>
      <c r="W229" s="1007"/>
      <c r="X229" s="823"/>
      <c r="Y229" s="823"/>
      <c r="Z229" s="1008"/>
      <c r="AA229" s="1007"/>
      <c r="AB229" s="823"/>
      <c r="AC229" s="823"/>
      <c r="AD229" s="823"/>
      <c r="AE229" s="1007"/>
      <c r="AF229" s="823"/>
      <c r="AG229" s="823"/>
      <c r="AH229" s="1001"/>
      <c r="AI229" s="1002"/>
      <c r="AJ229" s="123"/>
    </row>
    <row r="230" spans="1:37" ht="15.75" customHeight="1" x14ac:dyDescent="0.2">
      <c r="A230" s="69"/>
      <c r="B230" s="441" t="s">
        <v>316</v>
      </c>
      <c r="C230" s="983" t="s">
        <v>168</v>
      </c>
      <c r="D230" s="984" t="s">
        <v>324</v>
      </c>
      <c r="E230" s="985"/>
      <c r="F230" s="986"/>
      <c r="G230" s="987"/>
      <c r="H230" s="984" t="s">
        <v>324</v>
      </c>
      <c r="I230" s="989"/>
      <c r="J230" s="986"/>
      <c r="K230" s="987"/>
      <c r="L230" s="984" t="s">
        <v>324</v>
      </c>
      <c r="M230" s="989"/>
      <c r="N230" s="986"/>
      <c r="O230" s="987"/>
      <c r="P230" s="988" t="s">
        <v>325</v>
      </c>
      <c r="Q230" s="989"/>
      <c r="R230" s="986"/>
      <c r="S230" s="987"/>
      <c r="T230" s="988" t="s">
        <v>326</v>
      </c>
      <c r="U230" s="989"/>
      <c r="V230" s="986"/>
      <c r="W230" s="1006"/>
      <c r="X230" s="442"/>
      <c r="Y230" s="442"/>
      <c r="Z230" s="442"/>
      <c r="AA230" s="1006"/>
      <c r="AB230" s="442"/>
      <c r="AC230" s="442"/>
      <c r="AD230" s="442"/>
      <c r="AE230" s="1006"/>
      <c r="AF230" s="442"/>
      <c r="AG230" s="442"/>
      <c r="AH230" s="993"/>
      <c r="AI230" s="994"/>
      <c r="AJ230" s="123"/>
    </row>
    <row r="231" spans="1:37" ht="15.75" customHeight="1" x14ac:dyDescent="0.2">
      <c r="A231" s="69"/>
      <c r="B231" s="441" t="s">
        <v>319</v>
      </c>
      <c r="C231" s="983" t="s">
        <v>158</v>
      </c>
      <c r="D231" s="984" t="s">
        <v>320</v>
      </c>
      <c r="E231" s="985"/>
      <c r="F231" s="986"/>
      <c r="G231" s="987"/>
      <c r="H231" s="988" t="s">
        <v>320</v>
      </c>
      <c r="I231" s="989"/>
      <c r="J231" s="986"/>
      <c r="K231" s="987"/>
      <c r="L231" s="988" t="s">
        <v>320</v>
      </c>
      <c r="M231" s="989"/>
      <c r="N231" s="989"/>
      <c r="O231" s="987"/>
      <c r="P231" s="988" t="s">
        <v>320</v>
      </c>
      <c r="Q231" s="989"/>
      <c r="R231" s="989"/>
      <c r="S231" s="987"/>
      <c r="T231" s="988" t="s">
        <v>304</v>
      </c>
      <c r="U231" s="989"/>
      <c r="V231" s="986"/>
      <c r="W231" s="441"/>
      <c r="X231" s="442"/>
      <c r="Y231" s="442"/>
      <c r="Z231" s="442"/>
      <c r="AA231" s="1006"/>
      <c r="AB231" s="442"/>
      <c r="AC231" s="442"/>
      <c r="AD231" s="442"/>
      <c r="AE231" s="1006"/>
      <c r="AF231" s="442"/>
      <c r="AG231" s="442"/>
      <c r="AH231" s="993"/>
      <c r="AI231" s="994"/>
      <c r="AJ231" s="123"/>
    </row>
    <row r="232" spans="1:37" ht="15.75" customHeight="1" x14ac:dyDescent="0.2">
      <c r="A232" s="69"/>
      <c r="B232" s="441" t="s">
        <v>321</v>
      </c>
      <c r="C232" s="983" t="s">
        <v>322</v>
      </c>
      <c r="D232" s="984" t="s">
        <v>320</v>
      </c>
      <c r="E232" s="985"/>
      <c r="F232" s="986"/>
      <c r="G232" s="987"/>
      <c r="H232" s="988" t="s">
        <v>320</v>
      </c>
      <c r="I232" s="989"/>
      <c r="J232" s="986"/>
      <c r="K232" s="987"/>
      <c r="L232" s="988" t="s">
        <v>320</v>
      </c>
      <c r="M232" s="989"/>
      <c r="N232" s="989"/>
      <c r="O232" s="987"/>
      <c r="P232" s="988" t="s">
        <v>320</v>
      </c>
      <c r="Q232" s="989"/>
      <c r="R232" s="989"/>
      <c r="S232" s="987"/>
      <c r="T232" s="988" t="s">
        <v>304</v>
      </c>
      <c r="U232" s="989"/>
      <c r="V232" s="986"/>
      <c r="W232" s="441"/>
      <c r="X232" s="442"/>
      <c r="Y232" s="442"/>
      <c r="Z232" s="443"/>
      <c r="AA232" s="1009"/>
      <c r="AB232" s="442"/>
      <c r="AC232" s="442"/>
      <c r="AD232" s="442"/>
      <c r="AE232" s="1006"/>
      <c r="AF232" s="442"/>
      <c r="AG232" s="442"/>
      <c r="AH232" s="993"/>
      <c r="AI232" s="994"/>
      <c r="AJ232" s="123"/>
    </row>
    <row r="233" spans="1:37" ht="15.75" customHeight="1" x14ac:dyDescent="0.2">
      <c r="A233" s="69"/>
      <c r="B233" s="133"/>
      <c r="C233" s="134"/>
      <c r="D233" s="135"/>
      <c r="E233" s="136"/>
      <c r="F233" s="136"/>
      <c r="G233" s="137"/>
      <c r="H233" s="135"/>
      <c r="I233" s="136"/>
      <c r="J233" s="136"/>
      <c r="K233" s="137"/>
      <c r="L233" s="135"/>
      <c r="M233" s="136"/>
      <c r="N233" s="136"/>
      <c r="O233" s="137"/>
      <c r="P233" s="127"/>
      <c r="Q233" s="136"/>
      <c r="R233" s="136"/>
      <c r="S233" s="137"/>
      <c r="T233" s="127"/>
      <c r="U233" s="136"/>
      <c r="V233" s="136"/>
      <c r="W233" s="136"/>
      <c r="X233" s="136"/>
      <c r="Y233" s="136"/>
      <c r="Z233" s="136"/>
      <c r="AA233" s="137"/>
      <c r="AB233" s="136"/>
      <c r="AC233" s="136"/>
      <c r="AD233" s="136"/>
      <c r="AE233" s="137"/>
      <c r="AF233" s="136"/>
      <c r="AG233" s="136"/>
      <c r="AH233" s="124"/>
      <c r="AI233" s="124"/>
      <c r="AJ233" s="123"/>
    </row>
    <row r="234" spans="1:37" ht="15.75" customHeight="1" x14ac:dyDescent="0.2">
      <c r="A234" s="96"/>
      <c r="B234" s="1010" t="s">
        <v>44</v>
      </c>
      <c r="C234" s="582">
        <v>1</v>
      </c>
      <c r="D234" s="583">
        <v>2</v>
      </c>
      <c r="E234" s="583">
        <v>3</v>
      </c>
      <c r="F234" s="582">
        <v>4</v>
      </c>
      <c r="G234" s="582">
        <v>5</v>
      </c>
      <c r="H234" s="583">
        <v>6</v>
      </c>
      <c r="I234" s="583">
        <v>7</v>
      </c>
      <c r="J234" s="583">
        <v>8</v>
      </c>
      <c r="K234" s="582">
        <v>9</v>
      </c>
      <c r="L234" s="583">
        <v>10</v>
      </c>
      <c r="M234" s="582">
        <v>11</v>
      </c>
      <c r="N234" s="582">
        <v>12</v>
      </c>
      <c r="O234" s="583">
        <v>13</v>
      </c>
      <c r="P234" s="583">
        <v>14</v>
      </c>
      <c r="Q234" s="583">
        <v>15</v>
      </c>
      <c r="R234" s="583">
        <v>16</v>
      </c>
      <c r="S234" s="583">
        <v>17</v>
      </c>
      <c r="T234" s="582">
        <v>18</v>
      </c>
      <c r="U234" s="582">
        <v>19</v>
      </c>
      <c r="V234" s="582">
        <v>20</v>
      </c>
      <c r="W234" s="583">
        <v>21</v>
      </c>
      <c r="X234" s="583">
        <v>22</v>
      </c>
      <c r="Y234" s="583">
        <v>23</v>
      </c>
      <c r="Z234" s="583">
        <v>24</v>
      </c>
      <c r="AA234" s="582">
        <v>25</v>
      </c>
      <c r="AB234" s="582">
        <v>26</v>
      </c>
      <c r="AC234" s="583">
        <v>27</v>
      </c>
      <c r="AD234" s="583">
        <v>28</v>
      </c>
      <c r="AE234" s="583">
        <v>29</v>
      </c>
      <c r="AF234" s="583">
        <v>30</v>
      </c>
      <c r="AG234" s="583">
        <v>31</v>
      </c>
      <c r="AH234" s="117"/>
      <c r="AI234" s="111"/>
    </row>
    <row r="235" spans="1:37" ht="15.75" customHeight="1" x14ac:dyDescent="0.2">
      <c r="A235" s="69"/>
      <c r="B235" s="1011" t="s">
        <v>332</v>
      </c>
      <c r="C235" s="635"/>
      <c r="D235" s="635" t="s">
        <v>297</v>
      </c>
      <c r="E235" s="635" t="s">
        <v>297</v>
      </c>
      <c r="F235" s="635"/>
      <c r="G235" s="635"/>
      <c r="H235" s="635" t="s">
        <v>297</v>
      </c>
      <c r="I235" s="635" t="s">
        <v>297</v>
      </c>
      <c r="J235" s="635" t="s">
        <v>297</v>
      </c>
      <c r="K235" s="635"/>
      <c r="L235" s="635" t="s">
        <v>297</v>
      </c>
      <c r="M235" s="635"/>
      <c r="N235" s="635"/>
      <c r="O235" s="635" t="s">
        <v>297</v>
      </c>
      <c r="P235" s="635" t="s">
        <v>297</v>
      </c>
      <c r="Q235" s="635" t="s">
        <v>297</v>
      </c>
      <c r="R235" s="635" t="s">
        <v>297</v>
      </c>
      <c r="S235" s="635" t="s">
        <v>297</v>
      </c>
      <c r="T235" s="635"/>
      <c r="U235" s="635"/>
      <c r="V235" s="635"/>
      <c r="W235" s="635" t="s">
        <v>297</v>
      </c>
      <c r="X235" s="635" t="s">
        <v>297</v>
      </c>
      <c r="Y235" s="635" t="s">
        <v>297</v>
      </c>
      <c r="Z235" s="635" t="s">
        <v>297</v>
      </c>
      <c r="AA235" s="635"/>
      <c r="AB235" s="635"/>
      <c r="AC235" s="635" t="s">
        <v>297</v>
      </c>
      <c r="AD235" s="635" t="s">
        <v>297</v>
      </c>
      <c r="AE235" s="635" t="s">
        <v>297</v>
      </c>
      <c r="AF235" s="635" t="s">
        <v>297</v>
      </c>
      <c r="AG235" s="635" t="s">
        <v>297</v>
      </c>
      <c r="AH235" s="116"/>
      <c r="AI235" s="116"/>
    </row>
    <row r="236" spans="1:37" ht="15.75" customHeight="1" x14ac:dyDescent="0.2">
      <c r="A236" s="69"/>
      <c r="B236" s="1011" t="s">
        <v>333</v>
      </c>
      <c r="C236" s="635"/>
      <c r="D236" s="635" t="s">
        <v>174</v>
      </c>
      <c r="E236" s="635" t="s">
        <v>174</v>
      </c>
      <c r="F236" s="635"/>
      <c r="G236" s="635"/>
      <c r="H236" s="635" t="s">
        <v>174</v>
      </c>
      <c r="I236" s="635" t="s">
        <v>174</v>
      </c>
      <c r="J236" s="635" t="s">
        <v>174</v>
      </c>
      <c r="K236" s="635"/>
      <c r="L236" s="968" t="s">
        <v>174</v>
      </c>
      <c r="M236" s="635"/>
      <c r="N236" s="635"/>
      <c r="O236" s="635" t="s">
        <v>174</v>
      </c>
      <c r="P236" s="635" t="s">
        <v>174</v>
      </c>
      <c r="Q236" s="635" t="s">
        <v>174</v>
      </c>
      <c r="R236" s="635" t="s">
        <v>174</v>
      </c>
      <c r="S236" s="635" t="s">
        <v>174</v>
      </c>
      <c r="T236" s="635"/>
      <c r="U236" s="635"/>
      <c r="V236" s="635"/>
      <c r="W236" s="635" t="s">
        <v>174</v>
      </c>
      <c r="X236" s="635" t="s">
        <v>174</v>
      </c>
      <c r="Y236" s="635" t="s">
        <v>174</v>
      </c>
      <c r="Z236" s="635" t="s">
        <v>174</v>
      </c>
      <c r="AA236" s="635"/>
      <c r="AB236" s="635"/>
      <c r="AC236" s="635" t="s">
        <v>174</v>
      </c>
      <c r="AD236" s="635" t="s">
        <v>174</v>
      </c>
      <c r="AE236" s="635" t="s">
        <v>174</v>
      </c>
      <c r="AF236" s="635" t="s">
        <v>174</v>
      </c>
      <c r="AG236" s="635" t="s">
        <v>174</v>
      </c>
      <c r="AH236" s="116"/>
      <c r="AI236" s="116"/>
    </row>
    <row r="237" spans="1:37" ht="15.75" customHeight="1" x14ac:dyDescent="0.2">
      <c r="A237" s="69"/>
      <c r="B237" s="1012" t="s">
        <v>334</v>
      </c>
      <c r="C237" s="635"/>
      <c r="D237" s="635" t="s">
        <v>154</v>
      </c>
      <c r="E237" s="635" t="s">
        <v>154</v>
      </c>
      <c r="F237" s="635"/>
      <c r="G237" s="635"/>
      <c r="H237" s="635" t="s">
        <v>154</v>
      </c>
      <c r="I237" s="799" t="s">
        <v>154</v>
      </c>
      <c r="J237" s="635" t="s">
        <v>154</v>
      </c>
      <c r="K237" s="635"/>
      <c r="L237" s="635" t="s">
        <v>154</v>
      </c>
      <c r="M237" s="635"/>
      <c r="N237" s="635"/>
      <c r="O237" s="635" t="s">
        <v>154</v>
      </c>
      <c r="P237" s="799" t="s">
        <v>154</v>
      </c>
      <c r="Q237" s="635" t="s">
        <v>154</v>
      </c>
      <c r="R237" s="635" t="s">
        <v>154</v>
      </c>
      <c r="S237" s="635" t="s">
        <v>154</v>
      </c>
      <c r="T237" s="635"/>
      <c r="U237" s="635"/>
      <c r="V237" s="635"/>
      <c r="W237" s="799" t="s">
        <v>154</v>
      </c>
      <c r="X237" s="635" t="s">
        <v>154</v>
      </c>
      <c r="Y237" s="805" t="s">
        <v>154</v>
      </c>
      <c r="Z237" s="805" t="s">
        <v>154</v>
      </c>
      <c r="AA237" s="805"/>
      <c r="AB237" s="805"/>
      <c r="AC237" s="805" t="s">
        <v>154</v>
      </c>
      <c r="AD237" s="805" t="s">
        <v>154</v>
      </c>
      <c r="AE237" s="805" t="s">
        <v>154</v>
      </c>
      <c r="AF237" s="805" t="s">
        <v>154</v>
      </c>
      <c r="AG237" s="805" t="s">
        <v>154</v>
      </c>
      <c r="AH237" s="116"/>
      <c r="AI237" s="116"/>
      <c r="AK237" t="s">
        <v>0</v>
      </c>
    </row>
    <row r="238" spans="1:37" ht="15.75" customHeight="1" x14ac:dyDescent="0.2">
      <c r="A238" s="69"/>
      <c r="B238" s="1011" t="s">
        <v>335</v>
      </c>
      <c r="C238" s="635"/>
      <c r="D238" s="635" t="s">
        <v>309</v>
      </c>
      <c r="E238" s="635" t="s">
        <v>309</v>
      </c>
      <c r="F238" s="635"/>
      <c r="G238" s="635"/>
      <c r="H238" s="635" t="s">
        <v>309</v>
      </c>
      <c r="I238" s="635" t="s">
        <v>309</v>
      </c>
      <c r="J238" s="635" t="s">
        <v>309</v>
      </c>
      <c r="K238" s="635"/>
      <c r="L238" s="635" t="s">
        <v>309</v>
      </c>
      <c r="M238" s="635"/>
      <c r="N238" s="635"/>
      <c r="O238" s="635" t="s">
        <v>309</v>
      </c>
      <c r="P238" s="635" t="s">
        <v>309</v>
      </c>
      <c r="Q238" s="635" t="s">
        <v>309</v>
      </c>
      <c r="R238" s="635" t="s">
        <v>309</v>
      </c>
      <c r="S238" s="635" t="s">
        <v>309</v>
      </c>
      <c r="T238" s="635"/>
      <c r="U238" s="635"/>
      <c r="V238" s="635"/>
      <c r="W238" s="635" t="s">
        <v>309</v>
      </c>
      <c r="X238" s="635" t="s">
        <v>309</v>
      </c>
      <c r="Y238" s="635" t="s">
        <v>309</v>
      </c>
      <c r="Z238" s="635" t="s">
        <v>309</v>
      </c>
      <c r="AA238" s="635"/>
      <c r="AB238" s="635"/>
      <c r="AC238" s="635" t="s">
        <v>309</v>
      </c>
      <c r="AD238" s="635" t="s">
        <v>309</v>
      </c>
      <c r="AE238" s="635" t="s">
        <v>309</v>
      </c>
      <c r="AF238" s="635" t="s">
        <v>309</v>
      </c>
      <c r="AG238" s="635" t="s">
        <v>309</v>
      </c>
      <c r="AH238" s="116"/>
      <c r="AI238" s="116"/>
    </row>
    <row r="239" spans="1:37" ht="15.75" customHeight="1" x14ac:dyDescent="0.2">
      <c r="A239" s="69"/>
      <c r="B239" s="1011"/>
      <c r="C239" s="635"/>
      <c r="D239" s="635" t="s">
        <v>160</v>
      </c>
      <c r="E239" s="635" t="s">
        <v>160</v>
      </c>
      <c r="F239" s="635"/>
      <c r="G239" s="635"/>
      <c r="H239" s="635" t="s">
        <v>160</v>
      </c>
      <c r="I239" s="635" t="s">
        <v>160</v>
      </c>
      <c r="J239" s="635" t="s">
        <v>160</v>
      </c>
      <c r="K239" s="635"/>
      <c r="L239" s="635" t="s">
        <v>160</v>
      </c>
      <c r="M239" s="635"/>
      <c r="N239" s="635"/>
      <c r="O239" s="635" t="s">
        <v>160</v>
      </c>
      <c r="P239" s="635" t="s">
        <v>160</v>
      </c>
      <c r="Q239" s="635" t="s">
        <v>160</v>
      </c>
      <c r="R239" s="635" t="s">
        <v>160</v>
      </c>
      <c r="S239" s="635" t="s">
        <v>160</v>
      </c>
      <c r="T239" s="635"/>
      <c r="U239" s="635"/>
      <c r="V239" s="635"/>
      <c r="W239" s="635" t="s">
        <v>160</v>
      </c>
      <c r="X239" s="635" t="s">
        <v>160</v>
      </c>
      <c r="Y239" s="635" t="s">
        <v>160</v>
      </c>
      <c r="Z239" s="635" t="s">
        <v>160</v>
      </c>
      <c r="AA239" s="635"/>
      <c r="AB239" s="635"/>
      <c r="AC239" s="635" t="s">
        <v>160</v>
      </c>
      <c r="AD239" s="635" t="s">
        <v>160</v>
      </c>
      <c r="AE239" s="635" t="s">
        <v>160</v>
      </c>
      <c r="AF239" s="635" t="s">
        <v>160</v>
      </c>
      <c r="AG239" s="635" t="s">
        <v>160</v>
      </c>
      <c r="AH239" s="116"/>
      <c r="AI239" s="116"/>
    </row>
    <row r="240" spans="1:37" ht="15.75" customHeight="1" x14ac:dyDescent="0.2">
      <c r="A240" s="69"/>
      <c r="B240" s="1011" t="s">
        <v>0</v>
      </c>
      <c r="C240" s="635"/>
      <c r="D240" s="635" t="s">
        <v>168</v>
      </c>
      <c r="E240" s="635" t="s">
        <v>168</v>
      </c>
      <c r="F240" s="635"/>
      <c r="G240" s="635"/>
      <c r="H240" s="635" t="s">
        <v>168</v>
      </c>
      <c r="I240" s="635" t="s">
        <v>168</v>
      </c>
      <c r="J240" s="635" t="s">
        <v>168</v>
      </c>
      <c r="K240" s="635"/>
      <c r="L240" s="635" t="s">
        <v>168</v>
      </c>
      <c r="M240" s="635"/>
      <c r="N240" s="635"/>
      <c r="O240" s="635" t="s">
        <v>168</v>
      </c>
      <c r="P240" s="635" t="s">
        <v>168</v>
      </c>
      <c r="Q240" s="635" t="s">
        <v>168</v>
      </c>
      <c r="R240" s="635" t="s">
        <v>168</v>
      </c>
      <c r="S240" s="635" t="s">
        <v>168</v>
      </c>
      <c r="T240" s="635"/>
      <c r="U240" s="635"/>
      <c r="V240" s="635"/>
      <c r="W240" s="635" t="s">
        <v>168</v>
      </c>
      <c r="X240" s="635" t="s">
        <v>168</v>
      </c>
      <c r="Y240" s="635" t="s">
        <v>168</v>
      </c>
      <c r="Z240" s="635" t="s">
        <v>168</v>
      </c>
      <c r="AA240" s="635"/>
      <c r="AB240" s="635"/>
      <c r="AC240" s="635" t="s">
        <v>168</v>
      </c>
      <c r="AD240" s="635" t="s">
        <v>168</v>
      </c>
      <c r="AE240" s="635" t="s">
        <v>168</v>
      </c>
      <c r="AF240" s="635" t="s">
        <v>168</v>
      </c>
      <c r="AG240" s="635" t="s">
        <v>168</v>
      </c>
      <c r="AH240" s="116"/>
      <c r="AI240" s="116"/>
    </row>
    <row r="241" spans="1:35" ht="15.75" customHeight="1" x14ac:dyDescent="0.2">
      <c r="A241" s="69"/>
      <c r="B241" s="748" t="s">
        <v>336</v>
      </c>
      <c r="C241" s="635"/>
      <c r="D241" s="635" t="s">
        <v>158</v>
      </c>
      <c r="E241" s="635" t="s">
        <v>158</v>
      </c>
      <c r="F241" s="635"/>
      <c r="G241" s="635"/>
      <c r="H241" s="635" t="s">
        <v>158</v>
      </c>
      <c r="I241" s="635" t="s">
        <v>158</v>
      </c>
      <c r="J241" s="635" t="s">
        <v>158</v>
      </c>
      <c r="K241" s="635"/>
      <c r="L241" s="635" t="s">
        <v>158</v>
      </c>
      <c r="M241" s="635"/>
      <c r="N241" s="635"/>
      <c r="O241" s="635" t="s">
        <v>158</v>
      </c>
      <c r="P241" s="635" t="s">
        <v>158</v>
      </c>
      <c r="Q241" s="635" t="s">
        <v>158</v>
      </c>
      <c r="R241" s="635" t="s">
        <v>158</v>
      </c>
      <c r="S241" s="635" t="s">
        <v>158</v>
      </c>
      <c r="T241" s="635"/>
      <c r="U241" s="635"/>
      <c r="V241" s="635"/>
      <c r="W241" s="635" t="s">
        <v>158</v>
      </c>
      <c r="X241" s="635" t="s">
        <v>158</v>
      </c>
      <c r="Y241" s="635" t="s">
        <v>158</v>
      </c>
      <c r="Z241" s="635" t="s">
        <v>158</v>
      </c>
      <c r="AA241" s="635"/>
      <c r="AB241" s="635"/>
      <c r="AC241" s="968" t="s">
        <v>158</v>
      </c>
      <c r="AD241" s="968" t="s">
        <v>158</v>
      </c>
      <c r="AE241" s="968" t="s">
        <v>158</v>
      </c>
      <c r="AF241" s="968" t="s">
        <v>158</v>
      </c>
      <c r="AG241" s="968" t="s">
        <v>158</v>
      </c>
      <c r="AH241" s="116"/>
      <c r="AI241" s="116"/>
    </row>
    <row r="242" spans="1:35" ht="15.75" customHeight="1" x14ac:dyDescent="0.2">
      <c r="A242" s="69"/>
      <c r="B242" s="764" t="s">
        <v>337</v>
      </c>
      <c r="C242" s="799"/>
      <c r="D242" s="799" t="s">
        <v>322</v>
      </c>
      <c r="E242" s="799" t="s">
        <v>322</v>
      </c>
      <c r="F242" s="799"/>
      <c r="G242" s="799"/>
      <c r="H242" s="635" t="s">
        <v>322</v>
      </c>
      <c r="I242" s="635" t="s">
        <v>322</v>
      </c>
      <c r="J242" s="799" t="s">
        <v>322</v>
      </c>
      <c r="K242" s="799"/>
      <c r="L242" s="799" t="s">
        <v>322</v>
      </c>
      <c r="M242" s="799"/>
      <c r="N242" s="799"/>
      <c r="O242" s="635" t="s">
        <v>322</v>
      </c>
      <c r="P242" s="635" t="s">
        <v>322</v>
      </c>
      <c r="Q242" s="799" t="s">
        <v>322</v>
      </c>
      <c r="R242" s="799" t="s">
        <v>322</v>
      </c>
      <c r="S242" s="799" t="s">
        <v>322</v>
      </c>
      <c r="T242" s="799"/>
      <c r="U242" s="799"/>
      <c r="V242" s="635"/>
      <c r="W242" s="635" t="s">
        <v>322</v>
      </c>
      <c r="X242" s="806" t="s">
        <v>338</v>
      </c>
      <c r="Y242" s="1013" t="s">
        <v>322</v>
      </c>
      <c r="Z242" s="1013" t="s">
        <v>322</v>
      </c>
      <c r="AA242" s="799"/>
      <c r="AB242" s="799"/>
      <c r="AC242" s="635" t="s">
        <v>322</v>
      </c>
      <c r="AD242" s="635" t="s">
        <v>322</v>
      </c>
      <c r="AE242" s="799" t="s">
        <v>322</v>
      </c>
      <c r="AF242" s="799" t="s">
        <v>322</v>
      </c>
      <c r="AG242" s="799" t="s">
        <v>322</v>
      </c>
      <c r="AH242" s="67"/>
      <c r="AI242" s="67"/>
    </row>
    <row r="243" spans="1:35" ht="15.75" customHeight="1" x14ac:dyDescent="0.2">
      <c r="A243" s="96"/>
      <c r="B243" s="141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40"/>
      <c r="AF243" s="140"/>
      <c r="AG243" s="140"/>
      <c r="AH243" s="73"/>
    </row>
    <row r="244" spans="1:35" ht="15.75" customHeight="1" x14ac:dyDescent="0.2"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</row>
    <row r="245" spans="1:35" ht="15.75" customHeight="1" x14ac:dyDescent="0.2">
      <c r="A245" s="1" t="s">
        <v>339</v>
      </c>
      <c r="B245" s="37"/>
    </row>
    <row r="246" spans="1:35" ht="15.75" customHeight="1" x14ac:dyDescent="0.2">
      <c r="A246" s="1"/>
      <c r="B246" s="1014" t="s">
        <v>340</v>
      </c>
      <c r="C246" s="1015" t="s">
        <v>17</v>
      </c>
      <c r="D246" s="445"/>
      <c r="E246" s="445"/>
      <c r="F246" s="445"/>
      <c r="G246" s="1015" t="s">
        <v>18</v>
      </c>
      <c r="H246" s="445"/>
      <c r="I246" s="445"/>
      <c r="J246" s="445"/>
      <c r="K246" s="1015" t="s">
        <v>19</v>
      </c>
      <c r="L246" s="445"/>
      <c r="M246" s="445"/>
      <c r="N246" s="445"/>
      <c r="O246" s="1015" t="s">
        <v>20</v>
      </c>
      <c r="P246" s="445"/>
      <c r="Q246" s="445"/>
      <c r="R246" s="445"/>
      <c r="S246" s="1015" t="s">
        <v>21</v>
      </c>
      <c r="T246" s="445"/>
      <c r="U246" s="445"/>
      <c r="V246" s="445"/>
      <c r="W246" s="1015" t="s">
        <v>22</v>
      </c>
      <c r="X246" s="465"/>
      <c r="Y246" s="445"/>
      <c r="Z246" s="1016"/>
      <c r="AA246" s="1015" t="s">
        <v>23</v>
      </c>
      <c r="AB246" s="465"/>
      <c r="AC246" s="445"/>
      <c r="AD246" s="1016"/>
      <c r="AE246" s="1017" t="s">
        <v>126</v>
      </c>
      <c r="AF246" s="445"/>
      <c r="AG246" s="445"/>
      <c r="AH246" s="445"/>
      <c r="AI246" s="873"/>
    </row>
    <row r="247" spans="1:35" ht="15.75" customHeight="1" x14ac:dyDescent="0.2">
      <c r="A247" s="1"/>
      <c r="B247" s="1018">
        <v>3701</v>
      </c>
      <c r="C247" s="70" t="s">
        <v>341</v>
      </c>
      <c r="D247" s="70"/>
      <c r="E247" s="70"/>
      <c r="F247" s="70"/>
      <c r="G247" s="374" t="s">
        <v>342</v>
      </c>
      <c r="H247" s="70"/>
      <c r="I247" s="70"/>
      <c r="J247" s="70"/>
      <c r="K247" s="374" t="s">
        <v>342</v>
      </c>
      <c r="L247" s="70"/>
      <c r="M247" s="70"/>
      <c r="N247" s="70"/>
      <c r="O247" s="374" t="s">
        <v>342</v>
      </c>
      <c r="P247" s="70"/>
      <c r="Q247" s="70"/>
      <c r="R247" s="70"/>
      <c r="S247" s="374" t="s">
        <v>343</v>
      </c>
      <c r="T247" s="70"/>
      <c r="U247" s="70"/>
      <c r="V247" s="70"/>
      <c r="W247" s="832"/>
      <c r="X247" s="1019"/>
      <c r="Y247" s="677"/>
      <c r="Z247" s="1020"/>
      <c r="AA247" s="832"/>
      <c r="AB247" s="1019"/>
      <c r="AC247" s="677"/>
      <c r="AD247" s="1020"/>
      <c r="AE247" s="923"/>
      <c r="AF247" s="677"/>
      <c r="AG247" s="677"/>
      <c r="AH247" s="677"/>
      <c r="AI247" s="877"/>
    </row>
    <row r="248" spans="1:35" ht="15.75" customHeight="1" x14ac:dyDescent="0.2">
      <c r="B248" s="1014">
        <v>3700</v>
      </c>
      <c r="C248" s="677" t="s">
        <v>249</v>
      </c>
      <c r="D248" s="677"/>
      <c r="E248" s="677"/>
      <c r="F248" s="677"/>
      <c r="G248" s="878" t="s">
        <v>249</v>
      </c>
      <c r="H248" s="677"/>
      <c r="I248" s="677"/>
      <c r="J248" s="677"/>
      <c r="K248" s="878" t="s">
        <v>249</v>
      </c>
      <c r="L248" s="677"/>
      <c r="M248" s="677"/>
      <c r="N248" s="677"/>
      <c r="O248" s="878" t="s">
        <v>249</v>
      </c>
      <c r="P248" s="677"/>
      <c r="Q248" s="677"/>
      <c r="R248" s="677"/>
      <c r="S248" s="878" t="s">
        <v>250</v>
      </c>
      <c r="T248" s="677"/>
      <c r="U248" s="677"/>
      <c r="V248" s="677"/>
      <c r="W248" s="832"/>
      <c r="X248" s="677"/>
      <c r="Y248" s="677"/>
      <c r="Z248" s="924"/>
      <c r="AA248" s="923"/>
      <c r="AB248" s="677"/>
      <c r="AC248" s="677"/>
      <c r="AD248" s="734"/>
      <c r="AE248" s="1021"/>
      <c r="AF248" s="677"/>
      <c r="AG248" s="677"/>
      <c r="AH248" s="734"/>
      <c r="AI248" s="877"/>
    </row>
    <row r="249" spans="1:35" ht="15.75" customHeight="1" x14ac:dyDescent="0.2">
      <c r="A249" s="1"/>
      <c r="B249" s="1014">
        <v>8514</v>
      </c>
      <c r="C249" s="677" t="s">
        <v>342</v>
      </c>
      <c r="D249" s="677"/>
      <c r="E249" s="677"/>
      <c r="F249" s="677"/>
      <c r="G249" s="878" t="s">
        <v>342</v>
      </c>
      <c r="H249" s="677"/>
      <c r="I249" s="677"/>
      <c r="J249" s="677"/>
      <c r="K249" s="878" t="s">
        <v>342</v>
      </c>
      <c r="L249" s="677"/>
      <c r="M249" s="677"/>
      <c r="N249" s="677"/>
      <c r="O249" s="878" t="s">
        <v>342</v>
      </c>
      <c r="P249" s="677"/>
      <c r="Q249" s="677"/>
      <c r="R249" s="677"/>
      <c r="S249" s="878" t="s">
        <v>344</v>
      </c>
      <c r="T249" s="677"/>
      <c r="U249" s="677"/>
      <c r="V249" s="677"/>
      <c r="W249" s="832"/>
      <c r="X249" s="677"/>
      <c r="Y249" s="677"/>
      <c r="Z249" s="924"/>
      <c r="AA249" s="733"/>
      <c r="AB249" s="677"/>
      <c r="AC249" s="677"/>
      <c r="AD249" s="734"/>
      <c r="AE249" s="733"/>
      <c r="AF249" s="677"/>
      <c r="AG249" s="677"/>
      <c r="AH249" s="734"/>
      <c r="AI249" s="877"/>
    </row>
    <row r="250" spans="1:35" ht="15.75" customHeight="1" x14ac:dyDescent="0.2">
      <c r="A250" s="1"/>
      <c r="B250" s="1014">
        <v>8500</v>
      </c>
      <c r="C250" s="875" t="s">
        <v>345</v>
      </c>
      <c r="D250" s="875"/>
      <c r="E250" s="875"/>
      <c r="F250" s="875"/>
      <c r="G250" s="1022" t="s">
        <v>345</v>
      </c>
      <c r="H250" s="875"/>
      <c r="I250" s="875"/>
      <c r="J250" s="875"/>
      <c r="K250" s="1022" t="s">
        <v>345</v>
      </c>
      <c r="L250" s="875"/>
      <c r="M250" s="875"/>
      <c r="N250" s="875"/>
      <c r="O250" s="1022" t="s">
        <v>345</v>
      </c>
      <c r="P250" s="875"/>
      <c r="Q250" s="875"/>
      <c r="R250" s="875"/>
      <c r="S250" s="1022" t="s">
        <v>346</v>
      </c>
      <c r="T250" s="875"/>
      <c r="U250" s="875"/>
      <c r="V250" s="875"/>
      <c r="W250" s="832"/>
      <c r="X250" s="875"/>
      <c r="Y250" s="875"/>
      <c r="Z250" s="1023"/>
      <c r="AA250" s="1024"/>
      <c r="AB250" s="875"/>
      <c r="AC250" s="875"/>
      <c r="AD250" s="1023"/>
      <c r="AE250" s="1024"/>
      <c r="AF250" s="875"/>
      <c r="AG250" s="875"/>
      <c r="AH250" s="1025"/>
      <c r="AI250" s="1026"/>
    </row>
    <row r="251" spans="1:35" ht="15.75" customHeight="1" x14ac:dyDescent="0.2">
      <c r="A251" s="1"/>
      <c r="B251" s="1014">
        <v>8514</v>
      </c>
      <c r="C251" s="1027" t="s">
        <v>342</v>
      </c>
      <c r="D251" s="1027"/>
      <c r="E251" s="1027"/>
      <c r="F251" s="1027"/>
      <c r="G251" s="1028" t="s">
        <v>342</v>
      </c>
      <c r="H251" s="1027"/>
      <c r="I251" s="1027"/>
      <c r="J251" s="1027"/>
      <c r="K251" s="1028" t="s">
        <v>342</v>
      </c>
      <c r="L251" s="1027"/>
      <c r="M251" s="1027"/>
      <c r="N251" s="1027"/>
      <c r="O251" s="1028" t="s">
        <v>342</v>
      </c>
      <c r="P251" s="1027"/>
      <c r="Q251" s="1027"/>
      <c r="R251" s="1027"/>
      <c r="S251" s="1028" t="s">
        <v>344</v>
      </c>
      <c r="T251" s="1027"/>
      <c r="U251" s="1027"/>
      <c r="V251" s="1027"/>
      <c r="W251" s="1029"/>
      <c r="X251" s="1030"/>
      <c r="Y251" s="875"/>
      <c r="Z251" s="1031"/>
      <c r="AA251" s="1032"/>
      <c r="AB251" s="1030"/>
      <c r="AC251" s="875"/>
      <c r="AD251" s="875"/>
      <c r="AE251" s="1033"/>
      <c r="AF251" s="875"/>
      <c r="AG251" s="875"/>
      <c r="AH251" s="875"/>
      <c r="AI251" s="1026"/>
    </row>
    <row r="252" spans="1:35" ht="15.75" customHeight="1" x14ac:dyDescent="0.2">
      <c r="A252" s="1"/>
      <c r="B252" s="1034" t="s">
        <v>347</v>
      </c>
      <c r="C252" s="683" t="s">
        <v>10</v>
      </c>
      <c r="D252" s="683"/>
      <c r="E252" s="683"/>
      <c r="F252" s="683"/>
      <c r="G252" s="1035" t="s">
        <v>10</v>
      </c>
      <c r="H252" s="683"/>
      <c r="I252" s="683"/>
      <c r="J252" s="683"/>
      <c r="K252" s="880" t="s">
        <v>10</v>
      </c>
      <c r="L252" s="683"/>
      <c r="M252" s="683"/>
      <c r="N252" s="683"/>
      <c r="O252" s="1035" t="s">
        <v>10</v>
      </c>
      <c r="P252" s="683"/>
      <c r="Q252" s="683"/>
      <c r="R252" s="683"/>
      <c r="S252" s="1035" t="s">
        <v>10</v>
      </c>
      <c r="T252" s="683"/>
      <c r="U252" s="683"/>
      <c r="V252" s="683"/>
      <c r="W252" s="880"/>
      <c r="X252" s="683"/>
      <c r="Y252" s="683"/>
      <c r="Z252" s="952"/>
      <c r="AA252" s="929"/>
      <c r="AB252" s="683"/>
      <c r="AC252" s="683"/>
      <c r="AD252" s="936"/>
      <c r="AE252" s="1036"/>
      <c r="AF252" s="683"/>
      <c r="AG252" s="683"/>
      <c r="AH252" s="936"/>
      <c r="AI252" s="883"/>
    </row>
    <row r="253" spans="1:35" ht="15.75" customHeight="1" x14ac:dyDescent="0.2">
      <c r="A253" s="1"/>
      <c r="B253" s="5"/>
      <c r="C253" s="42"/>
      <c r="D253" s="70"/>
      <c r="E253" s="70"/>
      <c r="F253" s="46"/>
      <c r="G253" s="42"/>
      <c r="H253" s="70"/>
      <c r="I253" s="70"/>
      <c r="J253" s="46"/>
      <c r="K253" s="42"/>
      <c r="L253" s="70"/>
      <c r="M253" s="70"/>
      <c r="N253" s="46"/>
      <c r="O253" s="42"/>
      <c r="P253" s="70"/>
      <c r="Q253" s="70"/>
      <c r="R253" s="46"/>
      <c r="S253" s="42"/>
      <c r="T253" s="70"/>
      <c r="U253" s="70"/>
      <c r="V253" s="46"/>
      <c r="W253" s="46"/>
      <c r="Z253" s="46"/>
      <c r="AA253" s="46"/>
      <c r="AD253" s="46"/>
      <c r="AE253" s="46"/>
      <c r="AH253" s="46"/>
    </row>
    <row r="254" spans="1:35" ht="15.75" customHeight="1" x14ac:dyDescent="0.2">
      <c r="A254" s="1" t="s">
        <v>348</v>
      </c>
      <c r="B254" s="5"/>
      <c r="C254" s="42"/>
      <c r="D254" s="70"/>
      <c r="E254" s="70"/>
      <c r="F254" s="46"/>
      <c r="G254" s="42"/>
      <c r="H254" s="70"/>
      <c r="I254" s="70"/>
      <c r="J254" s="46"/>
      <c r="K254" s="42"/>
      <c r="L254" s="70"/>
      <c r="M254" s="70"/>
      <c r="N254" s="46"/>
      <c r="O254" s="42"/>
      <c r="P254" s="70"/>
      <c r="Q254" s="70"/>
      <c r="R254" s="46"/>
      <c r="S254" s="42"/>
      <c r="T254" s="70"/>
      <c r="U254" s="70"/>
      <c r="V254" s="46"/>
      <c r="W254" s="46"/>
      <c r="Z254" s="46"/>
      <c r="AA254" s="46"/>
      <c r="AD254" s="46"/>
      <c r="AE254" s="46"/>
      <c r="AH254" s="46"/>
    </row>
    <row r="255" spans="1:35" ht="15.75" customHeight="1" x14ac:dyDescent="0.2">
      <c r="A255" s="432"/>
      <c r="B255" s="687" t="s">
        <v>44</v>
      </c>
      <c r="C255" s="582">
        <v>1</v>
      </c>
      <c r="D255" s="583">
        <v>2</v>
      </c>
      <c r="E255" s="583">
        <v>3</v>
      </c>
      <c r="F255" s="582">
        <v>4</v>
      </c>
      <c r="G255" s="582">
        <v>5</v>
      </c>
      <c r="H255" s="583">
        <v>6</v>
      </c>
      <c r="I255" s="583">
        <v>7</v>
      </c>
      <c r="J255" s="583">
        <v>8</v>
      </c>
      <c r="K255" s="582">
        <v>9</v>
      </c>
      <c r="L255" s="583">
        <v>10</v>
      </c>
      <c r="M255" s="582">
        <v>11</v>
      </c>
      <c r="N255" s="582">
        <v>12</v>
      </c>
      <c r="O255" s="583">
        <v>13</v>
      </c>
      <c r="P255" s="583">
        <v>14</v>
      </c>
      <c r="Q255" s="583">
        <v>15</v>
      </c>
      <c r="R255" s="583">
        <v>16</v>
      </c>
      <c r="S255" s="583">
        <v>17</v>
      </c>
      <c r="T255" s="582">
        <v>18</v>
      </c>
      <c r="U255" s="582">
        <v>19</v>
      </c>
      <c r="V255" s="582">
        <v>20</v>
      </c>
      <c r="W255" s="583">
        <v>21</v>
      </c>
      <c r="X255" s="583">
        <v>22</v>
      </c>
      <c r="Y255" s="583">
        <v>23</v>
      </c>
      <c r="Z255" s="583">
        <v>24</v>
      </c>
      <c r="AA255" s="582">
        <v>25</v>
      </c>
      <c r="AB255" s="582">
        <v>26</v>
      </c>
      <c r="AC255" s="583">
        <v>27</v>
      </c>
      <c r="AD255" s="583">
        <v>28</v>
      </c>
      <c r="AE255" s="583">
        <v>29</v>
      </c>
      <c r="AF255" s="583">
        <v>30</v>
      </c>
      <c r="AG255" s="583">
        <v>31</v>
      </c>
      <c r="AH255" s="110"/>
      <c r="AI255" s="111"/>
    </row>
    <row r="256" spans="1:35" ht="15.75" customHeight="1" x14ac:dyDescent="0.2">
      <c r="A256" s="1037"/>
      <c r="B256" s="1038" t="s">
        <v>349</v>
      </c>
      <c r="C256" s="605"/>
      <c r="D256" s="605" t="s">
        <v>46</v>
      </c>
      <c r="E256" s="605" t="s">
        <v>46</v>
      </c>
      <c r="F256" s="603"/>
      <c r="G256" s="600"/>
      <c r="H256" s="605" t="s">
        <v>46</v>
      </c>
      <c r="I256" s="605" t="s">
        <v>46</v>
      </c>
      <c r="J256" s="604" t="s">
        <v>46</v>
      </c>
      <c r="K256" s="604"/>
      <c r="L256" s="605" t="s">
        <v>46</v>
      </c>
      <c r="M256" s="604"/>
      <c r="N256" s="643"/>
      <c r="O256" s="600" t="s">
        <v>46</v>
      </c>
      <c r="P256" s="605" t="s">
        <v>46</v>
      </c>
      <c r="Q256" s="605" t="s">
        <v>46</v>
      </c>
      <c r="R256" s="605" t="s">
        <v>46</v>
      </c>
      <c r="S256" s="605" t="s">
        <v>46</v>
      </c>
      <c r="T256" s="603"/>
      <c r="U256" s="600"/>
      <c r="V256" s="604"/>
      <c r="W256" s="604" t="s">
        <v>46</v>
      </c>
      <c r="X256" s="604" t="s">
        <v>46</v>
      </c>
      <c r="Y256" s="600" t="s">
        <v>46</v>
      </c>
      <c r="Z256" s="600" t="s">
        <v>46</v>
      </c>
      <c r="AA256" s="600"/>
      <c r="AB256" s="600"/>
      <c r="AC256" s="600" t="s">
        <v>46</v>
      </c>
      <c r="AD256" s="600" t="s">
        <v>46</v>
      </c>
      <c r="AE256" s="600" t="s">
        <v>46</v>
      </c>
      <c r="AF256" s="600" t="s">
        <v>46</v>
      </c>
      <c r="AG256" s="637" t="s">
        <v>46</v>
      </c>
      <c r="AH256" s="110"/>
      <c r="AI256" s="111"/>
    </row>
    <row r="257" spans="1:35" ht="15.75" customHeight="1" x14ac:dyDescent="0.2">
      <c r="A257" s="1039"/>
      <c r="B257" s="1040" t="s">
        <v>350</v>
      </c>
      <c r="C257" s="818"/>
      <c r="D257" s="818"/>
      <c r="E257" s="818"/>
      <c r="F257" s="818"/>
      <c r="G257" s="636"/>
      <c r="H257" s="636"/>
      <c r="I257" s="636"/>
      <c r="J257" s="818"/>
      <c r="K257" s="818"/>
      <c r="L257" s="818"/>
      <c r="M257" s="818"/>
      <c r="N257" s="636"/>
      <c r="O257" s="636"/>
      <c r="P257" s="636"/>
      <c r="Q257" s="818"/>
      <c r="R257" s="818"/>
      <c r="S257" s="818"/>
      <c r="T257" s="818"/>
      <c r="U257" s="636"/>
      <c r="V257" s="636"/>
      <c r="W257" s="636"/>
      <c r="X257" s="818"/>
      <c r="Y257" s="818"/>
      <c r="Z257" s="818"/>
      <c r="AA257" s="818"/>
      <c r="AB257" s="636"/>
      <c r="AC257" s="636"/>
      <c r="AD257" s="636"/>
      <c r="AE257" s="818"/>
      <c r="AF257" s="818"/>
      <c r="AG257" s="1041"/>
      <c r="AH257" s="110"/>
      <c r="AI257" s="111"/>
    </row>
    <row r="258" spans="1:35" ht="15.75" customHeight="1" x14ac:dyDescent="0.2">
      <c r="A258" s="1042">
        <v>8514</v>
      </c>
      <c r="B258" s="1043" t="s">
        <v>351</v>
      </c>
      <c r="C258" s="605"/>
      <c r="D258" s="605" t="s">
        <v>46</v>
      </c>
      <c r="E258" s="605" t="s">
        <v>46</v>
      </c>
      <c r="F258" s="603"/>
      <c r="G258" s="600"/>
      <c r="H258" s="605" t="s">
        <v>46</v>
      </c>
      <c r="I258" s="605" t="s">
        <v>46</v>
      </c>
      <c r="J258" s="604" t="s">
        <v>46</v>
      </c>
      <c r="K258" s="604"/>
      <c r="L258" s="605" t="s">
        <v>46</v>
      </c>
      <c r="M258" s="604"/>
      <c r="N258" s="643"/>
      <c r="O258" s="600" t="s">
        <v>46</v>
      </c>
      <c r="P258" s="605" t="s">
        <v>46</v>
      </c>
      <c r="Q258" s="605" t="s">
        <v>46</v>
      </c>
      <c r="R258" s="605" t="s">
        <v>46</v>
      </c>
      <c r="S258" s="605" t="s">
        <v>46</v>
      </c>
      <c r="T258" s="603"/>
      <c r="U258" s="600"/>
      <c r="V258" s="604"/>
      <c r="W258" s="604" t="s">
        <v>46</v>
      </c>
      <c r="X258" s="604" t="s">
        <v>46</v>
      </c>
      <c r="Y258" s="600" t="s">
        <v>46</v>
      </c>
      <c r="Z258" s="600" t="s">
        <v>46</v>
      </c>
      <c r="AA258" s="600"/>
      <c r="AB258" s="600"/>
      <c r="AC258" s="600" t="s">
        <v>46</v>
      </c>
      <c r="AD258" s="600" t="s">
        <v>46</v>
      </c>
      <c r="AE258" s="600" t="s">
        <v>46</v>
      </c>
      <c r="AF258" s="600" t="s">
        <v>46</v>
      </c>
      <c r="AG258" s="637" t="s">
        <v>46</v>
      </c>
      <c r="AH258" s="115"/>
      <c r="AI258" s="116"/>
    </row>
    <row r="259" spans="1:35" ht="15.75" customHeight="1" x14ac:dyDescent="0.2">
      <c r="A259" s="1042">
        <v>3701</v>
      </c>
      <c r="B259" s="1044" t="s">
        <v>352</v>
      </c>
      <c r="C259" s="818"/>
      <c r="D259" s="818"/>
      <c r="E259" s="818"/>
      <c r="F259" s="818"/>
      <c r="G259" s="636"/>
      <c r="H259" s="636"/>
      <c r="I259" s="636"/>
      <c r="J259" s="818"/>
      <c r="K259" s="818"/>
      <c r="L259" s="818"/>
      <c r="M259" s="818"/>
      <c r="N259" s="636"/>
      <c r="O259" s="636"/>
      <c r="P259" s="636"/>
      <c r="Q259" s="818"/>
      <c r="R259" s="818"/>
      <c r="S259" s="818"/>
      <c r="T259" s="818"/>
      <c r="U259" s="636"/>
      <c r="V259" s="636"/>
      <c r="W259" s="636"/>
      <c r="X259" s="818"/>
      <c r="Y259" s="818"/>
      <c r="Z259" s="818"/>
      <c r="AA259" s="818"/>
      <c r="AB259" s="636"/>
      <c r="AC259" s="636"/>
      <c r="AD259" s="636"/>
      <c r="AE259" s="818"/>
      <c r="AF259" s="818"/>
      <c r="AG259" s="1041"/>
      <c r="AH259" s="115"/>
      <c r="AI259" s="116"/>
    </row>
    <row r="260" spans="1:35" ht="15.75" customHeight="1" x14ac:dyDescent="0.2">
      <c r="A260" s="1042">
        <v>3701</v>
      </c>
      <c r="B260" s="1012" t="s">
        <v>353</v>
      </c>
      <c r="C260" s="605"/>
      <c r="D260" s="605" t="s">
        <v>46</v>
      </c>
      <c r="E260" s="605" t="s">
        <v>46</v>
      </c>
      <c r="F260" s="603"/>
      <c r="G260" s="600"/>
      <c r="H260" s="605" t="s">
        <v>46</v>
      </c>
      <c r="I260" s="605" t="s">
        <v>46</v>
      </c>
      <c r="J260" s="604" t="s">
        <v>46</v>
      </c>
      <c r="K260" s="604"/>
      <c r="L260" s="634" t="s">
        <v>46</v>
      </c>
      <c r="M260" s="634"/>
      <c r="N260" s="634"/>
      <c r="O260" s="634" t="s">
        <v>46</v>
      </c>
      <c r="P260" s="634" t="s">
        <v>46</v>
      </c>
      <c r="Q260" s="634" t="s">
        <v>46</v>
      </c>
      <c r="R260" s="634" t="s">
        <v>46</v>
      </c>
      <c r="S260" s="634" t="s">
        <v>46</v>
      </c>
      <c r="T260" s="603"/>
      <c r="U260" s="600"/>
      <c r="V260" s="604"/>
      <c r="W260" s="1045" t="s">
        <v>46</v>
      </c>
      <c r="X260" s="1045" t="s">
        <v>46</v>
      </c>
      <c r="Y260" s="600" t="s">
        <v>46</v>
      </c>
      <c r="Z260" s="600" t="s">
        <v>46</v>
      </c>
      <c r="AA260" s="600"/>
      <c r="AB260" s="600"/>
      <c r="AC260" s="600" t="s">
        <v>46</v>
      </c>
      <c r="AD260" s="600" t="s">
        <v>46</v>
      </c>
      <c r="AE260" s="600" t="s">
        <v>46</v>
      </c>
      <c r="AF260" s="600" t="s">
        <v>46</v>
      </c>
      <c r="AG260" s="637" t="s">
        <v>46</v>
      </c>
      <c r="AH260" s="115"/>
      <c r="AI260" s="116"/>
    </row>
    <row r="261" spans="1:35" ht="15.75" customHeight="1" x14ac:dyDescent="0.2">
      <c r="A261" s="1042">
        <v>3701</v>
      </c>
      <c r="B261" s="1012" t="s">
        <v>354</v>
      </c>
      <c r="C261" s="605"/>
      <c r="D261" s="605" t="s">
        <v>46</v>
      </c>
      <c r="E261" s="605" t="s">
        <v>46</v>
      </c>
      <c r="F261" s="603"/>
      <c r="G261" s="600"/>
      <c r="H261" s="605" t="s">
        <v>46</v>
      </c>
      <c r="I261" s="605" t="s">
        <v>46</v>
      </c>
      <c r="J261" s="604" t="s">
        <v>46</v>
      </c>
      <c r="K261" s="604"/>
      <c r="L261" s="751" t="s">
        <v>46</v>
      </c>
      <c r="M261" s="604"/>
      <c r="N261" s="643"/>
      <c r="O261" s="600" t="s">
        <v>46</v>
      </c>
      <c r="P261" s="605" t="s">
        <v>46</v>
      </c>
      <c r="Q261" s="605" t="s">
        <v>46</v>
      </c>
      <c r="R261" s="605" t="s">
        <v>46</v>
      </c>
      <c r="S261" s="605" t="s">
        <v>46</v>
      </c>
      <c r="T261" s="603"/>
      <c r="U261" s="600"/>
      <c r="V261" s="604"/>
      <c r="W261" s="604" t="s">
        <v>46</v>
      </c>
      <c r="X261" s="604" t="s">
        <v>46</v>
      </c>
      <c r="Y261" s="600" t="s">
        <v>46</v>
      </c>
      <c r="Z261" s="600" t="s">
        <v>46</v>
      </c>
      <c r="AA261" s="600"/>
      <c r="AB261" s="600"/>
      <c r="AC261" s="600" t="s">
        <v>46</v>
      </c>
      <c r="AD261" s="600" t="s">
        <v>46</v>
      </c>
      <c r="AE261" s="600" t="s">
        <v>46</v>
      </c>
      <c r="AF261" s="600" t="s">
        <v>46</v>
      </c>
      <c r="AG261" s="637" t="s">
        <v>46</v>
      </c>
      <c r="AH261" s="115"/>
      <c r="AI261" s="116"/>
    </row>
    <row r="262" spans="1:35" ht="15.75" customHeight="1" x14ac:dyDescent="0.2">
      <c r="A262" s="1042">
        <v>3701</v>
      </c>
      <c r="B262" s="1012" t="s">
        <v>355</v>
      </c>
      <c r="C262" s="605"/>
      <c r="D262" s="605" t="s">
        <v>46</v>
      </c>
      <c r="E262" s="605" t="s">
        <v>46</v>
      </c>
      <c r="F262" s="603"/>
      <c r="G262" s="600"/>
      <c r="H262" s="605" t="s">
        <v>46</v>
      </c>
      <c r="I262" s="605" t="s">
        <v>46</v>
      </c>
      <c r="J262" s="604" t="s">
        <v>46</v>
      </c>
      <c r="K262" s="604"/>
      <c r="L262" s="605" t="s">
        <v>46</v>
      </c>
      <c r="M262" s="604"/>
      <c r="N262" s="643"/>
      <c r="O262" s="600" t="s">
        <v>46</v>
      </c>
      <c r="P262" s="605" t="s">
        <v>46</v>
      </c>
      <c r="Q262" s="605" t="s">
        <v>46</v>
      </c>
      <c r="R262" s="608" t="s">
        <v>46</v>
      </c>
      <c r="S262" s="608" t="s">
        <v>46</v>
      </c>
      <c r="T262" s="608"/>
      <c r="U262" s="608"/>
      <c r="V262" s="608"/>
      <c r="W262" s="608" t="s">
        <v>0</v>
      </c>
      <c r="X262" s="608" t="s">
        <v>46</v>
      </c>
      <c r="Y262" s="608" t="s">
        <v>46</v>
      </c>
      <c r="Z262" s="608" t="s">
        <v>356</v>
      </c>
      <c r="AA262" s="600"/>
      <c r="AB262" s="600"/>
      <c r="AC262" s="600" t="s">
        <v>46</v>
      </c>
      <c r="AD262" s="600" t="s">
        <v>46</v>
      </c>
      <c r="AE262" s="600" t="s">
        <v>46</v>
      </c>
      <c r="AF262" s="600" t="s">
        <v>46</v>
      </c>
      <c r="AG262" s="637" t="s">
        <v>46</v>
      </c>
      <c r="AH262" s="115"/>
      <c r="AI262" s="116"/>
    </row>
    <row r="263" spans="1:35" ht="15.75" customHeight="1" x14ac:dyDescent="0.2">
      <c r="A263" s="1042">
        <v>3701</v>
      </c>
      <c r="B263" s="1044" t="s">
        <v>357</v>
      </c>
      <c r="C263" s="818"/>
      <c r="D263" s="818"/>
      <c r="E263" s="818"/>
      <c r="F263" s="818"/>
      <c r="G263" s="636"/>
      <c r="H263" s="636"/>
      <c r="I263" s="636"/>
      <c r="J263" s="818"/>
      <c r="K263" s="818"/>
      <c r="L263" s="818"/>
      <c r="M263" s="818"/>
      <c r="N263" s="636"/>
      <c r="O263" s="636"/>
      <c r="P263" s="636"/>
      <c r="Q263" s="818"/>
      <c r="R263" s="818"/>
      <c r="S263" s="818"/>
      <c r="T263" s="818"/>
      <c r="U263" s="636"/>
      <c r="V263" s="636"/>
      <c r="W263" s="636"/>
      <c r="X263" s="818"/>
      <c r="Y263" s="818"/>
      <c r="Z263" s="818"/>
      <c r="AA263" s="818"/>
      <c r="AB263" s="636"/>
      <c r="AC263" s="636"/>
      <c r="AD263" s="636"/>
      <c r="AE263" s="818"/>
      <c r="AF263" s="818"/>
      <c r="AG263" s="1041"/>
      <c r="AH263" s="115"/>
      <c r="AI263" s="116"/>
    </row>
    <row r="264" spans="1:35" ht="15.75" customHeight="1" x14ac:dyDescent="0.2">
      <c r="A264" s="1042">
        <v>3701</v>
      </c>
      <c r="B264" s="1012" t="s">
        <v>358</v>
      </c>
      <c r="C264" s="605"/>
      <c r="D264" s="605" t="s">
        <v>46</v>
      </c>
      <c r="E264" s="605" t="s">
        <v>46</v>
      </c>
      <c r="F264" s="603"/>
      <c r="G264" s="600"/>
      <c r="H264" s="605" t="s">
        <v>46</v>
      </c>
      <c r="I264" s="605" t="s">
        <v>46</v>
      </c>
      <c r="J264" s="604" t="s">
        <v>46</v>
      </c>
      <c r="K264" s="604"/>
      <c r="L264" s="605" t="s">
        <v>46</v>
      </c>
      <c r="M264" s="604"/>
      <c r="N264" s="643"/>
      <c r="O264" s="600" t="s">
        <v>46</v>
      </c>
      <c r="P264" s="605" t="s">
        <v>46</v>
      </c>
      <c r="Q264" s="605" t="s">
        <v>46</v>
      </c>
      <c r="R264" s="605" t="s">
        <v>46</v>
      </c>
      <c r="S264" s="605" t="s">
        <v>46</v>
      </c>
      <c r="T264" s="603"/>
      <c r="U264" s="600"/>
      <c r="V264" s="604"/>
      <c r="W264" s="604" t="s">
        <v>46</v>
      </c>
      <c r="X264" s="604" t="s">
        <v>46</v>
      </c>
      <c r="Y264" s="600" t="s">
        <v>46</v>
      </c>
      <c r="Z264" s="600" t="s">
        <v>46</v>
      </c>
      <c r="AA264" s="600"/>
      <c r="AB264" s="600"/>
      <c r="AC264" s="600" t="s">
        <v>46</v>
      </c>
      <c r="AD264" s="600" t="s">
        <v>46</v>
      </c>
      <c r="AE264" s="600" t="s">
        <v>46</v>
      </c>
      <c r="AF264" s="600" t="s">
        <v>46</v>
      </c>
      <c r="AG264" s="637" t="s">
        <v>46</v>
      </c>
      <c r="AH264" s="115"/>
      <c r="AI264" s="116"/>
    </row>
    <row r="265" spans="1:35" ht="15.75" customHeight="1" x14ac:dyDescent="0.2">
      <c r="A265" s="1042">
        <v>3701</v>
      </c>
      <c r="B265" s="1012" t="s">
        <v>359</v>
      </c>
      <c r="C265" s="605"/>
      <c r="D265" s="605" t="s">
        <v>46</v>
      </c>
      <c r="E265" s="605" t="s">
        <v>46</v>
      </c>
      <c r="F265" s="603"/>
      <c r="G265" s="600"/>
      <c r="H265" s="605" t="s">
        <v>46</v>
      </c>
      <c r="I265" s="605" t="s">
        <v>46</v>
      </c>
      <c r="J265" s="604" t="s">
        <v>46</v>
      </c>
      <c r="K265" s="604"/>
      <c r="L265" s="634" t="s">
        <v>46</v>
      </c>
      <c r="M265" s="604"/>
      <c r="N265" s="643"/>
      <c r="O265" s="600" t="s">
        <v>46</v>
      </c>
      <c r="P265" s="605" t="s">
        <v>46</v>
      </c>
      <c r="Q265" s="605" t="s">
        <v>46</v>
      </c>
      <c r="R265" s="605" t="s">
        <v>46</v>
      </c>
      <c r="S265" s="605" t="s">
        <v>46</v>
      </c>
      <c r="T265" s="603"/>
      <c r="U265" s="600"/>
      <c r="V265" s="604"/>
      <c r="W265" s="604" t="s">
        <v>46</v>
      </c>
      <c r="X265" s="604" t="s">
        <v>46</v>
      </c>
      <c r="Y265" s="600" t="s">
        <v>46</v>
      </c>
      <c r="Z265" s="600" t="s">
        <v>46</v>
      </c>
      <c r="AA265" s="600"/>
      <c r="AB265" s="600"/>
      <c r="AC265" s="600" t="s">
        <v>46</v>
      </c>
      <c r="AD265" s="600" t="s">
        <v>46</v>
      </c>
      <c r="AE265" s="600" t="s">
        <v>46</v>
      </c>
      <c r="AF265" s="600" t="s">
        <v>46</v>
      </c>
      <c r="AG265" s="637" t="s">
        <v>46</v>
      </c>
      <c r="AH265" s="115"/>
      <c r="AI265" s="116"/>
    </row>
    <row r="266" spans="1:35" ht="15.75" customHeight="1" x14ac:dyDescent="0.2">
      <c r="A266" s="1046">
        <v>3701</v>
      </c>
      <c r="B266" s="1012" t="s">
        <v>360</v>
      </c>
      <c r="C266" s="723"/>
      <c r="D266" s="634" t="s">
        <v>46</v>
      </c>
      <c r="E266" s="634" t="s">
        <v>46</v>
      </c>
      <c r="F266" s="603"/>
      <c r="G266" s="600"/>
      <c r="H266" s="605" t="s">
        <v>46</v>
      </c>
      <c r="I266" s="605" t="s">
        <v>46</v>
      </c>
      <c r="J266" s="604" t="s">
        <v>46</v>
      </c>
      <c r="K266" s="604"/>
      <c r="L266" s="605" t="s">
        <v>46</v>
      </c>
      <c r="M266" s="604"/>
      <c r="N266" s="643"/>
      <c r="O266" s="600" t="s">
        <v>46</v>
      </c>
      <c r="P266" s="605" t="s">
        <v>46</v>
      </c>
      <c r="Q266" s="605" t="s">
        <v>46</v>
      </c>
      <c r="R266" s="605" t="s">
        <v>46</v>
      </c>
      <c r="S266" s="605" t="s">
        <v>46</v>
      </c>
      <c r="T266" s="603"/>
      <c r="U266" s="600"/>
      <c r="V266" s="604"/>
      <c r="W266" s="757" t="s">
        <v>46</v>
      </c>
      <c r="X266" s="757" t="s">
        <v>46</v>
      </c>
      <c r="Y266" s="757" t="s">
        <v>46</v>
      </c>
      <c r="Z266" s="757" t="s">
        <v>46</v>
      </c>
      <c r="AA266" s="600"/>
      <c r="AB266" s="600"/>
      <c r="AC266" s="634" t="s">
        <v>46</v>
      </c>
      <c r="AD266" s="634" t="s">
        <v>46</v>
      </c>
      <c r="AE266" s="600" t="s">
        <v>46</v>
      </c>
      <c r="AF266" s="600" t="s">
        <v>46</v>
      </c>
      <c r="AG266" s="637" t="s">
        <v>46</v>
      </c>
      <c r="AH266" s="115"/>
      <c r="AI266" s="116"/>
    </row>
    <row r="267" spans="1:35" ht="15.75" customHeight="1" x14ac:dyDescent="0.2">
      <c r="A267" s="1042">
        <v>3701</v>
      </c>
      <c r="B267" s="1012" t="s">
        <v>361</v>
      </c>
      <c r="C267" s="818"/>
      <c r="D267" s="818" t="s">
        <v>46</v>
      </c>
      <c r="E267" s="818" t="s">
        <v>46</v>
      </c>
      <c r="F267" s="818"/>
      <c r="G267" s="636"/>
      <c r="H267" s="636" t="s">
        <v>46</v>
      </c>
      <c r="I267" s="636" t="s">
        <v>46</v>
      </c>
      <c r="J267" s="818" t="s">
        <v>46</v>
      </c>
      <c r="K267" s="818"/>
      <c r="L267" s="968" t="s">
        <v>46</v>
      </c>
      <c r="M267" s="818"/>
      <c r="N267" s="636"/>
      <c r="O267" s="636" t="s">
        <v>46</v>
      </c>
      <c r="P267" s="636" t="s">
        <v>46</v>
      </c>
      <c r="Q267" s="818" t="s">
        <v>46</v>
      </c>
      <c r="R267" s="1047" t="s">
        <v>46</v>
      </c>
      <c r="S267" s="833" t="s">
        <v>46</v>
      </c>
      <c r="T267" s="818"/>
      <c r="U267" s="636"/>
      <c r="V267" s="636"/>
      <c r="W267" s="636" t="s">
        <v>46</v>
      </c>
      <c r="X267" s="818" t="s">
        <v>46</v>
      </c>
      <c r="Y267" s="818" t="s">
        <v>46</v>
      </c>
      <c r="Z267" s="818" t="s">
        <v>46</v>
      </c>
      <c r="AA267" s="818"/>
      <c r="AB267" s="636"/>
      <c r="AC267" s="636" t="s">
        <v>46</v>
      </c>
      <c r="AD267" s="636" t="s">
        <v>46</v>
      </c>
      <c r="AE267" s="818" t="s">
        <v>46</v>
      </c>
      <c r="AF267" s="818" t="s">
        <v>46</v>
      </c>
      <c r="AG267" s="1041" t="s">
        <v>46</v>
      </c>
      <c r="AH267" s="115"/>
      <c r="AI267" s="116"/>
    </row>
    <row r="268" spans="1:35" ht="15.75" customHeight="1" x14ac:dyDescent="0.2">
      <c r="A268" s="1042">
        <v>3701</v>
      </c>
      <c r="B268" s="1012" t="s">
        <v>362</v>
      </c>
      <c r="C268" s="818"/>
      <c r="D268" s="818" t="s">
        <v>46</v>
      </c>
      <c r="E268" s="818" t="s">
        <v>46</v>
      </c>
      <c r="F268" s="818"/>
      <c r="G268" s="636"/>
      <c r="H268" s="636" t="s">
        <v>46</v>
      </c>
      <c r="I268" s="636" t="s">
        <v>46</v>
      </c>
      <c r="J268" s="818" t="s">
        <v>46</v>
      </c>
      <c r="K268" s="818"/>
      <c r="L268" s="1048" t="s">
        <v>46</v>
      </c>
      <c r="M268" s="818"/>
      <c r="N268" s="636"/>
      <c r="O268" s="636" t="s">
        <v>46</v>
      </c>
      <c r="P268" s="636" t="s">
        <v>46</v>
      </c>
      <c r="Q268" s="818" t="s">
        <v>46</v>
      </c>
      <c r="R268" s="805" t="s">
        <v>46</v>
      </c>
      <c r="S268" s="805" t="s">
        <v>79</v>
      </c>
      <c r="T268" s="818"/>
      <c r="U268" s="636"/>
      <c r="V268" s="636"/>
      <c r="W268" s="636" t="s">
        <v>46</v>
      </c>
      <c r="X268" s="818" t="s">
        <v>46</v>
      </c>
      <c r="Y268" s="818" t="s">
        <v>46</v>
      </c>
      <c r="Z268" s="818" t="s">
        <v>46</v>
      </c>
      <c r="AA268" s="818"/>
      <c r="AB268" s="636"/>
      <c r="AC268" s="636" t="s">
        <v>46</v>
      </c>
      <c r="AD268" s="636" t="s">
        <v>46</v>
      </c>
      <c r="AE268" s="818" t="s">
        <v>46</v>
      </c>
      <c r="AF268" s="818" t="s">
        <v>46</v>
      </c>
      <c r="AG268" s="1041" t="s">
        <v>46</v>
      </c>
      <c r="AH268" s="115"/>
      <c r="AI268" s="116"/>
    </row>
    <row r="269" spans="1:35" ht="15.75" customHeight="1" x14ac:dyDescent="0.2">
      <c r="A269" s="1042"/>
      <c r="B269" s="1012" t="s">
        <v>363</v>
      </c>
      <c r="C269" s="818"/>
      <c r="D269" s="818" t="s">
        <v>46</v>
      </c>
      <c r="E269" s="818" t="s">
        <v>46</v>
      </c>
      <c r="F269" s="818"/>
      <c r="G269" s="636"/>
      <c r="H269" s="636" t="s">
        <v>46</v>
      </c>
      <c r="I269" s="636" t="s">
        <v>46</v>
      </c>
      <c r="J269" s="805" t="s">
        <v>46</v>
      </c>
      <c r="K269" s="805"/>
      <c r="L269" s="805" t="s">
        <v>46</v>
      </c>
      <c r="M269" s="805"/>
      <c r="N269" s="805"/>
      <c r="O269" s="805" t="s">
        <v>46</v>
      </c>
      <c r="P269" s="805" t="s">
        <v>46</v>
      </c>
      <c r="Q269" s="805" t="s">
        <v>79</v>
      </c>
      <c r="R269" s="818" t="s">
        <v>46</v>
      </c>
      <c r="S269" s="818" t="s">
        <v>46</v>
      </c>
      <c r="T269" s="818"/>
      <c r="U269" s="636"/>
      <c r="V269" s="636"/>
      <c r="W269" s="636" t="s">
        <v>46</v>
      </c>
      <c r="X269" s="818" t="s">
        <v>46</v>
      </c>
      <c r="Y269" s="818" t="s">
        <v>46</v>
      </c>
      <c r="Z269" s="818" t="s">
        <v>46</v>
      </c>
      <c r="AA269" s="818"/>
      <c r="AB269" s="636"/>
      <c r="AC269" s="636" t="s">
        <v>46</v>
      </c>
      <c r="AD269" s="636" t="s">
        <v>46</v>
      </c>
      <c r="AE269" s="818" t="s">
        <v>46</v>
      </c>
      <c r="AF269" s="818" t="s">
        <v>46</v>
      </c>
      <c r="AG269" s="1041" t="s">
        <v>46</v>
      </c>
      <c r="AH269" s="115"/>
      <c r="AI269" s="116"/>
    </row>
    <row r="270" spans="1:35" ht="15.75" customHeight="1" x14ac:dyDescent="0.2">
      <c r="A270" s="1042"/>
      <c r="B270" s="1012" t="s">
        <v>364</v>
      </c>
      <c r="C270" s="818"/>
      <c r="D270" s="818" t="s">
        <v>46</v>
      </c>
      <c r="E270" s="818" t="s">
        <v>46</v>
      </c>
      <c r="F270" s="818"/>
      <c r="G270" s="636"/>
      <c r="H270" s="636" t="s">
        <v>46</v>
      </c>
      <c r="I270" s="636" t="s">
        <v>46</v>
      </c>
      <c r="J270" s="818" t="s">
        <v>46</v>
      </c>
      <c r="K270" s="818"/>
      <c r="L270" s="968" t="s">
        <v>46</v>
      </c>
      <c r="M270" s="818"/>
      <c r="N270" s="636"/>
      <c r="O270" s="636" t="s">
        <v>46</v>
      </c>
      <c r="P270" s="636" t="s">
        <v>46</v>
      </c>
      <c r="Q270" s="818" t="s">
        <v>46</v>
      </c>
      <c r="R270" s="818" t="s">
        <v>46</v>
      </c>
      <c r="S270" s="968" t="s">
        <v>46</v>
      </c>
      <c r="T270" s="818"/>
      <c r="U270" s="636"/>
      <c r="V270" s="636"/>
      <c r="W270" s="636" t="s">
        <v>46</v>
      </c>
      <c r="X270" s="818" t="s">
        <v>46</v>
      </c>
      <c r="Y270" s="818" t="s">
        <v>46</v>
      </c>
      <c r="Z270" s="818" t="s">
        <v>46</v>
      </c>
      <c r="AA270" s="818"/>
      <c r="AB270" s="636"/>
      <c r="AC270" s="636" t="s">
        <v>46</v>
      </c>
      <c r="AD270" s="636" t="s">
        <v>46</v>
      </c>
      <c r="AE270" s="818" t="s">
        <v>46</v>
      </c>
      <c r="AF270" s="818" t="s">
        <v>46</v>
      </c>
      <c r="AG270" s="1041" t="s">
        <v>46</v>
      </c>
      <c r="AH270" s="115"/>
      <c r="AI270" s="116"/>
    </row>
    <row r="271" spans="1:35" ht="15.75" customHeight="1" x14ac:dyDescent="0.2">
      <c r="A271" s="1042"/>
      <c r="B271" s="1012" t="s">
        <v>365</v>
      </c>
      <c r="C271" s="818"/>
      <c r="D271" s="818" t="s">
        <v>46</v>
      </c>
      <c r="E271" s="818" t="s">
        <v>46</v>
      </c>
      <c r="F271" s="818"/>
      <c r="G271" s="636"/>
      <c r="H271" s="636" t="s">
        <v>46</v>
      </c>
      <c r="I271" s="636" t="s">
        <v>46</v>
      </c>
      <c r="J271" s="818" t="s">
        <v>46</v>
      </c>
      <c r="K271" s="818"/>
      <c r="L271" s="818" t="s">
        <v>46</v>
      </c>
      <c r="M271" s="818"/>
      <c r="N271" s="636"/>
      <c r="O271" s="636" t="s">
        <v>46</v>
      </c>
      <c r="P271" s="636" t="s">
        <v>46</v>
      </c>
      <c r="Q271" s="805" t="s">
        <v>46</v>
      </c>
      <c r="R271" s="805" t="s">
        <v>46</v>
      </c>
      <c r="S271" s="805" t="s">
        <v>79</v>
      </c>
      <c r="T271" s="818"/>
      <c r="U271" s="636"/>
      <c r="V271" s="636"/>
      <c r="W271" s="1045" t="s">
        <v>46</v>
      </c>
      <c r="X271" s="1045" t="s">
        <v>46</v>
      </c>
      <c r="Y271" s="818" t="s">
        <v>46</v>
      </c>
      <c r="Z271" s="818" t="s">
        <v>46</v>
      </c>
      <c r="AA271" s="818"/>
      <c r="AB271" s="636"/>
      <c r="AC271" s="636" t="s">
        <v>46</v>
      </c>
      <c r="AD271" s="636" t="s">
        <v>46</v>
      </c>
      <c r="AE271" s="818" t="s">
        <v>46</v>
      </c>
      <c r="AF271" s="818" t="s">
        <v>46</v>
      </c>
      <c r="AG271" s="1041" t="s">
        <v>46</v>
      </c>
      <c r="AH271" s="115"/>
      <c r="AI271" s="116"/>
    </row>
    <row r="272" spans="1:35" ht="15.75" customHeight="1" x14ac:dyDescent="0.2">
      <c r="A272" s="1042"/>
      <c r="B272" s="1044" t="s">
        <v>366</v>
      </c>
      <c r="C272" s="818"/>
      <c r="D272" s="818"/>
      <c r="E272" s="818"/>
      <c r="F272" s="818"/>
      <c r="G272" s="636"/>
      <c r="H272" s="636"/>
      <c r="I272" s="636"/>
      <c r="J272" s="818"/>
      <c r="K272" s="818"/>
      <c r="L272" s="818"/>
      <c r="M272" s="818"/>
      <c r="N272" s="636"/>
      <c r="O272" s="636"/>
      <c r="P272" s="636"/>
      <c r="Q272" s="818"/>
      <c r="R272" s="818"/>
      <c r="S272" s="818"/>
      <c r="T272" s="818"/>
      <c r="U272" s="636"/>
      <c r="V272" s="636"/>
      <c r="W272" s="636"/>
      <c r="X272" s="818"/>
      <c r="Y272" s="818"/>
      <c r="Z272" s="818"/>
      <c r="AA272" s="818"/>
      <c r="AB272" s="636"/>
      <c r="AC272" s="636"/>
      <c r="AD272" s="636"/>
      <c r="AE272" s="818"/>
      <c r="AF272" s="818"/>
      <c r="AG272" s="1041"/>
      <c r="AH272" s="115"/>
      <c r="AI272" s="116"/>
    </row>
    <row r="273" spans="1:35" ht="15.75" customHeight="1" x14ac:dyDescent="0.2">
      <c r="A273" s="1042"/>
      <c r="B273" s="1012" t="s">
        <v>367</v>
      </c>
      <c r="C273" s="605"/>
      <c r="D273" s="605" t="s">
        <v>46</v>
      </c>
      <c r="E273" s="605" t="s">
        <v>46</v>
      </c>
      <c r="F273" s="603"/>
      <c r="G273" s="600"/>
      <c r="H273" s="605" t="s">
        <v>46</v>
      </c>
      <c r="I273" s="605" t="s">
        <v>46</v>
      </c>
      <c r="J273" s="604" t="s">
        <v>46</v>
      </c>
      <c r="K273" s="604"/>
      <c r="L273" s="1049" t="s">
        <v>46</v>
      </c>
      <c r="M273" s="604"/>
      <c r="N273" s="643"/>
      <c r="O273" s="600" t="s">
        <v>46</v>
      </c>
      <c r="P273" s="605" t="s">
        <v>46</v>
      </c>
      <c r="Q273" s="1050" t="s">
        <v>46</v>
      </c>
      <c r="R273" s="1050" t="s">
        <v>46</v>
      </c>
      <c r="S273" s="605" t="s">
        <v>46</v>
      </c>
      <c r="T273" s="603"/>
      <c r="U273" s="600"/>
      <c r="V273" s="604"/>
      <c r="W273" s="604" t="s">
        <v>46</v>
      </c>
      <c r="X273" s="604" t="s">
        <v>46</v>
      </c>
      <c r="Y273" s="600" t="s">
        <v>46</v>
      </c>
      <c r="Z273" s="1051" t="s">
        <v>46</v>
      </c>
      <c r="AA273" s="600"/>
      <c r="AB273" s="600"/>
      <c r="AC273" s="600" t="s">
        <v>46</v>
      </c>
      <c r="AD273" s="600" t="s">
        <v>46</v>
      </c>
      <c r="AE273" s="600" t="s">
        <v>46</v>
      </c>
      <c r="AF273" s="600" t="s">
        <v>46</v>
      </c>
      <c r="AG273" s="637" t="s">
        <v>46</v>
      </c>
      <c r="AH273" s="115"/>
      <c r="AI273" s="116"/>
    </row>
    <row r="274" spans="1:35" ht="15.75" customHeight="1" x14ac:dyDescent="0.2">
      <c r="A274" s="1042"/>
      <c r="B274" s="1012" t="s">
        <v>368</v>
      </c>
      <c r="C274" s="605"/>
      <c r="D274" s="751" t="s">
        <v>46</v>
      </c>
      <c r="E274" s="751" t="s">
        <v>46</v>
      </c>
      <c r="F274" s="751"/>
      <c r="G274" s="751"/>
      <c r="H274" s="751" t="s">
        <v>46</v>
      </c>
      <c r="I274" s="751" t="s">
        <v>46</v>
      </c>
      <c r="J274" s="751" t="s">
        <v>46</v>
      </c>
      <c r="K274" s="751"/>
      <c r="L274" s="751" t="s">
        <v>46</v>
      </c>
      <c r="M274" s="604"/>
      <c r="N274" s="643"/>
      <c r="O274" s="600" t="s">
        <v>46</v>
      </c>
      <c r="P274" s="605" t="s">
        <v>46</v>
      </c>
      <c r="Q274" s="605" t="s">
        <v>46</v>
      </c>
      <c r="R274" s="605" t="s">
        <v>46</v>
      </c>
      <c r="S274" s="605" t="s">
        <v>46</v>
      </c>
      <c r="T274" s="603"/>
      <c r="U274" s="600"/>
      <c r="V274" s="604"/>
      <c r="W274" s="604" t="s">
        <v>46</v>
      </c>
      <c r="X274" s="604" t="s">
        <v>46</v>
      </c>
      <c r="Y274" s="600" t="s">
        <v>46</v>
      </c>
      <c r="Z274" s="600" t="s">
        <v>46</v>
      </c>
      <c r="AA274" s="600"/>
      <c r="AB274" s="600"/>
      <c r="AC274" s="600" t="s">
        <v>46</v>
      </c>
      <c r="AD274" s="600" t="s">
        <v>46</v>
      </c>
      <c r="AE274" s="600" t="s">
        <v>46</v>
      </c>
      <c r="AF274" s="600" t="s">
        <v>46</v>
      </c>
      <c r="AG274" s="637" t="s">
        <v>46</v>
      </c>
      <c r="AH274" s="115"/>
      <c r="AI274" s="116"/>
    </row>
    <row r="275" spans="1:35" ht="15.75" customHeight="1" x14ac:dyDescent="0.2">
      <c r="A275" s="1042"/>
      <c r="B275" s="1012"/>
      <c r="C275" s="605"/>
      <c r="D275" s="605" t="s">
        <v>46</v>
      </c>
      <c r="E275" s="605" t="s">
        <v>46</v>
      </c>
      <c r="F275" s="603"/>
      <c r="G275" s="600"/>
      <c r="H275" s="605" t="s">
        <v>46</v>
      </c>
      <c r="I275" s="605" t="s">
        <v>46</v>
      </c>
      <c r="J275" s="604" t="s">
        <v>46</v>
      </c>
      <c r="K275" s="604"/>
      <c r="L275" s="605" t="s">
        <v>46</v>
      </c>
      <c r="M275" s="604"/>
      <c r="N275" s="643"/>
      <c r="O275" s="600" t="s">
        <v>46</v>
      </c>
      <c r="P275" s="605" t="s">
        <v>46</v>
      </c>
      <c r="Q275" s="605" t="s">
        <v>46</v>
      </c>
      <c r="R275" s="605" t="s">
        <v>46</v>
      </c>
      <c r="S275" s="605" t="s">
        <v>46</v>
      </c>
      <c r="T275" s="603"/>
      <c r="U275" s="600"/>
      <c r="V275" s="604"/>
      <c r="W275" s="604" t="s">
        <v>46</v>
      </c>
      <c r="X275" s="604" t="s">
        <v>46</v>
      </c>
      <c r="Y275" s="600" t="s">
        <v>46</v>
      </c>
      <c r="Z275" s="600" t="s">
        <v>46</v>
      </c>
      <c r="AA275" s="600"/>
      <c r="AB275" s="600"/>
      <c r="AC275" s="600" t="s">
        <v>46</v>
      </c>
      <c r="AD275" s="600" t="s">
        <v>46</v>
      </c>
      <c r="AE275" s="600" t="s">
        <v>46</v>
      </c>
      <c r="AF275" s="600" t="s">
        <v>46</v>
      </c>
      <c r="AG275" s="637" t="s">
        <v>46</v>
      </c>
      <c r="AH275" s="112"/>
      <c r="AI275" s="67"/>
    </row>
    <row r="276" spans="1:35" ht="15.75" customHeight="1" x14ac:dyDescent="0.2">
      <c r="A276" s="1042"/>
      <c r="B276" s="1012" t="s">
        <v>369</v>
      </c>
      <c r="C276" s="818"/>
      <c r="D276" s="818" t="s">
        <v>46</v>
      </c>
      <c r="E276" s="818" t="s">
        <v>46</v>
      </c>
      <c r="F276" s="818"/>
      <c r="G276" s="636"/>
      <c r="H276" s="636" t="s">
        <v>46</v>
      </c>
      <c r="I276" s="636" t="s">
        <v>46</v>
      </c>
      <c r="J276" s="968" t="s">
        <v>46</v>
      </c>
      <c r="K276" s="818"/>
      <c r="L276" s="818" t="s">
        <v>46</v>
      </c>
      <c r="M276" s="818"/>
      <c r="N276" s="636"/>
      <c r="O276" s="636" t="s">
        <v>46</v>
      </c>
      <c r="P276" s="636" t="s">
        <v>46</v>
      </c>
      <c r="Q276" s="818" t="s">
        <v>46</v>
      </c>
      <c r="R276" s="818" t="s">
        <v>46</v>
      </c>
      <c r="S276" s="818" t="s">
        <v>46</v>
      </c>
      <c r="T276" s="818"/>
      <c r="U276" s="636"/>
      <c r="V276" s="636"/>
      <c r="W276" s="636" t="s">
        <v>46</v>
      </c>
      <c r="X276" s="818" t="s">
        <v>46</v>
      </c>
      <c r="Y276" s="818" t="s">
        <v>46</v>
      </c>
      <c r="Z276" s="818" t="s">
        <v>46</v>
      </c>
      <c r="AA276" s="818"/>
      <c r="AB276" s="636"/>
      <c r="AC276" s="636" t="s">
        <v>46</v>
      </c>
      <c r="AD276" s="636" t="s">
        <v>46</v>
      </c>
      <c r="AE276" s="818" t="s">
        <v>46</v>
      </c>
      <c r="AF276" s="818" t="s">
        <v>46</v>
      </c>
      <c r="AG276" s="1041" t="s">
        <v>46</v>
      </c>
      <c r="AH276" s="112"/>
      <c r="AI276" s="67"/>
    </row>
    <row r="277" spans="1:35" ht="15.75" customHeight="1" x14ac:dyDescent="0.2">
      <c r="A277" s="638"/>
      <c r="B277" s="1052"/>
      <c r="C277" s="636"/>
      <c r="D277" s="636"/>
      <c r="E277" s="636"/>
      <c r="F277" s="636"/>
      <c r="G277" s="636"/>
      <c r="H277" s="636"/>
      <c r="I277" s="636"/>
      <c r="J277" s="636"/>
      <c r="K277" s="636"/>
      <c r="L277" s="636"/>
      <c r="M277" s="636"/>
      <c r="N277" s="636"/>
      <c r="O277" s="636"/>
      <c r="P277" s="636"/>
      <c r="Q277" s="636"/>
      <c r="R277" s="636"/>
      <c r="S277" s="636"/>
      <c r="T277" s="636"/>
      <c r="U277" s="636"/>
      <c r="V277" s="636"/>
      <c r="W277" s="636"/>
      <c r="X277" s="636"/>
      <c r="Y277" s="636"/>
      <c r="Z277" s="636"/>
      <c r="AA277" s="636"/>
      <c r="AB277" s="636"/>
      <c r="AC277" s="636"/>
      <c r="AD277" s="636"/>
      <c r="AE277" s="636"/>
      <c r="AF277" s="636"/>
      <c r="AG277" s="1041"/>
      <c r="AH277" s="112"/>
      <c r="AI277" s="67"/>
    </row>
    <row r="278" spans="1:35" ht="15.75" customHeight="1" x14ac:dyDescent="0.2">
      <c r="A278" s="638"/>
      <c r="B278" s="1012"/>
      <c r="C278" s="636"/>
      <c r="D278" s="636"/>
      <c r="E278" s="636"/>
      <c r="F278" s="636"/>
      <c r="G278" s="636"/>
      <c r="H278" s="636"/>
      <c r="I278" s="636"/>
      <c r="J278" s="636"/>
      <c r="K278" s="636"/>
      <c r="L278" s="636"/>
      <c r="M278" s="636"/>
      <c r="N278" s="799"/>
      <c r="O278" s="799"/>
      <c r="P278" s="799"/>
      <c r="Q278" s="800"/>
      <c r="R278" s="799"/>
      <c r="S278" s="636"/>
      <c r="T278" s="636"/>
      <c r="U278" s="799"/>
      <c r="V278" s="799"/>
      <c r="W278" s="799"/>
      <c r="X278" s="636"/>
      <c r="Y278" s="799"/>
      <c r="Z278" s="636"/>
      <c r="AA278" s="636"/>
      <c r="AB278" s="636"/>
      <c r="AC278" s="636"/>
      <c r="AD278" s="636"/>
      <c r="AE278" s="636"/>
      <c r="AF278" s="799"/>
      <c r="AG278" s="1053"/>
      <c r="AH278" s="112"/>
      <c r="AI278" s="67"/>
    </row>
    <row r="279" spans="1:35" ht="15.75" customHeight="1" x14ac:dyDescent="0.2">
      <c r="A279" s="638"/>
      <c r="B279" s="638"/>
      <c r="C279" s="636"/>
      <c r="D279" s="636"/>
      <c r="E279" s="636"/>
      <c r="F279" s="636"/>
      <c r="G279" s="636"/>
      <c r="H279" s="636"/>
      <c r="I279" s="636"/>
      <c r="J279" s="636"/>
      <c r="K279" s="636"/>
      <c r="L279" s="636"/>
      <c r="M279" s="636"/>
      <c r="N279" s="636"/>
      <c r="O279" s="636"/>
      <c r="P279" s="636"/>
      <c r="Q279" s="636"/>
      <c r="R279" s="636"/>
      <c r="S279" s="636"/>
      <c r="T279" s="636"/>
      <c r="U279" s="636"/>
      <c r="V279" s="636"/>
      <c r="W279" s="636"/>
      <c r="X279" s="636"/>
      <c r="Y279" s="636"/>
      <c r="Z279" s="636"/>
      <c r="AA279" s="636"/>
      <c r="AB279" s="636"/>
      <c r="AC279" s="636"/>
      <c r="AD279" s="636"/>
      <c r="AE279" s="636"/>
      <c r="AF279" s="636"/>
      <c r="AG279" s="1041"/>
      <c r="AH279" s="112"/>
      <c r="AI279" s="67"/>
    </row>
    <row r="280" spans="1:35" ht="15.75" customHeight="1" x14ac:dyDescent="0.2">
      <c r="A280" s="638"/>
      <c r="B280" s="638"/>
      <c r="C280" s="636"/>
      <c r="D280" s="636"/>
      <c r="E280" s="636"/>
      <c r="F280" s="636"/>
      <c r="G280" s="636"/>
      <c r="H280" s="1054"/>
      <c r="I280" s="636"/>
      <c r="J280" s="636"/>
      <c r="K280" s="636"/>
      <c r="L280" s="636"/>
      <c r="M280" s="636"/>
      <c r="N280" s="636"/>
      <c r="O280" s="636"/>
      <c r="P280" s="636"/>
      <c r="Q280" s="636"/>
      <c r="R280" s="636"/>
      <c r="S280" s="636"/>
      <c r="T280" s="636"/>
      <c r="U280" s="636"/>
      <c r="V280" s="636"/>
      <c r="W280" s="636"/>
      <c r="X280" s="636"/>
      <c r="Y280" s="636"/>
      <c r="Z280" s="636"/>
      <c r="AA280" s="636"/>
      <c r="AB280" s="636"/>
      <c r="AC280" s="636"/>
      <c r="AD280" s="636"/>
      <c r="AE280" s="636"/>
      <c r="AF280" s="636"/>
      <c r="AG280" s="1055"/>
      <c r="AH280" s="112"/>
      <c r="AI280" s="67"/>
    </row>
    <row r="281" spans="1:35" ht="15.75" customHeight="1" x14ac:dyDescent="0.2">
      <c r="A281" s="1042"/>
      <c r="B281" s="1056"/>
      <c r="C281" s="636"/>
      <c r="D281" s="636"/>
      <c r="E281" s="636"/>
      <c r="F281" s="636"/>
      <c r="G281" s="636"/>
      <c r="H281" s="636"/>
      <c r="I281" s="636"/>
      <c r="J281" s="636"/>
      <c r="K281" s="636"/>
      <c r="L281" s="636"/>
      <c r="M281" s="636"/>
      <c r="N281" s="636"/>
      <c r="O281" s="636"/>
      <c r="P281" s="636"/>
      <c r="Q281" s="636"/>
      <c r="R281" s="636"/>
      <c r="S281" s="636"/>
      <c r="T281" s="636"/>
      <c r="U281" s="636"/>
      <c r="V281" s="636"/>
      <c r="W281" s="636"/>
      <c r="X281" s="636"/>
      <c r="Y281" s="636"/>
      <c r="Z281" s="636"/>
      <c r="AA281" s="636"/>
      <c r="AB281" s="636"/>
      <c r="AC281" s="636"/>
      <c r="AD281" s="636"/>
      <c r="AE281" s="636"/>
      <c r="AF281" s="636"/>
      <c r="AG281" s="1055"/>
      <c r="AH281" s="112"/>
      <c r="AI281" s="67"/>
    </row>
    <row r="282" spans="1:35" ht="15.75" customHeight="1" x14ac:dyDescent="0.2">
      <c r="A282" s="1042"/>
      <c r="B282" s="1057"/>
      <c r="C282" s="636"/>
      <c r="D282" s="636"/>
      <c r="E282" s="636"/>
      <c r="F282" s="636"/>
      <c r="G282" s="636"/>
      <c r="H282" s="636"/>
      <c r="I282" s="636"/>
      <c r="J282" s="636"/>
      <c r="K282" s="636"/>
      <c r="L282" s="636"/>
      <c r="M282" s="636"/>
      <c r="N282" s="636"/>
      <c r="O282" s="636"/>
      <c r="P282" s="636"/>
      <c r="Q282" s="636"/>
      <c r="R282" s="636"/>
      <c r="S282" s="636"/>
      <c r="T282" s="636"/>
      <c r="U282" s="636"/>
      <c r="V282" s="636"/>
      <c r="W282" s="636"/>
      <c r="X282" s="636"/>
      <c r="Y282" s="636"/>
      <c r="Z282" s="636"/>
      <c r="AA282" s="636"/>
      <c r="AB282" s="636"/>
      <c r="AC282" s="636"/>
      <c r="AD282" s="636"/>
      <c r="AE282" s="636"/>
      <c r="AF282" s="636"/>
      <c r="AG282" s="1055"/>
      <c r="AH282" s="112"/>
      <c r="AI282" s="67"/>
    </row>
    <row r="283" spans="1:35" ht="15.75" customHeight="1" x14ac:dyDescent="0.2">
      <c r="A283" s="68"/>
      <c r="B283" s="74"/>
      <c r="C283" s="66"/>
      <c r="D283" s="66"/>
      <c r="E283" s="66"/>
      <c r="F283" s="66"/>
      <c r="G283" s="66"/>
      <c r="H283" s="66"/>
      <c r="I283" s="66"/>
      <c r="J283" s="66"/>
      <c r="L283" s="66"/>
      <c r="M283" s="66"/>
      <c r="N283" s="66"/>
      <c r="O283" s="66"/>
      <c r="P283" s="48"/>
      <c r="Q283" s="48"/>
      <c r="R283" s="48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7"/>
      <c r="AI283" s="67"/>
    </row>
    <row r="284" spans="1:35" ht="15.75" customHeight="1" x14ac:dyDescent="0.2"/>
    <row r="285" spans="1:35" ht="15.75" customHeight="1" x14ac:dyDescent="0.2"/>
    <row r="286" spans="1:35" ht="15.75" customHeight="1" x14ac:dyDescent="0.2"/>
    <row r="287" spans="1:35" ht="15.75" customHeight="1" x14ac:dyDescent="0.2">
      <c r="A287" s="103" t="s">
        <v>370</v>
      </c>
    </row>
    <row r="288" spans="1:35" ht="15.75" customHeight="1" x14ac:dyDescent="0.2">
      <c r="B288" s="1058" t="s">
        <v>340</v>
      </c>
      <c r="C288" s="872"/>
      <c r="D288" s="917" t="s">
        <v>17</v>
      </c>
      <c r="E288" s="465"/>
      <c r="F288" s="866"/>
      <c r="G288" s="872"/>
      <c r="H288" s="917" t="s">
        <v>18</v>
      </c>
      <c r="I288" s="465"/>
      <c r="J288" s="866"/>
      <c r="K288" s="872"/>
      <c r="L288" s="917" t="s">
        <v>19</v>
      </c>
      <c r="M288" s="465"/>
      <c r="N288" s="866"/>
      <c r="O288" s="872"/>
      <c r="P288" s="917" t="s">
        <v>20</v>
      </c>
      <c r="Q288" s="465"/>
      <c r="R288" s="866"/>
      <c r="S288" s="872"/>
      <c r="T288" s="917" t="s">
        <v>21</v>
      </c>
      <c r="U288" s="465"/>
      <c r="V288" s="866"/>
      <c r="W288" s="872"/>
      <c r="X288" s="917" t="s">
        <v>22</v>
      </c>
      <c r="Y288" s="465"/>
      <c r="Z288" s="866"/>
      <c r="AA288" s="872"/>
      <c r="AB288" s="917" t="s">
        <v>23</v>
      </c>
      <c r="AC288" s="465"/>
      <c r="AD288" s="465"/>
      <c r="AE288" s="920" t="s">
        <v>126</v>
      </c>
      <c r="AF288" s="465"/>
      <c r="AG288" s="465"/>
      <c r="AH288" s="465"/>
      <c r="AI288" s="873"/>
    </row>
    <row r="289" spans="1:35" ht="15.75" customHeight="1" x14ac:dyDescent="0.2">
      <c r="B289" s="452"/>
      <c r="C289" s="1059" t="s">
        <v>371</v>
      </c>
      <c r="D289" s="1030"/>
      <c r="E289" s="1060"/>
      <c r="F289" s="1061"/>
      <c r="G289" s="1059" t="s">
        <v>371</v>
      </c>
      <c r="H289" s="1030"/>
      <c r="I289" s="1060"/>
      <c r="J289" s="1061"/>
      <c r="K289" s="1059" t="s">
        <v>371</v>
      </c>
      <c r="L289" s="1030"/>
      <c r="M289" s="1060"/>
      <c r="N289" s="1061"/>
      <c r="O289" s="1059" t="s">
        <v>371</v>
      </c>
      <c r="P289" s="1062"/>
      <c r="Q289" s="1060"/>
      <c r="R289" s="1061"/>
      <c r="S289" s="1063" t="s">
        <v>372</v>
      </c>
      <c r="T289" s="1030"/>
      <c r="U289" s="1060"/>
      <c r="V289" s="1061"/>
      <c r="W289" s="1032"/>
      <c r="X289" s="1030"/>
      <c r="Y289" s="875"/>
      <c r="Z289" s="1031"/>
      <c r="AA289" s="1032"/>
      <c r="AB289" s="1030"/>
      <c r="AC289" s="875"/>
      <c r="AD289" s="875"/>
      <c r="AE289" s="1033"/>
      <c r="AF289" s="875"/>
      <c r="AG289" s="467"/>
      <c r="AH289" s="467"/>
      <c r="AI289" s="1026"/>
    </row>
    <row r="290" spans="1:35" ht="15.75" customHeight="1" x14ac:dyDescent="0.2">
      <c r="A290" s="70"/>
      <c r="B290" s="1064"/>
      <c r="C290" s="970" t="s">
        <v>258</v>
      </c>
      <c r="D290" s="1065"/>
      <c r="E290" s="1060"/>
      <c r="F290" s="1061"/>
      <c r="G290" s="970" t="s">
        <v>258</v>
      </c>
      <c r="H290" s="1030"/>
      <c r="I290" s="1060"/>
      <c r="J290" s="1061"/>
      <c r="K290" s="970" t="s">
        <v>258</v>
      </c>
      <c r="L290" s="1030"/>
      <c r="M290" s="1060"/>
      <c r="N290" s="1061"/>
      <c r="O290" s="970" t="s">
        <v>258</v>
      </c>
      <c r="P290" s="1030"/>
      <c r="Q290" s="1060"/>
      <c r="R290" s="1061"/>
      <c r="S290" s="1059" t="s">
        <v>373</v>
      </c>
      <c r="T290" s="1030"/>
      <c r="U290" s="1060"/>
      <c r="V290" s="1061"/>
      <c r="W290" s="1032"/>
      <c r="X290" s="1030"/>
      <c r="Y290" s="875"/>
      <c r="Z290" s="1031"/>
      <c r="AA290" s="1032"/>
      <c r="AB290" s="1030"/>
      <c r="AC290" s="875"/>
      <c r="AD290" s="875"/>
      <c r="AE290" s="1033"/>
      <c r="AF290" s="875"/>
      <c r="AG290" s="467"/>
      <c r="AH290" s="467"/>
      <c r="AI290" s="1026"/>
    </row>
    <row r="291" spans="1:35" ht="15.75" customHeight="1" x14ac:dyDescent="0.2">
      <c r="B291" s="1064"/>
      <c r="C291" s="970" t="s">
        <v>261</v>
      </c>
      <c r="D291" s="1065"/>
      <c r="E291" s="1060"/>
      <c r="F291" s="1061"/>
      <c r="G291" s="970" t="s">
        <v>261</v>
      </c>
      <c r="H291" s="1030"/>
      <c r="I291" s="1060"/>
      <c r="J291" s="1061"/>
      <c r="K291" s="970" t="s">
        <v>261</v>
      </c>
      <c r="L291" s="1030"/>
      <c r="M291" s="1060"/>
      <c r="N291" s="1061"/>
      <c r="O291" s="970" t="s">
        <v>261</v>
      </c>
      <c r="P291" s="1030"/>
      <c r="Q291" s="1060"/>
      <c r="R291" s="1061"/>
      <c r="S291" s="970" t="s">
        <v>256</v>
      </c>
      <c r="T291" s="1030"/>
      <c r="U291" s="1060"/>
      <c r="V291" s="1061"/>
      <c r="W291" s="1032"/>
      <c r="X291" s="1030"/>
      <c r="Y291" s="875"/>
      <c r="Z291" s="1031"/>
      <c r="AA291" s="1032"/>
      <c r="AB291" s="1030"/>
      <c r="AC291" s="875"/>
      <c r="AD291" s="875"/>
      <c r="AE291" s="1033"/>
      <c r="AF291" s="875"/>
      <c r="AG291" s="467"/>
      <c r="AH291" s="467"/>
      <c r="AI291" s="1026"/>
    </row>
    <row r="292" spans="1:35" ht="15.75" customHeight="1" x14ac:dyDescent="0.2">
      <c r="B292" s="1064"/>
      <c r="C292" s="733"/>
      <c r="D292" s="734"/>
      <c r="E292" s="875"/>
      <c r="F292" s="1031"/>
      <c r="G292" s="733"/>
      <c r="H292" s="734"/>
      <c r="I292" s="875"/>
      <c r="J292" s="1031"/>
      <c r="K292" s="733"/>
      <c r="L292" s="734"/>
      <c r="M292" s="875"/>
      <c r="N292" s="1031"/>
      <c r="O292" s="733"/>
      <c r="P292" s="734"/>
      <c r="Q292" s="875"/>
      <c r="R292" s="1031"/>
      <c r="S292" s="733"/>
      <c r="T292" s="734"/>
      <c r="U292" s="875"/>
      <c r="V292" s="1031"/>
      <c r="W292" s="1032"/>
      <c r="X292" s="1030"/>
      <c r="Y292" s="875"/>
      <c r="Z292" s="1031"/>
      <c r="AA292" s="1032"/>
      <c r="AB292" s="1030"/>
      <c r="AC292" s="875"/>
      <c r="AD292" s="875"/>
      <c r="AE292" s="1033"/>
      <c r="AF292" s="875"/>
      <c r="AG292" s="467"/>
      <c r="AH292" s="467"/>
      <c r="AI292" s="1026"/>
    </row>
    <row r="293" spans="1:35" ht="15.75" customHeight="1" x14ac:dyDescent="0.2">
      <c r="B293" s="1064"/>
      <c r="C293" s="923"/>
      <c r="D293" s="734"/>
      <c r="E293" s="875"/>
      <c r="F293" s="1031"/>
      <c r="G293" s="1030"/>
      <c r="H293" s="1030"/>
      <c r="I293" s="875"/>
      <c r="J293" s="1031"/>
      <c r="K293" s="1030"/>
      <c r="L293" s="1030"/>
      <c r="M293" s="875"/>
      <c r="N293" s="1031"/>
      <c r="O293" s="1030"/>
      <c r="P293" s="1030"/>
      <c r="Q293" s="875"/>
      <c r="R293" s="1031"/>
      <c r="S293" s="1030"/>
      <c r="T293" s="1030"/>
      <c r="U293" s="875"/>
      <c r="V293" s="1031"/>
      <c r="W293" s="1032"/>
      <c r="X293" s="1030"/>
      <c r="Y293" s="875"/>
      <c r="Z293" s="1031"/>
      <c r="AA293" s="1032"/>
      <c r="AB293" s="1030"/>
      <c r="AC293" s="875"/>
      <c r="AD293" s="875"/>
      <c r="AE293" s="1033"/>
      <c r="AF293" s="875"/>
      <c r="AG293" s="467"/>
      <c r="AH293" s="467"/>
      <c r="AI293" s="1026"/>
    </row>
    <row r="294" spans="1:35" ht="15.75" customHeight="1" x14ac:dyDescent="0.2">
      <c r="B294" s="1064" t="s">
        <v>235</v>
      </c>
      <c r="C294" s="923" t="s">
        <v>10</v>
      </c>
      <c r="D294" s="1065"/>
      <c r="E294" s="1060"/>
      <c r="F294" s="1061"/>
      <c r="G294" s="923" t="s">
        <v>10</v>
      </c>
      <c r="H294" s="1065"/>
      <c r="I294" s="1060"/>
      <c r="J294" s="1061"/>
      <c r="K294" s="923" t="s">
        <v>10</v>
      </c>
      <c r="L294" s="1065"/>
      <c r="M294" s="1060"/>
      <c r="N294" s="1061"/>
      <c r="O294" s="923" t="s">
        <v>10</v>
      </c>
      <c r="P294" s="1065"/>
      <c r="Q294" s="1060"/>
      <c r="R294" s="1061"/>
      <c r="S294" s="1030" t="s">
        <v>10</v>
      </c>
      <c r="T294" s="1030"/>
      <c r="U294" s="1060"/>
      <c r="V294" s="1061"/>
      <c r="W294" s="1032"/>
      <c r="X294" s="1030"/>
      <c r="Y294" s="875"/>
      <c r="Z294" s="1031"/>
      <c r="AA294" s="1032"/>
      <c r="AB294" s="1030"/>
      <c r="AC294" s="875"/>
      <c r="AD294" s="875"/>
      <c r="AE294" s="1033"/>
      <c r="AF294" s="875"/>
      <c r="AG294" s="467"/>
      <c r="AH294" s="467"/>
      <c r="AI294" s="1026"/>
    </row>
    <row r="295" spans="1:35" ht="15.75" customHeight="1" x14ac:dyDescent="0.2">
      <c r="B295" s="1064" t="s">
        <v>236</v>
      </c>
      <c r="C295" s="923" t="s">
        <v>10</v>
      </c>
      <c r="D295" s="1065"/>
      <c r="E295" s="1060"/>
      <c r="F295" s="1061"/>
      <c r="G295" s="923" t="s">
        <v>10</v>
      </c>
      <c r="H295" s="1065"/>
      <c r="I295" s="1060"/>
      <c r="J295" s="1061"/>
      <c r="K295" s="923" t="s">
        <v>10</v>
      </c>
      <c r="L295" s="1065"/>
      <c r="M295" s="1060"/>
      <c r="N295" s="1061"/>
      <c r="O295" s="923" t="s">
        <v>10</v>
      </c>
      <c r="P295" s="1065"/>
      <c r="Q295" s="1060"/>
      <c r="R295" s="1061"/>
      <c r="S295" s="1030" t="s">
        <v>10</v>
      </c>
      <c r="T295" s="1030"/>
      <c r="U295" s="1060"/>
      <c r="V295" s="1061"/>
      <c r="W295" s="1032"/>
      <c r="X295" s="1030"/>
      <c r="Y295" s="875"/>
      <c r="Z295" s="1031"/>
      <c r="AA295" s="1032"/>
      <c r="AB295" s="1030"/>
      <c r="AC295" s="875"/>
      <c r="AD295" s="875"/>
      <c r="AE295" s="1033"/>
      <c r="AF295" s="875"/>
      <c r="AG295" s="467"/>
      <c r="AH295" s="467"/>
      <c r="AI295" s="1026"/>
    </row>
    <row r="296" spans="1:35" ht="15.75" customHeight="1" x14ac:dyDescent="0.2">
      <c r="B296" s="1066" t="s">
        <v>243</v>
      </c>
      <c r="C296" s="929" t="s">
        <v>10</v>
      </c>
      <c r="D296" s="1067"/>
      <c r="E296" s="205"/>
      <c r="F296" s="206"/>
      <c r="G296" s="929" t="s">
        <v>10</v>
      </c>
      <c r="H296" s="1067"/>
      <c r="I296" s="205"/>
      <c r="J296" s="206"/>
      <c r="K296" s="929" t="s">
        <v>10</v>
      </c>
      <c r="L296" s="1067"/>
      <c r="M296" s="205"/>
      <c r="N296" s="206"/>
      <c r="O296" s="929" t="s">
        <v>10</v>
      </c>
      <c r="P296" s="1067"/>
      <c r="Q296" s="205"/>
      <c r="R296" s="206"/>
      <c r="S296" s="149" t="s">
        <v>10</v>
      </c>
      <c r="T296" s="149"/>
      <c r="U296" s="205"/>
      <c r="V296" s="206"/>
      <c r="W296" s="200"/>
      <c r="X296" s="149"/>
      <c r="Y296" s="201"/>
      <c r="Z296" s="202"/>
      <c r="AA296" s="203"/>
      <c r="AB296" s="149"/>
      <c r="AC296" s="201"/>
      <c r="AD296" s="201"/>
      <c r="AE296" s="204"/>
      <c r="AF296" s="201"/>
      <c r="AG296" s="199"/>
      <c r="AH296" s="199"/>
      <c r="AI296" s="146"/>
    </row>
    <row r="297" spans="1:35" ht="15.75" customHeight="1" x14ac:dyDescent="0.2">
      <c r="B297" s="37"/>
      <c r="C297" s="42"/>
      <c r="D297" s="5"/>
      <c r="G297" s="42"/>
      <c r="H297" s="5"/>
      <c r="K297" s="42"/>
      <c r="L297" s="5"/>
      <c r="O297" s="42"/>
      <c r="P297" s="5"/>
      <c r="S297" s="42"/>
      <c r="T297" s="42"/>
      <c r="X297" s="42"/>
      <c r="AB297" s="42"/>
      <c r="AE297" s="42"/>
    </row>
    <row r="298" spans="1:35" ht="15.75" customHeight="1" x14ac:dyDescent="0.2">
      <c r="A298" s="1068" t="s">
        <v>374</v>
      </c>
    </row>
    <row r="299" spans="1:35" ht="15.75" customHeight="1" x14ac:dyDescent="0.2">
      <c r="A299" s="432"/>
      <c r="B299" s="687" t="s">
        <v>44</v>
      </c>
      <c r="C299" s="582">
        <v>1</v>
      </c>
      <c r="D299" s="583">
        <v>2</v>
      </c>
      <c r="E299" s="583">
        <v>3</v>
      </c>
      <c r="F299" s="582">
        <v>4</v>
      </c>
      <c r="G299" s="582">
        <v>5</v>
      </c>
      <c r="H299" s="583">
        <v>6</v>
      </c>
      <c r="I299" s="583">
        <v>7</v>
      </c>
      <c r="J299" s="583">
        <v>8</v>
      </c>
      <c r="K299" s="582">
        <v>9</v>
      </c>
      <c r="L299" s="583">
        <v>10</v>
      </c>
      <c r="M299" s="582">
        <v>11</v>
      </c>
      <c r="N299" s="582">
        <v>12</v>
      </c>
      <c r="O299" s="583">
        <v>13</v>
      </c>
      <c r="P299" s="583">
        <v>14</v>
      </c>
      <c r="Q299" s="583">
        <v>15</v>
      </c>
      <c r="R299" s="583">
        <v>16</v>
      </c>
      <c r="S299" s="583">
        <v>17</v>
      </c>
      <c r="T299" s="582">
        <v>18</v>
      </c>
      <c r="U299" s="582">
        <v>19</v>
      </c>
      <c r="V299" s="582">
        <v>20</v>
      </c>
      <c r="W299" s="583">
        <v>21</v>
      </c>
      <c r="X299" s="583">
        <v>22</v>
      </c>
      <c r="Y299" s="583">
        <v>23</v>
      </c>
      <c r="Z299" s="583">
        <v>24</v>
      </c>
      <c r="AA299" s="582">
        <v>25</v>
      </c>
      <c r="AB299" s="582">
        <v>26</v>
      </c>
      <c r="AC299" s="583">
        <v>27</v>
      </c>
      <c r="AD299" s="583">
        <v>28</v>
      </c>
      <c r="AE299" s="583">
        <v>29</v>
      </c>
      <c r="AF299" s="583">
        <v>30</v>
      </c>
      <c r="AG299" s="583">
        <v>31</v>
      </c>
      <c r="AH299" s="110"/>
      <c r="AI299" s="111"/>
    </row>
    <row r="300" spans="1:35" ht="15.75" customHeight="1" x14ac:dyDescent="0.2">
      <c r="A300" s="1069">
        <v>3702</v>
      </c>
      <c r="B300" s="885" t="s">
        <v>375</v>
      </c>
      <c r="C300" s="605"/>
      <c r="D300" s="605" t="s">
        <v>46</v>
      </c>
      <c r="E300" s="605" t="s">
        <v>46</v>
      </c>
      <c r="F300" s="603"/>
      <c r="G300" s="600"/>
      <c r="H300" s="605" t="s">
        <v>46</v>
      </c>
      <c r="I300" s="605" t="s">
        <v>46</v>
      </c>
      <c r="J300" s="604" t="s">
        <v>46</v>
      </c>
      <c r="K300" s="604"/>
      <c r="L300" s="634" t="s">
        <v>46</v>
      </c>
      <c r="M300" s="604"/>
      <c r="N300" s="643"/>
      <c r="O300" s="600" t="s">
        <v>46</v>
      </c>
      <c r="P300" s="605" t="s">
        <v>46</v>
      </c>
      <c r="Q300" s="605" t="s">
        <v>46</v>
      </c>
      <c r="R300" s="605" t="s">
        <v>46</v>
      </c>
      <c r="S300" s="605" t="s">
        <v>46</v>
      </c>
      <c r="T300" s="603"/>
      <c r="U300" s="600"/>
      <c r="V300" s="604"/>
      <c r="W300" s="604" t="s">
        <v>46</v>
      </c>
      <c r="X300" s="604" t="s">
        <v>46</v>
      </c>
      <c r="Y300" s="600" t="s">
        <v>46</v>
      </c>
      <c r="Z300" s="600" t="s">
        <v>46</v>
      </c>
      <c r="AA300" s="600"/>
      <c r="AB300" s="600"/>
      <c r="AC300" s="600" t="s">
        <v>46</v>
      </c>
      <c r="AD300" s="634" t="s">
        <v>46</v>
      </c>
      <c r="AE300" s="600" t="s">
        <v>46</v>
      </c>
      <c r="AF300" s="600" t="s">
        <v>46</v>
      </c>
      <c r="AG300" s="637" t="s">
        <v>46</v>
      </c>
      <c r="AH300" s="115"/>
      <c r="AI300" s="116"/>
    </row>
    <row r="301" spans="1:35" ht="15.75" customHeight="1" x14ac:dyDescent="0.2">
      <c r="A301" s="598"/>
      <c r="B301" s="567"/>
      <c r="C301" s="605"/>
      <c r="D301" s="605"/>
      <c r="E301" s="605"/>
      <c r="F301" s="603"/>
      <c r="G301" s="600"/>
      <c r="H301" s="605"/>
      <c r="I301" s="605"/>
      <c r="J301" s="604"/>
      <c r="K301" s="604"/>
      <c r="L301" s="605"/>
      <c r="M301" s="604"/>
      <c r="N301" s="643"/>
      <c r="O301" s="600"/>
      <c r="P301" s="605"/>
      <c r="Q301" s="605"/>
      <c r="R301" s="605"/>
      <c r="S301" s="605"/>
      <c r="T301" s="603"/>
      <c r="U301" s="600"/>
      <c r="V301" s="604"/>
      <c r="W301" s="604"/>
      <c r="X301" s="604"/>
      <c r="Y301" s="600"/>
      <c r="Z301" s="600"/>
      <c r="AA301" s="600"/>
      <c r="AB301" s="600"/>
      <c r="AC301" s="600"/>
      <c r="AD301" s="600"/>
      <c r="AE301" s="600"/>
      <c r="AF301" s="600"/>
      <c r="AG301" s="637"/>
      <c r="AH301" s="115"/>
      <c r="AI301" s="116"/>
    </row>
    <row r="302" spans="1:35" ht="15.75" customHeight="1" x14ac:dyDescent="0.2">
      <c r="A302" s="1070"/>
      <c r="B302" s="890"/>
      <c r="C302" s="605"/>
      <c r="D302" s="605"/>
      <c r="E302" s="605"/>
      <c r="F302" s="603"/>
      <c r="G302" s="600"/>
      <c r="H302" s="605"/>
      <c r="I302" s="605"/>
      <c r="J302" s="604"/>
      <c r="K302" s="604"/>
      <c r="L302" s="605"/>
      <c r="M302" s="604"/>
      <c r="N302" s="643"/>
      <c r="O302" s="600"/>
      <c r="P302" s="605"/>
      <c r="Q302" s="605"/>
      <c r="R302" s="605"/>
      <c r="S302" s="605"/>
      <c r="T302" s="603"/>
      <c r="U302" s="600"/>
      <c r="V302" s="604"/>
      <c r="W302" s="604"/>
      <c r="X302" s="604"/>
      <c r="Y302" s="600"/>
      <c r="Z302" s="600"/>
      <c r="AA302" s="600"/>
      <c r="AB302" s="600"/>
      <c r="AC302" s="600"/>
      <c r="AD302" s="600"/>
      <c r="AE302" s="600"/>
      <c r="AF302" s="600"/>
      <c r="AG302" s="637"/>
      <c r="AH302" s="115"/>
      <c r="AI302" s="116"/>
    </row>
    <row r="303" spans="1:35" ht="15.75" customHeight="1" x14ac:dyDescent="0.2">
      <c r="A303" s="1071"/>
      <c r="B303" s="1072"/>
      <c r="C303" s="818"/>
      <c r="D303" s="818"/>
      <c r="E303" s="818"/>
      <c r="F303" s="818"/>
      <c r="G303" s="636"/>
      <c r="H303" s="636"/>
      <c r="I303" s="636"/>
      <c r="J303" s="818"/>
      <c r="K303" s="818"/>
      <c r="L303" s="818"/>
      <c r="M303" s="818"/>
      <c r="N303" s="636"/>
      <c r="O303" s="636"/>
      <c r="P303" s="636"/>
      <c r="Q303" s="818"/>
      <c r="R303" s="818"/>
      <c r="S303" s="818"/>
      <c r="T303" s="818"/>
      <c r="U303" s="636"/>
      <c r="V303" s="636"/>
      <c r="W303" s="636"/>
      <c r="X303" s="818"/>
      <c r="Y303" s="818"/>
      <c r="Z303" s="818"/>
      <c r="AA303" s="818"/>
      <c r="AB303" s="636"/>
      <c r="AC303" s="636"/>
      <c r="AD303" s="636"/>
      <c r="AE303" s="818"/>
      <c r="AF303" s="818"/>
      <c r="AG303" s="1041"/>
      <c r="AH303" s="115"/>
      <c r="AI303" s="116"/>
    </row>
    <row r="304" spans="1:35" ht="15.75" customHeight="1" x14ac:dyDescent="0.2">
      <c r="A304" s="1073"/>
      <c r="B304" s="1074" t="s">
        <v>376</v>
      </c>
      <c r="C304" s="592"/>
      <c r="D304" s="592"/>
      <c r="E304" s="592"/>
      <c r="F304" s="592"/>
      <c r="G304" s="592"/>
      <c r="H304" s="592"/>
      <c r="I304" s="592"/>
      <c r="J304" s="592"/>
      <c r="K304" s="592"/>
      <c r="L304" s="592"/>
      <c r="M304" s="592"/>
      <c r="N304" s="592"/>
      <c r="O304" s="592"/>
      <c r="P304" s="592"/>
      <c r="Q304" s="592"/>
      <c r="R304" s="592"/>
      <c r="S304" s="592"/>
      <c r="T304" s="592"/>
      <c r="U304" s="592"/>
      <c r="V304" s="592"/>
      <c r="W304" s="592"/>
      <c r="X304" s="592"/>
      <c r="Y304" s="592"/>
      <c r="Z304" s="592"/>
      <c r="AA304" s="592"/>
      <c r="AB304" s="592"/>
      <c r="AC304" s="592"/>
      <c r="AD304" s="592"/>
      <c r="AE304" s="592"/>
      <c r="AF304" s="592"/>
      <c r="AG304" s="1075"/>
      <c r="AH304" s="113"/>
      <c r="AI304" s="114"/>
    </row>
    <row r="305" spans="1:36" ht="15.75" customHeight="1" x14ac:dyDescent="0.2">
      <c r="A305" s="1070">
        <v>3702</v>
      </c>
      <c r="B305" s="602" t="s">
        <v>377</v>
      </c>
      <c r="C305" s="643"/>
      <c r="D305" s="643" t="s">
        <v>378</v>
      </c>
      <c r="E305" s="643" t="s">
        <v>378</v>
      </c>
      <c r="F305" s="643"/>
      <c r="G305" s="444"/>
      <c r="H305" s="444" t="s">
        <v>378</v>
      </c>
      <c r="I305" s="643" t="s">
        <v>378</v>
      </c>
      <c r="J305" s="643" t="s">
        <v>378</v>
      </c>
      <c r="K305" s="643"/>
      <c r="L305" s="634" t="s">
        <v>378</v>
      </c>
      <c r="M305" s="643"/>
      <c r="N305" s="444"/>
      <c r="O305" s="444" t="s">
        <v>378</v>
      </c>
      <c r="P305" s="643" t="s">
        <v>378</v>
      </c>
      <c r="Q305" s="643" t="s">
        <v>378</v>
      </c>
      <c r="R305" s="643" t="s">
        <v>378</v>
      </c>
      <c r="S305" s="643" t="s">
        <v>378</v>
      </c>
      <c r="T305" s="643"/>
      <c r="U305" s="444"/>
      <c r="V305" s="444"/>
      <c r="W305" s="643" t="s">
        <v>378</v>
      </c>
      <c r="X305" s="643" t="s">
        <v>378</v>
      </c>
      <c r="Y305" s="643" t="s">
        <v>378</v>
      </c>
      <c r="Z305" s="643" t="s">
        <v>378</v>
      </c>
      <c r="AA305" s="643"/>
      <c r="AB305" s="444"/>
      <c r="AC305" s="444" t="s">
        <v>378</v>
      </c>
      <c r="AD305" s="643" t="s">
        <v>378</v>
      </c>
      <c r="AE305" s="643" t="s">
        <v>378</v>
      </c>
      <c r="AF305" s="643" t="s">
        <v>378</v>
      </c>
      <c r="AG305" s="643" t="s">
        <v>378</v>
      </c>
      <c r="AH305" s="115"/>
      <c r="AI305" s="116"/>
    </row>
    <row r="306" spans="1:36" ht="15.75" customHeight="1" x14ac:dyDescent="0.2">
      <c r="A306" s="1070"/>
      <c r="B306" s="602" t="s">
        <v>379</v>
      </c>
      <c r="C306" s="643"/>
      <c r="D306" s="643" t="s">
        <v>380</v>
      </c>
      <c r="E306" s="643" t="s">
        <v>380</v>
      </c>
      <c r="F306" s="643"/>
      <c r="G306" s="643"/>
      <c r="H306" s="643" t="s">
        <v>380</v>
      </c>
      <c r="I306" s="643" t="s">
        <v>380</v>
      </c>
      <c r="J306" s="643" t="s">
        <v>380</v>
      </c>
      <c r="K306" s="643"/>
      <c r="L306" s="634" t="s">
        <v>380</v>
      </c>
      <c r="M306" s="643"/>
      <c r="N306" s="643"/>
      <c r="O306" s="643" t="s">
        <v>380</v>
      </c>
      <c r="P306" s="643" t="s">
        <v>380</v>
      </c>
      <c r="Q306" s="643" t="s">
        <v>380</v>
      </c>
      <c r="R306" s="643" t="s">
        <v>380</v>
      </c>
      <c r="S306" s="643" t="s">
        <v>380</v>
      </c>
      <c r="T306" s="643"/>
      <c r="U306" s="643"/>
      <c r="V306" s="444"/>
      <c r="W306" s="643" t="s">
        <v>380</v>
      </c>
      <c r="X306" s="643" t="s">
        <v>380</v>
      </c>
      <c r="Y306" s="643" t="s">
        <v>380</v>
      </c>
      <c r="Z306" s="643" t="s">
        <v>380</v>
      </c>
      <c r="AA306" s="643"/>
      <c r="AB306" s="643"/>
      <c r="AC306" s="444" t="s">
        <v>380</v>
      </c>
      <c r="AD306" s="643" t="s">
        <v>380</v>
      </c>
      <c r="AE306" s="643" t="s">
        <v>380</v>
      </c>
      <c r="AF306" s="643" t="s">
        <v>380</v>
      </c>
      <c r="AG306" s="643" t="s">
        <v>380</v>
      </c>
      <c r="AH306" s="115"/>
      <c r="AI306" s="116"/>
    </row>
    <row r="307" spans="1:36" ht="15.75" customHeight="1" x14ac:dyDescent="0.2">
      <c r="A307" s="1076"/>
      <c r="B307" s="614" t="s">
        <v>381</v>
      </c>
      <c r="C307" s="653"/>
      <c r="D307" s="653" t="s">
        <v>382</v>
      </c>
      <c r="E307" s="653" t="s">
        <v>382</v>
      </c>
      <c r="F307" s="653"/>
      <c r="G307" s="696"/>
      <c r="H307" s="696" t="s">
        <v>382</v>
      </c>
      <c r="I307" s="653" t="s">
        <v>382</v>
      </c>
      <c r="J307" s="653" t="s">
        <v>382</v>
      </c>
      <c r="K307" s="653"/>
      <c r="L307" s="653" t="s">
        <v>382</v>
      </c>
      <c r="M307" s="653"/>
      <c r="N307" s="696"/>
      <c r="O307" s="696" t="s">
        <v>382</v>
      </c>
      <c r="P307" s="653" t="s">
        <v>382</v>
      </c>
      <c r="Q307" s="653" t="s">
        <v>382</v>
      </c>
      <c r="R307" s="653" t="s">
        <v>382</v>
      </c>
      <c r="S307" s="653" t="s">
        <v>382</v>
      </c>
      <c r="T307" s="653"/>
      <c r="U307" s="696"/>
      <c r="V307" s="696"/>
      <c r="W307" s="653" t="s">
        <v>382</v>
      </c>
      <c r="X307" s="653" t="s">
        <v>382</v>
      </c>
      <c r="Y307" s="653" t="s">
        <v>382</v>
      </c>
      <c r="Z307" s="653" t="s">
        <v>382</v>
      </c>
      <c r="AA307" s="653"/>
      <c r="AB307" s="696"/>
      <c r="AC307" s="696" t="s">
        <v>382</v>
      </c>
      <c r="AD307" s="653" t="s">
        <v>382</v>
      </c>
      <c r="AE307" s="653" t="s">
        <v>382</v>
      </c>
      <c r="AF307" s="653" t="s">
        <v>382</v>
      </c>
      <c r="AG307" s="653" t="s">
        <v>382</v>
      </c>
      <c r="AH307" s="115"/>
      <c r="AI307" s="116"/>
    </row>
    <row r="308" spans="1:36" ht="15.75" customHeight="1" x14ac:dyDescent="0.2"/>
    <row r="309" spans="1:36" ht="15.75" customHeight="1" x14ac:dyDescent="0.2"/>
    <row r="310" spans="1:36" ht="15.75" customHeight="1" x14ac:dyDescent="0.2">
      <c r="A310" s="103" t="s">
        <v>383</v>
      </c>
    </row>
    <row r="311" spans="1:36" ht="15.75" customHeight="1" x14ac:dyDescent="0.2">
      <c r="A311" s="1"/>
      <c r="B311" s="1058" t="s">
        <v>340</v>
      </c>
      <c r="C311" s="872"/>
      <c r="D311" s="917" t="s">
        <v>17</v>
      </c>
      <c r="E311" s="465"/>
      <c r="F311" s="866"/>
      <c r="G311" s="872"/>
      <c r="H311" s="917" t="s">
        <v>18</v>
      </c>
      <c r="I311" s="465"/>
      <c r="J311" s="866"/>
      <c r="K311" s="872"/>
      <c r="L311" s="917" t="s">
        <v>19</v>
      </c>
      <c r="M311" s="465"/>
      <c r="N311" s="866"/>
      <c r="O311" s="872"/>
      <c r="P311" s="917" t="s">
        <v>20</v>
      </c>
      <c r="Q311" s="465"/>
      <c r="R311" s="866"/>
      <c r="S311" s="872"/>
      <c r="T311" s="917" t="s">
        <v>21</v>
      </c>
      <c r="U311" s="465"/>
      <c r="V311" s="866"/>
      <c r="W311" s="872"/>
      <c r="X311" s="917" t="s">
        <v>22</v>
      </c>
      <c r="Y311" s="465"/>
      <c r="Z311" s="866"/>
      <c r="AA311" s="872"/>
      <c r="AB311" s="917" t="s">
        <v>23</v>
      </c>
      <c r="AC311" s="465"/>
      <c r="AD311" s="465"/>
      <c r="AE311" s="920" t="s">
        <v>126</v>
      </c>
      <c r="AF311" s="465"/>
      <c r="AG311" s="465"/>
      <c r="AH311" s="465"/>
      <c r="AI311" s="873"/>
    </row>
    <row r="312" spans="1:36" ht="15.75" customHeight="1" x14ac:dyDescent="0.2">
      <c r="A312" s="1"/>
      <c r="B312" s="452"/>
      <c r="C312" s="457"/>
      <c r="D312" s="1030"/>
      <c r="E312" s="467"/>
      <c r="F312" s="1077"/>
      <c r="G312" s="457"/>
      <c r="H312" s="1030"/>
      <c r="I312" s="467"/>
      <c r="J312" s="1077"/>
      <c r="K312" s="457"/>
      <c r="L312" s="1030"/>
      <c r="M312" s="467"/>
      <c r="N312" s="1077"/>
      <c r="O312" s="457"/>
      <c r="P312" s="1030"/>
      <c r="Q312" s="467"/>
      <c r="R312" s="1077"/>
      <c r="S312" s="457"/>
      <c r="T312" s="1030"/>
      <c r="U312" s="467"/>
      <c r="V312" s="1077"/>
      <c r="W312" s="457"/>
      <c r="X312" s="1030"/>
      <c r="Y312" s="467"/>
      <c r="Z312" s="1077"/>
      <c r="AA312" s="457"/>
      <c r="AB312" s="1030"/>
      <c r="AC312" s="467"/>
      <c r="AD312" s="467"/>
      <c r="AE312" s="1033"/>
      <c r="AF312" s="467"/>
      <c r="AG312" s="467"/>
      <c r="AH312" s="467"/>
      <c r="AI312" s="1026"/>
    </row>
    <row r="313" spans="1:36" ht="15.75" customHeight="1" x14ac:dyDescent="0.2">
      <c r="A313" s="70"/>
      <c r="B313" s="1064"/>
      <c r="C313" s="733"/>
      <c r="D313" s="549"/>
      <c r="E313" s="549"/>
      <c r="F313" s="924"/>
      <c r="G313" s="733"/>
      <c r="H313" s="549"/>
      <c r="I313" s="549"/>
      <c r="J313" s="924"/>
      <c r="K313" s="733"/>
      <c r="L313" s="549"/>
      <c r="M313" s="549"/>
      <c r="N313" s="924"/>
      <c r="O313" s="733"/>
      <c r="P313" s="549"/>
      <c r="Q313" s="549"/>
      <c r="R313" s="924"/>
      <c r="S313" s="733"/>
      <c r="T313" s="549"/>
      <c r="U313" s="549"/>
      <c r="V313" s="924"/>
      <c r="W313" s="733"/>
      <c r="X313" s="549"/>
      <c r="Y313" s="549"/>
      <c r="Z313" s="924"/>
      <c r="AA313" s="923"/>
      <c r="AB313" s="549"/>
      <c r="AC313" s="549"/>
      <c r="AD313" s="734"/>
      <c r="AE313" s="1078"/>
      <c r="AF313" s="549"/>
      <c r="AG313" s="549"/>
      <c r="AH313" s="734"/>
      <c r="AI313" s="877"/>
    </row>
    <row r="314" spans="1:36" ht="15.75" customHeight="1" x14ac:dyDescent="0.2">
      <c r="A314" s="1"/>
      <c r="B314" s="928"/>
      <c r="C314" s="929"/>
      <c r="D314" s="679"/>
      <c r="E314" s="679"/>
      <c r="F314" s="952"/>
      <c r="G314" s="929"/>
      <c r="H314" s="679"/>
      <c r="I314" s="679"/>
      <c r="J314" s="952"/>
      <c r="K314" s="929"/>
      <c r="L314" s="679"/>
      <c r="M314" s="679"/>
      <c r="N314" s="952"/>
      <c r="O314" s="929"/>
      <c r="P314" s="679"/>
      <c r="Q314" s="679"/>
      <c r="R314" s="952"/>
      <c r="S314" s="929"/>
      <c r="T314" s="679"/>
      <c r="U314" s="679"/>
      <c r="V314" s="952"/>
      <c r="W314" s="950"/>
      <c r="X314" s="679"/>
      <c r="Y314" s="679"/>
      <c r="Z314" s="952"/>
      <c r="AA314" s="950"/>
      <c r="AB314" s="679"/>
      <c r="AC314" s="679"/>
      <c r="AD314" s="936"/>
      <c r="AE314" s="950"/>
      <c r="AF314" s="679"/>
      <c r="AG314" s="679"/>
      <c r="AH314" s="936"/>
      <c r="AI314" s="883"/>
    </row>
    <row r="315" spans="1:36" ht="15.75" customHeight="1" x14ac:dyDescent="0.2">
      <c r="A315" s="1"/>
      <c r="B315" s="5"/>
      <c r="C315" s="42"/>
      <c r="F315" s="46"/>
      <c r="G315" s="42"/>
      <c r="J315" s="46"/>
      <c r="K315" s="42"/>
      <c r="N315" s="46"/>
      <c r="O315" s="42"/>
      <c r="R315" s="46"/>
      <c r="S315" s="42"/>
      <c r="V315" s="46"/>
      <c r="W315" s="46"/>
      <c r="Z315" s="46"/>
      <c r="AA315" s="46"/>
      <c r="AD315" s="46"/>
      <c r="AE315" s="46"/>
      <c r="AH315" s="46"/>
    </row>
    <row r="316" spans="1:36" ht="15.75" customHeight="1" x14ac:dyDescent="0.2">
      <c r="A316" s="103" t="s">
        <v>384</v>
      </c>
      <c r="B316" s="5"/>
      <c r="C316" s="42"/>
      <c r="F316" s="46"/>
      <c r="G316" s="42"/>
      <c r="J316" s="46"/>
      <c r="K316" s="42"/>
      <c r="N316" s="46"/>
      <c r="O316" s="42"/>
      <c r="R316" s="46"/>
      <c r="S316" s="42"/>
      <c r="V316" s="46"/>
      <c r="W316" s="46"/>
      <c r="Z316" s="46"/>
      <c r="AA316" s="46"/>
      <c r="AD316" s="46"/>
      <c r="AE316" s="46"/>
      <c r="AH316" s="208"/>
      <c r="AI316" s="123"/>
      <c r="AJ316" s="123"/>
    </row>
    <row r="317" spans="1:36" ht="15.75" customHeight="1" x14ac:dyDescent="0.2">
      <c r="A317" s="432" t="s">
        <v>43</v>
      </c>
      <c r="B317" s="687" t="s">
        <v>44</v>
      </c>
      <c r="C317" s="582">
        <v>1</v>
      </c>
      <c r="D317" s="583">
        <v>2</v>
      </c>
      <c r="E317" s="583">
        <v>3</v>
      </c>
      <c r="F317" s="582">
        <v>4</v>
      </c>
      <c r="G317" s="582">
        <v>5</v>
      </c>
      <c r="H317" s="583">
        <v>6</v>
      </c>
      <c r="I317" s="583">
        <v>7</v>
      </c>
      <c r="J317" s="583">
        <v>8</v>
      </c>
      <c r="K317" s="582">
        <v>9</v>
      </c>
      <c r="L317" s="583">
        <v>10</v>
      </c>
      <c r="M317" s="582">
        <v>11</v>
      </c>
      <c r="N317" s="582">
        <v>12</v>
      </c>
      <c r="O317" s="583">
        <v>13</v>
      </c>
      <c r="P317" s="583">
        <v>14</v>
      </c>
      <c r="Q317" s="583">
        <v>15</v>
      </c>
      <c r="R317" s="583">
        <v>16</v>
      </c>
      <c r="S317" s="583">
        <v>17</v>
      </c>
      <c r="T317" s="582">
        <v>18</v>
      </c>
      <c r="U317" s="582">
        <v>19</v>
      </c>
      <c r="V317" s="582">
        <v>20</v>
      </c>
      <c r="W317" s="583">
        <v>21</v>
      </c>
      <c r="X317" s="583">
        <v>22</v>
      </c>
      <c r="Y317" s="583">
        <v>23</v>
      </c>
      <c r="Z317" s="583">
        <v>24</v>
      </c>
      <c r="AA317" s="582">
        <v>25</v>
      </c>
      <c r="AB317" s="582">
        <v>26</v>
      </c>
      <c r="AC317" s="583">
        <v>27</v>
      </c>
      <c r="AD317" s="583">
        <v>28</v>
      </c>
      <c r="AE317" s="583">
        <v>29</v>
      </c>
      <c r="AF317" s="583">
        <v>30</v>
      </c>
      <c r="AG317" s="583">
        <v>31</v>
      </c>
      <c r="AH317" s="209"/>
      <c r="AI317" s="210"/>
      <c r="AJ317" s="123"/>
    </row>
    <row r="318" spans="1:36" ht="15.75" customHeight="1" x14ac:dyDescent="0.2">
      <c r="A318" s="1079"/>
      <c r="B318" s="1080"/>
      <c r="C318" s="605"/>
      <c r="D318" s="605" t="s">
        <v>46</v>
      </c>
      <c r="E318" s="605" t="s">
        <v>46</v>
      </c>
      <c r="F318" s="603"/>
      <c r="G318" s="600"/>
      <c r="H318" s="605" t="s">
        <v>46</v>
      </c>
      <c r="I318" s="605" t="s">
        <v>46</v>
      </c>
      <c r="J318" s="604" t="s">
        <v>46</v>
      </c>
      <c r="K318" s="604"/>
      <c r="L318" s="605" t="s">
        <v>46</v>
      </c>
      <c r="M318" s="604"/>
      <c r="N318" s="643"/>
      <c r="O318" s="600" t="s">
        <v>46</v>
      </c>
      <c r="P318" s="605" t="s">
        <v>46</v>
      </c>
      <c r="Q318" s="605" t="s">
        <v>46</v>
      </c>
      <c r="R318" s="605" t="s">
        <v>46</v>
      </c>
      <c r="S318" s="605" t="s">
        <v>46</v>
      </c>
      <c r="T318" s="603"/>
      <c r="U318" s="600"/>
      <c r="V318" s="604"/>
      <c r="W318" s="604" t="s">
        <v>46</v>
      </c>
      <c r="X318" s="604" t="s">
        <v>46</v>
      </c>
      <c r="Y318" s="600" t="s">
        <v>46</v>
      </c>
      <c r="Z318" s="600" t="s">
        <v>46</v>
      </c>
      <c r="AA318" s="600"/>
      <c r="AB318" s="600"/>
      <c r="AC318" s="600" t="s">
        <v>46</v>
      </c>
      <c r="AD318" s="600" t="s">
        <v>46</v>
      </c>
      <c r="AE318" s="600" t="s">
        <v>46</v>
      </c>
      <c r="AF318" s="600" t="s">
        <v>46</v>
      </c>
      <c r="AG318" s="637" t="s">
        <v>46</v>
      </c>
      <c r="AH318" s="211"/>
      <c r="AI318" s="212"/>
      <c r="AJ318" s="123"/>
    </row>
    <row r="319" spans="1:36" ht="15.75" customHeight="1" x14ac:dyDescent="0.2">
      <c r="A319" s="1081"/>
      <c r="B319" s="748" t="s">
        <v>385</v>
      </c>
      <c r="C319" s="605"/>
      <c r="D319" s="605" t="s">
        <v>46</v>
      </c>
      <c r="E319" s="605" t="s">
        <v>46</v>
      </c>
      <c r="F319" s="603"/>
      <c r="G319" s="600"/>
      <c r="H319" s="605" t="s">
        <v>46</v>
      </c>
      <c r="I319" s="605" t="s">
        <v>46</v>
      </c>
      <c r="J319" s="604" t="s">
        <v>46</v>
      </c>
      <c r="K319" s="604"/>
      <c r="L319" s="605" t="s">
        <v>46</v>
      </c>
      <c r="M319" s="604"/>
      <c r="N319" s="643"/>
      <c r="O319" s="600" t="s">
        <v>46</v>
      </c>
      <c r="P319" s="605" t="s">
        <v>46</v>
      </c>
      <c r="Q319" s="605" t="s">
        <v>46</v>
      </c>
      <c r="R319" s="605" t="s">
        <v>46</v>
      </c>
      <c r="S319" s="605" t="s">
        <v>46</v>
      </c>
      <c r="T319" s="603"/>
      <c r="U319" s="600"/>
      <c r="V319" s="604"/>
      <c r="W319" s="604" t="s">
        <v>46</v>
      </c>
      <c r="X319" s="604" t="s">
        <v>46</v>
      </c>
      <c r="Y319" s="600" t="s">
        <v>46</v>
      </c>
      <c r="Z319" s="600" t="s">
        <v>46</v>
      </c>
      <c r="AA319" s="600"/>
      <c r="AB319" s="600"/>
      <c r="AC319" s="600" t="s">
        <v>46</v>
      </c>
      <c r="AD319" s="600" t="s">
        <v>46</v>
      </c>
      <c r="AE319" s="600" t="s">
        <v>46</v>
      </c>
      <c r="AF319" s="600" t="s">
        <v>46</v>
      </c>
      <c r="AG319" s="637" t="s">
        <v>46</v>
      </c>
      <c r="AH319" s="211"/>
      <c r="AI319" s="212"/>
      <c r="AJ319" s="123"/>
    </row>
    <row r="320" spans="1:36" ht="15.75" customHeight="1" x14ac:dyDescent="0.2">
      <c r="A320" s="1042"/>
      <c r="B320" s="748" t="s">
        <v>386</v>
      </c>
      <c r="C320" s="605"/>
      <c r="D320" s="605" t="s">
        <v>46</v>
      </c>
      <c r="E320" s="605" t="s">
        <v>46</v>
      </c>
      <c r="F320" s="603"/>
      <c r="G320" s="600"/>
      <c r="H320" s="605" t="s">
        <v>46</v>
      </c>
      <c r="I320" s="605" t="s">
        <v>46</v>
      </c>
      <c r="J320" s="604" t="s">
        <v>46</v>
      </c>
      <c r="K320" s="604"/>
      <c r="L320" s="605" t="s">
        <v>46</v>
      </c>
      <c r="M320" s="604"/>
      <c r="N320" s="643"/>
      <c r="O320" s="600" t="s">
        <v>46</v>
      </c>
      <c r="P320" s="605" t="s">
        <v>46</v>
      </c>
      <c r="Q320" s="605" t="s">
        <v>46</v>
      </c>
      <c r="R320" s="605" t="s">
        <v>46</v>
      </c>
      <c r="S320" s="605" t="s">
        <v>46</v>
      </c>
      <c r="T320" s="603"/>
      <c r="U320" s="600"/>
      <c r="V320" s="604"/>
      <c r="W320" s="604" t="s">
        <v>46</v>
      </c>
      <c r="X320" s="604" t="s">
        <v>46</v>
      </c>
      <c r="Y320" s="600" t="s">
        <v>46</v>
      </c>
      <c r="Z320" s="600" t="s">
        <v>46</v>
      </c>
      <c r="AA320" s="600"/>
      <c r="AB320" s="600"/>
      <c r="AC320" s="600" t="s">
        <v>46</v>
      </c>
      <c r="AD320" s="600" t="s">
        <v>46</v>
      </c>
      <c r="AE320" s="600" t="s">
        <v>46</v>
      </c>
      <c r="AF320" s="600" t="s">
        <v>46</v>
      </c>
      <c r="AG320" s="637" t="s">
        <v>46</v>
      </c>
      <c r="AH320" s="211"/>
      <c r="AI320" s="212"/>
      <c r="AJ320" s="123"/>
    </row>
    <row r="321" spans="1:36" ht="15.75" customHeight="1" x14ac:dyDescent="0.2">
      <c r="A321" s="1042"/>
      <c r="B321" s="748" t="s">
        <v>387</v>
      </c>
      <c r="C321" s="605"/>
      <c r="D321" s="605" t="s">
        <v>46</v>
      </c>
      <c r="E321" s="605" t="s">
        <v>46</v>
      </c>
      <c r="F321" s="603"/>
      <c r="G321" s="600"/>
      <c r="H321" s="605" t="s">
        <v>46</v>
      </c>
      <c r="I321" s="605" t="s">
        <v>46</v>
      </c>
      <c r="J321" s="604" t="s">
        <v>46</v>
      </c>
      <c r="K321" s="604"/>
      <c r="L321" s="605" t="s">
        <v>46</v>
      </c>
      <c r="M321" s="604"/>
      <c r="N321" s="643"/>
      <c r="O321" s="600" t="s">
        <v>46</v>
      </c>
      <c r="P321" s="605" t="s">
        <v>46</v>
      </c>
      <c r="Q321" s="605" t="s">
        <v>46</v>
      </c>
      <c r="R321" s="605" t="s">
        <v>46</v>
      </c>
      <c r="S321" s="605" t="s">
        <v>46</v>
      </c>
      <c r="T321" s="603"/>
      <c r="U321" s="600"/>
      <c r="V321" s="604"/>
      <c r="W321" s="604" t="s">
        <v>46</v>
      </c>
      <c r="X321" s="604" t="s">
        <v>46</v>
      </c>
      <c r="Y321" s="600" t="s">
        <v>46</v>
      </c>
      <c r="Z321" s="600" t="s">
        <v>46</v>
      </c>
      <c r="AA321" s="600"/>
      <c r="AB321" s="600"/>
      <c r="AC321" s="600" t="s">
        <v>46</v>
      </c>
      <c r="AD321" s="600" t="s">
        <v>46</v>
      </c>
      <c r="AE321" s="600" t="s">
        <v>46</v>
      </c>
      <c r="AF321" s="600" t="s">
        <v>46</v>
      </c>
      <c r="AG321" s="637" t="s">
        <v>46</v>
      </c>
      <c r="AH321" s="211"/>
      <c r="AI321" s="212"/>
      <c r="AJ321" s="123"/>
    </row>
    <row r="322" spans="1:36" ht="15.75" customHeight="1" x14ac:dyDescent="0.2">
      <c r="A322" s="1042"/>
      <c r="B322" s="748" t="s">
        <v>388</v>
      </c>
      <c r="C322" s="605"/>
      <c r="D322" s="605" t="s">
        <v>46</v>
      </c>
      <c r="E322" s="605" t="s">
        <v>46</v>
      </c>
      <c r="F322" s="603"/>
      <c r="G322" s="600"/>
      <c r="H322" s="605" t="s">
        <v>46</v>
      </c>
      <c r="I322" s="605" t="s">
        <v>46</v>
      </c>
      <c r="J322" s="604" t="s">
        <v>46</v>
      </c>
      <c r="K322" s="604"/>
      <c r="L322" s="605" t="s">
        <v>46</v>
      </c>
      <c r="M322" s="604"/>
      <c r="N322" s="643"/>
      <c r="O322" s="600" t="s">
        <v>46</v>
      </c>
      <c r="P322" s="605" t="s">
        <v>46</v>
      </c>
      <c r="Q322" s="605" t="s">
        <v>46</v>
      </c>
      <c r="R322" s="605" t="s">
        <v>46</v>
      </c>
      <c r="S322" s="605" t="s">
        <v>46</v>
      </c>
      <c r="T322" s="603"/>
      <c r="U322" s="600"/>
      <c r="V322" s="604"/>
      <c r="W322" s="604" t="s">
        <v>46</v>
      </c>
      <c r="X322" s="604" t="s">
        <v>46</v>
      </c>
      <c r="Y322" s="600" t="s">
        <v>46</v>
      </c>
      <c r="Z322" s="600" t="s">
        <v>46</v>
      </c>
      <c r="AA322" s="600"/>
      <c r="AB322" s="600"/>
      <c r="AC322" s="600" t="s">
        <v>46</v>
      </c>
      <c r="AD322" s="600" t="s">
        <v>46</v>
      </c>
      <c r="AE322" s="600" t="s">
        <v>46</v>
      </c>
      <c r="AF322" s="600" t="s">
        <v>46</v>
      </c>
      <c r="AG322" s="637" t="s">
        <v>46</v>
      </c>
      <c r="AH322" s="211"/>
      <c r="AI322" s="212"/>
      <c r="AJ322" s="123"/>
    </row>
    <row r="323" spans="1:36" ht="15.75" customHeight="1" x14ac:dyDescent="0.2">
      <c r="A323" s="1042"/>
      <c r="B323" s="748" t="s">
        <v>389</v>
      </c>
      <c r="C323" s="605"/>
      <c r="D323" s="605" t="s">
        <v>46</v>
      </c>
      <c r="E323" s="605" t="s">
        <v>46</v>
      </c>
      <c r="F323" s="603"/>
      <c r="G323" s="600"/>
      <c r="H323" s="605" t="s">
        <v>46</v>
      </c>
      <c r="I323" s="605" t="s">
        <v>46</v>
      </c>
      <c r="J323" s="604" t="s">
        <v>46</v>
      </c>
      <c r="K323" s="604"/>
      <c r="L323" s="605" t="s">
        <v>46</v>
      </c>
      <c r="M323" s="604"/>
      <c r="N323" s="643"/>
      <c r="O323" s="600" t="s">
        <v>46</v>
      </c>
      <c r="P323" s="605" t="s">
        <v>46</v>
      </c>
      <c r="Q323" s="605" t="s">
        <v>46</v>
      </c>
      <c r="R323" s="605" t="s">
        <v>46</v>
      </c>
      <c r="S323" s="605" t="s">
        <v>46</v>
      </c>
      <c r="T323" s="603"/>
      <c r="U323" s="600"/>
      <c r="V323" s="604"/>
      <c r="W323" s="604" t="s">
        <v>46</v>
      </c>
      <c r="X323" s="604" t="s">
        <v>46</v>
      </c>
      <c r="Y323" s="600" t="s">
        <v>46</v>
      </c>
      <c r="Z323" s="600" t="s">
        <v>46</v>
      </c>
      <c r="AA323" s="600"/>
      <c r="AB323" s="600"/>
      <c r="AC323" s="600" t="s">
        <v>46</v>
      </c>
      <c r="AD323" s="600" t="s">
        <v>46</v>
      </c>
      <c r="AE323" s="600" t="s">
        <v>46</v>
      </c>
      <c r="AF323" s="600" t="s">
        <v>46</v>
      </c>
      <c r="AG323" s="637" t="s">
        <v>46</v>
      </c>
      <c r="AH323" s="211"/>
      <c r="AI323" s="212"/>
      <c r="AJ323" s="123"/>
    </row>
    <row r="324" spans="1:36" ht="15.75" customHeight="1" x14ac:dyDescent="0.2">
      <c r="A324" s="1042"/>
      <c r="B324" s="748" t="s">
        <v>390</v>
      </c>
      <c r="C324" s="605"/>
      <c r="D324" s="605" t="s">
        <v>46</v>
      </c>
      <c r="E324" s="605" t="s">
        <v>46</v>
      </c>
      <c r="F324" s="603"/>
      <c r="G324" s="600"/>
      <c r="H324" s="605" t="s">
        <v>46</v>
      </c>
      <c r="I324" s="605" t="s">
        <v>46</v>
      </c>
      <c r="J324" s="604" t="s">
        <v>46</v>
      </c>
      <c r="K324" s="604"/>
      <c r="L324" s="605" t="s">
        <v>46</v>
      </c>
      <c r="M324" s="604"/>
      <c r="N324" s="643"/>
      <c r="O324" s="600" t="s">
        <v>46</v>
      </c>
      <c r="P324" s="605" t="s">
        <v>46</v>
      </c>
      <c r="Q324" s="605" t="s">
        <v>46</v>
      </c>
      <c r="R324" s="605" t="s">
        <v>46</v>
      </c>
      <c r="S324" s="605" t="s">
        <v>46</v>
      </c>
      <c r="T324" s="603"/>
      <c r="U324" s="600"/>
      <c r="V324" s="604"/>
      <c r="W324" s="604" t="s">
        <v>46</v>
      </c>
      <c r="X324" s="604" t="s">
        <v>46</v>
      </c>
      <c r="Y324" s="600" t="s">
        <v>46</v>
      </c>
      <c r="Z324" s="600" t="s">
        <v>46</v>
      </c>
      <c r="AA324" s="600"/>
      <c r="AB324" s="600"/>
      <c r="AC324" s="600" t="s">
        <v>46</v>
      </c>
      <c r="AD324" s="600" t="s">
        <v>46</v>
      </c>
      <c r="AE324" s="600" t="s">
        <v>46</v>
      </c>
      <c r="AF324" s="600" t="s">
        <v>46</v>
      </c>
      <c r="AG324" s="637" t="s">
        <v>46</v>
      </c>
      <c r="AH324" s="211"/>
      <c r="AI324" s="212"/>
      <c r="AJ324" s="123"/>
    </row>
    <row r="325" spans="1:36" ht="15.75" customHeight="1" x14ac:dyDescent="0.2">
      <c r="A325" s="1042"/>
      <c r="B325" s="748" t="s">
        <v>391</v>
      </c>
      <c r="C325" s="605"/>
      <c r="D325" s="605" t="s">
        <v>46</v>
      </c>
      <c r="E325" s="605" t="s">
        <v>46</v>
      </c>
      <c r="F325" s="603"/>
      <c r="G325" s="600"/>
      <c r="H325" s="605" t="s">
        <v>46</v>
      </c>
      <c r="I325" s="605" t="s">
        <v>46</v>
      </c>
      <c r="J325" s="604" t="s">
        <v>46</v>
      </c>
      <c r="K325" s="604"/>
      <c r="L325" s="605" t="s">
        <v>46</v>
      </c>
      <c r="M325" s="604"/>
      <c r="N325" s="643"/>
      <c r="O325" s="600" t="s">
        <v>46</v>
      </c>
      <c r="P325" s="605" t="s">
        <v>46</v>
      </c>
      <c r="Q325" s="605" t="s">
        <v>46</v>
      </c>
      <c r="R325" s="605" t="s">
        <v>46</v>
      </c>
      <c r="S325" s="605" t="s">
        <v>46</v>
      </c>
      <c r="T325" s="603"/>
      <c r="U325" s="600"/>
      <c r="V325" s="604"/>
      <c r="W325" s="604" t="s">
        <v>46</v>
      </c>
      <c r="X325" s="604" t="s">
        <v>46</v>
      </c>
      <c r="Y325" s="600" t="s">
        <v>46</v>
      </c>
      <c r="Z325" s="600" t="s">
        <v>46</v>
      </c>
      <c r="AA325" s="600"/>
      <c r="AB325" s="600"/>
      <c r="AC325" s="600" t="s">
        <v>46</v>
      </c>
      <c r="AD325" s="600" t="s">
        <v>46</v>
      </c>
      <c r="AE325" s="600" t="s">
        <v>46</v>
      </c>
      <c r="AF325" s="600" t="s">
        <v>46</v>
      </c>
      <c r="AG325" s="637" t="s">
        <v>46</v>
      </c>
      <c r="AH325" s="211"/>
      <c r="AI325" s="212"/>
      <c r="AJ325" s="123"/>
    </row>
    <row r="326" spans="1:36" ht="15.75" customHeight="1" x14ac:dyDescent="0.2">
      <c r="A326" s="1042"/>
      <c r="B326" s="748" t="s">
        <v>392</v>
      </c>
      <c r="C326" s="605"/>
      <c r="D326" s="605" t="s">
        <v>46</v>
      </c>
      <c r="E326" s="605" t="s">
        <v>46</v>
      </c>
      <c r="F326" s="603"/>
      <c r="G326" s="600"/>
      <c r="H326" s="605" t="s">
        <v>46</v>
      </c>
      <c r="I326" s="605" t="s">
        <v>46</v>
      </c>
      <c r="J326" s="604" t="s">
        <v>46</v>
      </c>
      <c r="K326" s="604"/>
      <c r="L326" s="605" t="s">
        <v>46</v>
      </c>
      <c r="M326" s="604"/>
      <c r="N326" s="643"/>
      <c r="O326" s="600" t="s">
        <v>46</v>
      </c>
      <c r="P326" s="605" t="s">
        <v>46</v>
      </c>
      <c r="Q326" s="605" t="s">
        <v>46</v>
      </c>
      <c r="R326" s="605" t="s">
        <v>46</v>
      </c>
      <c r="S326" s="605" t="s">
        <v>46</v>
      </c>
      <c r="T326" s="603"/>
      <c r="U326" s="600"/>
      <c r="V326" s="604"/>
      <c r="W326" s="604" t="s">
        <v>46</v>
      </c>
      <c r="X326" s="604" t="s">
        <v>46</v>
      </c>
      <c r="Y326" s="600" t="s">
        <v>46</v>
      </c>
      <c r="Z326" s="600" t="s">
        <v>46</v>
      </c>
      <c r="AA326" s="600"/>
      <c r="AB326" s="600"/>
      <c r="AC326" s="600" t="s">
        <v>46</v>
      </c>
      <c r="AD326" s="600" t="s">
        <v>46</v>
      </c>
      <c r="AE326" s="600" t="s">
        <v>46</v>
      </c>
      <c r="AF326" s="600" t="s">
        <v>46</v>
      </c>
      <c r="AG326" s="637" t="s">
        <v>46</v>
      </c>
      <c r="AH326" s="211"/>
      <c r="AI326" s="212"/>
      <c r="AJ326" s="123"/>
    </row>
    <row r="327" spans="1:36" ht="15.75" customHeight="1" x14ac:dyDescent="0.2">
      <c r="A327" s="1042"/>
      <c r="B327" s="748" t="s">
        <v>393</v>
      </c>
      <c r="C327" s="605"/>
      <c r="D327" s="605" t="s">
        <v>46</v>
      </c>
      <c r="E327" s="605" t="s">
        <v>46</v>
      </c>
      <c r="F327" s="603"/>
      <c r="G327" s="600"/>
      <c r="H327" s="605" t="s">
        <v>46</v>
      </c>
      <c r="I327" s="605" t="s">
        <v>46</v>
      </c>
      <c r="J327" s="604" t="s">
        <v>46</v>
      </c>
      <c r="K327" s="604"/>
      <c r="L327" s="605" t="s">
        <v>46</v>
      </c>
      <c r="M327" s="604"/>
      <c r="N327" s="643"/>
      <c r="O327" s="600" t="s">
        <v>46</v>
      </c>
      <c r="P327" s="605" t="s">
        <v>46</v>
      </c>
      <c r="Q327" s="605" t="s">
        <v>46</v>
      </c>
      <c r="R327" s="605" t="s">
        <v>46</v>
      </c>
      <c r="S327" s="605" t="s">
        <v>46</v>
      </c>
      <c r="T327" s="603"/>
      <c r="U327" s="600"/>
      <c r="V327" s="604"/>
      <c r="W327" s="604" t="s">
        <v>46</v>
      </c>
      <c r="X327" s="604" t="s">
        <v>46</v>
      </c>
      <c r="Y327" s="600" t="s">
        <v>46</v>
      </c>
      <c r="Z327" s="600" t="s">
        <v>46</v>
      </c>
      <c r="AA327" s="600"/>
      <c r="AB327" s="600"/>
      <c r="AC327" s="600" t="s">
        <v>46</v>
      </c>
      <c r="AD327" s="600" t="s">
        <v>46</v>
      </c>
      <c r="AE327" s="600" t="s">
        <v>46</v>
      </c>
      <c r="AF327" s="600" t="s">
        <v>46</v>
      </c>
      <c r="AG327" s="637" t="s">
        <v>46</v>
      </c>
      <c r="AH327" s="211"/>
      <c r="AI327" s="212"/>
      <c r="AJ327" s="123"/>
    </row>
    <row r="328" spans="1:36" ht="15.75" customHeight="1" x14ac:dyDescent="0.2">
      <c r="A328" s="1082"/>
      <c r="B328" s="1083" t="s">
        <v>394</v>
      </c>
      <c r="C328" s="605"/>
      <c r="D328" s="605" t="s">
        <v>46</v>
      </c>
      <c r="E328" s="605" t="s">
        <v>46</v>
      </c>
      <c r="F328" s="603"/>
      <c r="G328" s="600"/>
      <c r="H328" s="605" t="s">
        <v>46</v>
      </c>
      <c r="I328" s="605" t="s">
        <v>46</v>
      </c>
      <c r="J328" s="604" t="s">
        <v>46</v>
      </c>
      <c r="K328" s="604"/>
      <c r="L328" s="605" t="s">
        <v>46</v>
      </c>
      <c r="M328" s="604"/>
      <c r="N328" s="643"/>
      <c r="O328" s="600" t="s">
        <v>46</v>
      </c>
      <c r="P328" s="605" t="s">
        <v>46</v>
      </c>
      <c r="Q328" s="605" t="s">
        <v>46</v>
      </c>
      <c r="R328" s="605" t="s">
        <v>46</v>
      </c>
      <c r="S328" s="605" t="s">
        <v>46</v>
      </c>
      <c r="T328" s="603"/>
      <c r="U328" s="600"/>
      <c r="V328" s="604"/>
      <c r="W328" s="604" t="s">
        <v>46</v>
      </c>
      <c r="X328" s="604" t="s">
        <v>46</v>
      </c>
      <c r="Y328" s="600" t="s">
        <v>46</v>
      </c>
      <c r="Z328" s="600" t="s">
        <v>46</v>
      </c>
      <c r="AA328" s="600"/>
      <c r="AB328" s="600"/>
      <c r="AC328" s="600" t="s">
        <v>46</v>
      </c>
      <c r="AD328" s="600" t="s">
        <v>46</v>
      </c>
      <c r="AE328" s="600" t="s">
        <v>46</v>
      </c>
      <c r="AF328" s="600" t="s">
        <v>46</v>
      </c>
      <c r="AG328" s="637" t="s">
        <v>46</v>
      </c>
      <c r="AH328" s="211"/>
      <c r="AI328" s="212"/>
      <c r="AJ328" s="123"/>
    </row>
    <row r="329" spans="1:36" ht="15.75" customHeight="1" x14ac:dyDescent="0.2">
      <c r="A329" s="1042"/>
      <c r="B329" s="748"/>
      <c r="C329" s="636"/>
      <c r="D329" s="813"/>
      <c r="E329" s="636"/>
      <c r="F329" s="636"/>
      <c r="G329" s="636"/>
      <c r="H329" s="636"/>
      <c r="I329" s="636"/>
      <c r="J329" s="636"/>
      <c r="K329" s="636"/>
      <c r="L329" s="636"/>
      <c r="M329" s="636"/>
      <c r="N329" s="636"/>
      <c r="O329" s="636"/>
      <c r="P329" s="636"/>
      <c r="Q329" s="636"/>
      <c r="R329" s="636"/>
      <c r="S329" s="636"/>
      <c r="T329" s="636"/>
      <c r="U329" s="636"/>
      <c r="V329" s="636"/>
      <c r="W329" s="636"/>
      <c r="X329" s="636"/>
      <c r="Y329" s="636"/>
      <c r="Z329" s="636"/>
      <c r="AA329" s="636"/>
      <c r="AB329" s="636"/>
      <c r="AC329" s="636"/>
      <c r="AD329" s="636"/>
      <c r="AE329" s="636"/>
      <c r="AF329" s="636"/>
      <c r="AG329" s="801"/>
      <c r="AH329" s="211"/>
      <c r="AI329" s="212"/>
      <c r="AJ329" s="123"/>
    </row>
    <row r="330" spans="1:36" ht="15.75" customHeight="1" x14ac:dyDescent="0.2">
      <c r="A330" s="1084"/>
      <c r="B330" s="1085"/>
      <c r="C330" s="712"/>
      <c r="D330" s="712"/>
      <c r="E330" s="712"/>
      <c r="F330" s="712"/>
      <c r="G330" s="712"/>
      <c r="H330" s="712"/>
      <c r="I330" s="712"/>
      <c r="J330" s="712"/>
      <c r="K330" s="712"/>
      <c r="L330" s="712"/>
      <c r="M330" s="712"/>
      <c r="N330" s="711"/>
      <c r="O330" s="711"/>
      <c r="P330" s="712"/>
      <c r="Q330" s="712"/>
      <c r="R330" s="712"/>
      <c r="S330" s="712"/>
      <c r="T330" s="712"/>
      <c r="U330" s="712"/>
      <c r="V330" s="712"/>
      <c r="W330" s="712"/>
      <c r="X330" s="712"/>
      <c r="Y330" s="712"/>
      <c r="Z330" s="712"/>
      <c r="AA330" s="712"/>
      <c r="AB330" s="711"/>
      <c r="AC330" s="711"/>
      <c r="AD330" s="712"/>
      <c r="AE330" s="712"/>
      <c r="AF330" s="712"/>
      <c r="AG330" s="1086"/>
      <c r="AH330" s="211"/>
      <c r="AI330" s="213"/>
      <c r="AJ330" s="123"/>
    </row>
    <row r="331" spans="1:36" ht="15.75" customHeight="1" x14ac:dyDescent="0.2">
      <c r="A331" s="1087"/>
      <c r="B331" s="1088"/>
      <c r="C331" s="1089"/>
      <c r="D331" s="783"/>
      <c r="E331" s="783"/>
      <c r="F331" s="783"/>
      <c r="G331" s="783"/>
      <c r="H331" s="783"/>
      <c r="I331" s="783"/>
      <c r="J331" s="783"/>
      <c r="K331" s="783"/>
      <c r="L331" s="783"/>
      <c r="M331" s="783"/>
      <c r="N331" s="785"/>
      <c r="O331" s="785"/>
      <c r="P331" s="783"/>
      <c r="Q331" s="783"/>
      <c r="R331" s="783"/>
      <c r="S331" s="783"/>
      <c r="T331" s="783"/>
      <c r="U331" s="783"/>
      <c r="V331" s="783"/>
      <c r="W331" s="783"/>
      <c r="X331" s="783"/>
      <c r="Y331" s="783"/>
      <c r="Z331" s="783"/>
      <c r="AA331" s="783"/>
      <c r="AB331" s="785"/>
      <c r="AC331" s="785"/>
      <c r="AD331" s="783"/>
      <c r="AE331" s="783"/>
      <c r="AF331" s="783"/>
      <c r="AG331" s="1090"/>
      <c r="AH331" s="211"/>
      <c r="AI331" s="213"/>
      <c r="AJ331" s="123"/>
    </row>
    <row r="332" spans="1:36" x14ac:dyDescent="0.2">
      <c r="AH332" s="123"/>
      <c r="AI332" s="123"/>
      <c r="AJ332" s="123"/>
    </row>
    <row r="333" spans="1:36" x14ac:dyDescent="0.2">
      <c r="AH333" s="123"/>
      <c r="AI333" s="123"/>
      <c r="AJ333" s="123"/>
    </row>
    <row r="334" spans="1:36" x14ac:dyDescent="0.2">
      <c r="AH334" s="123"/>
      <c r="AI334" s="123"/>
      <c r="AJ334" s="123"/>
    </row>
    <row r="335" spans="1:36" x14ac:dyDescent="0.2">
      <c r="AH335" s="123"/>
      <c r="AI335" s="123"/>
      <c r="AJ335" s="123"/>
    </row>
  </sheetData>
  <sheetProtection algorithmName="SHA-512" hashValue="i2asD4RMRWsG+W5dmKqWoTYykzx1lUSyCPAzOmBxfd42TiIbq34NP4jEfJ3W8kvopYWg2Zvc9Z4Gwe5Muf3ZWQ==" saltValue="BzT+DlqcXTFjYVk6QGeyng==" spinCount="100000" sheet="1" objects="1" scenarios="1"/>
  <mergeCells count="1">
    <mergeCell ref="U36:AA36"/>
  </mergeCells>
  <pageMargins left="0.7" right="0.7" top="0.75" bottom="0.75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14"/>
  <dimension ref="A1:AO335"/>
  <sheetViews>
    <sheetView topLeftCell="B44" zoomScaleNormal="100" workbookViewId="0">
      <pane xSplit="1" topLeftCell="C1" activePane="topRight" state="frozen"/>
      <selection activeCell="B248" sqref="B248"/>
      <selection pane="topRight" activeCell="B126" sqref="A126:XFD126"/>
    </sheetView>
  </sheetViews>
  <sheetFormatPr defaultRowHeight="12" x14ac:dyDescent="0.2"/>
  <cols>
    <col min="1" max="1" width="0" hidden="1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9" max="40" width="11.85546875" customWidth="1"/>
  </cols>
  <sheetData>
    <row r="1" spans="1:38" ht="18" customHeight="1" x14ac:dyDescent="0.2">
      <c r="A1" t="s">
        <v>0</v>
      </c>
      <c r="B1" s="1" t="s">
        <v>1</v>
      </c>
    </row>
    <row r="2" spans="1:38" ht="18" customHeight="1" x14ac:dyDescent="0.2">
      <c r="B2" s="1091" t="s">
        <v>2</v>
      </c>
      <c r="C2" s="1092" t="s">
        <v>3</v>
      </c>
      <c r="D2" s="1093"/>
      <c r="E2" s="1094" t="s">
        <v>4</v>
      </c>
      <c r="F2" s="1095"/>
      <c r="G2" s="1096"/>
      <c r="H2" s="1096"/>
      <c r="I2" s="1096"/>
      <c r="J2" s="1096"/>
      <c r="K2" s="1097"/>
      <c r="L2" s="1098" t="s">
        <v>5</v>
      </c>
      <c r="M2" s="1099"/>
      <c r="N2" s="1100"/>
      <c r="O2" s="1101" t="s">
        <v>6</v>
      </c>
      <c r="P2" s="1102"/>
      <c r="Q2" s="1103"/>
      <c r="R2" s="1104"/>
      <c r="S2" s="1105" t="s">
        <v>7</v>
      </c>
      <c r="T2" s="1106"/>
      <c r="U2" s="1107"/>
      <c r="V2" s="1106"/>
      <c r="W2" s="1108" t="s">
        <v>8</v>
      </c>
      <c r="X2" s="1109"/>
      <c r="Y2" s="1110"/>
      <c r="Z2" s="105" t="s">
        <v>9</v>
      </c>
      <c r="AA2" s="1111"/>
      <c r="AB2" s="1112"/>
      <c r="AC2" s="1113"/>
      <c r="AD2" s="1114" t="s">
        <v>10</v>
      </c>
      <c r="AE2" s="1115"/>
      <c r="AF2" s="1115"/>
      <c r="AG2" s="1116"/>
    </row>
    <row r="3" spans="1:38" ht="18" customHeight="1" x14ac:dyDescent="0.2">
      <c r="A3" s="1"/>
      <c r="B3" s="1117" t="s">
        <v>10</v>
      </c>
      <c r="C3" s="1118" t="s">
        <v>10</v>
      </c>
      <c r="D3" s="1119"/>
      <c r="E3" s="543"/>
      <c r="F3" s="544"/>
      <c r="G3" s="544"/>
      <c r="H3" s="545" t="s">
        <v>10</v>
      </c>
      <c r="I3" s="546"/>
      <c r="J3" s="546"/>
      <c r="K3" s="547"/>
      <c r="L3" s="1120" t="s">
        <v>11</v>
      </c>
      <c r="M3" s="1121"/>
      <c r="N3" s="1122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1121"/>
      <c r="AA3" s="1121"/>
      <c r="AB3" s="1124"/>
      <c r="AC3" s="1125"/>
      <c r="AD3" s="1126" t="s">
        <v>13</v>
      </c>
      <c r="AE3" s="1127"/>
      <c r="AF3" s="1127"/>
      <c r="AG3" s="1128"/>
      <c r="AH3" s="1129" t="s">
        <v>14</v>
      </c>
      <c r="AI3" s="1129"/>
      <c r="AJ3" s="1129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1130"/>
      <c r="D5" s="1131" t="s">
        <v>17</v>
      </c>
      <c r="E5" s="1132"/>
      <c r="F5" s="1130"/>
      <c r="G5" s="1131" t="s">
        <v>18</v>
      </c>
      <c r="H5" s="1132"/>
      <c r="I5" s="1130"/>
      <c r="J5" s="1131" t="s">
        <v>19</v>
      </c>
      <c r="K5" s="1132"/>
      <c r="L5" s="1130"/>
      <c r="M5" s="1131" t="s">
        <v>20</v>
      </c>
      <c r="N5" s="1132"/>
      <c r="O5" s="1130"/>
      <c r="P5" s="1131" t="s">
        <v>21</v>
      </c>
      <c r="Q5" s="1132"/>
      <c r="R5" s="1130"/>
      <c r="S5" s="1131" t="s">
        <v>22</v>
      </c>
      <c r="T5" s="1133"/>
      <c r="U5" s="1134"/>
      <c r="V5" s="1135" t="s">
        <v>23</v>
      </c>
      <c r="W5" s="1133"/>
    </row>
    <row r="6" spans="1:38" ht="18" customHeight="1" x14ac:dyDescent="0.2">
      <c r="A6" s="1136"/>
      <c r="B6" s="1137" t="s">
        <v>24</v>
      </c>
      <c r="C6" s="1138" t="s">
        <v>25</v>
      </c>
      <c r="D6" s="1139"/>
      <c r="E6" s="1140"/>
      <c r="F6" s="1141" t="s">
        <v>25</v>
      </c>
      <c r="G6" s="1142"/>
      <c r="H6" s="1142"/>
      <c r="I6" s="1138" t="s">
        <v>26</v>
      </c>
      <c r="J6" s="1142"/>
      <c r="K6" s="1140"/>
      <c r="L6" s="1141" t="s">
        <v>26</v>
      </c>
      <c r="M6" s="1142"/>
      <c r="N6" s="1140"/>
      <c r="O6" s="1141" t="s">
        <v>27</v>
      </c>
      <c r="P6" s="1142"/>
      <c r="Q6" s="1140"/>
      <c r="R6" s="1142"/>
      <c r="S6" s="1142"/>
      <c r="T6" s="1142"/>
      <c r="U6" s="1137"/>
      <c r="V6" s="1142"/>
      <c r="W6" s="1140"/>
      <c r="X6" s="1142"/>
      <c r="Y6" s="1142"/>
      <c r="Z6" s="1142"/>
      <c r="AA6" s="1142"/>
      <c r="AB6" s="1143"/>
      <c r="AC6" s="1140"/>
      <c r="AD6" s="123"/>
      <c r="AE6" s="123"/>
      <c r="AF6" s="123"/>
      <c r="AG6" s="123"/>
    </row>
    <row r="7" spans="1:38" ht="18" customHeight="1" x14ac:dyDescent="0.2">
      <c r="A7" s="1136"/>
      <c r="B7" s="1137" t="s">
        <v>28</v>
      </c>
      <c r="C7" s="1138" t="s">
        <v>29</v>
      </c>
      <c r="D7" s="1142"/>
      <c r="E7" s="1140"/>
      <c r="F7" s="1141" t="s">
        <v>29</v>
      </c>
      <c r="G7" s="1142"/>
      <c r="H7" s="1142"/>
      <c r="I7" s="1138" t="s">
        <v>29</v>
      </c>
      <c r="J7" s="1142"/>
      <c r="K7" s="1140"/>
      <c r="L7" s="1141" t="s">
        <v>29</v>
      </c>
      <c r="M7" s="1142"/>
      <c r="N7" s="1140"/>
      <c r="O7" s="1141" t="s">
        <v>30</v>
      </c>
      <c r="P7" s="1142"/>
      <c r="Q7" s="1140"/>
      <c r="R7" s="1142"/>
      <c r="S7" s="1142"/>
      <c r="T7" s="1142"/>
      <c r="U7" s="1137"/>
      <c r="V7" s="1142"/>
      <c r="W7" s="1140"/>
      <c r="X7" s="1142"/>
      <c r="Y7" s="1142"/>
      <c r="Z7" s="1142"/>
      <c r="AA7" s="1142"/>
      <c r="AB7" s="1144"/>
      <c r="AC7" s="1140"/>
      <c r="AD7" s="123"/>
      <c r="AE7" s="123"/>
      <c r="AF7" s="123"/>
      <c r="AG7" s="123"/>
    </row>
    <row r="8" spans="1:38" ht="18" customHeight="1" x14ac:dyDescent="0.2">
      <c r="A8" s="1137"/>
      <c r="B8" s="1137" t="s">
        <v>31</v>
      </c>
      <c r="C8" s="1145" t="s">
        <v>32</v>
      </c>
      <c r="D8" s="1146"/>
      <c r="E8" s="1147"/>
      <c r="F8" s="1141" t="s">
        <v>33</v>
      </c>
      <c r="G8" s="1146"/>
      <c r="H8" s="1146"/>
      <c r="I8" s="1145" t="s">
        <v>33</v>
      </c>
      <c r="J8" s="1146"/>
      <c r="K8" s="1147"/>
      <c r="L8" s="1141" t="s">
        <v>33</v>
      </c>
      <c r="M8" s="1146"/>
      <c r="N8" s="1146"/>
      <c r="O8" s="1145" t="s">
        <v>34</v>
      </c>
      <c r="P8" s="1146"/>
      <c r="Q8" s="1147"/>
      <c r="R8" s="1148" t="s">
        <v>35</v>
      </c>
      <c r="S8" s="367"/>
      <c r="T8" s="367"/>
      <c r="U8" s="1149" t="s">
        <v>35</v>
      </c>
      <c r="V8" s="367"/>
      <c r="W8" s="1150"/>
      <c r="X8" s="1142"/>
      <c r="Y8" s="1142"/>
      <c r="Z8" s="1142"/>
      <c r="AA8" s="1142"/>
      <c r="AB8" s="1144"/>
      <c r="AC8" s="1140"/>
      <c r="AD8" s="123"/>
      <c r="AE8" s="123"/>
      <c r="AF8" s="123"/>
      <c r="AG8" s="123"/>
    </row>
    <row r="9" spans="1:38" ht="18" customHeight="1" x14ac:dyDescent="0.2">
      <c r="A9" s="1137"/>
      <c r="B9" s="1137" t="s">
        <v>36</v>
      </c>
      <c r="C9" s="1138" t="s">
        <v>37</v>
      </c>
      <c r="D9" s="1146"/>
      <c r="E9" s="1147"/>
      <c r="F9" s="1141" t="s">
        <v>37</v>
      </c>
      <c r="G9" s="1142"/>
      <c r="H9" s="1142"/>
      <c r="I9" s="1138" t="s">
        <v>37</v>
      </c>
      <c r="J9" s="1142"/>
      <c r="K9" s="1140"/>
      <c r="L9" s="1141" t="s">
        <v>37</v>
      </c>
      <c r="M9" s="1142"/>
      <c r="N9" s="1140"/>
      <c r="O9" s="1141" t="s">
        <v>38</v>
      </c>
      <c r="P9" s="1142"/>
      <c r="Q9" s="1140"/>
      <c r="R9" s="1141" t="s">
        <v>39</v>
      </c>
      <c r="S9" s="1142"/>
      <c r="T9" s="1142"/>
      <c r="U9" s="1138" t="s">
        <v>40</v>
      </c>
      <c r="V9" s="1142"/>
      <c r="W9" s="1140"/>
      <c r="X9" s="1142"/>
      <c r="Y9" s="1142"/>
      <c r="Z9" s="1142"/>
      <c r="AA9" s="1142"/>
      <c r="AB9" s="1144"/>
      <c r="AC9" s="1140"/>
      <c r="AD9" s="123"/>
      <c r="AE9" s="123"/>
      <c r="AF9" s="123"/>
      <c r="AG9" s="123"/>
    </row>
    <row r="10" spans="1:38" ht="18" customHeight="1" x14ac:dyDescent="0.2">
      <c r="A10" s="103" t="s">
        <v>10</v>
      </c>
      <c r="AI10" s="123"/>
    </row>
    <row r="11" spans="1:38" ht="18" customHeight="1" x14ac:dyDescent="0.2">
      <c r="A11" s="103" t="s">
        <v>10</v>
      </c>
      <c r="M11" s="122"/>
      <c r="AG11" s="123"/>
      <c r="AH11" s="244"/>
      <c r="AI11" s="210"/>
      <c r="AJ11" s="1151" t="s">
        <v>41</v>
      </c>
    </row>
    <row r="12" spans="1:38" ht="18" customHeight="1" x14ac:dyDescent="0.2">
      <c r="X12" s="276"/>
      <c r="AH12" s="116"/>
      <c r="AI12" s="132"/>
      <c r="AJ12" s="1151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279"/>
    </row>
    <row r="14" spans="1:38" ht="18" customHeight="1" x14ac:dyDescent="0.2">
      <c r="A14" s="1152" t="s">
        <v>43</v>
      </c>
      <c r="B14" s="1153" t="s">
        <v>44</v>
      </c>
      <c r="C14" s="1154">
        <v>1</v>
      </c>
      <c r="D14" s="1154">
        <v>2</v>
      </c>
      <c r="E14" s="1155">
        <v>3</v>
      </c>
      <c r="F14" s="1155">
        <v>4</v>
      </c>
      <c r="G14" s="1154">
        <v>5</v>
      </c>
      <c r="H14" s="1155">
        <v>6</v>
      </c>
      <c r="I14" s="1155">
        <v>7</v>
      </c>
      <c r="J14" s="1154">
        <v>8</v>
      </c>
      <c r="K14" s="1154">
        <v>9</v>
      </c>
      <c r="L14" s="1155">
        <v>10</v>
      </c>
      <c r="M14" s="1155">
        <v>11</v>
      </c>
      <c r="N14" s="1155">
        <v>12</v>
      </c>
      <c r="O14" s="1155">
        <v>13</v>
      </c>
      <c r="P14" s="1155">
        <v>14</v>
      </c>
      <c r="Q14" s="1154">
        <v>15</v>
      </c>
      <c r="R14" s="1154">
        <v>16</v>
      </c>
      <c r="S14" s="1155">
        <v>17</v>
      </c>
      <c r="T14" s="1155">
        <v>18</v>
      </c>
      <c r="U14" s="1155">
        <v>19</v>
      </c>
      <c r="V14" s="1155">
        <v>20</v>
      </c>
      <c r="W14" s="1155">
        <v>21</v>
      </c>
      <c r="X14" s="1154">
        <v>22</v>
      </c>
      <c r="Y14" s="1154">
        <v>23</v>
      </c>
      <c r="Z14" s="1155">
        <v>24</v>
      </c>
      <c r="AA14" s="1155">
        <v>25</v>
      </c>
      <c r="AB14" s="1155">
        <v>26</v>
      </c>
      <c r="AC14" s="1155">
        <v>27</v>
      </c>
      <c r="AD14" s="1155">
        <v>28</v>
      </c>
      <c r="AE14" s="1154">
        <v>29</v>
      </c>
      <c r="AF14" s="1154">
        <v>30</v>
      </c>
      <c r="AG14" s="1156"/>
      <c r="AH14" s="116"/>
      <c r="AI14" s="132"/>
    </row>
    <row r="15" spans="1:38" ht="18" customHeight="1" x14ac:dyDescent="0.2">
      <c r="A15" s="1157">
        <v>8500</v>
      </c>
      <c r="B15" s="1158" t="s">
        <v>45</v>
      </c>
      <c r="C15" s="1159"/>
      <c r="D15" s="1160"/>
      <c r="E15" s="1161" t="s">
        <v>46</v>
      </c>
      <c r="F15" s="1161" t="s">
        <v>46</v>
      </c>
      <c r="G15" s="1162"/>
      <c r="H15" s="1162" t="s">
        <v>46</v>
      </c>
      <c r="I15" s="1162" t="s">
        <v>46</v>
      </c>
      <c r="J15" s="1162"/>
      <c r="K15" s="1163" t="s">
        <v>46</v>
      </c>
      <c r="L15" s="1164" t="s">
        <v>46</v>
      </c>
      <c r="M15" s="1161" t="s">
        <v>46</v>
      </c>
      <c r="N15" s="1161" t="s">
        <v>46</v>
      </c>
      <c r="O15" s="1161" t="s">
        <v>46</v>
      </c>
      <c r="P15" s="1161" t="s">
        <v>46</v>
      </c>
      <c r="Q15" s="1161"/>
      <c r="R15" s="1161"/>
      <c r="S15" s="1161" t="s">
        <v>46</v>
      </c>
      <c r="T15" s="1161" t="s">
        <v>46</v>
      </c>
      <c r="U15" s="1161" t="s">
        <v>46</v>
      </c>
      <c r="V15" s="1161" t="s">
        <v>46</v>
      </c>
      <c r="W15" s="1161" t="s">
        <v>46</v>
      </c>
      <c r="X15" s="1161"/>
      <c r="Y15" s="1161"/>
      <c r="Z15" s="1161" t="s">
        <v>46</v>
      </c>
      <c r="AA15" s="1165" t="s">
        <v>46</v>
      </c>
      <c r="AB15" s="1161" t="s">
        <v>46</v>
      </c>
      <c r="AC15" s="1166" t="s">
        <v>46</v>
      </c>
      <c r="AD15" s="1161" t="s">
        <v>46</v>
      </c>
      <c r="AE15" s="1159"/>
      <c r="AF15" s="1161"/>
      <c r="AG15" s="1167"/>
      <c r="AH15" s="116"/>
      <c r="AI15" s="132"/>
      <c r="AL15" t="s">
        <v>0</v>
      </c>
    </row>
    <row r="16" spans="1:38" ht="18" customHeight="1" x14ac:dyDescent="0.2">
      <c r="A16" s="1168" t="s">
        <v>47</v>
      </c>
      <c r="B16" s="1169"/>
      <c r="C16" s="1169"/>
      <c r="D16" s="1169"/>
      <c r="E16" s="1169"/>
      <c r="F16" s="1169"/>
      <c r="G16" s="1169"/>
      <c r="H16" s="1169"/>
      <c r="I16" s="1169"/>
      <c r="J16" s="1169"/>
      <c r="K16" s="1169"/>
      <c r="L16" s="1169"/>
      <c r="M16" s="1169"/>
      <c r="N16" s="1169"/>
      <c r="O16" s="1169"/>
      <c r="P16" s="1169"/>
      <c r="Q16" s="1169"/>
      <c r="R16" s="1169"/>
      <c r="S16" s="1169"/>
      <c r="T16" s="1169"/>
      <c r="U16" s="1169"/>
      <c r="V16" s="1169"/>
      <c r="W16" s="1169"/>
      <c r="X16" s="1169"/>
      <c r="Y16" s="1169"/>
      <c r="Z16" s="1169"/>
      <c r="AA16" s="1169"/>
      <c r="AB16" s="1169"/>
      <c r="AC16" s="1169"/>
      <c r="AD16" s="1169"/>
      <c r="AE16" s="1169"/>
      <c r="AF16" s="1169"/>
      <c r="AG16" s="1169"/>
      <c r="AH16" s="116"/>
      <c r="AI16" s="132"/>
    </row>
    <row r="17" spans="1:41" ht="18" customHeight="1" x14ac:dyDescent="0.2">
      <c r="A17" s="1170">
        <v>8546</v>
      </c>
      <c r="B17" s="594" t="s">
        <v>48</v>
      </c>
      <c r="C17" s="595"/>
      <c r="D17" s="595"/>
      <c r="E17" s="595" t="s">
        <v>50</v>
      </c>
      <c r="F17" s="595" t="s">
        <v>50</v>
      </c>
      <c r="G17" s="595" t="s">
        <v>50</v>
      </c>
      <c r="H17" s="595" t="s">
        <v>50</v>
      </c>
      <c r="I17" s="595" t="s">
        <v>50</v>
      </c>
      <c r="J17" s="595" t="s">
        <v>0</v>
      </c>
      <c r="K17" s="595"/>
      <c r="L17" s="595" t="s">
        <v>51</v>
      </c>
      <c r="M17" s="595" t="s">
        <v>51</v>
      </c>
      <c r="N17" s="595" t="s">
        <v>51</v>
      </c>
      <c r="O17" s="595" t="s">
        <v>51</v>
      </c>
      <c r="P17" s="596" t="s">
        <v>51</v>
      </c>
      <c r="Q17" s="595" t="s">
        <v>52</v>
      </c>
      <c r="R17" s="595" t="s">
        <v>52</v>
      </c>
      <c r="S17" s="597" t="s">
        <v>50</v>
      </c>
      <c r="T17" s="597" t="s">
        <v>50</v>
      </c>
      <c r="U17" s="597" t="s">
        <v>50</v>
      </c>
      <c r="V17" s="595" t="s">
        <v>50</v>
      </c>
      <c r="W17" s="596" t="s">
        <v>50</v>
      </c>
      <c r="X17" s="597" t="s">
        <v>53</v>
      </c>
      <c r="Y17" s="595" t="s">
        <v>53</v>
      </c>
      <c r="Z17" s="595" t="s">
        <v>49</v>
      </c>
      <c r="AA17" s="595" t="s">
        <v>49</v>
      </c>
      <c r="AB17" s="596" t="s">
        <v>49</v>
      </c>
      <c r="AC17" s="595" t="s">
        <v>49</v>
      </c>
      <c r="AD17" s="595" t="s">
        <v>49</v>
      </c>
      <c r="AE17" s="595"/>
      <c r="AF17" s="595"/>
      <c r="AG17" s="1171"/>
      <c r="AH17" s="116"/>
      <c r="AI17" s="132"/>
    </row>
    <row r="18" spans="1:41" ht="18" customHeight="1" x14ac:dyDescent="0.2">
      <c r="A18" s="1172">
        <v>8500</v>
      </c>
      <c r="B18" s="1173" t="s">
        <v>54</v>
      </c>
      <c r="C18" s="1174"/>
      <c r="D18" s="1175">
        <v>21</v>
      </c>
      <c r="E18" s="1174" t="s">
        <v>51</v>
      </c>
      <c r="F18" s="1174" t="s">
        <v>51</v>
      </c>
      <c r="G18" s="1174" t="s">
        <v>51</v>
      </c>
      <c r="H18" s="1174" t="s">
        <v>51</v>
      </c>
      <c r="I18" s="1174" t="s">
        <v>51</v>
      </c>
      <c r="J18" s="1174" t="s">
        <v>52</v>
      </c>
      <c r="K18" s="1174" t="s">
        <v>52</v>
      </c>
      <c r="L18" s="1174" t="s">
        <v>50</v>
      </c>
      <c r="M18" s="1174" t="s">
        <v>50</v>
      </c>
      <c r="N18" s="1174" t="s">
        <v>50</v>
      </c>
      <c r="O18" s="1174" t="s">
        <v>50</v>
      </c>
      <c r="P18" s="1176" t="s">
        <v>50</v>
      </c>
      <c r="Q18" s="1174" t="s">
        <v>53</v>
      </c>
      <c r="R18" s="1174" t="s">
        <v>53</v>
      </c>
      <c r="S18" s="1174" t="s">
        <v>49</v>
      </c>
      <c r="T18" s="1174" t="s">
        <v>49</v>
      </c>
      <c r="U18" s="1174" t="s">
        <v>49</v>
      </c>
      <c r="V18" s="1174" t="s">
        <v>49</v>
      </c>
      <c r="W18" s="1174" t="s">
        <v>49</v>
      </c>
      <c r="X18" s="1174"/>
      <c r="Y18" s="1174"/>
      <c r="Z18" s="1174" t="s">
        <v>50</v>
      </c>
      <c r="AA18" s="1174" t="s">
        <v>50</v>
      </c>
      <c r="AB18" s="1176" t="s">
        <v>50</v>
      </c>
      <c r="AC18" s="1174" t="s">
        <v>50</v>
      </c>
      <c r="AD18" s="1174" t="s">
        <v>50</v>
      </c>
      <c r="AE18" s="1174"/>
      <c r="AF18" s="1174"/>
      <c r="AG18" s="1177"/>
      <c r="AH18" s="116"/>
      <c r="AI18" s="132"/>
    </row>
    <row r="19" spans="1:41" ht="18" customHeight="1" x14ac:dyDescent="0.2">
      <c r="A19" s="1172">
        <v>8500</v>
      </c>
      <c r="B19" s="1178" t="s">
        <v>55</v>
      </c>
      <c r="C19" s="1179" t="s">
        <v>52</v>
      </c>
      <c r="D19" s="1180" t="s">
        <v>52</v>
      </c>
      <c r="E19" s="1180" t="s">
        <v>50</v>
      </c>
      <c r="F19" s="1180" t="s">
        <v>50</v>
      </c>
      <c r="G19" s="1180" t="s">
        <v>50</v>
      </c>
      <c r="H19" s="1181" t="s">
        <v>50</v>
      </c>
      <c r="I19" s="1180" t="s">
        <v>50</v>
      </c>
      <c r="J19" s="1179" t="s">
        <v>53</v>
      </c>
      <c r="K19" s="1179" t="s">
        <v>53</v>
      </c>
      <c r="L19" s="1179" t="s">
        <v>49</v>
      </c>
      <c r="M19" s="1179" t="s">
        <v>49</v>
      </c>
      <c r="N19" s="1179" t="s">
        <v>49</v>
      </c>
      <c r="O19" s="1180" t="s">
        <v>49</v>
      </c>
      <c r="P19" s="1176" t="s">
        <v>49</v>
      </c>
      <c r="Q19" s="1180"/>
      <c r="R19" s="1180"/>
      <c r="S19" s="1180" t="s">
        <v>50</v>
      </c>
      <c r="T19" s="1180" t="s">
        <v>50</v>
      </c>
      <c r="U19" s="1180" t="s">
        <v>50</v>
      </c>
      <c r="V19" s="1182" t="s">
        <v>50</v>
      </c>
      <c r="W19" s="1180" t="s">
        <v>50</v>
      </c>
      <c r="X19" s="1180"/>
      <c r="Y19" s="1180"/>
      <c r="Z19" s="1176" t="s">
        <v>51</v>
      </c>
      <c r="AA19" s="1180" t="s">
        <v>51</v>
      </c>
      <c r="AB19" s="1179" t="s">
        <v>51</v>
      </c>
      <c r="AC19" s="1179" t="s">
        <v>51</v>
      </c>
      <c r="AD19" s="1179" t="s">
        <v>51</v>
      </c>
      <c r="AE19" s="1179" t="s">
        <v>52</v>
      </c>
      <c r="AF19" s="1180" t="s">
        <v>52</v>
      </c>
      <c r="AG19" s="1183"/>
      <c r="AH19" s="114"/>
      <c r="AI19" s="279"/>
      <c r="AJ19" s="241"/>
      <c r="AK19" s="241"/>
      <c r="AL19" s="241"/>
      <c r="AM19" s="241"/>
      <c r="AN19" s="241"/>
    </row>
    <row r="20" spans="1:41" ht="18" customHeight="1" thickBot="1" x14ac:dyDescent="0.25">
      <c r="A20" s="1172">
        <v>8546</v>
      </c>
      <c r="B20" s="1178" t="s">
        <v>57</v>
      </c>
      <c r="C20" s="1179" t="s">
        <v>53</v>
      </c>
      <c r="D20" s="1179" t="s">
        <v>53</v>
      </c>
      <c r="E20" s="1179" t="s">
        <v>49</v>
      </c>
      <c r="F20" s="1174" t="s">
        <v>49</v>
      </c>
      <c r="G20" s="1174" t="s">
        <v>49</v>
      </c>
      <c r="H20" s="1180" t="s">
        <v>49</v>
      </c>
      <c r="I20" s="1180" t="s">
        <v>49</v>
      </c>
      <c r="J20" s="1180"/>
      <c r="K20" s="1180"/>
      <c r="L20" s="1180" t="s">
        <v>50</v>
      </c>
      <c r="M20" s="1180" t="s">
        <v>50</v>
      </c>
      <c r="N20" s="1184" t="s">
        <v>50</v>
      </c>
      <c r="O20" s="1180" t="s">
        <v>50</v>
      </c>
      <c r="P20" s="1181" t="s">
        <v>50</v>
      </c>
      <c r="Q20" s="1185"/>
      <c r="R20" s="1185"/>
      <c r="S20" s="1186" t="s">
        <v>51</v>
      </c>
      <c r="T20" s="1186" t="s">
        <v>51</v>
      </c>
      <c r="U20" s="1186" t="s">
        <v>51</v>
      </c>
      <c r="V20" s="1186" t="s">
        <v>51</v>
      </c>
      <c r="W20" s="1186" t="s">
        <v>51</v>
      </c>
      <c r="X20" s="1186" t="s">
        <v>52</v>
      </c>
      <c r="Y20" s="1186" t="s">
        <v>52</v>
      </c>
      <c r="Z20" s="1186" t="s">
        <v>50</v>
      </c>
      <c r="AA20" s="1186" t="s">
        <v>50</v>
      </c>
      <c r="AB20" s="1186" t="s">
        <v>50</v>
      </c>
      <c r="AC20" s="1186" t="s">
        <v>50</v>
      </c>
      <c r="AD20" s="1186" t="s">
        <v>50</v>
      </c>
      <c r="AE20" s="1186" t="s">
        <v>53</v>
      </c>
      <c r="AF20" s="1186" t="s">
        <v>53</v>
      </c>
      <c r="AG20" s="1183"/>
      <c r="AH20" s="116"/>
      <c r="AI20" s="132"/>
      <c r="AJ20" s="123"/>
      <c r="AK20" s="123"/>
      <c r="AL20" s="123"/>
      <c r="AM20" s="215"/>
      <c r="AN20" s="215"/>
    </row>
    <row r="21" spans="1:41" ht="18" customHeight="1" x14ac:dyDescent="0.2">
      <c r="A21" s="1172">
        <v>8546</v>
      </c>
      <c r="B21" s="1178" t="s">
        <v>58</v>
      </c>
      <c r="C21" s="1182"/>
      <c r="D21" s="1182"/>
      <c r="E21" s="1187" t="s">
        <v>28</v>
      </c>
      <c r="F21" s="1187" t="s">
        <v>28</v>
      </c>
      <c r="G21" s="1187" t="s">
        <v>28</v>
      </c>
      <c r="H21" s="1180" t="s">
        <v>28</v>
      </c>
      <c r="I21" s="1181" t="s">
        <v>28</v>
      </c>
      <c r="J21" s="1180"/>
      <c r="K21" s="1163" t="s">
        <v>46</v>
      </c>
      <c r="L21" s="1164" t="s">
        <v>46</v>
      </c>
      <c r="M21" s="1188" t="s">
        <v>24</v>
      </c>
      <c r="N21" s="1188" t="s">
        <v>24</v>
      </c>
      <c r="O21" s="1188" t="s">
        <v>24</v>
      </c>
      <c r="P21" s="1180" t="s">
        <v>24</v>
      </c>
      <c r="Q21" s="1181"/>
      <c r="R21" s="1180"/>
      <c r="S21" s="1179" t="s">
        <v>28</v>
      </c>
      <c r="T21" s="1180" t="s">
        <v>28</v>
      </c>
      <c r="U21" s="1180" t="s">
        <v>28</v>
      </c>
      <c r="V21" s="1189" t="s">
        <v>28</v>
      </c>
      <c r="W21" s="1180" t="s">
        <v>28</v>
      </c>
      <c r="X21" s="1180"/>
      <c r="Y21" s="1180"/>
      <c r="Z21" s="1186" t="s">
        <v>24</v>
      </c>
      <c r="AA21" s="1186" t="s">
        <v>24</v>
      </c>
      <c r="AB21" s="1186" t="s">
        <v>24</v>
      </c>
      <c r="AC21" s="1190" t="s">
        <v>24</v>
      </c>
      <c r="AD21" s="1186" t="s">
        <v>24</v>
      </c>
      <c r="AE21" s="1186"/>
      <c r="AF21" s="1186"/>
      <c r="AG21" s="1183"/>
      <c r="AH21" s="116"/>
      <c r="AI21" s="132"/>
      <c r="AJ21" s="123"/>
      <c r="AK21" s="123"/>
      <c r="AL21" s="123"/>
      <c r="AM21" s="215"/>
      <c r="AN21" s="215"/>
    </row>
    <row r="22" spans="1:41" ht="18" customHeight="1" thickBot="1" x14ac:dyDescent="0.25">
      <c r="A22" s="1191">
        <v>8546</v>
      </c>
      <c r="B22" s="1192" t="s">
        <v>59</v>
      </c>
      <c r="C22" s="1193"/>
      <c r="D22" s="1194"/>
      <c r="E22" s="1195" t="s">
        <v>24</v>
      </c>
      <c r="F22" s="1195" t="s">
        <v>24</v>
      </c>
      <c r="G22" s="1193" t="s">
        <v>24</v>
      </c>
      <c r="H22" s="1193" t="s">
        <v>24</v>
      </c>
      <c r="I22" s="1193" t="s">
        <v>24</v>
      </c>
      <c r="J22" s="1193"/>
      <c r="K22" s="1196"/>
      <c r="L22" s="1193" t="s">
        <v>24</v>
      </c>
      <c r="M22" s="1193" t="s">
        <v>28</v>
      </c>
      <c r="N22" s="1193" t="s">
        <v>28</v>
      </c>
      <c r="O22" s="1197" t="s">
        <v>28</v>
      </c>
      <c r="P22" s="1198" t="s">
        <v>28</v>
      </c>
      <c r="Q22" s="1198"/>
      <c r="R22" s="1198"/>
      <c r="S22" s="1198" t="s">
        <v>24</v>
      </c>
      <c r="T22" s="1198" t="s">
        <v>24</v>
      </c>
      <c r="U22" s="1193" t="s">
        <v>24</v>
      </c>
      <c r="V22" s="1193" t="s">
        <v>24</v>
      </c>
      <c r="W22" s="1193" t="s">
        <v>24</v>
      </c>
      <c r="X22" s="1199" t="s">
        <v>0</v>
      </c>
      <c r="Y22" s="1193" t="s">
        <v>0</v>
      </c>
      <c r="Z22" s="1200" t="s">
        <v>28</v>
      </c>
      <c r="AA22" s="1200" t="s">
        <v>28</v>
      </c>
      <c r="AB22" s="1200" t="s">
        <v>28</v>
      </c>
      <c r="AC22" s="1201" t="s">
        <v>28</v>
      </c>
      <c r="AD22" s="1201" t="s">
        <v>28</v>
      </c>
      <c r="AE22" s="1193"/>
      <c r="AF22" s="1194"/>
      <c r="AG22" s="1202"/>
      <c r="AH22" s="116"/>
      <c r="AI22" s="132"/>
      <c r="AJ22" s="123"/>
      <c r="AK22" s="123"/>
      <c r="AL22" s="123"/>
      <c r="AM22" s="215"/>
      <c r="AN22" s="215"/>
    </row>
    <row r="23" spans="1:41" ht="18" customHeight="1" thickBot="1" x14ac:dyDescent="0.25">
      <c r="A23" s="1203" t="s">
        <v>60</v>
      </c>
      <c r="B23" s="1204"/>
      <c r="C23" s="1204"/>
      <c r="D23" s="1204"/>
      <c r="E23" s="1204"/>
      <c r="F23" s="1204"/>
      <c r="G23" s="1204"/>
      <c r="H23" s="1204"/>
      <c r="I23" s="1204"/>
      <c r="J23" s="1204"/>
      <c r="K23" s="1204"/>
      <c r="L23" s="1204"/>
      <c r="M23" s="1204"/>
      <c r="N23" s="1204"/>
      <c r="O23" s="1204"/>
      <c r="P23" s="1204"/>
      <c r="Q23" s="1204"/>
      <c r="R23" s="1204"/>
      <c r="S23" s="1204"/>
      <c r="T23" s="1204"/>
      <c r="U23" s="1204"/>
      <c r="V23" s="1204"/>
      <c r="W23" s="1204"/>
      <c r="X23" s="1204"/>
      <c r="Y23" s="1204"/>
      <c r="Z23" s="1204"/>
      <c r="AA23" s="1204"/>
      <c r="AB23" s="1204"/>
      <c r="AC23" s="1204"/>
      <c r="AD23" s="1204"/>
      <c r="AE23" s="1204"/>
      <c r="AF23" s="1204"/>
      <c r="AG23" s="1204"/>
      <c r="AI23" s="123"/>
      <c r="AJ23" s="123"/>
      <c r="AK23" s="123"/>
      <c r="AL23" s="123"/>
      <c r="AM23" s="215"/>
      <c r="AN23" s="215"/>
    </row>
    <row r="24" spans="1:41" ht="18" customHeight="1" thickBot="1" x14ac:dyDescent="0.25">
      <c r="A24" s="626">
        <v>8500</v>
      </c>
      <c r="B24" s="1205" t="s">
        <v>61</v>
      </c>
      <c r="C24" s="1206"/>
      <c r="D24" s="799"/>
      <c r="E24" s="1207" t="s">
        <v>46</v>
      </c>
      <c r="F24" s="1207" t="s">
        <v>79</v>
      </c>
      <c r="G24" s="1208"/>
      <c r="H24" s="1208" t="s">
        <v>46</v>
      </c>
      <c r="I24" s="1208" t="s">
        <v>46</v>
      </c>
      <c r="J24" s="1209"/>
      <c r="K24" s="1196"/>
      <c r="L24" s="1209" t="s">
        <v>46</v>
      </c>
      <c r="M24" s="1209" t="s">
        <v>46</v>
      </c>
      <c r="N24" s="1209" t="s">
        <v>46</v>
      </c>
      <c r="O24" s="1209" t="s">
        <v>46</v>
      </c>
      <c r="P24" s="1209" t="s">
        <v>46</v>
      </c>
      <c r="Q24" s="1209"/>
      <c r="R24" s="1209"/>
      <c r="S24" s="1207" t="s">
        <v>46</v>
      </c>
      <c r="T24" s="1207" t="s">
        <v>46</v>
      </c>
      <c r="U24" s="1207" t="s">
        <v>46</v>
      </c>
      <c r="V24" s="1207" t="s">
        <v>46</v>
      </c>
      <c r="W24" s="1207" t="s">
        <v>46</v>
      </c>
      <c r="X24" s="1207"/>
      <c r="Y24" s="1207"/>
      <c r="Z24" s="1207" t="s">
        <v>46</v>
      </c>
      <c r="AA24" s="1207" t="s">
        <v>46</v>
      </c>
      <c r="AB24" s="1207" t="s">
        <v>46</v>
      </c>
      <c r="AC24" s="1207" t="s">
        <v>46</v>
      </c>
      <c r="AD24" s="1207" t="s">
        <v>46</v>
      </c>
      <c r="AE24" s="1207"/>
      <c r="AF24" s="1207"/>
      <c r="AG24" s="1210"/>
      <c r="AJ24" s="1151" t="s">
        <v>41</v>
      </c>
      <c r="AK24" s="1151" t="s">
        <v>62</v>
      </c>
      <c r="AL24" s="1151" t="s">
        <v>63</v>
      </c>
      <c r="AM24" s="1151" t="s">
        <v>64</v>
      </c>
      <c r="AN24" s="1151" t="s">
        <v>65</v>
      </c>
      <c r="AO24" s="1151"/>
    </row>
    <row r="25" spans="1:41" ht="18" customHeight="1" thickBot="1" x14ac:dyDescent="0.25">
      <c r="A25" s="626">
        <v>8500</v>
      </c>
      <c r="B25" s="1178" t="s">
        <v>67</v>
      </c>
      <c r="C25" s="1180">
        <v>89</v>
      </c>
      <c r="D25" s="1211">
        <v>23</v>
      </c>
      <c r="E25" s="1180" t="s">
        <v>50</v>
      </c>
      <c r="F25" s="1182">
        <v>3</v>
      </c>
      <c r="G25" s="1174"/>
      <c r="H25" s="1174" t="s">
        <v>297</v>
      </c>
      <c r="I25" s="1211" t="s">
        <v>50</v>
      </c>
      <c r="J25" s="1179"/>
      <c r="K25" s="1179"/>
      <c r="L25" s="1180">
        <v>6</v>
      </c>
      <c r="M25" s="1209">
        <v>21</v>
      </c>
      <c r="N25" s="246">
        <v>21</v>
      </c>
      <c r="O25" s="246">
        <v>21</v>
      </c>
      <c r="P25" s="1212" t="s">
        <v>50</v>
      </c>
      <c r="Q25" s="1180"/>
      <c r="R25" s="1180"/>
      <c r="S25" s="595" t="s">
        <v>51</v>
      </c>
      <c r="T25" s="595" t="s">
        <v>51</v>
      </c>
      <c r="U25" s="595" t="s">
        <v>51</v>
      </c>
      <c r="V25" s="595" t="s">
        <v>51</v>
      </c>
      <c r="W25" s="596" t="s">
        <v>51</v>
      </c>
      <c r="X25" s="595" t="s">
        <v>52</v>
      </c>
      <c r="Y25" s="595" t="s">
        <v>52</v>
      </c>
      <c r="Z25" s="1174" t="s">
        <v>50</v>
      </c>
      <c r="AA25" s="1174" t="s">
        <v>50</v>
      </c>
      <c r="AB25" s="1174" t="s">
        <v>50</v>
      </c>
      <c r="AC25" s="1174" t="s">
        <v>50</v>
      </c>
      <c r="AD25" s="1174" t="s">
        <v>50</v>
      </c>
      <c r="AE25" s="1174" t="s">
        <v>53</v>
      </c>
      <c r="AF25" s="1174" t="s">
        <v>53</v>
      </c>
      <c r="AG25" s="1177"/>
      <c r="AH25" s="123"/>
      <c r="AJ25" s="638">
        <v>152.5</v>
      </c>
      <c r="AK25" s="638">
        <v>8.25</v>
      </c>
      <c r="AL25" s="638">
        <f>IF(AJ25="","",SUM(AJ25:AK25))</f>
        <v>160.75</v>
      </c>
      <c r="AM25" s="639">
        <f>IF(AJ25="","",AL25-_xlfn.SINGLE(NormTid))</f>
        <v>0.41999999999998749</v>
      </c>
      <c r="AN25" s="639">
        <f>IF(AM25="","",AM25+'Maj 2024'!AN25)</f>
        <v>-40.230000000000025</v>
      </c>
      <c r="AO25" s="639"/>
    </row>
    <row r="26" spans="1:41" ht="18" customHeight="1" x14ac:dyDescent="0.2">
      <c r="A26" s="1213"/>
      <c r="B26" s="1134" t="s">
        <v>75</v>
      </c>
      <c r="C26" s="1214"/>
      <c r="D26" s="1214"/>
      <c r="E26" s="1185" t="s">
        <v>46</v>
      </c>
      <c r="F26" s="1185" t="s">
        <v>46</v>
      </c>
      <c r="G26" s="1185"/>
      <c r="H26" s="1174" t="s">
        <v>46</v>
      </c>
      <c r="I26" s="1174" t="s">
        <v>46</v>
      </c>
      <c r="J26" s="1185"/>
      <c r="K26" s="1185"/>
      <c r="L26" s="1215" t="s">
        <v>46</v>
      </c>
      <c r="M26" s="1185" t="s">
        <v>154</v>
      </c>
      <c r="N26" s="1185" t="s">
        <v>46</v>
      </c>
      <c r="O26" s="1185" t="s">
        <v>77</v>
      </c>
      <c r="P26" s="1185" t="s">
        <v>77</v>
      </c>
      <c r="Q26" s="1185"/>
      <c r="R26" s="1185"/>
      <c r="S26" s="1185" t="s">
        <v>46</v>
      </c>
      <c r="T26" s="1185" t="s">
        <v>168</v>
      </c>
      <c r="U26" s="1185" t="s">
        <v>46</v>
      </c>
      <c r="V26" s="1185" t="s">
        <v>168</v>
      </c>
      <c r="W26" s="1185" t="s">
        <v>168</v>
      </c>
      <c r="X26" s="1174"/>
      <c r="Y26" s="1185"/>
      <c r="Z26" s="1185" t="s">
        <v>168</v>
      </c>
      <c r="AA26" s="1185" t="s">
        <v>168</v>
      </c>
      <c r="AB26" s="1185" t="s">
        <v>168</v>
      </c>
      <c r="AC26" s="1185" t="s">
        <v>168</v>
      </c>
      <c r="AD26" s="1185" t="s">
        <v>168</v>
      </c>
      <c r="AE26" s="1174"/>
      <c r="AF26" s="1174"/>
      <c r="AG26" s="1216"/>
      <c r="AH26" s="123"/>
    </row>
    <row r="27" spans="1:41" ht="18" customHeight="1" thickBot="1" x14ac:dyDescent="0.25">
      <c r="A27" s="646"/>
      <c r="B27" s="1217" t="s">
        <v>78</v>
      </c>
      <c r="C27" s="1218"/>
      <c r="D27" s="1219"/>
      <c r="E27" s="1219" t="s">
        <v>46</v>
      </c>
      <c r="F27" s="1219" t="s">
        <v>46</v>
      </c>
      <c r="G27" s="1220"/>
      <c r="H27" s="1220" t="s">
        <v>46</v>
      </c>
      <c r="I27" s="1219" t="s">
        <v>46</v>
      </c>
      <c r="J27" s="1218"/>
      <c r="K27" s="1219"/>
      <c r="L27" s="1219" t="s">
        <v>46</v>
      </c>
      <c r="M27" s="1219" t="s">
        <v>46</v>
      </c>
      <c r="N27" s="1221" t="s">
        <v>46</v>
      </c>
      <c r="O27" s="1220" t="s">
        <v>46</v>
      </c>
      <c r="P27" s="1219" t="s">
        <v>46</v>
      </c>
      <c r="Q27" s="1218"/>
      <c r="R27" s="1219"/>
      <c r="S27" s="1219" t="s">
        <v>46</v>
      </c>
      <c r="T27" s="1219" t="s">
        <v>46</v>
      </c>
      <c r="U27" s="1220" t="s">
        <v>46</v>
      </c>
      <c r="V27" s="1220" t="s">
        <v>46</v>
      </c>
      <c r="W27" s="1219" t="s">
        <v>46</v>
      </c>
      <c r="X27" s="1218"/>
      <c r="Y27" s="1219"/>
      <c r="Z27" s="1219" t="s">
        <v>46</v>
      </c>
      <c r="AA27" s="1219" t="s">
        <v>46</v>
      </c>
      <c r="AB27" s="1220" t="s">
        <v>46</v>
      </c>
      <c r="AC27" s="1220" t="s">
        <v>46</v>
      </c>
      <c r="AD27" s="1219" t="s">
        <v>46</v>
      </c>
      <c r="AE27" s="1218"/>
      <c r="AF27" s="1219"/>
      <c r="AG27" s="1222"/>
      <c r="AH27" s="123"/>
    </row>
    <row r="28" spans="1:41" ht="18" customHeight="1" x14ac:dyDescent="0.2">
      <c r="A28" s="245"/>
      <c r="B28" s="246"/>
      <c r="C28" s="1212" t="s">
        <v>0</v>
      </c>
      <c r="D28" s="1212" t="s">
        <v>0</v>
      </c>
      <c r="E28" s="248">
        <v>3</v>
      </c>
      <c r="F28" s="248"/>
      <c r="G28" s="246"/>
      <c r="H28" s="856" t="s">
        <v>0</v>
      </c>
      <c r="I28" s="1212">
        <v>1</v>
      </c>
      <c r="J28" s="1212" t="s">
        <v>0</v>
      </c>
      <c r="K28" s="1212" t="s">
        <v>0</v>
      </c>
      <c r="L28" s="246">
        <v>21</v>
      </c>
      <c r="M28" s="246"/>
      <c r="N28" s="246" t="s">
        <v>0</v>
      </c>
      <c r="O28" s="246" t="s">
        <v>0</v>
      </c>
      <c r="P28" s="1212" t="s">
        <v>0</v>
      </c>
      <c r="Q28" s="1212"/>
      <c r="R28" s="1212"/>
      <c r="S28" s="248"/>
      <c r="T28" s="248"/>
      <c r="U28" s="246"/>
      <c r="V28" s="246"/>
      <c r="W28" s="248"/>
      <c r="X28" s="247"/>
      <c r="Y28" s="248"/>
      <c r="Z28" s="248"/>
      <c r="AC28" s="246"/>
      <c r="AD28" s="248"/>
      <c r="AE28" s="247"/>
      <c r="AF28" s="248"/>
      <c r="AG28" s="246"/>
      <c r="AH28" s="123"/>
    </row>
    <row r="29" spans="1:41" ht="18" customHeight="1" x14ac:dyDescent="0.2">
      <c r="A29" s="249"/>
      <c r="B29" s="250"/>
      <c r="C29" s="251"/>
      <c r="D29" s="252"/>
      <c r="E29" s="252"/>
      <c r="F29" s="252" t="s">
        <v>252</v>
      </c>
      <c r="G29" s="250">
        <v>1</v>
      </c>
      <c r="H29" s="250"/>
      <c r="I29" s="252" t="s">
        <v>309</v>
      </c>
      <c r="J29" s="251" t="s">
        <v>0</v>
      </c>
      <c r="K29" s="252"/>
      <c r="L29" s="638" t="s">
        <v>152</v>
      </c>
      <c r="M29" s="638" t="s">
        <v>152</v>
      </c>
      <c r="N29" s="638"/>
      <c r="O29" s="250" t="s">
        <v>0</v>
      </c>
      <c r="P29" s="252" t="s">
        <v>0</v>
      </c>
      <c r="Q29" s="251"/>
      <c r="R29" s="638" t="s">
        <v>0</v>
      </c>
      <c r="S29" s="252" t="s">
        <v>152</v>
      </c>
      <c r="T29" s="252"/>
      <c r="U29" s="250"/>
      <c r="V29" s="250"/>
      <c r="W29" s="252"/>
      <c r="X29" s="251"/>
      <c r="Y29" s="1179"/>
      <c r="Z29" s="1179"/>
      <c r="AA29" s="1179">
        <v>99</v>
      </c>
      <c r="AB29" s="1179"/>
      <c r="AC29" s="1179"/>
      <c r="AD29" s="1179"/>
      <c r="AE29" s="1212"/>
      <c r="AF29" s="1212"/>
      <c r="AG29" s="250"/>
      <c r="AH29" s="123"/>
    </row>
    <row r="30" spans="1:41" ht="18" customHeight="1" thickBot="1" x14ac:dyDescent="0.25">
      <c r="A30" s="249"/>
      <c r="B30" s="250"/>
      <c r="C30" s="636"/>
      <c r="D30" s="636"/>
      <c r="F30" s="799"/>
      <c r="G30" s="799" t="s">
        <v>0</v>
      </c>
      <c r="H30" s="636" t="s">
        <v>0</v>
      </c>
      <c r="I30" s="854" t="s">
        <v>0</v>
      </c>
      <c r="J30" s="853" t="s">
        <v>0</v>
      </c>
      <c r="K30" s="855" t="s">
        <v>0</v>
      </c>
      <c r="L30" s="250"/>
      <c r="M30" s="250"/>
      <c r="N30" s="250"/>
      <c r="O30" s="250"/>
      <c r="P30" s="252"/>
      <c r="Q30" s="251"/>
      <c r="R30" s="252"/>
      <c r="S30" s="252">
        <v>23</v>
      </c>
      <c r="T30" s="278"/>
      <c r="U30" s="252"/>
      <c r="V30" s="252"/>
      <c r="W30" s="252"/>
      <c r="X30" s="252"/>
      <c r="Y30" s="252"/>
      <c r="Z30" s="252" t="s">
        <v>252</v>
      </c>
      <c r="AA30" s="248"/>
      <c r="AB30" s="248" t="s">
        <v>252</v>
      </c>
      <c r="AC30" s="250"/>
      <c r="AD30" s="252"/>
      <c r="AE30" s="251"/>
      <c r="AF30" s="252"/>
      <c r="AG30" s="250"/>
      <c r="AH30" s="123"/>
    </row>
    <row r="31" spans="1:41" ht="18" customHeight="1" x14ac:dyDescent="0.2">
      <c r="A31" s="249"/>
      <c r="B31" s="250"/>
      <c r="C31" s="251"/>
      <c r="D31" s="252"/>
      <c r="E31" s="1223" t="s">
        <v>0</v>
      </c>
      <c r="F31" s="1223" t="s">
        <v>0</v>
      </c>
      <c r="G31" s="1223"/>
      <c r="H31" s="1223" t="s">
        <v>0</v>
      </c>
      <c r="I31" s="252"/>
      <c r="J31" s="251"/>
      <c r="K31" s="252"/>
      <c r="L31" s="250"/>
      <c r="M31" s="250"/>
      <c r="N31" s="250"/>
      <c r="O31" s="250"/>
      <c r="P31" s="252"/>
      <c r="Q31" s="251"/>
      <c r="R31" s="252"/>
      <c r="S31" s="252" t="s">
        <v>252</v>
      </c>
      <c r="T31" s="252"/>
      <c r="U31" s="250"/>
      <c r="V31" s="250"/>
      <c r="W31" s="252"/>
      <c r="X31" s="251"/>
      <c r="Y31" s="252"/>
      <c r="Z31" s="252"/>
      <c r="AA31" s="252"/>
      <c r="AB31" s="250"/>
      <c r="AC31" s="250"/>
      <c r="AD31" s="252"/>
      <c r="AE31" s="251"/>
      <c r="AF31" s="252"/>
      <c r="AG31" s="250"/>
      <c r="AH31" s="123"/>
    </row>
    <row r="32" spans="1:41" ht="18" customHeight="1" x14ac:dyDescent="0.2">
      <c r="A32" s="249"/>
      <c r="B32" s="250"/>
      <c r="C32" s="251"/>
      <c r="D32" s="252"/>
      <c r="E32" s="252"/>
      <c r="F32" s="252"/>
      <c r="G32" s="252"/>
      <c r="H32" s="252"/>
      <c r="I32" s="252"/>
      <c r="J32" s="252"/>
      <c r="K32" s="252"/>
      <c r="L32" s="250"/>
      <c r="M32" s="250"/>
      <c r="N32" s="250"/>
      <c r="O32" s="250"/>
      <c r="P32" s="252"/>
      <c r="Q32" s="251"/>
      <c r="R32" s="252"/>
      <c r="S32" s="252"/>
      <c r="T32" s="252"/>
      <c r="U32" s="250"/>
      <c r="V32" s="250"/>
      <c r="W32" s="252"/>
      <c r="X32" s="251"/>
      <c r="Y32" s="252"/>
      <c r="Z32" s="252"/>
      <c r="AA32" s="252"/>
      <c r="AB32" s="250"/>
      <c r="AC32" s="250"/>
      <c r="AD32" s="252"/>
      <c r="AE32" s="251"/>
      <c r="AF32" s="252"/>
      <c r="AG32" s="250"/>
      <c r="AH32" s="123"/>
    </row>
    <row r="33" spans="1:38" ht="18" customHeight="1" x14ac:dyDescent="0.2">
      <c r="A33" s="249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  <c r="AB33" s="250"/>
      <c r="AC33" s="250"/>
      <c r="AD33" s="250"/>
      <c r="AE33" s="250"/>
      <c r="AF33" s="250"/>
      <c r="AG33" s="250"/>
    </row>
    <row r="34" spans="1:38" ht="18" customHeight="1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</row>
    <row r="35" spans="1:38" ht="18" customHeight="1" thickBot="1" x14ac:dyDescent="0.25">
      <c r="A35" s="103" t="s">
        <v>82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83</v>
      </c>
      <c r="R35" s="48" t="s">
        <v>0</v>
      </c>
      <c r="S35" s="48" t="s">
        <v>84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K35" s="1"/>
    </row>
    <row r="36" spans="1:38" ht="18" customHeight="1" x14ac:dyDescent="0.2">
      <c r="A36" s="1224" t="s">
        <v>85</v>
      </c>
      <c r="B36" s="1224" t="s">
        <v>85</v>
      </c>
      <c r="C36" s="1225"/>
      <c r="D36" s="1226" t="s">
        <v>86</v>
      </c>
      <c r="E36" s="1227"/>
      <c r="F36" s="1227"/>
      <c r="G36" s="1227"/>
      <c r="H36" s="1227"/>
      <c r="I36" s="1227"/>
      <c r="J36" s="1227"/>
      <c r="K36" s="1227"/>
      <c r="L36" s="1227"/>
      <c r="M36" s="1228" t="s">
        <v>87</v>
      </c>
      <c r="N36" s="1227"/>
      <c r="O36" s="1227"/>
      <c r="P36" s="1227"/>
      <c r="Q36" s="1227"/>
      <c r="R36" s="1227"/>
      <c r="S36" s="1229"/>
      <c r="T36" s="4970" t="s">
        <v>88</v>
      </c>
      <c r="U36" s="4971"/>
      <c r="V36" s="4971"/>
      <c r="W36" s="4971"/>
      <c r="X36" s="4971"/>
      <c r="Y36" s="4971"/>
      <c r="Z36" s="4972"/>
      <c r="AA36" s="1230" t="s">
        <v>89</v>
      </c>
      <c r="AB36" s="1231"/>
      <c r="AC36" s="1231"/>
      <c r="AD36" s="1231"/>
      <c r="AE36" s="1231"/>
      <c r="AF36" s="1231"/>
      <c r="AG36" s="1232"/>
      <c r="AK36" s="1"/>
    </row>
    <row r="37" spans="1:38" ht="18" customHeight="1" x14ac:dyDescent="0.2">
      <c r="A37" s="1233" t="s">
        <v>90</v>
      </c>
      <c r="B37" s="1233" t="s">
        <v>90</v>
      </c>
      <c r="C37" s="1234"/>
      <c r="D37" s="1235" t="s">
        <v>91</v>
      </c>
      <c r="E37" s="1236"/>
      <c r="F37" s="1121"/>
      <c r="G37" s="1121"/>
      <c r="H37" s="1121"/>
      <c r="I37" s="1121"/>
      <c r="J37" s="1121"/>
      <c r="K37" s="1121"/>
      <c r="L37" s="1237"/>
      <c r="M37" s="1238" t="s">
        <v>92</v>
      </c>
      <c r="N37" s="1234"/>
      <c r="O37" s="1239"/>
      <c r="P37" s="1234"/>
      <c r="Q37" s="1234"/>
      <c r="R37" s="1234"/>
      <c r="S37" s="1240"/>
      <c r="T37" s="1235" t="s">
        <v>93</v>
      </c>
      <c r="U37" s="1121"/>
      <c r="V37" s="1236"/>
      <c r="W37" s="1121"/>
      <c r="X37" s="1121"/>
      <c r="Y37" s="1121"/>
      <c r="Z37" s="1237"/>
      <c r="AA37" s="104" t="s">
        <v>94</v>
      </c>
      <c r="AD37" s="60"/>
      <c r="AG37" s="63"/>
      <c r="AK37" s="1"/>
    </row>
    <row r="38" spans="1:38" ht="18" customHeight="1" x14ac:dyDescent="0.2">
      <c r="A38" s="1241" t="s">
        <v>95</v>
      </c>
      <c r="B38" s="1241" t="s">
        <v>95</v>
      </c>
      <c r="C38" s="1121"/>
      <c r="D38" s="1242"/>
      <c r="E38" s="1121"/>
      <c r="F38" s="1121"/>
      <c r="G38" s="1237"/>
      <c r="H38" s="1243" t="s">
        <v>96</v>
      </c>
      <c r="I38" s="1121"/>
      <c r="J38" s="1121"/>
      <c r="K38" s="1121"/>
      <c r="L38" s="1121"/>
      <c r="M38" s="1244"/>
      <c r="N38" s="1121"/>
      <c r="O38" s="1121"/>
      <c r="P38" s="1121"/>
      <c r="Q38" s="1121"/>
      <c r="R38" s="1121"/>
      <c r="S38" s="1121"/>
      <c r="T38" s="1242"/>
      <c r="U38" s="103" t="s">
        <v>97</v>
      </c>
      <c r="AA38" s="1239"/>
      <c r="AB38" s="1234"/>
      <c r="AC38" s="1234"/>
      <c r="AD38" s="1234"/>
      <c r="AE38" s="1234"/>
      <c r="AF38" s="1234"/>
      <c r="AG38" s="1245"/>
      <c r="AK38" s="42"/>
    </row>
    <row r="39" spans="1:38" ht="18" customHeight="1" thickBot="1" x14ac:dyDescent="0.25">
      <c r="A39" s="1246" t="s">
        <v>98</v>
      </c>
      <c r="B39" s="1246" t="s">
        <v>98</v>
      </c>
      <c r="C39" s="1247"/>
      <c r="D39" s="1248"/>
      <c r="E39" s="1247"/>
      <c r="F39" s="1247"/>
      <c r="G39" s="1249"/>
      <c r="H39" s="1250" t="s">
        <v>99</v>
      </c>
      <c r="I39" s="1249"/>
      <c r="J39" s="1247"/>
      <c r="K39" s="1247"/>
      <c r="L39" s="1247"/>
      <c r="M39" s="1251"/>
      <c r="N39" s="1247"/>
      <c r="O39" s="1247"/>
      <c r="P39" s="1247"/>
      <c r="Q39" s="1252"/>
      <c r="R39" s="1252"/>
      <c r="S39" s="1252"/>
      <c r="T39" s="1248"/>
      <c r="U39" s="1253" t="s">
        <v>100</v>
      </c>
      <c r="V39" s="1247"/>
      <c r="W39" s="1247"/>
      <c r="X39" s="1247"/>
      <c r="Y39" s="1247"/>
      <c r="Z39" s="1247"/>
      <c r="AA39" s="1247"/>
      <c r="AB39" s="1247"/>
      <c r="AC39" s="1247"/>
      <c r="AD39" s="1247"/>
      <c r="AE39" s="1247"/>
      <c r="AF39" s="1247"/>
      <c r="AG39" s="1254"/>
      <c r="AK39" s="1"/>
    </row>
    <row r="40" spans="1:38" ht="18" customHeight="1" thickBot="1" x14ac:dyDescent="0.25">
      <c r="B40" s="64" t="s">
        <v>42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</row>
    <row r="41" spans="1:38" ht="18" customHeight="1" thickBot="1" x14ac:dyDescent="0.25">
      <c r="A41" s="1255" t="s">
        <v>43</v>
      </c>
      <c r="B41" s="1256" t="s">
        <v>44</v>
      </c>
      <c r="C41" s="1154">
        <v>1</v>
      </c>
      <c r="D41" s="1154">
        <v>2</v>
      </c>
      <c r="E41" s="1155">
        <v>3</v>
      </c>
      <c r="F41" s="1155">
        <v>4</v>
      </c>
      <c r="G41" s="1154">
        <v>5</v>
      </c>
      <c r="H41" s="1155">
        <v>6</v>
      </c>
      <c r="I41" s="1155">
        <v>7</v>
      </c>
      <c r="J41" s="1154">
        <v>8</v>
      </c>
      <c r="K41" s="1154">
        <v>9</v>
      </c>
      <c r="L41" s="1155">
        <v>10</v>
      </c>
      <c r="M41" s="1155">
        <v>11</v>
      </c>
      <c r="N41" s="1155">
        <v>12</v>
      </c>
      <c r="O41" s="1155">
        <v>13</v>
      </c>
      <c r="P41" s="1155">
        <v>14</v>
      </c>
      <c r="Q41" s="1154">
        <v>15</v>
      </c>
      <c r="R41" s="1154">
        <v>16</v>
      </c>
      <c r="S41" s="1155">
        <v>17</v>
      </c>
      <c r="T41" s="1155">
        <v>18</v>
      </c>
      <c r="U41" s="1155">
        <v>19</v>
      </c>
      <c r="V41" s="1155">
        <v>20</v>
      </c>
      <c r="W41" s="1155">
        <v>21</v>
      </c>
      <c r="X41" s="1154">
        <v>22</v>
      </c>
      <c r="Y41" s="1154">
        <v>23</v>
      </c>
      <c r="Z41" s="1155">
        <v>24</v>
      </c>
      <c r="AA41" s="1155">
        <v>25</v>
      </c>
      <c r="AB41" s="1155">
        <v>26</v>
      </c>
      <c r="AC41" s="1155">
        <v>27</v>
      </c>
      <c r="AD41" s="1155">
        <v>28</v>
      </c>
      <c r="AE41" s="1154">
        <v>29</v>
      </c>
      <c r="AF41" s="1154">
        <v>30</v>
      </c>
      <c r="AG41" s="1222"/>
      <c r="AH41" s="110"/>
      <c r="AI41" s="111"/>
      <c r="AL41" t="s">
        <v>0</v>
      </c>
    </row>
    <row r="42" spans="1:38" ht="18" customHeight="1" x14ac:dyDescent="0.2">
      <c r="A42" s="1257">
        <v>1</v>
      </c>
      <c r="B42" s="1205"/>
      <c r="C42" s="1164"/>
      <c r="D42" s="1258"/>
      <c r="E42" s="1164">
        <v>5</v>
      </c>
      <c r="F42" s="1164">
        <v>5</v>
      </c>
      <c r="G42" s="1164"/>
      <c r="H42" s="1164">
        <v>5</v>
      </c>
      <c r="I42" s="1164">
        <v>5</v>
      </c>
      <c r="J42" s="1258"/>
      <c r="K42" s="1164"/>
      <c r="L42" s="1164">
        <v>10</v>
      </c>
      <c r="M42" s="1164">
        <v>10</v>
      </c>
      <c r="N42" s="1164">
        <v>10</v>
      </c>
      <c r="O42" s="1258">
        <v>10</v>
      </c>
      <c r="P42" s="1164">
        <v>10</v>
      </c>
      <c r="Q42" s="1259" t="s">
        <v>106</v>
      </c>
      <c r="R42" s="1258" t="s">
        <v>106</v>
      </c>
      <c r="S42" s="1164" t="s">
        <v>50</v>
      </c>
      <c r="T42" s="1164" t="s">
        <v>50</v>
      </c>
      <c r="U42" s="1164" t="s">
        <v>50</v>
      </c>
      <c r="V42" s="1164" t="s">
        <v>50</v>
      </c>
      <c r="W42" s="1164" t="s">
        <v>50</v>
      </c>
      <c r="X42" s="1259" t="s">
        <v>107</v>
      </c>
      <c r="Y42" s="1259" t="s">
        <v>107</v>
      </c>
      <c r="Z42" s="1164">
        <v>7</v>
      </c>
      <c r="AA42" s="1164">
        <v>7</v>
      </c>
      <c r="AB42" s="1259">
        <v>7</v>
      </c>
      <c r="AC42" s="1259">
        <v>7</v>
      </c>
      <c r="AD42" s="1259">
        <v>7</v>
      </c>
      <c r="AE42" s="1164"/>
      <c r="AF42" s="1164"/>
      <c r="AG42" s="1260"/>
      <c r="AH42" s="115"/>
      <c r="AI42" s="116"/>
    </row>
    <row r="43" spans="1:38" ht="18" customHeight="1" x14ac:dyDescent="0.2">
      <c r="A43" s="1261">
        <v>6</v>
      </c>
      <c r="B43" s="1178" t="s">
        <v>105</v>
      </c>
      <c r="C43" s="1262"/>
      <c r="D43" s="1262"/>
      <c r="E43" s="1262">
        <v>3</v>
      </c>
      <c r="F43" s="1262" t="s">
        <v>395</v>
      </c>
      <c r="G43" s="1214">
        <v>3</v>
      </c>
      <c r="H43" s="1214">
        <v>3</v>
      </c>
      <c r="I43" s="1214">
        <v>3</v>
      </c>
      <c r="J43" s="1214"/>
      <c r="K43" s="1214"/>
      <c r="L43" s="1214">
        <v>11</v>
      </c>
      <c r="M43" s="1214">
        <v>11</v>
      </c>
      <c r="N43" s="1214">
        <v>11</v>
      </c>
      <c r="O43" s="1214">
        <v>11</v>
      </c>
      <c r="P43" s="1214">
        <v>11</v>
      </c>
      <c r="Q43" s="1214" t="s">
        <v>109</v>
      </c>
      <c r="R43" s="1214" t="s">
        <v>109</v>
      </c>
      <c r="S43" s="1214" t="s">
        <v>50</v>
      </c>
      <c r="T43" s="1263" t="s">
        <v>50</v>
      </c>
      <c r="U43" s="1263" t="s">
        <v>50</v>
      </c>
      <c r="V43" s="1263" t="s">
        <v>50</v>
      </c>
      <c r="W43" s="1263" t="s">
        <v>50</v>
      </c>
      <c r="X43" s="1214" t="s">
        <v>104</v>
      </c>
      <c r="Y43" s="1214" t="s">
        <v>104</v>
      </c>
      <c r="Z43" s="1214">
        <v>8</v>
      </c>
      <c r="AA43" s="1214">
        <v>8</v>
      </c>
      <c r="AB43" s="1214">
        <v>8</v>
      </c>
      <c r="AC43" s="1214">
        <v>8</v>
      </c>
      <c r="AD43" s="1214">
        <v>8</v>
      </c>
      <c r="AE43" s="1214"/>
      <c r="AF43" s="1214"/>
      <c r="AG43" s="1177"/>
      <c r="AH43" s="115"/>
      <c r="AI43" s="116"/>
    </row>
    <row r="44" spans="1:38" ht="18" customHeight="1" thickBot="1" x14ac:dyDescent="0.25">
      <c r="A44" s="1264">
        <v>11</v>
      </c>
      <c r="B44" s="1192" t="s">
        <v>108</v>
      </c>
      <c r="C44" s="1265" t="s">
        <v>110</v>
      </c>
      <c r="D44" s="1221"/>
      <c r="E44" s="1266">
        <v>1</v>
      </c>
      <c r="F44" s="1221">
        <v>1</v>
      </c>
      <c r="G44" s="1267" t="s">
        <v>396</v>
      </c>
      <c r="H44" s="1221">
        <v>1</v>
      </c>
      <c r="I44" s="1221">
        <v>1</v>
      </c>
      <c r="J44" s="1200"/>
      <c r="K44" s="1265" t="s">
        <v>110</v>
      </c>
      <c r="L44" s="1221">
        <v>9</v>
      </c>
      <c r="M44" s="1268">
        <v>9</v>
      </c>
      <c r="N44" s="1221">
        <v>9</v>
      </c>
      <c r="O44" s="1221">
        <v>9</v>
      </c>
      <c r="P44" s="1221">
        <v>9</v>
      </c>
      <c r="Q44" s="1221" t="s">
        <v>70</v>
      </c>
      <c r="R44" s="1221" t="s">
        <v>70</v>
      </c>
      <c r="S44" s="1269" t="s">
        <v>50</v>
      </c>
      <c r="T44" s="1269" t="s">
        <v>50</v>
      </c>
      <c r="U44" s="1269" t="s">
        <v>50</v>
      </c>
      <c r="V44" s="1269" t="s">
        <v>50</v>
      </c>
      <c r="W44" s="1269" t="s">
        <v>50</v>
      </c>
      <c r="X44" s="1269" t="s">
        <v>103</v>
      </c>
      <c r="Y44" s="1269" t="s">
        <v>104</v>
      </c>
      <c r="Z44" s="1269">
        <v>6</v>
      </c>
      <c r="AA44" s="1269">
        <v>6</v>
      </c>
      <c r="AB44" s="1269">
        <v>6</v>
      </c>
      <c r="AC44" s="1269">
        <v>6</v>
      </c>
      <c r="AD44" s="1269">
        <v>6</v>
      </c>
      <c r="AE44" s="1269"/>
      <c r="AF44" s="1269"/>
      <c r="AG44" s="1270"/>
      <c r="AH44" s="115"/>
      <c r="AI44" s="116"/>
    </row>
    <row r="45" spans="1:38" ht="18" customHeight="1" x14ac:dyDescent="0.2">
      <c r="A45" s="1257">
        <v>2</v>
      </c>
      <c r="B45" s="1205" t="s">
        <v>111</v>
      </c>
      <c r="C45" s="1209"/>
      <c r="D45" s="1209"/>
      <c r="E45" s="1209">
        <v>10</v>
      </c>
      <c r="F45" s="1271">
        <v>10</v>
      </c>
      <c r="G45" s="1271">
        <v>10</v>
      </c>
      <c r="H45" s="1164">
        <v>10</v>
      </c>
      <c r="I45" s="1164">
        <v>10</v>
      </c>
      <c r="J45" s="1258" t="s">
        <v>106</v>
      </c>
      <c r="K45" s="1258" t="s">
        <v>106</v>
      </c>
      <c r="L45" s="1164" t="s">
        <v>50</v>
      </c>
      <c r="M45" s="1164" t="s">
        <v>50</v>
      </c>
      <c r="N45" s="1164" t="s">
        <v>50</v>
      </c>
      <c r="O45" s="1259" t="s">
        <v>50</v>
      </c>
      <c r="P45" s="1164" t="s">
        <v>50</v>
      </c>
      <c r="Q45" s="1259" t="s">
        <v>107</v>
      </c>
      <c r="R45" s="1259" t="s">
        <v>107</v>
      </c>
      <c r="S45" s="1207">
        <v>7</v>
      </c>
      <c r="T45" s="1207">
        <v>7</v>
      </c>
      <c r="U45" s="1207">
        <v>7</v>
      </c>
      <c r="V45" s="1207">
        <v>7</v>
      </c>
      <c r="W45" s="1207">
        <v>7</v>
      </c>
      <c r="X45" s="1207"/>
      <c r="Y45" s="1207"/>
      <c r="Z45" s="1207">
        <v>4</v>
      </c>
      <c r="AA45" s="1207">
        <v>4</v>
      </c>
      <c r="AB45" s="1207">
        <v>4</v>
      </c>
      <c r="AC45" s="1207">
        <v>4</v>
      </c>
      <c r="AD45" s="1207">
        <v>4</v>
      </c>
      <c r="AE45" s="1207"/>
      <c r="AF45" s="1207"/>
      <c r="AG45" s="1260"/>
      <c r="AH45" s="115"/>
      <c r="AI45" s="116"/>
    </row>
    <row r="46" spans="1:38" ht="18" customHeight="1" x14ac:dyDescent="0.2">
      <c r="A46" s="1261">
        <v>7</v>
      </c>
      <c r="B46" s="1178" t="s">
        <v>114</v>
      </c>
      <c r="C46" s="1272"/>
      <c r="D46" s="1179"/>
      <c r="E46" s="1179">
        <v>11</v>
      </c>
      <c r="F46" s="1179">
        <v>11</v>
      </c>
      <c r="G46" s="1223">
        <v>11</v>
      </c>
      <c r="H46" s="1223">
        <v>11</v>
      </c>
      <c r="I46" s="1174">
        <v>11</v>
      </c>
      <c r="J46" s="1185" t="s">
        <v>109</v>
      </c>
      <c r="K46" s="1185" t="s">
        <v>109</v>
      </c>
      <c r="L46" s="1185" t="s">
        <v>50</v>
      </c>
      <c r="M46" s="1185" t="s">
        <v>50</v>
      </c>
      <c r="N46" s="1272" t="s">
        <v>50</v>
      </c>
      <c r="O46" s="1272" t="s">
        <v>50</v>
      </c>
      <c r="P46" s="1185" t="s">
        <v>50</v>
      </c>
      <c r="Q46" s="1185" t="s">
        <v>104</v>
      </c>
      <c r="R46" s="1185" t="s">
        <v>104</v>
      </c>
      <c r="S46" s="1185">
        <v>8</v>
      </c>
      <c r="T46" s="1185">
        <v>5</v>
      </c>
      <c r="U46" s="1272">
        <v>8</v>
      </c>
      <c r="V46" s="1272">
        <v>5</v>
      </c>
      <c r="W46" s="1273">
        <v>8</v>
      </c>
      <c r="X46" s="1223"/>
      <c r="Y46" s="1223"/>
      <c r="Z46" s="1223" t="s">
        <v>50</v>
      </c>
      <c r="AA46" s="1223" t="s">
        <v>50</v>
      </c>
      <c r="AB46" s="1223" t="s">
        <v>50</v>
      </c>
      <c r="AC46" s="1223" t="s">
        <v>50</v>
      </c>
      <c r="AD46" s="1223" t="s">
        <v>50</v>
      </c>
      <c r="AE46" s="1223"/>
      <c r="AF46" s="1223"/>
      <c r="AG46" s="1216"/>
      <c r="AH46" s="115"/>
      <c r="AI46" s="116"/>
    </row>
    <row r="47" spans="1:38" ht="18" customHeight="1" thickBot="1" x14ac:dyDescent="0.25">
      <c r="A47" s="1264">
        <v>12</v>
      </c>
      <c r="B47" s="1274" t="s">
        <v>115</v>
      </c>
      <c r="C47" s="1275" t="s">
        <v>106</v>
      </c>
      <c r="D47" s="1275" t="s">
        <v>106</v>
      </c>
      <c r="E47" s="1268">
        <v>9</v>
      </c>
      <c r="F47" s="1276">
        <v>9</v>
      </c>
      <c r="G47" s="1268">
        <v>9</v>
      </c>
      <c r="H47" s="1268">
        <v>9</v>
      </c>
      <c r="I47" s="1268">
        <v>9</v>
      </c>
      <c r="J47" s="1277" t="s">
        <v>70</v>
      </c>
      <c r="K47" s="1278" t="s">
        <v>70</v>
      </c>
      <c r="L47" s="1268" t="s">
        <v>50</v>
      </c>
      <c r="M47" s="1268" t="s">
        <v>50</v>
      </c>
      <c r="N47" s="1268" t="s">
        <v>50</v>
      </c>
      <c r="O47" s="1268" t="s">
        <v>50</v>
      </c>
      <c r="P47" s="1268" t="s">
        <v>50</v>
      </c>
      <c r="Q47" s="1268" t="s">
        <v>103</v>
      </c>
      <c r="R47" s="1268" t="s">
        <v>104</v>
      </c>
      <c r="S47" s="1278">
        <v>6</v>
      </c>
      <c r="T47" s="1268">
        <v>6</v>
      </c>
      <c r="U47" s="1276">
        <v>6</v>
      </c>
      <c r="V47" s="1268">
        <v>6</v>
      </c>
      <c r="W47" s="1268">
        <v>6</v>
      </c>
      <c r="X47" s="1268"/>
      <c r="Y47" s="1268"/>
      <c r="Z47" s="1268" t="s">
        <v>50</v>
      </c>
      <c r="AA47" s="1268" t="s">
        <v>50</v>
      </c>
      <c r="AB47" s="1200" t="s">
        <v>50</v>
      </c>
      <c r="AC47" s="1279" t="s">
        <v>50</v>
      </c>
      <c r="AD47" s="1200" t="s">
        <v>50</v>
      </c>
      <c r="AE47" s="1268"/>
      <c r="AF47" s="1268"/>
      <c r="AG47" s="1280"/>
      <c r="AH47" s="115"/>
      <c r="AI47" s="116"/>
    </row>
    <row r="48" spans="1:38" ht="18" customHeight="1" x14ac:dyDescent="0.2">
      <c r="A48" s="1257">
        <v>3</v>
      </c>
      <c r="B48" s="1281" t="s">
        <v>116</v>
      </c>
      <c r="C48" s="1282" t="s">
        <v>106</v>
      </c>
      <c r="D48" s="1283" t="s">
        <v>397</v>
      </c>
      <c r="E48" s="466" t="s">
        <v>50</v>
      </c>
      <c r="F48" s="466" t="s">
        <v>50</v>
      </c>
      <c r="G48" s="466" t="s">
        <v>50</v>
      </c>
      <c r="H48" s="466" t="s">
        <v>50</v>
      </c>
      <c r="I48" s="466" t="s">
        <v>50</v>
      </c>
      <c r="J48" s="597" t="s">
        <v>107</v>
      </c>
      <c r="K48" s="597" t="s">
        <v>107</v>
      </c>
      <c r="L48" s="597">
        <v>7</v>
      </c>
      <c r="M48" s="597">
        <v>7</v>
      </c>
      <c r="N48" s="597">
        <v>7</v>
      </c>
      <c r="O48" s="597">
        <v>7</v>
      </c>
      <c r="P48" s="597">
        <v>7</v>
      </c>
      <c r="Q48" s="597"/>
      <c r="R48" s="712"/>
      <c r="S48" s="1284">
        <v>4</v>
      </c>
      <c r="T48" s="1284">
        <v>4</v>
      </c>
      <c r="U48" s="1284">
        <v>4</v>
      </c>
      <c r="V48" s="1284">
        <v>4</v>
      </c>
      <c r="W48" s="1284">
        <v>4</v>
      </c>
      <c r="X48" s="1284"/>
      <c r="Y48" s="1284"/>
      <c r="Z48" s="1284">
        <v>3</v>
      </c>
      <c r="AA48" s="1284">
        <v>3</v>
      </c>
      <c r="AB48" s="1284">
        <v>3</v>
      </c>
      <c r="AC48" s="1284">
        <v>3</v>
      </c>
      <c r="AD48" s="1285">
        <v>3</v>
      </c>
      <c r="AE48" s="1285"/>
      <c r="AF48" s="1285"/>
      <c r="AG48" s="1086"/>
      <c r="AH48" s="115"/>
      <c r="AI48" s="277"/>
    </row>
    <row r="49" spans="1:37" ht="18" customHeight="1" x14ac:dyDescent="0.2">
      <c r="A49" s="1261">
        <v>8</v>
      </c>
      <c r="B49" s="1178" t="s">
        <v>117</v>
      </c>
      <c r="C49" s="1185" t="s">
        <v>109</v>
      </c>
      <c r="D49" s="1185" t="s">
        <v>109</v>
      </c>
      <c r="E49" s="1185" t="s">
        <v>50</v>
      </c>
      <c r="F49" s="1185" t="s">
        <v>50</v>
      </c>
      <c r="G49" s="1286" t="s">
        <v>50</v>
      </c>
      <c r="H49" s="1185" t="s">
        <v>50</v>
      </c>
      <c r="I49" s="1182" t="s">
        <v>50</v>
      </c>
      <c r="J49" s="1185" t="s">
        <v>104</v>
      </c>
      <c r="K49" s="1185" t="s">
        <v>104</v>
      </c>
      <c r="L49" s="1185">
        <v>8</v>
      </c>
      <c r="M49" s="1185">
        <v>8</v>
      </c>
      <c r="N49" s="1179">
        <v>8</v>
      </c>
      <c r="O49" s="1185">
        <v>8</v>
      </c>
      <c r="P49" s="1185">
        <v>8</v>
      </c>
      <c r="Q49" s="1185"/>
      <c r="R49" s="1185"/>
      <c r="S49" s="1185" t="s">
        <v>50</v>
      </c>
      <c r="T49" s="1185" t="s">
        <v>50</v>
      </c>
      <c r="U49" s="1185" t="s">
        <v>50</v>
      </c>
      <c r="V49" s="1223" t="s">
        <v>50</v>
      </c>
      <c r="W49" s="1223" t="s">
        <v>50</v>
      </c>
      <c r="X49" s="1174"/>
      <c r="Y49" s="1223"/>
      <c r="Z49" s="1223">
        <v>1</v>
      </c>
      <c r="AA49" s="1223">
        <v>1</v>
      </c>
      <c r="AB49" s="1223">
        <v>1</v>
      </c>
      <c r="AC49" s="1223">
        <v>1</v>
      </c>
      <c r="AD49" s="1179">
        <v>1</v>
      </c>
      <c r="AE49" s="1179"/>
      <c r="AF49" s="1272"/>
      <c r="AG49" s="1216"/>
      <c r="AH49" s="115"/>
      <c r="AI49" s="116"/>
    </row>
    <row r="50" spans="1:37" ht="18" customHeight="1" thickBot="1" x14ac:dyDescent="0.25">
      <c r="A50" s="1264">
        <v>13</v>
      </c>
      <c r="B50" s="1192" t="s">
        <v>118</v>
      </c>
      <c r="C50" s="1269" t="s">
        <v>70</v>
      </c>
      <c r="D50" s="1269" t="s">
        <v>70</v>
      </c>
      <c r="E50" s="1221" t="s">
        <v>50</v>
      </c>
      <c r="F50" s="1221" t="s">
        <v>50</v>
      </c>
      <c r="G50" s="1221" t="s">
        <v>50</v>
      </c>
      <c r="H50" s="1221" t="s">
        <v>50</v>
      </c>
      <c r="I50" s="1221" t="s">
        <v>50</v>
      </c>
      <c r="J50" s="1220" t="s">
        <v>103</v>
      </c>
      <c r="K50" s="1221" t="s">
        <v>104</v>
      </c>
      <c r="L50" s="1269">
        <v>6</v>
      </c>
      <c r="M50" s="1269">
        <v>6</v>
      </c>
      <c r="N50" s="1269">
        <v>6</v>
      </c>
      <c r="O50" s="1269">
        <v>6</v>
      </c>
      <c r="P50" s="1269">
        <v>6</v>
      </c>
      <c r="Q50" s="1269"/>
      <c r="R50" s="1269"/>
      <c r="S50" s="1221" t="s">
        <v>50</v>
      </c>
      <c r="T50" s="1221" t="s">
        <v>50</v>
      </c>
      <c r="U50" s="1221" t="s">
        <v>50</v>
      </c>
      <c r="V50" s="1221" t="s">
        <v>50</v>
      </c>
      <c r="W50" s="1221" t="s">
        <v>50</v>
      </c>
      <c r="X50" s="1221"/>
      <c r="Y50" s="1220"/>
      <c r="Z50" s="1221">
        <v>5</v>
      </c>
      <c r="AA50" s="1221">
        <v>5</v>
      </c>
      <c r="AB50" s="1221">
        <v>5</v>
      </c>
      <c r="AC50" s="1221">
        <v>5</v>
      </c>
      <c r="AD50" s="1221">
        <v>5</v>
      </c>
      <c r="AE50" s="1220"/>
      <c r="AF50" s="1221"/>
      <c r="AG50" s="1270"/>
      <c r="AH50" s="115"/>
      <c r="AI50" s="116"/>
    </row>
    <row r="51" spans="1:37" ht="18" customHeight="1" x14ac:dyDescent="0.2">
      <c r="A51" s="1257">
        <v>4</v>
      </c>
      <c r="B51" s="1205" t="s">
        <v>119</v>
      </c>
      <c r="C51" s="1164" t="s">
        <v>107</v>
      </c>
      <c r="D51" s="1259" t="s">
        <v>107</v>
      </c>
      <c r="E51" s="1164">
        <v>7</v>
      </c>
      <c r="F51" s="1258">
        <v>7</v>
      </c>
      <c r="G51" s="1258">
        <v>7</v>
      </c>
      <c r="H51" s="1258">
        <v>7</v>
      </c>
      <c r="I51" s="1287">
        <v>7</v>
      </c>
      <c r="J51" s="1258"/>
      <c r="K51" s="1258"/>
      <c r="L51" s="1258">
        <v>4</v>
      </c>
      <c r="M51" s="1288">
        <v>4</v>
      </c>
      <c r="N51" s="1289">
        <v>4</v>
      </c>
      <c r="O51" s="1290">
        <v>4</v>
      </c>
      <c r="P51" s="1290">
        <v>4</v>
      </c>
      <c r="Q51" s="1259"/>
      <c r="R51" s="1259"/>
      <c r="S51" s="1291">
        <v>3</v>
      </c>
      <c r="T51" s="1291">
        <v>3</v>
      </c>
      <c r="U51" s="1291">
        <v>3</v>
      </c>
      <c r="V51" s="1291">
        <v>3</v>
      </c>
      <c r="W51" s="1291">
        <v>3</v>
      </c>
      <c r="X51" s="1271"/>
      <c r="Y51" s="1271"/>
      <c r="Z51" s="1271">
        <v>11</v>
      </c>
      <c r="AA51" s="1223">
        <v>11</v>
      </c>
      <c r="AB51" s="1223">
        <v>11</v>
      </c>
      <c r="AC51" s="1164">
        <v>11</v>
      </c>
      <c r="AD51" s="1164">
        <v>11</v>
      </c>
      <c r="AE51" s="1292" t="s">
        <v>109</v>
      </c>
      <c r="AF51" s="1293" t="s">
        <v>109</v>
      </c>
      <c r="AG51" s="1260"/>
      <c r="AH51" s="115"/>
      <c r="AI51" s="116"/>
    </row>
    <row r="52" spans="1:37" ht="18" customHeight="1" x14ac:dyDescent="0.2">
      <c r="A52" s="1261">
        <v>9</v>
      </c>
      <c r="B52" s="1178" t="s">
        <v>120</v>
      </c>
      <c r="C52" s="1223" t="s">
        <v>104</v>
      </c>
      <c r="D52" s="1223" t="s">
        <v>104</v>
      </c>
      <c r="E52" s="1223">
        <v>8</v>
      </c>
      <c r="F52" s="1223">
        <v>8</v>
      </c>
      <c r="G52" s="1223">
        <v>8</v>
      </c>
      <c r="H52" s="1223">
        <v>8</v>
      </c>
      <c r="I52" s="1223">
        <v>8</v>
      </c>
      <c r="J52" s="1223"/>
      <c r="K52" s="1223"/>
      <c r="L52" s="1223" t="s">
        <v>50</v>
      </c>
      <c r="M52" s="1223" t="s">
        <v>50</v>
      </c>
      <c r="N52" s="1223" t="s">
        <v>50</v>
      </c>
      <c r="O52" s="1223" t="s">
        <v>50</v>
      </c>
      <c r="P52" s="1223" t="s">
        <v>50</v>
      </c>
      <c r="Q52" s="1174"/>
      <c r="R52" s="1223"/>
      <c r="S52" s="1223">
        <v>1</v>
      </c>
      <c r="T52" s="1223">
        <v>1</v>
      </c>
      <c r="U52" s="1223">
        <v>1</v>
      </c>
      <c r="V52" s="1223">
        <v>1</v>
      </c>
      <c r="W52" s="1223">
        <v>1</v>
      </c>
      <c r="X52" s="1223"/>
      <c r="Y52" s="1223"/>
      <c r="Z52" s="1223">
        <v>9</v>
      </c>
      <c r="AA52" s="1223">
        <v>9</v>
      </c>
      <c r="AB52" s="1223">
        <v>9</v>
      </c>
      <c r="AC52" s="1223">
        <v>9</v>
      </c>
      <c r="AD52" s="1223">
        <v>9</v>
      </c>
      <c r="AE52" s="1223" t="s">
        <v>70</v>
      </c>
      <c r="AF52" s="1223" t="s">
        <v>106</v>
      </c>
      <c r="AG52" s="1216"/>
      <c r="AH52" s="115"/>
      <c r="AI52" s="116"/>
    </row>
    <row r="53" spans="1:37" ht="18" customHeight="1" thickBot="1" x14ac:dyDescent="0.25">
      <c r="A53" s="1264">
        <v>14</v>
      </c>
      <c r="B53" s="1192" t="s">
        <v>121</v>
      </c>
      <c r="C53" s="1220" t="s">
        <v>103</v>
      </c>
      <c r="D53" s="1221" t="s">
        <v>104</v>
      </c>
      <c r="E53" s="1221">
        <v>6</v>
      </c>
      <c r="F53" s="1265">
        <v>6</v>
      </c>
      <c r="G53" s="1294">
        <v>6</v>
      </c>
      <c r="H53" s="1294">
        <v>6</v>
      </c>
      <c r="I53" s="1294">
        <v>6</v>
      </c>
      <c r="J53" s="1265"/>
      <c r="K53" s="1221"/>
      <c r="L53" s="1221" t="s">
        <v>50</v>
      </c>
      <c r="M53" s="1221" t="s">
        <v>50</v>
      </c>
      <c r="N53" s="1221" t="s">
        <v>50</v>
      </c>
      <c r="O53" s="1220" t="s">
        <v>50</v>
      </c>
      <c r="P53" s="1221" t="s">
        <v>50</v>
      </c>
      <c r="Q53" s="1221"/>
      <c r="R53" s="1220"/>
      <c r="S53" s="1221">
        <v>5</v>
      </c>
      <c r="T53" s="1200">
        <v>8</v>
      </c>
      <c r="U53" s="1221">
        <v>5</v>
      </c>
      <c r="V53" s="1265" t="s">
        <v>398</v>
      </c>
      <c r="W53" s="1265">
        <v>5</v>
      </c>
      <c r="X53" s="1220"/>
      <c r="Y53" s="1221"/>
      <c r="Z53" s="1200">
        <v>10</v>
      </c>
      <c r="AA53" s="1221">
        <v>10</v>
      </c>
      <c r="AB53" s="1221">
        <v>10</v>
      </c>
      <c r="AC53" s="1220">
        <v>10</v>
      </c>
      <c r="AD53" s="1221">
        <v>10</v>
      </c>
      <c r="AE53" s="1221" t="s">
        <v>106</v>
      </c>
      <c r="AF53" s="1220" t="s">
        <v>106</v>
      </c>
      <c r="AG53" s="1222"/>
      <c r="AH53" s="115"/>
      <c r="AI53" s="116"/>
      <c r="AK53" t="s">
        <v>0</v>
      </c>
    </row>
    <row r="54" spans="1:37" ht="18" customHeight="1" x14ac:dyDescent="0.2">
      <c r="A54" s="1257">
        <v>5</v>
      </c>
      <c r="B54" s="1178" t="s">
        <v>122</v>
      </c>
      <c r="C54" s="1258"/>
      <c r="D54" s="1258"/>
      <c r="E54" s="1258">
        <v>4</v>
      </c>
      <c r="F54" s="1271">
        <v>4</v>
      </c>
      <c r="G54" s="1259">
        <v>4</v>
      </c>
      <c r="H54" s="1259">
        <v>4</v>
      </c>
      <c r="I54" s="1259">
        <v>4</v>
      </c>
      <c r="J54" s="1259"/>
      <c r="K54" s="1164"/>
      <c r="L54" s="1164">
        <v>3</v>
      </c>
      <c r="M54" s="1164">
        <v>3</v>
      </c>
      <c r="N54" s="1295">
        <v>3</v>
      </c>
      <c r="O54" s="1258">
        <v>3</v>
      </c>
      <c r="P54" s="1164">
        <v>3</v>
      </c>
      <c r="Q54" s="1164"/>
      <c r="R54" s="1258"/>
      <c r="S54" s="1164">
        <v>11</v>
      </c>
      <c r="T54" s="1164">
        <v>11</v>
      </c>
      <c r="U54" s="1259">
        <v>11</v>
      </c>
      <c r="V54" s="1259">
        <v>11</v>
      </c>
      <c r="W54" s="1259">
        <v>11</v>
      </c>
      <c r="X54" s="1259" t="s">
        <v>109</v>
      </c>
      <c r="Y54" s="1295" t="s">
        <v>109</v>
      </c>
      <c r="Z54" s="1259" t="s">
        <v>50</v>
      </c>
      <c r="AA54" s="1259" t="s">
        <v>50</v>
      </c>
      <c r="AB54" s="1259" t="s">
        <v>50</v>
      </c>
      <c r="AC54" s="1259" t="s">
        <v>50</v>
      </c>
      <c r="AD54" s="1164" t="s">
        <v>50</v>
      </c>
      <c r="AE54" s="1164" t="s">
        <v>104</v>
      </c>
      <c r="AF54" s="1258" t="s">
        <v>104</v>
      </c>
      <c r="AG54" s="1210"/>
      <c r="AH54" s="115"/>
      <c r="AI54" s="116"/>
    </row>
    <row r="55" spans="1:37" ht="18" customHeight="1" x14ac:dyDescent="0.2">
      <c r="A55" s="1261">
        <v>10</v>
      </c>
      <c r="B55" s="1178" t="s">
        <v>123</v>
      </c>
      <c r="C55" s="1179"/>
      <c r="D55" s="1179"/>
      <c r="E55" s="1179" t="s">
        <v>50</v>
      </c>
      <c r="F55" s="1179" t="s">
        <v>50</v>
      </c>
      <c r="G55" s="1182" t="s">
        <v>50</v>
      </c>
      <c r="H55" s="1182" t="s">
        <v>50</v>
      </c>
      <c r="I55" s="1182" t="s">
        <v>50</v>
      </c>
      <c r="J55" s="1182"/>
      <c r="K55" s="1182"/>
      <c r="L55" s="1182">
        <v>1</v>
      </c>
      <c r="M55" s="1182">
        <v>1</v>
      </c>
      <c r="N55" s="1182">
        <v>1</v>
      </c>
      <c r="O55" s="1179">
        <v>1</v>
      </c>
      <c r="P55" s="1179">
        <v>1</v>
      </c>
      <c r="Q55" s="1179"/>
      <c r="R55" s="1179"/>
      <c r="S55" s="1179">
        <v>9</v>
      </c>
      <c r="T55" s="1182">
        <v>9</v>
      </c>
      <c r="U55" s="1182">
        <v>9</v>
      </c>
      <c r="V55" s="1185">
        <v>9</v>
      </c>
      <c r="W55" s="1185">
        <v>9</v>
      </c>
      <c r="X55" s="1185" t="s">
        <v>70</v>
      </c>
      <c r="Y55" s="1185" t="s">
        <v>70</v>
      </c>
      <c r="Z55" s="1185" t="s">
        <v>50</v>
      </c>
      <c r="AA55" s="1185" t="s">
        <v>50</v>
      </c>
      <c r="AB55" s="1185" t="s">
        <v>50</v>
      </c>
      <c r="AC55" s="1223" t="s">
        <v>50</v>
      </c>
      <c r="AD55" s="1223" t="s">
        <v>50</v>
      </c>
      <c r="AE55" s="1223" t="s">
        <v>103</v>
      </c>
      <c r="AF55" s="1223" t="s">
        <v>104</v>
      </c>
      <c r="AG55" s="1216"/>
      <c r="AH55" s="115"/>
      <c r="AI55" s="116"/>
    </row>
    <row r="56" spans="1:37" ht="18" customHeight="1" thickBot="1" x14ac:dyDescent="0.25">
      <c r="A56" s="1264">
        <v>15</v>
      </c>
      <c r="B56" s="1192" t="s">
        <v>124</v>
      </c>
      <c r="C56" s="1221"/>
      <c r="D56" s="1221"/>
      <c r="E56" s="1221" t="s">
        <v>50</v>
      </c>
      <c r="F56" s="1294" t="s">
        <v>50</v>
      </c>
      <c r="G56" s="1294" t="s">
        <v>50</v>
      </c>
      <c r="H56" s="1294" t="s">
        <v>50</v>
      </c>
      <c r="I56" s="1294" t="s">
        <v>50</v>
      </c>
      <c r="J56" s="1294"/>
      <c r="K56" s="1220"/>
      <c r="L56" s="1221">
        <v>5</v>
      </c>
      <c r="M56" s="1221">
        <v>5</v>
      </c>
      <c r="N56" s="1221">
        <v>5</v>
      </c>
      <c r="O56" s="1268">
        <v>5</v>
      </c>
      <c r="P56" s="1268">
        <v>5</v>
      </c>
      <c r="Q56" s="1268"/>
      <c r="R56" s="1268"/>
      <c r="S56" s="1268">
        <v>10</v>
      </c>
      <c r="T56" s="1268">
        <v>10</v>
      </c>
      <c r="U56" s="1268">
        <v>10</v>
      </c>
      <c r="V56" s="1221">
        <v>10</v>
      </c>
      <c r="W56" s="1221">
        <v>10</v>
      </c>
      <c r="X56" s="1221" t="s">
        <v>106</v>
      </c>
      <c r="Y56" s="1220" t="s">
        <v>106</v>
      </c>
      <c r="Z56" s="1221" t="s">
        <v>50</v>
      </c>
      <c r="AA56" s="1221" t="s">
        <v>50</v>
      </c>
      <c r="AB56" s="1221" t="s">
        <v>50</v>
      </c>
      <c r="AC56" s="1221" t="s">
        <v>50</v>
      </c>
      <c r="AD56" s="1221" t="s">
        <v>50</v>
      </c>
      <c r="AE56" s="1220" t="s">
        <v>107</v>
      </c>
      <c r="AF56" s="1220" t="s">
        <v>107</v>
      </c>
      <c r="AG56" s="1296"/>
      <c r="AH56" s="115"/>
      <c r="AI56" s="116"/>
    </row>
    <row r="57" spans="1:37" ht="18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37" ht="18" customHeight="1" x14ac:dyDescent="0.2">
      <c r="A58" s="69"/>
      <c r="B58" s="42" t="s">
        <v>125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37" ht="18" customHeight="1" x14ac:dyDescent="0.2">
      <c r="A59" s="1135" t="s">
        <v>43</v>
      </c>
      <c r="B59" s="1135"/>
      <c r="C59" s="1134"/>
      <c r="D59" s="1135" t="s">
        <v>17</v>
      </c>
      <c r="E59" s="1133"/>
      <c r="F59" s="1134"/>
      <c r="G59" s="1135" t="s">
        <v>18</v>
      </c>
      <c r="H59" s="1133"/>
      <c r="I59" s="1134"/>
      <c r="J59" s="1135" t="s">
        <v>19</v>
      </c>
      <c r="K59" s="1133"/>
      <c r="L59" s="1134"/>
      <c r="M59" s="1135" t="s">
        <v>20</v>
      </c>
      <c r="N59" s="1133"/>
      <c r="O59" s="1134"/>
      <c r="P59" s="1135" t="s">
        <v>21</v>
      </c>
      <c r="Q59" s="1133"/>
      <c r="R59" s="1130"/>
      <c r="S59" s="1131" t="s">
        <v>22</v>
      </c>
      <c r="T59" s="1133"/>
      <c r="U59" s="1134"/>
      <c r="V59" s="1135" t="s">
        <v>23</v>
      </c>
      <c r="W59" s="1133"/>
      <c r="X59" s="1297" t="s">
        <v>126</v>
      </c>
      <c r="Y59" s="1133"/>
      <c r="Z59" s="1133"/>
      <c r="AA59" s="1298"/>
      <c r="AB59" s="1124"/>
      <c r="AC59" s="1124"/>
      <c r="AD59" s="1124"/>
      <c r="AE59" s="1124"/>
      <c r="AF59" s="1124"/>
      <c r="AG59" s="1125"/>
      <c r="AH59" s="1"/>
    </row>
    <row r="60" spans="1:37" ht="18" customHeight="1" x14ac:dyDescent="0.2">
      <c r="A60" s="1299">
        <v>8517</v>
      </c>
      <c r="B60" s="1300" t="s">
        <v>127</v>
      </c>
      <c r="C60" s="1301" t="s">
        <v>128</v>
      </c>
      <c r="D60" s="1302"/>
      <c r="E60" s="1122"/>
      <c r="F60" s="1301" t="s">
        <v>128</v>
      </c>
      <c r="G60" s="1302"/>
      <c r="H60" s="1122"/>
      <c r="I60" s="1301" t="s">
        <v>128</v>
      </c>
      <c r="J60" s="1302"/>
      <c r="K60" s="1122"/>
      <c r="L60" s="1301" t="s">
        <v>128</v>
      </c>
      <c r="M60" s="1302"/>
      <c r="N60" s="1122"/>
      <c r="O60" s="1301" t="s">
        <v>129</v>
      </c>
      <c r="P60" s="1302"/>
      <c r="Q60" s="1122"/>
      <c r="R60" s="1301"/>
      <c r="S60" s="1302"/>
      <c r="T60" s="1122"/>
      <c r="U60" s="1301" t="s">
        <v>130</v>
      </c>
      <c r="V60" s="1302"/>
      <c r="W60" s="1122"/>
      <c r="X60" s="1120"/>
      <c r="Y60" s="1124"/>
      <c r="Z60" s="1124"/>
      <c r="AA60" s="1124"/>
      <c r="AB60" s="1124"/>
      <c r="AC60" s="1124"/>
      <c r="AD60" s="1124"/>
      <c r="AE60" s="1124"/>
      <c r="AF60" s="1124"/>
      <c r="AG60" s="1125"/>
      <c r="AH60" s="1"/>
    </row>
    <row r="61" spans="1:37" ht="18" customHeight="1" x14ac:dyDescent="0.2">
      <c r="B61" s="1172" t="s">
        <v>131</v>
      </c>
      <c r="C61" s="1303" t="s">
        <v>132</v>
      </c>
      <c r="D61" s="1304"/>
      <c r="E61" s="1305"/>
      <c r="F61" s="1303" t="s">
        <v>132</v>
      </c>
      <c r="G61" s="1306"/>
      <c r="H61" s="1305"/>
      <c r="I61" s="1301" t="s">
        <v>132</v>
      </c>
      <c r="J61" s="1302"/>
      <c r="K61" s="1307"/>
      <c r="L61" s="1301" t="s">
        <v>132</v>
      </c>
      <c r="M61" s="1302"/>
      <c r="N61" s="1307"/>
      <c r="O61" s="1301" t="s">
        <v>133</v>
      </c>
      <c r="P61" s="1302"/>
      <c r="Q61" s="1122"/>
      <c r="R61" s="1308" t="s">
        <v>0</v>
      </c>
      <c r="S61" s="1302"/>
      <c r="T61" s="1307"/>
      <c r="U61" s="1302" t="s">
        <v>0</v>
      </c>
      <c r="V61" s="1302"/>
      <c r="W61" s="1122"/>
      <c r="X61" s="386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37" ht="18" customHeight="1" x14ac:dyDescent="0.2">
      <c r="A62" s="1309"/>
      <c r="B62" s="1300" t="s">
        <v>134</v>
      </c>
      <c r="C62" s="1303" t="s">
        <v>135</v>
      </c>
      <c r="D62" s="1304"/>
      <c r="E62" s="1306"/>
      <c r="F62" s="1303" t="s">
        <v>135</v>
      </c>
      <c r="G62" s="1304"/>
      <c r="H62" s="1306"/>
      <c r="I62" s="1303" t="s">
        <v>135</v>
      </c>
      <c r="J62" s="1304"/>
      <c r="K62" s="1306"/>
      <c r="L62" s="1303" t="s">
        <v>135</v>
      </c>
      <c r="M62" s="1304"/>
      <c r="N62" s="1306"/>
      <c r="O62" s="1303" t="s">
        <v>136</v>
      </c>
      <c r="P62" s="1304"/>
      <c r="Q62" s="1306"/>
      <c r="R62" s="387"/>
      <c r="S62" s="208"/>
      <c r="T62" s="1305"/>
      <c r="U62" s="1304"/>
      <c r="V62" s="1304"/>
      <c r="W62" s="1306"/>
      <c r="X62" s="1120"/>
      <c r="Y62" s="1124"/>
      <c r="Z62" s="1124"/>
      <c r="AA62" s="1124"/>
      <c r="AB62" s="1124"/>
      <c r="AC62" s="1124"/>
      <c r="AD62" s="1124"/>
      <c r="AE62" s="1124"/>
      <c r="AF62" s="1124"/>
      <c r="AG62" s="1125"/>
      <c r="AH62" s="1"/>
    </row>
    <row r="63" spans="1:37" ht="18" customHeight="1" x14ac:dyDescent="0.2">
      <c r="A63" s="1135"/>
      <c r="B63" s="1300"/>
      <c r="C63" s="740"/>
      <c r="D63" s="1310"/>
      <c r="E63" s="742"/>
      <c r="F63" s="740"/>
      <c r="G63" s="1310"/>
      <c r="H63" s="742"/>
      <c r="I63" s="740"/>
      <c r="J63" s="1310"/>
      <c r="K63" s="742"/>
      <c r="L63" s="740"/>
      <c r="M63" s="1310"/>
      <c r="N63" s="742"/>
      <c r="O63" s="740"/>
      <c r="P63" s="1310"/>
      <c r="Q63" s="742"/>
      <c r="R63" s="740"/>
      <c r="S63" s="1310"/>
      <c r="T63" s="742"/>
      <c r="U63" s="740"/>
      <c r="V63" s="1310"/>
      <c r="W63" s="742"/>
      <c r="X63" s="1122"/>
      <c r="Y63" s="1124"/>
      <c r="Z63" s="1124"/>
      <c r="AA63" s="1124"/>
      <c r="AB63" s="1124"/>
      <c r="AC63" s="1124"/>
      <c r="AD63" s="1124"/>
      <c r="AE63" s="1124"/>
      <c r="AF63" s="1124"/>
      <c r="AG63" s="1125"/>
      <c r="AH63" s="1"/>
      <c r="AJ63" t="s">
        <v>137</v>
      </c>
    </row>
    <row r="64" spans="1:37" ht="18" customHeight="1" thickBot="1" x14ac:dyDescent="0.25">
      <c r="A64" s="37"/>
      <c r="B64" s="62"/>
      <c r="C64" s="46"/>
      <c r="D64" s="46"/>
      <c r="E64" s="6"/>
      <c r="F64" s="46"/>
      <c r="G64" s="46"/>
      <c r="H64" s="6"/>
      <c r="I64" s="46"/>
      <c r="J64" s="46"/>
      <c r="K64" s="6"/>
      <c r="L64" s="46"/>
      <c r="M64" s="46"/>
      <c r="N64" s="6"/>
      <c r="O64" s="46"/>
      <c r="P64" s="46"/>
      <c r="Q64" s="6"/>
      <c r="R64" s="46"/>
      <c r="S64" s="46"/>
      <c r="T64" s="6"/>
      <c r="U64" s="46"/>
      <c r="V64" s="46"/>
      <c r="W64" s="6"/>
      <c r="X64" s="6"/>
      <c r="Y64" s="48"/>
      <c r="Z64" s="48"/>
      <c r="AA64" s="48"/>
      <c r="AB64" s="48"/>
      <c r="AC64" s="48"/>
      <c r="AD64" s="48"/>
      <c r="AE64" s="48"/>
      <c r="AF64" s="48"/>
      <c r="AG64" s="48"/>
      <c r="AH64" s="1"/>
    </row>
    <row r="65" spans="1:40" ht="18" customHeight="1" thickBot="1" x14ac:dyDescent="0.25">
      <c r="A65" s="1311"/>
      <c r="B65" s="1312" t="s">
        <v>44</v>
      </c>
      <c r="C65" s="1154">
        <v>1</v>
      </c>
      <c r="D65" s="1154">
        <v>2</v>
      </c>
      <c r="E65" s="1155">
        <v>3</v>
      </c>
      <c r="F65" s="1155">
        <v>4</v>
      </c>
      <c r="G65" s="1154">
        <v>5</v>
      </c>
      <c r="H65" s="1155">
        <v>6</v>
      </c>
      <c r="I65" s="1155">
        <v>7</v>
      </c>
      <c r="J65" s="1154">
        <v>8</v>
      </c>
      <c r="K65" s="1154">
        <v>9</v>
      </c>
      <c r="L65" s="1155">
        <v>10</v>
      </c>
      <c r="M65" s="1155">
        <v>11</v>
      </c>
      <c r="N65" s="1155">
        <v>12</v>
      </c>
      <c r="O65" s="1155">
        <v>13</v>
      </c>
      <c r="P65" s="1155">
        <v>14</v>
      </c>
      <c r="Q65" s="1154">
        <v>15</v>
      </c>
      <c r="R65" s="1154">
        <v>16</v>
      </c>
      <c r="S65" s="1155">
        <v>17</v>
      </c>
      <c r="T65" s="1155">
        <v>18</v>
      </c>
      <c r="U65" s="1155">
        <v>19</v>
      </c>
      <c r="V65" s="1155">
        <v>20</v>
      </c>
      <c r="W65" s="1155">
        <v>21</v>
      </c>
      <c r="X65" s="1154">
        <v>22</v>
      </c>
      <c r="Y65" s="1154">
        <v>23</v>
      </c>
      <c r="Z65" s="1155">
        <v>24</v>
      </c>
      <c r="AA65" s="1155">
        <v>25</v>
      </c>
      <c r="AB65" s="1155">
        <v>26</v>
      </c>
      <c r="AC65" s="1155">
        <v>27</v>
      </c>
      <c r="AD65" s="1155">
        <v>28</v>
      </c>
      <c r="AE65" s="1154">
        <v>29</v>
      </c>
      <c r="AF65" s="1154">
        <v>30</v>
      </c>
      <c r="AG65" s="1222"/>
      <c r="AH65" s="1"/>
      <c r="AJ65" s="1151" t="s">
        <v>41</v>
      </c>
      <c r="AK65" s="1151" t="s">
        <v>62</v>
      </c>
      <c r="AL65" s="1151" t="s">
        <v>63</v>
      </c>
      <c r="AM65" s="1151" t="s">
        <v>64</v>
      </c>
      <c r="AN65" s="1151" t="s">
        <v>65</v>
      </c>
    </row>
    <row r="66" spans="1:40" ht="18" customHeight="1" x14ac:dyDescent="0.2">
      <c r="A66" s="1313"/>
      <c r="B66" s="1314" t="s">
        <v>138</v>
      </c>
      <c r="C66" s="1258"/>
      <c r="D66" s="1258"/>
      <c r="E66" s="1315">
        <v>5</v>
      </c>
      <c r="F66" s="1315">
        <v>5</v>
      </c>
      <c r="G66" s="1271"/>
      <c r="H66" s="1315">
        <v>5</v>
      </c>
      <c r="I66" s="1315">
        <v>5</v>
      </c>
      <c r="J66" s="1258"/>
      <c r="K66" s="1258"/>
      <c r="L66" s="1259" t="s">
        <v>142</v>
      </c>
      <c r="M66" s="1259" t="s">
        <v>142</v>
      </c>
      <c r="N66" s="1164" t="s">
        <v>142</v>
      </c>
      <c r="O66" s="1259" t="s">
        <v>142</v>
      </c>
      <c r="P66" s="1259" t="s">
        <v>142</v>
      </c>
      <c r="Q66" s="1289" t="s">
        <v>143</v>
      </c>
      <c r="R66" s="1164" t="s">
        <v>143</v>
      </c>
      <c r="S66" s="1316" t="s">
        <v>50</v>
      </c>
      <c r="T66" s="1316" t="s">
        <v>50</v>
      </c>
      <c r="U66" s="1316" t="s">
        <v>50</v>
      </c>
      <c r="V66" s="1316" t="s">
        <v>50</v>
      </c>
      <c r="W66" s="1316" t="s">
        <v>50</v>
      </c>
      <c r="X66" s="1316"/>
      <c r="Y66" s="1316"/>
      <c r="Z66" s="1316" t="s">
        <v>46</v>
      </c>
      <c r="AA66" s="1316" t="s">
        <v>46</v>
      </c>
      <c r="AB66" s="1316" t="s">
        <v>46</v>
      </c>
      <c r="AC66" s="1316" t="s">
        <v>46</v>
      </c>
      <c r="AD66" s="1316" t="s">
        <v>46</v>
      </c>
      <c r="AE66" s="1316"/>
      <c r="AF66" s="1316"/>
      <c r="AG66" s="1317"/>
      <c r="AH66" s="1"/>
      <c r="AJ66" s="638">
        <v>179.75</v>
      </c>
      <c r="AK66" s="638">
        <v>8</v>
      </c>
      <c r="AL66" s="638">
        <f>IF(AJ66="","",SUM(AJ66:AK66))</f>
        <v>187.75</v>
      </c>
      <c r="AM66" s="639">
        <f t="shared" ref="AM66:AM95" si="0">IF(AJ66="","",AL66-_xlfn.SINGLE(NormTid))</f>
        <v>27.419999999999987</v>
      </c>
      <c r="AN66" s="639">
        <f>IF(AM66="","",AM66+'Maj 2024'!AN66)</f>
        <v>123.51999999999998</v>
      </c>
    </row>
    <row r="67" spans="1:40" ht="18" customHeight="1" x14ac:dyDescent="0.2">
      <c r="A67" s="748"/>
      <c r="B67" s="749" t="s">
        <v>144</v>
      </c>
      <c r="C67" s="1223" t="s">
        <v>147</v>
      </c>
      <c r="D67" s="1223" t="s">
        <v>148</v>
      </c>
      <c r="E67" s="1318" t="s">
        <v>50</v>
      </c>
      <c r="F67" s="1318" t="s">
        <v>50</v>
      </c>
      <c r="G67" s="1185">
        <v>21</v>
      </c>
      <c r="H67" s="1174">
        <v>21</v>
      </c>
      <c r="I67" s="1174" t="s">
        <v>50</v>
      </c>
      <c r="J67" s="1174"/>
      <c r="K67" s="1319" t="s">
        <v>46</v>
      </c>
      <c r="L67" s="1319" t="s">
        <v>50</v>
      </c>
      <c r="M67" s="1320" t="s">
        <v>46</v>
      </c>
      <c r="N67" s="1223" t="s">
        <v>152</v>
      </c>
      <c r="O67" s="1223" t="s">
        <v>399</v>
      </c>
      <c r="P67" s="1223" t="s">
        <v>46</v>
      </c>
      <c r="Q67" s="1318" t="s">
        <v>400</v>
      </c>
      <c r="R67" s="1174" t="s">
        <v>0</v>
      </c>
      <c r="S67" s="1223" t="s">
        <v>401</v>
      </c>
      <c r="T67" s="1223" t="s">
        <v>401</v>
      </c>
      <c r="U67" s="1223" t="s">
        <v>401</v>
      </c>
      <c r="V67" s="1223" t="s">
        <v>401</v>
      </c>
      <c r="W67" s="1223" t="s">
        <v>401</v>
      </c>
      <c r="X67" s="1179">
        <v>22</v>
      </c>
      <c r="Y67" s="1179">
        <v>22</v>
      </c>
      <c r="Z67" s="1174" t="s">
        <v>50</v>
      </c>
      <c r="AA67" s="1175" t="s">
        <v>50</v>
      </c>
      <c r="AB67" s="1175" t="s">
        <v>50</v>
      </c>
      <c r="AC67" s="1175" t="s">
        <v>50</v>
      </c>
      <c r="AD67" s="1175" t="s">
        <v>50</v>
      </c>
      <c r="AE67" s="1174"/>
      <c r="AF67" s="1176">
        <v>26</v>
      </c>
      <c r="AG67" s="1321"/>
      <c r="AH67" s="1"/>
      <c r="AJ67" s="638">
        <v>150.75</v>
      </c>
      <c r="AK67" s="638">
        <v>7.75</v>
      </c>
      <c r="AL67" s="638">
        <f t="shared" ref="AL67:AL95" si="1">IF(AJ67="","",SUM(AJ67:AK67))</f>
        <v>158.5</v>
      </c>
      <c r="AM67" s="639">
        <f t="shared" si="0"/>
        <v>-1.8300000000000125</v>
      </c>
      <c r="AN67" s="639">
        <f>IF(AM67="","",AM67+'Maj 2024'!AN67)</f>
        <v>-31.730000000000025</v>
      </c>
    </row>
    <row r="68" spans="1:40" ht="18" customHeight="1" x14ac:dyDescent="0.2">
      <c r="A68" s="748"/>
      <c r="B68" s="754" t="s">
        <v>146</v>
      </c>
      <c r="C68" s="1174" t="s">
        <v>150</v>
      </c>
      <c r="D68" s="1174" t="s">
        <v>71</v>
      </c>
      <c r="E68" s="1179" t="s">
        <v>50</v>
      </c>
      <c r="F68" s="1179" t="s">
        <v>50</v>
      </c>
      <c r="G68" s="1174"/>
      <c r="H68" s="1322">
        <v>25</v>
      </c>
      <c r="I68" s="1185" t="s">
        <v>46</v>
      </c>
      <c r="J68" s="1174"/>
      <c r="K68" s="1174">
        <v>26</v>
      </c>
      <c r="L68" s="1174">
        <v>26</v>
      </c>
      <c r="M68" s="1174">
        <v>26</v>
      </c>
      <c r="N68" s="1174">
        <v>26</v>
      </c>
      <c r="O68" s="1174">
        <v>26</v>
      </c>
      <c r="P68" s="1174">
        <v>26</v>
      </c>
      <c r="Q68" s="1223"/>
      <c r="R68" s="1223"/>
      <c r="S68" s="1186" t="s">
        <v>46</v>
      </c>
      <c r="T68" s="1186" t="s">
        <v>46</v>
      </c>
      <c r="U68" s="1186" t="s">
        <v>46</v>
      </c>
      <c r="V68" s="1186" t="s">
        <v>46</v>
      </c>
      <c r="W68" s="1186" t="s">
        <v>46</v>
      </c>
      <c r="X68" s="1186"/>
      <c r="Y68" s="1186"/>
      <c r="Z68" s="1186" t="s">
        <v>46</v>
      </c>
      <c r="AA68" s="1186" t="s">
        <v>46</v>
      </c>
      <c r="AB68" s="1186" t="s">
        <v>46</v>
      </c>
      <c r="AC68" s="1186" t="s">
        <v>46</v>
      </c>
      <c r="AD68" s="1186" t="s">
        <v>46</v>
      </c>
      <c r="AE68" s="1186"/>
      <c r="AF68" s="1186"/>
      <c r="AG68" s="1321"/>
      <c r="AH68" s="1"/>
      <c r="AJ68" s="638">
        <v>173.25</v>
      </c>
      <c r="AK68" s="638">
        <v>5.75</v>
      </c>
      <c r="AL68" s="638">
        <f t="shared" si="1"/>
        <v>179</v>
      </c>
      <c r="AM68" s="639">
        <f t="shared" si="0"/>
        <v>18.669999999999987</v>
      </c>
      <c r="AN68" s="639">
        <f>IF(AM68="","",AM68+'Maj 2024'!AN68)</f>
        <v>-17.730000000000025</v>
      </c>
    </row>
    <row r="69" spans="1:40" ht="18" customHeight="1" x14ac:dyDescent="0.2">
      <c r="A69" s="748"/>
      <c r="B69" s="754" t="s">
        <v>151</v>
      </c>
      <c r="C69" s="1174"/>
      <c r="D69" s="1174">
        <v>26</v>
      </c>
      <c r="E69" s="1134">
        <v>25</v>
      </c>
      <c r="F69" s="1134">
        <v>25</v>
      </c>
      <c r="G69" s="1185" t="s">
        <v>0</v>
      </c>
      <c r="H69" s="1185">
        <v>99</v>
      </c>
      <c r="I69" s="1185">
        <v>7</v>
      </c>
      <c r="J69" s="1174"/>
      <c r="K69" s="1223" t="s">
        <v>68</v>
      </c>
      <c r="L69" s="1323" t="s">
        <v>46</v>
      </c>
      <c r="M69" s="1320" t="s">
        <v>46</v>
      </c>
      <c r="N69" s="1179">
        <v>25</v>
      </c>
      <c r="O69" s="1179">
        <v>25</v>
      </c>
      <c r="P69" s="1179">
        <v>25</v>
      </c>
      <c r="Q69" s="1223"/>
      <c r="R69" s="1223"/>
      <c r="S69" s="1179" t="s">
        <v>142</v>
      </c>
      <c r="T69" s="1179" t="s">
        <v>142</v>
      </c>
      <c r="U69" s="1223" t="s">
        <v>142</v>
      </c>
      <c r="V69" s="1179" t="s">
        <v>142</v>
      </c>
      <c r="W69" s="1179" t="s">
        <v>142</v>
      </c>
      <c r="X69" s="1223" t="s">
        <v>143</v>
      </c>
      <c r="Y69" s="1223" t="s">
        <v>143</v>
      </c>
      <c r="Z69" s="1174" t="s">
        <v>50</v>
      </c>
      <c r="AA69" s="1174" t="s">
        <v>50</v>
      </c>
      <c r="AB69" s="1174" t="s">
        <v>50</v>
      </c>
      <c r="AC69" s="1223" t="s">
        <v>50</v>
      </c>
      <c r="AD69" s="1223" t="s">
        <v>50</v>
      </c>
      <c r="AE69" s="1174"/>
      <c r="AF69" s="1223"/>
      <c r="AG69" s="1321"/>
      <c r="AH69" s="1"/>
      <c r="AJ69" s="638">
        <v>164.75</v>
      </c>
      <c r="AK69" s="638">
        <v>10.25</v>
      </c>
      <c r="AL69" s="638">
        <f t="shared" si="1"/>
        <v>175</v>
      </c>
      <c r="AM69" s="639">
        <f t="shared" si="0"/>
        <v>14.669999999999987</v>
      </c>
      <c r="AN69" s="639">
        <f>IF(AM69="","",AM69+'Maj 2024'!AN69)</f>
        <v>36.269999999999975</v>
      </c>
    </row>
    <row r="70" spans="1:40" ht="18" customHeight="1" x14ac:dyDescent="0.2">
      <c r="A70" s="748"/>
      <c r="B70" s="1145" t="s">
        <v>155</v>
      </c>
      <c r="C70" s="1185"/>
      <c r="D70" s="1174"/>
      <c r="E70" s="1324" t="s">
        <v>50</v>
      </c>
      <c r="F70" s="1324" t="s">
        <v>50</v>
      </c>
      <c r="G70" s="1185"/>
      <c r="H70" s="1324" t="s">
        <v>50</v>
      </c>
      <c r="I70" s="1324" t="s">
        <v>50</v>
      </c>
      <c r="J70" s="1174" t="s">
        <v>68</v>
      </c>
      <c r="K70" s="1174" t="s">
        <v>68</v>
      </c>
      <c r="L70" s="1324" t="s">
        <v>50</v>
      </c>
      <c r="M70" s="1324" t="s">
        <v>50</v>
      </c>
      <c r="N70" s="1324" t="s">
        <v>50</v>
      </c>
      <c r="O70" s="1324" t="s">
        <v>50</v>
      </c>
      <c r="P70" s="1324" t="s">
        <v>50</v>
      </c>
      <c r="Q70" s="1185"/>
      <c r="R70" s="1185"/>
      <c r="S70" s="1174" t="s">
        <v>154</v>
      </c>
      <c r="T70" s="1223" t="s">
        <v>154</v>
      </c>
      <c r="U70" s="1181" t="s">
        <v>154</v>
      </c>
      <c r="V70" s="1223" t="s">
        <v>154</v>
      </c>
      <c r="W70" s="1223" t="s">
        <v>154</v>
      </c>
      <c r="X70" s="1174" t="s">
        <v>103</v>
      </c>
      <c r="Y70" s="1050" t="s">
        <v>402</v>
      </c>
      <c r="Z70" s="1262" t="s">
        <v>50</v>
      </c>
      <c r="AA70" s="1262" t="s">
        <v>50</v>
      </c>
      <c r="AB70" s="1262" t="s">
        <v>112</v>
      </c>
      <c r="AC70" s="1134">
        <v>6</v>
      </c>
      <c r="AD70" s="1134">
        <v>6</v>
      </c>
      <c r="AE70" s="1185"/>
      <c r="AF70" s="1185"/>
      <c r="AG70" s="1321"/>
      <c r="AH70" s="1"/>
      <c r="AJ70" s="638">
        <v>79.75</v>
      </c>
      <c r="AK70" s="638">
        <v>1.75</v>
      </c>
      <c r="AL70" s="638">
        <f t="shared" si="1"/>
        <v>81.5</v>
      </c>
      <c r="AM70" s="639">
        <f t="shared" si="0"/>
        <v>-78.830000000000013</v>
      </c>
      <c r="AN70" s="639">
        <f>IF(AM70="","",AM70+'Maj 2024'!AN70)</f>
        <v>-65.080000000000027</v>
      </c>
    </row>
    <row r="71" spans="1:40" ht="18" customHeight="1" x14ac:dyDescent="0.2">
      <c r="A71" s="760"/>
      <c r="B71" s="749" t="s">
        <v>156</v>
      </c>
      <c r="C71" s="1185"/>
      <c r="D71" s="1185"/>
      <c r="E71" s="1179" t="s">
        <v>142</v>
      </c>
      <c r="F71" s="1179" t="s">
        <v>142</v>
      </c>
      <c r="G71" s="1223" t="s">
        <v>143</v>
      </c>
      <c r="H71" s="1179" t="s">
        <v>142</v>
      </c>
      <c r="I71" s="1179" t="s">
        <v>142</v>
      </c>
      <c r="J71" s="1223" t="s">
        <v>143</v>
      </c>
      <c r="K71" s="1223" t="s">
        <v>143</v>
      </c>
      <c r="L71" s="1185" t="s">
        <v>50</v>
      </c>
      <c r="M71" s="1185" t="s">
        <v>50</v>
      </c>
      <c r="N71" s="1185" t="s">
        <v>50</v>
      </c>
      <c r="O71" s="1185" t="s">
        <v>50</v>
      </c>
      <c r="P71" s="1185" t="s">
        <v>50</v>
      </c>
      <c r="Q71" s="1185"/>
      <c r="R71" s="1223" t="s">
        <v>186</v>
      </c>
      <c r="S71" s="1223" t="s">
        <v>153</v>
      </c>
      <c r="T71" s="1185">
        <v>25</v>
      </c>
      <c r="U71" s="1185" t="s">
        <v>50</v>
      </c>
      <c r="V71" s="1174" t="s">
        <v>50</v>
      </c>
      <c r="W71" s="1174" t="s">
        <v>139</v>
      </c>
      <c r="X71" s="1174" t="s">
        <v>140</v>
      </c>
      <c r="Y71" s="1174" t="s">
        <v>141</v>
      </c>
      <c r="Z71" s="1174" t="s">
        <v>50</v>
      </c>
      <c r="AA71" s="1174" t="s">
        <v>50</v>
      </c>
      <c r="AB71" s="1185">
        <v>25</v>
      </c>
      <c r="AC71" s="1174">
        <v>26</v>
      </c>
      <c r="AD71" s="1176">
        <v>26</v>
      </c>
      <c r="AE71" s="1185"/>
      <c r="AF71" s="1185"/>
      <c r="AG71" s="1177"/>
      <c r="AJ71" s="638">
        <v>151</v>
      </c>
      <c r="AK71" s="638">
        <v>10.5</v>
      </c>
      <c r="AL71" s="638">
        <f t="shared" si="1"/>
        <v>161.5</v>
      </c>
      <c r="AM71" s="639">
        <f t="shared" si="0"/>
        <v>1.1699999999999875</v>
      </c>
      <c r="AN71" s="639">
        <f>IF(AM71="","",AM71+'Maj 2024'!AN71)</f>
        <v>0.51999999999997504</v>
      </c>
    </row>
    <row r="72" spans="1:40" ht="18" customHeight="1" x14ac:dyDescent="0.2">
      <c r="A72" s="762"/>
      <c r="B72" s="749" t="s">
        <v>159</v>
      </c>
      <c r="C72" s="1223" t="s">
        <v>70</v>
      </c>
      <c r="D72" s="1223" t="s">
        <v>70</v>
      </c>
      <c r="E72" s="1179" t="s">
        <v>50</v>
      </c>
      <c r="F72" s="1179" t="s">
        <v>50</v>
      </c>
      <c r="G72" s="1185"/>
      <c r="H72" s="1182">
        <v>69</v>
      </c>
      <c r="I72" s="1182">
        <v>25</v>
      </c>
      <c r="J72" s="1182" t="s">
        <v>68</v>
      </c>
      <c r="K72" s="1182" t="s">
        <v>68</v>
      </c>
      <c r="L72" s="1182">
        <v>25</v>
      </c>
      <c r="M72" s="1182">
        <v>25</v>
      </c>
      <c r="N72" s="1185" t="s">
        <v>50</v>
      </c>
      <c r="O72" s="1185" t="s">
        <v>50</v>
      </c>
      <c r="P72" s="1174" t="s">
        <v>149</v>
      </c>
      <c r="Q72" s="1174" t="s">
        <v>150</v>
      </c>
      <c r="R72" s="1174" t="s">
        <v>71</v>
      </c>
      <c r="S72" s="1174" t="s">
        <v>50</v>
      </c>
      <c r="T72" s="1174" t="s">
        <v>50</v>
      </c>
      <c r="U72" s="1185">
        <v>25</v>
      </c>
      <c r="V72" s="1174">
        <v>25</v>
      </c>
      <c r="W72" s="1174">
        <v>25</v>
      </c>
      <c r="X72" s="1174"/>
      <c r="Y72" s="1174">
        <v>26</v>
      </c>
      <c r="Z72" s="1174">
        <v>25</v>
      </c>
      <c r="AA72" s="1174">
        <v>25</v>
      </c>
      <c r="AB72" s="1174" t="s">
        <v>46</v>
      </c>
      <c r="AC72" s="1174">
        <v>25</v>
      </c>
      <c r="AD72" s="1262">
        <v>25</v>
      </c>
      <c r="AE72" s="1262" t="s">
        <v>403</v>
      </c>
      <c r="AF72" s="1134" t="s">
        <v>68</v>
      </c>
      <c r="AG72" s="1321"/>
      <c r="AH72" s="1"/>
      <c r="AJ72" s="638">
        <v>180.25</v>
      </c>
      <c r="AK72" s="638">
        <v>12.25</v>
      </c>
      <c r="AL72" s="638">
        <f t="shared" si="1"/>
        <v>192.5</v>
      </c>
      <c r="AM72" s="639">
        <f t="shared" si="0"/>
        <v>32.169999999999987</v>
      </c>
      <c r="AN72" s="639">
        <f>IF(AM72="","",AM72+'Maj 2024'!AN72)</f>
        <v>87.019999999999982</v>
      </c>
    </row>
    <row r="73" spans="1:40" ht="18" customHeight="1" x14ac:dyDescent="0.2">
      <c r="A73" s="764"/>
      <c r="B73" s="1145" t="s">
        <v>161</v>
      </c>
      <c r="C73" s="1174" t="s">
        <v>163</v>
      </c>
      <c r="D73" s="1174" t="s">
        <v>164</v>
      </c>
      <c r="E73" s="1174" t="s">
        <v>50</v>
      </c>
      <c r="F73" s="1174" t="s">
        <v>50</v>
      </c>
      <c r="G73" s="1174" t="s">
        <v>50</v>
      </c>
      <c r="H73" s="1174" t="s">
        <v>50</v>
      </c>
      <c r="I73" s="1174" t="s">
        <v>50</v>
      </c>
      <c r="J73" s="1174"/>
      <c r="K73" s="1174"/>
      <c r="L73" s="1325" t="s">
        <v>162</v>
      </c>
      <c r="M73" s="1325" t="s">
        <v>162</v>
      </c>
      <c r="N73" s="1325" t="s">
        <v>162</v>
      </c>
      <c r="O73" s="1223" t="s">
        <v>162</v>
      </c>
      <c r="P73" s="1223" t="s">
        <v>162</v>
      </c>
      <c r="Q73" s="1174" t="s">
        <v>163</v>
      </c>
      <c r="R73" s="1174" t="s">
        <v>164</v>
      </c>
      <c r="S73" s="1174" t="s">
        <v>50</v>
      </c>
      <c r="T73" s="1174" t="s">
        <v>50</v>
      </c>
      <c r="U73" s="1174" t="s">
        <v>50</v>
      </c>
      <c r="V73" s="1174" t="s">
        <v>50</v>
      </c>
      <c r="W73" s="1174" t="s">
        <v>50</v>
      </c>
      <c r="X73" s="1174"/>
      <c r="Y73" s="1174"/>
      <c r="Z73" s="1223" t="s">
        <v>162</v>
      </c>
      <c r="AA73" s="1223" t="s">
        <v>162</v>
      </c>
      <c r="AB73" s="1223" t="s">
        <v>162</v>
      </c>
      <c r="AC73" s="1223" t="s">
        <v>162</v>
      </c>
      <c r="AD73" s="1223" t="s">
        <v>162</v>
      </c>
      <c r="AE73" s="1174" t="s">
        <v>163</v>
      </c>
      <c r="AF73" s="1174" t="s">
        <v>164</v>
      </c>
      <c r="AG73" s="1321"/>
      <c r="AH73" s="1"/>
      <c r="AJ73" s="638">
        <v>157.75</v>
      </c>
      <c r="AK73" s="638">
        <v>12.25</v>
      </c>
      <c r="AL73" s="638">
        <f t="shared" si="1"/>
        <v>170</v>
      </c>
      <c r="AM73" s="639">
        <f t="shared" si="0"/>
        <v>9.6699999999999875</v>
      </c>
      <c r="AN73" s="639">
        <f>IF(AM73="","",AM73+'Maj 2024'!AN73)</f>
        <v>-3.7300000000000253</v>
      </c>
    </row>
    <row r="74" spans="1:40" ht="18" customHeight="1" x14ac:dyDescent="0.2">
      <c r="A74" s="764"/>
      <c r="B74" s="1145" t="s">
        <v>165</v>
      </c>
      <c r="C74" s="1186"/>
      <c r="D74" s="1186"/>
      <c r="E74" s="1186" t="s">
        <v>46</v>
      </c>
      <c r="F74" s="1186" t="s">
        <v>46</v>
      </c>
      <c r="G74" s="1186"/>
      <c r="H74" s="1186" t="s">
        <v>46</v>
      </c>
      <c r="I74" s="1186" t="s">
        <v>46</v>
      </c>
      <c r="J74" s="1186"/>
      <c r="K74" s="1186"/>
      <c r="L74" s="1186" t="s">
        <v>46</v>
      </c>
      <c r="M74" s="1186" t="s">
        <v>46</v>
      </c>
      <c r="N74" s="1186" t="s">
        <v>46</v>
      </c>
      <c r="O74" s="1186" t="s">
        <v>46</v>
      </c>
      <c r="P74" s="1186" t="s">
        <v>46</v>
      </c>
      <c r="Q74" s="1186"/>
      <c r="R74" s="1186"/>
      <c r="S74" s="1186" t="s">
        <v>46</v>
      </c>
      <c r="T74" s="1186" t="s">
        <v>46</v>
      </c>
      <c r="U74" s="1174" t="s">
        <v>50</v>
      </c>
      <c r="V74" s="1174" t="s">
        <v>50</v>
      </c>
      <c r="W74" s="1174" t="s">
        <v>149</v>
      </c>
      <c r="X74" s="1174" t="s">
        <v>150</v>
      </c>
      <c r="Y74" s="1174" t="s">
        <v>71</v>
      </c>
      <c r="Z74" s="1174" t="s">
        <v>50</v>
      </c>
      <c r="AA74" s="1174" t="s">
        <v>50</v>
      </c>
      <c r="AB74" s="1174">
        <v>26</v>
      </c>
      <c r="AC74" s="1174" t="s">
        <v>252</v>
      </c>
      <c r="AD74" s="1174" t="s">
        <v>252</v>
      </c>
      <c r="AE74" s="1174"/>
      <c r="AF74" s="1174"/>
      <c r="AG74" s="1177"/>
      <c r="AH74" s="1"/>
      <c r="AJ74" s="638">
        <v>139.5</v>
      </c>
      <c r="AK74" s="638">
        <v>3</v>
      </c>
      <c r="AL74" s="638">
        <f t="shared" si="1"/>
        <v>142.5</v>
      </c>
      <c r="AM74" s="639">
        <f t="shared" si="0"/>
        <v>-17.830000000000013</v>
      </c>
      <c r="AN74" s="639">
        <f>IF(AM74="","",AM74+'Maj 2024'!AN74)</f>
        <v>-73.230000000000018</v>
      </c>
    </row>
    <row r="75" spans="1:40" ht="18" customHeight="1" x14ac:dyDescent="0.2">
      <c r="A75" s="768"/>
      <c r="B75" s="1145" t="s">
        <v>166</v>
      </c>
      <c r="C75" s="1174" t="s">
        <v>0</v>
      </c>
      <c r="D75" s="1174" t="s">
        <v>0</v>
      </c>
      <c r="E75" s="1326" t="s">
        <v>160</v>
      </c>
      <c r="F75" s="1326" t="s">
        <v>160</v>
      </c>
      <c r="G75" s="1174"/>
      <c r="H75" s="1326" t="s">
        <v>160</v>
      </c>
      <c r="I75" s="1185" t="s">
        <v>46</v>
      </c>
      <c r="J75" s="1174" t="s">
        <v>0</v>
      </c>
      <c r="K75" s="1319"/>
      <c r="L75" s="1327" t="s">
        <v>50</v>
      </c>
      <c r="M75" s="1326" t="s">
        <v>160</v>
      </c>
      <c r="N75" s="1326" t="s">
        <v>160</v>
      </c>
      <c r="O75" s="1326" t="s">
        <v>160</v>
      </c>
      <c r="P75" s="1326" t="s">
        <v>160</v>
      </c>
      <c r="Q75" s="1185" t="s">
        <v>68</v>
      </c>
      <c r="R75" s="1185" t="s">
        <v>68</v>
      </c>
      <c r="S75" s="1185" t="s">
        <v>160</v>
      </c>
      <c r="T75" s="1185" t="s">
        <v>160</v>
      </c>
      <c r="U75" s="1185" t="s">
        <v>160</v>
      </c>
      <c r="V75" s="1185" t="s">
        <v>160</v>
      </c>
      <c r="W75" s="1185" t="s">
        <v>160</v>
      </c>
      <c r="X75" s="1328"/>
      <c r="Y75" s="1328"/>
      <c r="Z75" s="1185" t="s">
        <v>160</v>
      </c>
      <c r="AA75" s="1185" t="s">
        <v>160</v>
      </c>
      <c r="AB75" s="1185" t="s">
        <v>160</v>
      </c>
      <c r="AC75" s="1185" t="s">
        <v>160</v>
      </c>
      <c r="AD75" s="1185" t="s">
        <v>160</v>
      </c>
      <c r="AE75" s="1328"/>
      <c r="AF75" s="1328" t="s">
        <v>68</v>
      </c>
      <c r="AG75" s="1321"/>
      <c r="AH75" s="1"/>
      <c r="AJ75" s="638">
        <v>132.75</v>
      </c>
      <c r="AK75" s="638">
        <v>0</v>
      </c>
      <c r="AL75" s="638">
        <f t="shared" si="1"/>
        <v>132.75</v>
      </c>
      <c r="AM75" s="639">
        <f t="shared" si="0"/>
        <v>-27.580000000000013</v>
      </c>
      <c r="AN75" s="639">
        <f>IF(AM75="","",AM75+'Maj 2024'!AN75)</f>
        <v>-12.980000000000025</v>
      </c>
    </row>
    <row r="76" spans="1:40" ht="18" customHeight="1" x14ac:dyDescent="0.2">
      <c r="A76" s="768"/>
      <c r="B76" s="769" t="s">
        <v>167</v>
      </c>
      <c r="C76" s="1174"/>
      <c r="D76" s="638" t="s">
        <v>0</v>
      </c>
      <c r="E76" s="1174" t="s">
        <v>168</v>
      </c>
      <c r="F76" s="1174" t="s">
        <v>168</v>
      </c>
      <c r="G76" s="1174" t="s">
        <v>0</v>
      </c>
      <c r="H76" s="1174" t="s">
        <v>168</v>
      </c>
      <c r="I76" s="1174" t="s">
        <v>168</v>
      </c>
      <c r="J76" s="1176" t="s">
        <v>0</v>
      </c>
      <c r="K76" s="638" t="s">
        <v>0</v>
      </c>
      <c r="L76" s="1185" t="s">
        <v>168</v>
      </c>
      <c r="M76" s="1185" t="s">
        <v>168</v>
      </c>
      <c r="N76" s="1185" t="s">
        <v>168</v>
      </c>
      <c r="O76" s="1185" t="s">
        <v>168</v>
      </c>
      <c r="P76" s="1185" t="s">
        <v>168</v>
      </c>
      <c r="Q76" s="1174" t="s">
        <v>0</v>
      </c>
      <c r="R76" s="638" t="s">
        <v>0</v>
      </c>
      <c r="S76" s="1329" t="s">
        <v>168</v>
      </c>
      <c r="T76" s="1329" t="s">
        <v>168</v>
      </c>
      <c r="U76" s="1329" t="s">
        <v>168</v>
      </c>
      <c r="V76" s="1329" t="s">
        <v>168</v>
      </c>
      <c r="W76" s="1329" t="s">
        <v>168</v>
      </c>
      <c r="X76" s="1329" t="s">
        <v>0</v>
      </c>
      <c r="Y76" s="1329" t="s">
        <v>0</v>
      </c>
      <c r="Z76" s="1329" t="s">
        <v>168</v>
      </c>
      <c r="AA76" s="1329" t="s">
        <v>168</v>
      </c>
      <c r="AB76" s="1329" t="s">
        <v>168</v>
      </c>
      <c r="AC76" s="1329" t="s">
        <v>168</v>
      </c>
      <c r="AD76" s="1329" t="s">
        <v>168</v>
      </c>
      <c r="AE76" s="1329"/>
      <c r="AF76" s="1329"/>
      <c r="AG76" s="1330"/>
      <c r="AH76" s="1"/>
      <c r="AJ76" s="638">
        <v>150.5</v>
      </c>
      <c r="AK76" s="638">
        <v>1</v>
      </c>
      <c r="AL76" s="638">
        <f t="shared" si="1"/>
        <v>151.5</v>
      </c>
      <c r="AM76" s="639">
        <f t="shared" si="0"/>
        <v>-8.8300000000000125</v>
      </c>
      <c r="AN76" s="639">
        <f>IF(AM76="","",AM76+'Maj 2024'!AN76)</f>
        <v>-45.230000000000025</v>
      </c>
    </row>
    <row r="77" spans="1:40" ht="18" customHeight="1" x14ac:dyDescent="0.2">
      <c r="A77" s="768"/>
      <c r="B77" s="769" t="s">
        <v>170</v>
      </c>
      <c r="C77" s="1185" t="s">
        <v>143</v>
      </c>
      <c r="D77" s="1185" t="s">
        <v>143</v>
      </c>
      <c r="E77" s="1318" t="s">
        <v>50</v>
      </c>
      <c r="F77" s="1318" t="s">
        <v>50</v>
      </c>
      <c r="G77" s="1223"/>
      <c r="H77" s="1318" t="s">
        <v>50</v>
      </c>
      <c r="I77" s="1318" t="s">
        <v>50</v>
      </c>
      <c r="J77" s="1185"/>
      <c r="K77" s="1185"/>
      <c r="L77" s="1185" t="s">
        <v>158</v>
      </c>
      <c r="M77" s="1185" t="s">
        <v>158</v>
      </c>
      <c r="N77" s="1185" t="s">
        <v>158</v>
      </c>
      <c r="O77" s="1185" t="s">
        <v>158</v>
      </c>
      <c r="P77" s="1185" t="s">
        <v>158</v>
      </c>
      <c r="Q77" s="1179"/>
      <c r="R77" s="1331" t="s">
        <v>0</v>
      </c>
      <c r="S77" s="1179" t="s">
        <v>168</v>
      </c>
      <c r="T77" s="1179" t="s">
        <v>69</v>
      </c>
      <c r="U77" s="1179" t="s">
        <v>168</v>
      </c>
      <c r="V77" s="1179" t="s">
        <v>69</v>
      </c>
      <c r="W77" s="1179" t="s">
        <v>69</v>
      </c>
      <c r="X77" s="1223"/>
      <c r="Y77" s="1223"/>
      <c r="Z77" s="1174" t="s">
        <v>142</v>
      </c>
      <c r="AA77" s="1174" t="s">
        <v>142</v>
      </c>
      <c r="AB77" s="1332" t="s">
        <v>142</v>
      </c>
      <c r="AC77" s="1174" t="s">
        <v>142</v>
      </c>
      <c r="AD77" s="1174" t="s">
        <v>142</v>
      </c>
      <c r="AE77" s="1333" t="s">
        <v>143</v>
      </c>
      <c r="AF77" s="1174" t="s">
        <v>143</v>
      </c>
      <c r="AG77" s="1216"/>
      <c r="AH77" s="1"/>
      <c r="AJ77" s="638">
        <v>165.5</v>
      </c>
      <c r="AK77" s="638"/>
      <c r="AL77" s="638">
        <f t="shared" si="1"/>
        <v>165.5</v>
      </c>
      <c r="AM77" s="639">
        <f t="shared" si="0"/>
        <v>5.1699999999999875</v>
      </c>
      <c r="AN77" s="639">
        <f>IF(AM77="","",AM77+'Maj 2024'!AN77)</f>
        <v>25.769999999999975</v>
      </c>
    </row>
    <row r="78" spans="1:40" ht="18" customHeight="1" x14ac:dyDescent="0.2">
      <c r="A78" s="768"/>
      <c r="B78" s="772" t="s">
        <v>173</v>
      </c>
      <c r="C78" s="1223"/>
      <c r="D78" s="1223"/>
      <c r="E78" s="1334" t="s">
        <v>46</v>
      </c>
      <c r="F78" s="1334" t="s">
        <v>46</v>
      </c>
      <c r="G78" s="1174"/>
      <c r="H78" s="1176">
        <v>25</v>
      </c>
      <c r="I78" s="1174" t="s">
        <v>139</v>
      </c>
      <c r="J78" s="1174" t="s">
        <v>140</v>
      </c>
      <c r="K78" s="1174" t="s">
        <v>141</v>
      </c>
      <c r="L78" s="1174" t="s">
        <v>50</v>
      </c>
      <c r="M78" s="1174" t="s">
        <v>50</v>
      </c>
      <c r="N78" s="1174" t="s">
        <v>154</v>
      </c>
      <c r="O78" s="1174" t="s">
        <v>154</v>
      </c>
      <c r="P78" s="1174" t="s">
        <v>154</v>
      </c>
      <c r="Q78" s="1174"/>
      <c r="R78" s="1335">
        <v>26</v>
      </c>
      <c r="S78" s="1174">
        <v>26</v>
      </c>
      <c r="T78" s="1174">
        <v>26</v>
      </c>
      <c r="U78" s="1176">
        <v>26</v>
      </c>
      <c r="V78" s="1174">
        <v>26</v>
      </c>
      <c r="W78" s="1174">
        <v>26</v>
      </c>
      <c r="X78" s="1336"/>
      <c r="Y78" s="1176"/>
      <c r="Z78" s="1337" t="s">
        <v>46</v>
      </c>
      <c r="AA78" s="1176" t="s">
        <v>50</v>
      </c>
      <c r="AB78" s="1176" t="s">
        <v>50</v>
      </c>
      <c r="AC78" s="1176" t="s">
        <v>50</v>
      </c>
      <c r="AD78" s="1174" t="s">
        <v>139</v>
      </c>
      <c r="AE78" s="1174" t="s">
        <v>140</v>
      </c>
      <c r="AF78" s="1174" t="s">
        <v>141</v>
      </c>
      <c r="AG78" s="1216"/>
      <c r="AH78" s="1"/>
      <c r="AJ78" s="638">
        <v>163</v>
      </c>
      <c r="AK78" s="638"/>
      <c r="AL78" s="638">
        <f t="shared" si="1"/>
        <v>163</v>
      </c>
      <c r="AM78" s="639">
        <f t="shared" si="0"/>
        <v>2.6699999999999875</v>
      </c>
      <c r="AN78" s="639">
        <f>IF(AM78="","",AM78+'Maj 2024'!AN78)</f>
        <v>2.8499999999999766</v>
      </c>
    </row>
    <row r="79" spans="1:40" ht="18" customHeight="1" x14ac:dyDescent="0.2">
      <c r="A79" s="768"/>
      <c r="B79" s="772" t="s">
        <v>176</v>
      </c>
      <c r="C79" s="1185"/>
      <c r="D79" s="1185"/>
      <c r="E79" s="1185" t="s">
        <v>160</v>
      </c>
      <c r="F79" s="1185" t="s">
        <v>160</v>
      </c>
      <c r="G79" s="1185" t="s">
        <v>0</v>
      </c>
      <c r="H79" s="1185" t="s">
        <v>160</v>
      </c>
      <c r="I79" s="1185" t="s">
        <v>160</v>
      </c>
      <c r="J79" s="1185" t="s">
        <v>0</v>
      </c>
      <c r="K79" s="1185" t="s">
        <v>0</v>
      </c>
      <c r="L79" s="1185" t="s">
        <v>160</v>
      </c>
      <c r="M79" s="1185" t="s">
        <v>160</v>
      </c>
      <c r="N79" s="1185" t="s">
        <v>160</v>
      </c>
      <c r="O79" s="1185" t="s">
        <v>160</v>
      </c>
      <c r="P79" s="1185" t="s">
        <v>160</v>
      </c>
      <c r="Q79" s="1185" t="s">
        <v>0</v>
      </c>
      <c r="R79" s="1185" t="s">
        <v>0</v>
      </c>
      <c r="S79" s="1332" t="s">
        <v>209</v>
      </c>
      <c r="T79" s="1332" t="s">
        <v>209</v>
      </c>
      <c r="U79" s="1332" t="s">
        <v>209</v>
      </c>
      <c r="V79" s="1325" t="s">
        <v>209</v>
      </c>
      <c r="W79" s="1332" t="s">
        <v>209</v>
      </c>
      <c r="X79" s="1185" t="s">
        <v>210</v>
      </c>
      <c r="Y79" s="1185" t="s">
        <v>211</v>
      </c>
      <c r="Z79" s="1176" t="s">
        <v>50</v>
      </c>
      <c r="AA79" s="1332" t="s">
        <v>50</v>
      </c>
      <c r="AB79" s="1176" t="s">
        <v>50</v>
      </c>
      <c r="AC79" s="1176" t="s">
        <v>50</v>
      </c>
      <c r="AD79" s="1176" t="s">
        <v>149</v>
      </c>
      <c r="AE79" s="1174" t="s">
        <v>150</v>
      </c>
      <c r="AF79" s="1185" t="s">
        <v>71</v>
      </c>
      <c r="AG79" s="1216"/>
      <c r="AH79" s="1"/>
      <c r="AJ79" s="638">
        <v>158</v>
      </c>
      <c r="AK79" s="638">
        <v>8</v>
      </c>
      <c r="AL79" s="638">
        <f t="shared" si="1"/>
        <v>166</v>
      </c>
      <c r="AM79" s="639">
        <f t="shared" si="0"/>
        <v>5.6699999999999875</v>
      </c>
      <c r="AN79" s="639">
        <f>IF(AM79="","",AM79+'Maj 2024'!AN79)</f>
        <v>19.219999999999974</v>
      </c>
    </row>
    <row r="80" spans="1:40" ht="18" customHeight="1" x14ac:dyDescent="0.2">
      <c r="A80" s="768"/>
      <c r="B80" s="1145" t="s">
        <v>177</v>
      </c>
      <c r="C80" s="1185"/>
      <c r="D80" s="1185"/>
      <c r="E80" s="1223" t="s">
        <v>186</v>
      </c>
      <c r="F80" s="1223" t="s">
        <v>186</v>
      </c>
      <c r="G80" s="1185"/>
      <c r="H80" s="1223" t="s">
        <v>186</v>
      </c>
      <c r="I80" s="1223" t="s">
        <v>186</v>
      </c>
      <c r="J80" s="1185"/>
      <c r="K80" s="1185"/>
      <c r="L80" s="1185" t="s">
        <v>154</v>
      </c>
      <c r="M80" s="1185" t="s">
        <v>50</v>
      </c>
      <c r="N80" s="1185" t="s">
        <v>50</v>
      </c>
      <c r="O80" s="1338" t="s">
        <v>209</v>
      </c>
      <c r="P80" s="1179" t="s">
        <v>145</v>
      </c>
      <c r="Q80" s="1223" t="s">
        <v>147</v>
      </c>
      <c r="R80" s="1223" t="s">
        <v>148</v>
      </c>
      <c r="S80" s="1185" t="s">
        <v>50</v>
      </c>
      <c r="T80" s="1185" t="s">
        <v>50</v>
      </c>
      <c r="U80" s="1174" t="s">
        <v>50</v>
      </c>
      <c r="V80" s="1174">
        <v>4</v>
      </c>
      <c r="W80" s="1174" t="s">
        <v>50</v>
      </c>
      <c r="X80" s="1185"/>
      <c r="Y80" s="1185" t="s">
        <v>68</v>
      </c>
      <c r="Z80" s="1185">
        <v>26</v>
      </c>
      <c r="AA80" s="1214">
        <v>26</v>
      </c>
      <c r="AB80" s="1174" t="s">
        <v>50</v>
      </c>
      <c r="AC80" s="1174" t="s">
        <v>50</v>
      </c>
      <c r="AD80" s="1179" t="s">
        <v>145</v>
      </c>
      <c r="AE80" s="1223" t="s">
        <v>147</v>
      </c>
      <c r="AF80" s="1223" t="s">
        <v>148</v>
      </c>
      <c r="AG80" s="1216"/>
      <c r="AH80" s="1"/>
      <c r="AJ80" s="638">
        <v>134.75</v>
      </c>
      <c r="AK80" s="638"/>
      <c r="AL80" s="638">
        <f t="shared" si="1"/>
        <v>134.75</v>
      </c>
      <c r="AM80" s="639">
        <f t="shared" si="0"/>
        <v>-25.580000000000013</v>
      </c>
      <c r="AN80" s="639">
        <f>IF(AM80="","",AM80+'Maj 2024'!AN80)</f>
        <v>-32.980000000000025</v>
      </c>
    </row>
    <row r="81" spans="1:40" ht="18" customHeight="1" x14ac:dyDescent="0.2">
      <c r="A81" s="768"/>
      <c r="B81" s="1145" t="s">
        <v>178</v>
      </c>
      <c r="C81" s="1185"/>
      <c r="D81" s="1185"/>
      <c r="E81" s="1332" t="s">
        <v>158</v>
      </c>
      <c r="F81" s="1332" t="s">
        <v>158</v>
      </c>
      <c r="G81" s="1185"/>
      <c r="H81" s="1332" t="s">
        <v>158</v>
      </c>
      <c r="I81" s="1332" t="s">
        <v>158</v>
      </c>
      <c r="J81" s="1223" t="s">
        <v>0</v>
      </c>
      <c r="K81" s="1223" t="s">
        <v>0</v>
      </c>
      <c r="L81" s="1223">
        <v>10</v>
      </c>
      <c r="M81" s="1223">
        <v>10</v>
      </c>
      <c r="N81" s="1223">
        <v>10</v>
      </c>
      <c r="O81" s="1174">
        <v>10</v>
      </c>
      <c r="P81" s="1223" t="s">
        <v>404</v>
      </c>
      <c r="Q81" s="1179" t="s">
        <v>106</v>
      </c>
      <c r="R81" s="1174" t="s">
        <v>106</v>
      </c>
      <c r="S81" s="1174" t="s">
        <v>50</v>
      </c>
      <c r="T81" s="1174" t="s">
        <v>50</v>
      </c>
      <c r="U81" s="1174" t="s">
        <v>50</v>
      </c>
      <c r="V81" s="1174" t="s">
        <v>50</v>
      </c>
      <c r="W81" s="1174" t="s">
        <v>50</v>
      </c>
      <c r="X81" s="1179" t="s">
        <v>107</v>
      </c>
      <c r="Y81" s="1179" t="s">
        <v>107</v>
      </c>
      <c r="Z81" s="1223">
        <v>7</v>
      </c>
      <c r="AA81" s="1223">
        <v>7</v>
      </c>
      <c r="AB81" s="1179">
        <v>7</v>
      </c>
      <c r="AC81" s="1179">
        <v>7</v>
      </c>
      <c r="AD81" s="1262">
        <v>7</v>
      </c>
      <c r="AE81" s="1262"/>
      <c r="AF81" s="1262" t="s">
        <v>405</v>
      </c>
      <c r="AG81" s="1216"/>
      <c r="AH81" s="1"/>
      <c r="AJ81" s="638">
        <v>165.5</v>
      </c>
      <c r="AK81" s="638">
        <v>8.5</v>
      </c>
      <c r="AL81" s="638">
        <f t="shared" si="1"/>
        <v>174</v>
      </c>
      <c r="AM81" s="639">
        <f t="shared" si="0"/>
        <v>13.669999999999987</v>
      </c>
      <c r="AN81" s="639">
        <f>IF(AM81="","",AM81+'Maj 2024'!AN81)</f>
        <v>-9.650000000000027</v>
      </c>
    </row>
    <row r="82" spans="1:40" ht="18" customHeight="1" x14ac:dyDescent="0.2">
      <c r="A82" s="768"/>
      <c r="B82" s="749" t="s">
        <v>180</v>
      </c>
      <c r="C82" s="1174"/>
      <c r="D82" s="1174"/>
      <c r="E82" s="1185" t="s">
        <v>46</v>
      </c>
      <c r="F82" s="1185" t="s">
        <v>46</v>
      </c>
      <c r="G82" s="1185" t="s">
        <v>46</v>
      </c>
      <c r="H82" s="1185" t="s">
        <v>46</v>
      </c>
      <c r="I82" s="1185" t="s">
        <v>46</v>
      </c>
      <c r="J82" s="1174" t="s">
        <v>46</v>
      </c>
      <c r="K82" s="1174" t="s">
        <v>46</v>
      </c>
      <c r="L82" s="1185" t="s">
        <v>50</v>
      </c>
      <c r="M82" s="1185" t="s">
        <v>50</v>
      </c>
      <c r="N82" s="1185" t="s">
        <v>50</v>
      </c>
      <c r="O82" s="1185" t="s">
        <v>50</v>
      </c>
      <c r="P82" s="1174" t="s">
        <v>50</v>
      </c>
      <c r="Q82" s="1174"/>
      <c r="R82" s="1272"/>
      <c r="S82" s="1134" t="s">
        <v>406</v>
      </c>
      <c r="T82" s="1262" t="s">
        <v>46</v>
      </c>
      <c r="U82" s="1262" t="s">
        <v>46</v>
      </c>
      <c r="V82" s="1262" t="s">
        <v>46</v>
      </c>
      <c r="W82" s="1262" t="s">
        <v>46</v>
      </c>
      <c r="X82" s="1262" t="s">
        <v>46</v>
      </c>
      <c r="Y82" s="1262" t="s">
        <v>79</v>
      </c>
      <c r="Z82" s="1134" t="s">
        <v>50</v>
      </c>
      <c r="AA82" s="1134" t="s">
        <v>50</v>
      </c>
      <c r="AB82" s="1134" t="s">
        <v>50</v>
      </c>
      <c r="AC82" s="1134" t="s">
        <v>50</v>
      </c>
      <c r="AD82" s="1134" t="s">
        <v>50</v>
      </c>
      <c r="AE82" s="1174"/>
      <c r="AF82" s="1174"/>
      <c r="AG82" s="1177"/>
      <c r="AH82" s="1"/>
      <c r="AJ82" s="638">
        <v>136</v>
      </c>
      <c r="AK82" s="638"/>
      <c r="AL82" s="638">
        <f t="shared" si="1"/>
        <v>136</v>
      </c>
      <c r="AM82" s="639">
        <f t="shared" si="0"/>
        <v>-24.330000000000013</v>
      </c>
      <c r="AN82" s="639">
        <f>IF(AM82="","",AM82+'Maj 2024'!AN83)</f>
        <v>-24.330000000000013</v>
      </c>
    </row>
    <row r="83" spans="1:40" ht="18" customHeight="1" thickBot="1" x14ac:dyDescent="0.25">
      <c r="A83" s="768"/>
      <c r="B83" s="749" t="s">
        <v>181</v>
      </c>
      <c r="C83" s="1174"/>
      <c r="D83" s="1174"/>
      <c r="E83" s="1326" t="s">
        <v>46</v>
      </c>
      <c r="F83" s="1326" t="s">
        <v>46</v>
      </c>
      <c r="G83" s="1326" t="s">
        <v>46</v>
      </c>
      <c r="H83" s="1326" t="s">
        <v>46</v>
      </c>
      <c r="I83" s="1338" t="s">
        <v>46</v>
      </c>
      <c r="J83" s="1338" t="s">
        <v>46</v>
      </c>
      <c r="K83" s="1338" t="s">
        <v>46</v>
      </c>
      <c r="L83" s="1185" t="s">
        <v>50</v>
      </c>
      <c r="M83" s="1185" t="s">
        <v>50</v>
      </c>
      <c r="N83" s="1185" t="s">
        <v>50</v>
      </c>
      <c r="O83" s="1185" t="s">
        <v>50</v>
      </c>
      <c r="P83" s="1174" t="s">
        <v>50</v>
      </c>
      <c r="Q83" s="1174"/>
      <c r="R83" s="1272"/>
      <c r="S83" s="1339" t="s">
        <v>46</v>
      </c>
      <c r="T83" s="1186" t="s">
        <v>46</v>
      </c>
      <c r="U83" s="1186" t="s">
        <v>46</v>
      </c>
      <c r="V83" s="1186" t="s">
        <v>46</v>
      </c>
      <c r="W83" s="1186" t="s">
        <v>46</v>
      </c>
      <c r="X83" s="1186" t="s">
        <v>46</v>
      </c>
      <c r="Y83" s="1186" t="s">
        <v>46</v>
      </c>
      <c r="Z83" s="1186" t="s">
        <v>50</v>
      </c>
      <c r="AA83" s="1186" t="s">
        <v>50</v>
      </c>
      <c r="AB83" s="1186" t="s">
        <v>50</v>
      </c>
      <c r="AC83" s="1186" t="s">
        <v>50</v>
      </c>
      <c r="AD83" s="1186" t="s">
        <v>50</v>
      </c>
      <c r="AE83" s="1186"/>
      <c r="AF83" s="1186"/>
      <c r="AG83" s="1340"/>
      <c r="AH83" s="1"/>
      <c r="AJ83" s="638">
        <v>136</v>
      </c>
      <c r="AK83" s="638"/>
      <c r="AL83" s="638">
        <f>IF(AJ83="","",SUM(AJ83:AK83))</f>
        <v>136</v>
      </c>
      <c r="AM83" s="639">
        <f>IF(AJ83="","",AL83-_xlfn.SINGLE(NormTid))</f>
        <v>-24.330000000000013</v>
      </c>
      <c r="AN83" s="639">
        <f>IF(AM83="","",AM83+'Maj 2024'!AN84)</f>
        <v>-24.330000000000013</v>
      </c>
    </row>
    <row r="84" spans="1:40" ht="18" customHeight="1" x14ac:dyDescent="0.2">
      <c r="A84" s="768"/>
      <c r="B84" s="1205" t="s">
        <v>101</v>
      </c>
      <c r="C84" s="1223"/>
      <c r="D84" s="1223"/>
      <c r="E84" s="1174" t="s">
        <v>46</v>
      </c>
      <c r="F84" s="1174" t="s">
        <v>46</v>
      </c>
      <c r="G84" s="1174"/>
      <c r="H84" s="1174" t="s">
        <v>46</v>
      </c>
      <c r="I84" s="1174" t="s">
        <v>46</v>
      </c>
      <c r="J84" s="1174"/>
      <c r="K84" s="1174"/>
      <c r="L84" s="1174" t="s">
        <v>46</v>
      </c>
      <c r="M84" s="1174" t="s">
        <v>46</v>
      </c>
      <c r="N84" s="1174" t="s">
        <v>50</v>
      </c>
      <c r="O84" s="1174" t="s">
        <v>46</v>
      </c>
      <c r="P84" s="1174" t="s">
        <v>46</v>
      </c>
      <c r="Q84" s="1174"/>
      <c r="R84" s="1174"/>
      <c r="S84" s="1174" t="s">
        <v>46</v>
      </c>
      <c r="T84" s="1174" t="s">
        <v>46</v>
      </c>
      <c r="U84" s="1174" t="s">
        <v>50</v>
      </c>
      <c r="V84" s="1174" t="s">
        <v>46</v>
      </c>
      <c r="W84" s="1174" t="s">
        <v>46</v>
      </c>
      <c r="X84" s="1174"/>
      <c r="Y84" s="1174"/>
      <c r="Z84" s="1174" t="s">
        <v>46</v>
      </c>
      <c r="AA84" s="1174" t="s">
        <v>46</v>
      </c>
      <c r="AB84" s="1174" t="s">
        <v>50</v>
      </c>
      <c r="AC84" s="1174" t="s">
        <v>46</v>
      </c>
      <c r="AD84" s="1174" t="s">
        <v>46</v>
      </c>
      <c r="AE84" s="1223"/>
      <c r="AF84" s="1223"/>
      <c r="AG84" s="1341"/>
      <c r="AH84" s="1"/>
      <c r="AJ84" s="638">
        <v>148</v>
      </c>
      <c r="AK84" s="638"/>
      <c r="AL84" s="638">
        <f t="shared" si="1"/>
        <v>148</v>
      </c>
      <c r="AM84" s="639">
        <f t="shared" si="0"/>
        <v>-12.330000000000013</v>
      </c>
      <c r="AN84" s="639">
        <f>IF(AM84="","",AM84+'Maj 2024'!AN84)</f>
        <v>-12.330000000000013</v>
      </c>
    </row>
    <row r="85" spans="1:40" ht="18" customHeight="1" x14ac:dyDescent="0.2">
      <c r="A85" s="768"/>
      <c r="B85" s="754"/>
      <c r="C85" s="1174" t="s">
        <v>0</v>
      </c>
      <c r="D85" s="1174" t="s">
        <v>0</v>
      </c>
      <c r="E85" s="1179"/>
      <c r="F85" s="1179"/>
      <c r="G85" s="1185"/>
      <c r="H85" s="1185"/>
      <c r="I85" s="1174"/>
      <c r="J85" s="1174"/>
      <c r="K85" s="1174"/>
      <c r="L85" s="1332"/>
      <c r="M85" s="1332"/>
      <c r="N85" s="1332"/>
      <c r="O85" s="1332"/>
      <c r="P85" s="1332"/>
      <c r="Q85" s="1185"/>
      <c r="R85" s="1185"/>
      <c r="S85" s="1332"/>
      <c r="T85" s="1332"/>
      <c r="U85" s="1332"/>
      <c r="V85" s="1332"/>
      <c r="W85" s="1332"/>
      <c r="X85" s="1332"/>
      <c r="Y85" s="1332"/>
      <c r="Z85" s="1332"/>
      <c r="AA85" s="1332"/>
      <c r="AB85" s="1332"/>
      <c r="AC85" s="1332"/>
      <c r="AD85" s="1332"/>
      <c r="AE85" s="1332"/>
      <c r="AF85" s="1332"/>
      <c r="AG85" s="1342"/>
      <c r="AH85" s="1"/>
      <c r="AJ85" s="638">
        <f t="shared" ref="AJ85:AJ95" si="2">$AJ$12</f>
        <v>160.33000000000001</v>
      </c>
      <c r="AK85" s="638"/>
      <c r="AL85" s="638">
        <f t="shared" si="1"/>
        <v>160.33000000000001</v>
      </c>
      <c r="AM85" s="639">
        <f t="shared" si="0"/>
        <v>0</v>
      </c>
      <c r="AN85" s="639">
        <f>IF(AM85="","",AM85+'Maj 2024'!AN85)</f>
        <v>0</v>
      </c>
    </row>
    <row r="86" spans="1:40" ht="18" customHeight="1" thickBot="1" x14ac:dyDescent="0.25">
      <c r="A86" s="768"/>
      <c r="B86" s="754"/>
      <c r="C86" s="1343"/>
      <c r="D86" s="1343"/>
      <c r="E86" s="1343"/>
      <c r="F86" s="1343"/>
      <c r="G86" s="1343"/>
      <c r="H86" s="780"/>
      <c r="I86" s="270"/>
      <c r="J86" s="271"/>
      <c r="K86" s="1344"/>
      <c r="L86" s="1343"/>
      <c r="M86" s="1343"/>
      <c r="N86" s="1343"/>
      <c r="O86" s="711"/>
      <c r="P86" s="711"/>
      <c r="Q86" s="711"/>
      <c r="R86" s="711"/>
      <c r="S86" s="711"/>
      <c r="T86" s="711"/>
      <c r="U86" s="711"/>
      <c r="V86" s="711"/>
      <c r="W86" s="270"/>
      <c r="X86" s="271"/>
      <c r="Y86" s="1344"/>
      <c r="Z86" s="711"/>
      <c r="AA86" s="711"/>
      <c r="AB86" s="1343"/>
      <c r="AC86" s="1343"/>
      <c r="AD86" s="1343"/>
      <c r="AE86" s="1343"/>
      <c r="AF86" s="1343"/>
      <c r="AG86" s="1345"/>
      <c r="AH86" s="1"/>
      <c r="AJ86" s="638">
        <f t="shared" si="2"/>
        <v>160.33000000000001</v>
      </c>
      <c r="AK86" s="638"/>
      <c r="AL86" s="638">
        <f t="shared" si="1"/>
        <v>160.33000000000001</v>
      </c>
      <c r="AM86" s="639">
        <f t="shared" si="0"/>
        <v>0</v>
      </c>
      <c r="AN86" s="639">
        <f>IF(AM86="","",AM86+'Maj 2024'!AN86)</f>
        <v>0</v>
      </c>
    </row>
    <row r="87" spans="1:40" ht="18" customHeight="1" thickBot="1" x14ac:dyDescent="0.25">
      <c r="A87" s="1346"/>
      <c r="B87" s="1347"/>
      <c r="C87" s="1174"/>
      <c r="D87" s="1179" t="s">
        <v>0</v>
      </c>
      <c r="E87" s="1223"/>
      <c r="F87" s="1223"/>
      <c r="G87" s="1223"/>
      <c r="H87" s="1223"/>
      <c r="I87" s="1223"/>
      <c r="J87" s="1332"/>
      <c r="K87" s="1179"/>
      <c r="L87" s="1348"/>
      <c r="M87" s="1349"/>
      <c r="N87" s="1349"/>
      <c r="O87" s="1349"/>
      <c r="P87" s="1212"/>
      <c r="Q87" s="1212"/>
      <c r="R87" s="1212"/>
      <c r="S87" s="1185"/>
      <c r="T87" s="1185"/>
      <c r="U87" s="1350"/>
      <c r="V87" s="1185"/>
      <c r="W87" s="1185"/>
      <c r="X87" s="1185"/>
      <c r="Y87" s="1185"/>
      <c r="Z87" s="1185"/>
      <c r="AA87" s="1185"/>
      <c r="AB87" s="1214"/>
      <c r="AC87" s="1214"/>
      <c r="AD87" s="1212"/>
      <c r="AE87" s="1212"/>
      <c r="AF87" s="1212"/>
      <c r="AG87" s="1351"/>
      <c r="AH87" s="1"/>
      <c r="AJ87" s="638">
        <f t="shared" si="2"/>
        <v>160.33000000000001</v>
      </c>
      <c r="AK87" s="638"/>
      <c r="AL87" s="638">
        <f>IF(AJ87="","",SUM(AJ87:AK87))</f>
        <v>160.33000000000001</v>
      </c>
      <c r="AM87" s="639">
        <f t="shared" si="0"/>
        <v>0</v>
      </c>
      <c r="AN87" s="639">
        <f>IF(AM87="","",AM87+'Maj 2024'!AN87)</f>
        <v>0</v>
      </c>
    </row>
    <row r="88" spans="1:40" ht="18" customHeight="1" thickBot="1" x14ac:dyDescent="0.25">
      <c r="A88" s="242"/>
      <c r="B88" s="243" t="s">
        <v>182</v>
      </c>
      <c r="C88" s="1352">
        <v>1</v>
      </c>
      <c r="D88" s="1352">
        <v>2</v>
      </c>
      <c r="E88" s="1166">
        <v>3</v>
      </c>
      <c r="F88" s="1166">
        <v>4</v>
      </c>
      <c r="G88" s="1352">
        <v>5</v>
      </c>
      <c r="H88" s="1166">
        <v>6</v>
      </c>
      <c r="I88" s="1166">
        <v>7</v>
      </c>
      <c r="J88" s="1352">
        <v>8</v>
      </c>
      <c r="K88" s="1352">
        <v>9</v>
      </c>
      <c r="L88" s="1166">
        <v>10</v>
      </c>
      <c r="M88" s="1166">
        <v>11</v>
      </c>
      <c r="N88" s="1166">
        <v>12</v>
      </c>
      <c r="O88" s="1166">
        <v>13</v>
      </c>
      <c r="P88" s="1166">
        <v>14</v>
      </c>
      <c r="Q88" s="1352">
        <v>15</v>
      </c>
      <c r="R88" s="1352">
        <v>16</v>
      </c>
      <c r="S88" s="1166">
        <v>17</v>
      </c>
      <c r="T88" s="1166">
        <v>18</v>
      </c>
      <c r="U88" s="1166">
        <v>19</v>
      </c>
      <c r="V88" s="1166">
        <v>20</v>
      </c>
      <c r="W88" s="1166">
        <v>21</v>
      </c>
      <c r="X88" s="1352">
        <v>22</v>
      </c>
      <c r="Y88" s="1352">
        <v>23</v>
      </c>
      <c r="Z88" s="1166">
        <v>24</v>
      </c>
      <c r="AA88" s="1166">
        <v>25</v>
      </c>
      <c r="AB88" s="1166">
        <v>26</v>
      </c>
      <c r="AC88" s="1166">
        <v>27</v>
      </c>
      <c r="AD88" s="1166">
        <v>28</v>
      </c>
      <c r="AE88" s="1352">
        <v>29</v>
      </c>
      <c r="AF88" s="1352">
        <v>30</v>
      </c>
      <c r="AG88" s="1353"/>
      <c r="AH88" s="1"/>
      <c r="AJ88" s="638"/>
      <c r="AK88" s="638"/>
      <c r="AL88" s="638"/>
      <c r="AM88" s="639"/>
      <c r="AN88" s="639"/>
    </row>
    <row r="89" spans="1:40" ht="18" customHeight="1" x14ac:dyDescent="0.2">
      <c r="A89" s="789"/>
      <c r="B89" s="1145" t="s">
        <v>183</v>
      </c>
      <c r="C89" s="1354"/>
      <c r="D89" s="1354"/>
      <c r="E89" s="1354" t="s">
        <v>50</v>
      </c>
      <c r="F89" s="410" t="s">
        <v>50</v>
      </c>
      <c r="G89" s="410"/>
      <c r="H89" s="1355" t="s">
        <v>50</v>
      </c>
      <c r="I89" s="1355" t="s">
        <v>149</v>
      </c>
      <c r="J89" s="1355" t="s">
        <v>150</v>
      </c>
      <c r="K89" s="1355" t="s">
        <v>71</v>
      </c>
      <c r="L89" s="1355" t="s">
        <v>50</v>
      </c>
      <c r="M89" s="1355" t="s">
        <v>50</v>
      </c>
      <c r="N89" s="1355" t="s">
        <v>50</v>
      </c>
      <c r="O89" s="1355" t="s">
        <v>50</v>
      </c>
      <c r="P89" s="1356" t="s">
        <v>50</v>
      </c>
      <c r="Q89" s="1354"/>
      <c r="R89" s="1354" t="s">
        <v>0</v>
      </c>
      <c r="S89" s="410">
        <v>3</v>
      </c>
      <c r="T89" s="410">
        <v>3</v>
      </c>
      <c r="U89" s="410">
        <v>3</v>
      </c>
      <c r="V89" s="410">
        <v>3</v>
      </c>
      <c r="W89" s="410">
        <v>3</v>
      </c>
      <c r="X89" s="1355"/>
      <c r="Y89" s="1355"/>
      <c r="Z89" s="403">
        <v>4</v>
      </c>
      <c r="AA89" s="403">
        <v>4</v>
      </c>
      <c r="AB89" s="403">
        <v>4</v>
      </c>
      <c r="AC89" s="410">
        <v>4</v>
      </c>
      <c r="AD89" s="403">
        <v>4</v>
      </c>
      <c r="AE89" s="1354"/>
      <c r="AF89" s="1354"/>
      <c r="AG89" s="1357"/>
      <c r="AH89" s="1"/>
      <c r="AJ89" s="638">
        <v>117.25</v>
      </c>
      <c r="AK89" s="638">
        <v>2.5</v>
      </c>
      <c r="AL89" s="638">
        <f t="shared" si="1"/>
        <v>119.75</v>
      </c>
      <c r="AM89" s="639">
        <f t="shared" si="0"/>
        <v>-40.580000000000013</v>
      </c>
      <c r="AN89" s="639">
        <f>IF(AM89="","",AM89+'Maj 2024'!AN89)</f>
        <v>24.179999999999978</v>
      </c>
    </row>
    <row r="90" spans="1:40" ht="18" customHeight="1" x14ac:dyDescent="0.2">
      <c r="A90" s="768"/>
      <c r="B90" s="1145" t="s">
        <v>407</v>
      </c>
      <c r="C90" s="799"/>
      <c r="D90" s="799"/>
      <c r="E90" s="799">
        <v>23</v>
      </c>
      <c r="F90" s="799">
        <v>23</v>
      </c>
      <c r="G90" s="799">
        <v>23</v>
      </c>
      <c r="H90" s="636">
        <v>23</v>
      </c>
      <c r="I90" s="636">
        <v>23</v>
      </c>
      <c r="J90" s="1358">
        <v>23</v>
      </c>
      <c r="K90" s="636">
        <v>23</v>
      </c>
      <c r="L90" s="799" t="s">
        <v>50</v>
      </c>
      <c r="M90" s="799" t="s">
        <v>50</v>
      </c>
      <c r="N90" s="799" t="s">
        <v>50</v>
      </c>
      <c r="O90" s="636" t="s">
        <v>50</v>
      </c>
      <c r="P90" s="636" t="s">
        <v>50</v>
      </c>
      <c r="Q90" s="636"/>
      <c r="R90" s="636"/>
      <c r="S90" s="799">
        <v>21</v>
      </c>
      <c r="T90" s="799">
        <v>21</v>
      </c>
      <c r="U90" s="799">
        <v>21</v>
      </c>
      <c r="V90" s="636">
        <v>21</v>
      </c>
      <c r="W90" s="636">
        <v>21</v>
      </c>
      <c r="X90" s="636">
        <v>21</v>
      </c>
      <c r="Y90" s="636">
        <v>21</v>
      </c>
      <c r="Z90" s="799" t="s">
        <v>50</v>
      </c>
      <c r="AA90" s="799" t="s">
        <v>50</v>
      </c>
      <c r="AB90" s="799" t="s">
        <v>50</v>
      </c>
      <c r="AC90" s="636" t="s">
        <v>50</v>
      </c>
      <c r="AD90" s="636" t="s">
        <v>50</v>
      </c>
      <c r="AE90" s="636"/>
      <c r="AF90" s="636"/>
      <c r="AG90" s="801"/>
      <c r="AH90" s="1"/>
      <c r="AJ90" s="638">
        <v>136</v>
      </c>
      <c r="AK90" s="638"/>
      <c r="AL90" s="638">
        <f t="shared" si="1"/>
        <v>136</v>
      </c>
      <c r="AM90" s="639">
        <f t="shared" si="0"/>
        <v>-24.330000000000013</v>
      </c>
      <c r="AN90" s="639">
        <f>IF(AM90="","",AM90+'Maj 2024'!AN90)</f>
        <v>-22.490000000000023</v>
      </c>
    </row>
    <row r="91" spans="1:40" ht="18" customHeight="1" x14ac:dyDescent="0.2">
      <c r="A91" s="768"/>
      <c r="B91" s="1145" t="s">
        <v>185</v>
      </c>
      <c r="C91" s="808"/>
      <c r="D91" s="808"/>
      <c r="E91" s="808" t="s">
        <v>46</v>
      </c>
      <c r="F91" s="808" t="s">
        <v>46</v>
      </c>
      <c r="G91" s="808"/>
      <c r="H91" s="805" t="s">
        <v>46</v>
      </c>
      <c r="I91" s="805" t="s">
        <v>46</v>
      </c>
      <c r="J91" s="805"/>
      <c r="K91" s="805"/>
      <c r="L91" s="805" t="s">
        <v>152</v>
      </c>
      <c r="M91" s="805" t="s">
        <v>152</v>
      </c>
      <c r="N91" s="805" t="s">
        <v>46</v>
      </c>
      <c r="O91" s="805" t="s">
        <v>46</v>
      </c>
      <c r="P91" s="805" t="s">
        <v>46</v>
      </c>
      <c r="Q91" s="805"/>
      <c r="R91" s="805"/>
      <c r="S91" s="805" t="s">
        <v>46</v>
      </c>
      <c r="T91" s="805" t="s">
        <v>46</v>
      </c>
      <c r="U91" s="805" t="s">
        <v>46</v>
      </c>
      <c r="V91" s="805" t="s">
        <v>46</v>
      </c>
      <c r="W91" s="805" t="s">
        <v>46</v>
      </c>
      <c r="X91" s="805"/>
      <c r="Y91" s="805"/>
      <c r="Z91" s="805" t="s">
        <v>46</v>
      </c>
      <c r="AA91" s="799" t="s">
        <v>50</v>
      </c>
      <c r="AB91" s="799" t="s">
        <v>50</v>
      </c>
      <c r="AC91" s="636" t="s">
        <v>50</v>
      </c>
      <c r="AD91" s="636" t="s">
        <v>50</v>
      </c>
      <c r="AE91" s="799"/>
      <c r="AF91" s="799"/>
      <c r="AG91" s="801"/>
      <c r="AH91" s="1"/>
      <c r="AJ91" s="638">
        <f t="shared" si="2"/>
        <v>160.33000000000001</v>
      </c>
      <c r="AK91" s="638"/>
      <c r="AL91" s="638">
        <f t="shared" si="1"/>
        <v>160.33000000000001</v>
      </c>
      <c r="AM91" s="639">
        <f t="shared" si="0"/>
        <v>0</v>
      </c>
      <c r="AN91" s="639">
        <f>IF(AM91="","",AM91+'Maj 2024'!AN91)</f>
        <v>23.089999999999989</v>
      </c>
    </row>
    <row r="92" spans="1:40" ht="18" customHeight="1" x14ac:dyDescent="0.2">
      <c r="A92" s="768"/>
      <c r="B92" s="749" t="s">
        <v>190</v>
      </c>
      <c r="C92" s="636"/>
      <c r="D92" s="636"/>
      <c r="E92" s="636" t="s">
        <v>46</v>
      </c>
      <c r="F92" s="636" t="s">
        <v>46</v>
      </c>
      <c r="G92" s="636"/>
      <c r="H92" s="636" t="s">
        <v>46</v>
      </c>
      <c r="I92" s="636" t="s">
        <v>46</v>
      </c>
      <c r="J92" s="636"/>
      <c r="K92" s="1359"/>
      <c r="L92" s="1359" t="s">
        <v>50</v>
      </c>
      <c r="M92" s="1349">
        <v>6</v>
      </c>
      <c r="N92" s="1348" t="s">
        <v>408</v>
      </c>
      <c r="O92" s="636">
        <v>6</v>
      </c>
      <c r="P92" s="1360">
        <v>6</v>
      </c>
      <c r="Q92" s="636"/>
      <c r="R92" s="636"/>
      <c r="S92" s="636" t="s">
        <v>50</v>
      </c>
      <c r="T92" s="636" t="s">
        <v>50</v>
      </c>
      <c r="U92" s="636">
        <v>6</v>
      </c>
      <c r="V92" s="811" t="s">
        <v>209</v>
      </c>
      <c r="W92" s="1349" t="s">
        <v>145</v>
      </c>
      <c r="X92" s="1348" t="s">
        <v>147</v>
      </c>
      <c r="Y92" s="1348" t="s">
        <v>148</v>
      </c>
      <c r="Z92" s="636" t="s">
        <v>50</v>
      </c>
      <c r="AA92" s="636" t="s">
        <v>50</v>
      </c>
      <c r="AB92" s="636" t="s">
        <v>50</v>
      </c>
      <c r="AC92" s="636" t="s">
        <v>50</v>
      </c>
      <c r="AD92" s="636" t="s">
        <v>50</v>
      </c>
      <c r="AE92" s="636"/>
      <c r="AF92" s="636"/>
      <c r="AG92" s="819"/>
      <c r="AH92" s="1"/>
      <c r="AJ92" s="638">
        <v>112.75</v>
      </c>
      <c r="AK92" s="638"/>
      <c r="AL92" s="638">
        <f t="shared" si="1"/>
        <v>112.75</v>
      </c>
      <c r="AM92" s="639">
        <f t="shared" si="0"/>
        <v>-47.580000000000013</v>
      </c>
      <c r="AN92" s="639">
        <f>IF(AM92="","",AM92+'Maj 2024'!AN93)</f>
        <v>-40.570000000000022</v>
      </c>
    </row>
    <row r="93" spans="1:40" ht="18" customHeight="1" x14ac:dyDescent="0.2">
      <c r="A93" s="768"/>
      <c r="B93" s="275" t="s">
        <v>409</v>
      </c>
      <c r="C93" s="636"/>
      <c r="D93" s="636"/>
      <c r="E93" s="636" t="s">
        <v>46</v>
      </c>
      <c r="F93" s="1361">
        <v>69</v>
      </c>
      <c r="G93" s="833"/>
      <c r="H93" s="1362">
        <v>89</v>
      </c>
      <c r="I93" s="1362">
        <v>89</v>
      </c>
      <c r="J93" s="833"/>
      <c r="K93" s="833"/>
      <c r="L93" s="803" t="s">
        <v>162</v>
      </c>
      <c r="M93" s="803" t="s">
        <v>162</v>
      </c>
      <c r="N93" s="803" t="s">
        <v>72</v>
      </c>
      <c r="O93" s="803" t="s">
        <v>72</v>
      </c>
      <c r="P93" s="833" t="s">
        <v>139</v>
      </c>
      <c r="Q93" s="818" t="s">
        <v>140</v>
      </c>
      <c r="R93" s="818" t="s">
        <v>141</v>
      </c>
      <c r="S93" s="799" t="s">
        <v>50</v>
      </c>
      <c r="T93" s="799" t="s">
        <v>50</v>
      </c>
      <c r="U93" s="799" t="s">
        <v>50</v>
      </c>
      <c r="V93" s="961" t="s">
        <v>50</v>
      </c>
      <c r="W93" s="799" t="s">
        <v>50</v>
      </c>
      <c r="X93" s="818"/>
      <c r="Y93" s="818"/>
      <c r="Z93" s="803" t="s">
        <v>209</v>
      </c>
      <c r="AA93" s="803" t="s">
        <v>209</v>
      </c>
      <c r="AB93" s="803">
        <v>22</v>
      </c>
      <c r="AC93" s="803">
        <v>22</v>
      </c>
      <c r="AD93" s="803">
        <v>22</v>
      </c>
      <c r="AE93" s="818"/>
      <c r="AF93" s="818"/>
      <c r="AG93" s="819"/>
      <c r="AH93" s="1"/>
      <c r="AJ93" s="638">
        <v>155.25</v>
      </c>
      <c r="AK93" s="638">
        <v>10.5</v>
      </c>
      <c r="AL93" s="638">
        <f t="shared" si="1"/>
        <v>165.75</v>
      </c>
      <c r="AM93" s="639">
        <f t="shared" si="0"/>
        <v>5.4199999999999875</v>
      </c>
      <c r="AN93" s="639">
        <v>0</v>
      </c>
    </row>
    <row r="94" spans="1:40" ht="18" customHeight="1" x14ac:dyDescent="0.2">
      <c r="A94" s="768"/>
      <c r="B94" s="749" t="s">
        <v>0</v>
      </c>
      <c r="C94" s="636"/>
      <c r="D94" s="636"/>
      <c r="E94" s="636"/>
      <c r="F94" s="813"/>
      <c r="G94" s="813"/>
      <c r="H94" s="818"/>
      <c r="I94" s="818"/>
      <c r="J94" s="818"/>
      <c r="K94" s="818"/>
      <c r="L94" s="818"/>
      <c r="M94" s="818"/>
      <c r="N94" s="818"/>
      <c r="O94" s="818"/>
      <c r="P94" s="818"/>
      <c r="Q94" s="818"/>
      <c r="R94" s="818"/>
      <c r="S94" s="818"/>
      <c r="T94" s="818"/>
      <c r="U94" s="818"/>
      <c r="V94" s="818"/>
      <c r="W94" s="818"/>
      <c r="X94" s="818"/>
      <c r="Y94" s="818"/>
      <c r="Z94" s="818"/>
      <c r="AA94" s="818"/>
      <c r="AB94" s="818"/>
      <c r="AC94" s="818"/>
      <c r="AD94" s="818"/>
      <c r="AE94" s="818"/>
      <c r="AF94" s="818"/>
      <c r="AG94" s="819"/>
      <c r="AH94" s="1"/>
      <c r="AJ94" s="638">
        <f t="shared" si="2"/>
        <v>160.33000000000001</v>
      </c>
      <c r="AK94" s="638"/>
      <c r="AL94" s="638">
        <f t="shared" si="1"/>
        <v>160.33000000000001</v>
      </c>
      <c r="AM94" s="639">
        <f t="shared" si="0"/>
        <v>0</v>
      </c>
      <c r="AN94" s="639">
        <v>0</v>
      </c>
    </row>
    <row r="95" spans="1:40" ht="18" customHeight="1" thickBot="1" x14ac:dyDescent="0.25">
      <c r="A95" s="768"/>
      <c r="B95" s="749" t="s">
        <v>0</v>
      </c>
      <c r="C95" s="1363"/>
      <c r="D95" s="1363"/>
      <c r="E95" s="1363"/>
      <c r="F95" s="820"/>
      <c r="G95" s="820"/>
      <c r="H95" s="655"/>
      <c r="I95" s="655"/>
      <c r="J95" s="655"/>
      <c r="K95" s="655"/>
      <c r="L95" s="655"/>
      <c r="M95" s="655"/>
      <c r="N95" s="655"/>
      <c r="O95" s="655"/>
      <c r="P95" s="655"/>
      <c r="Q95" s="655"/>
      <c r="R95" s="655"/>
      <c r="S95" s="655"/>
      <c r="T95" s="655"/>
      <c r="U95" s="655"/>
      <c r="V95" s="655"/>
      <c r="W95" s="655"/>
      <c r="X95" s="655"/>
      <c r="Y95" s="655"/>
      <c r="Z95" s="655"/>
      <c r="AA95" s="655"/>
      <c r="AB95" s="655"/>
      <c r="AC95" s="655"/>
      <c r="AD95" s="655"/>
      <c r="AE95" s="655"/>
      <c r="AF95" s="655"/>
      <c r="AG95" s="821"/>
      <c r="AH95" s="1"/>
      <c r="AJ95" s="638">
        <f t="shared" si="2"/>
        <v>160.33000000000001</v>
      </c>
      <c r="AK95" s="638"/>
      <c r="AL95" s="638">
        <f t="shared" si="1"/>
        <v>160.33000000000001</v>
      </c>
      <c r="AM95" s="639">
        <f t="shared" si="0"/>
        <v>0</v>
      </c>
      <c r="AN95" s="639">
        <v>0</v>
      </c>
    </row>
    <row r="96" spans="1:40" ht="18" customHeight="1" thickBot="1" x14ac:dyDescent="0.25">
      <c r="A96" s="42"/>
      <c r="B96" s="1364" t="s">
        <v>191</v>
      </c>
      <c r="C96" s="390">
        <v>1</v>
      </c>
      <c r="D96" s="390">
        <v>2</v>
      </c>
      <c r="E96" s="389">
        <v>3</v>
      </c>
      <c r="F96" s="389">
        <v>4</v>
      </c>
      <c r="G96" s="390">
        <v>5</v>
      </c>
      <c r="H96" s="389">
        <v>6</v>
      </c>
      <c r="I96" s="389">
        <v>7</v>
      </c>
      <c r="J96" s="390">
        <v>8</v>
      </c>
      <c r="K96" s="390">
        <v>9</v>
      </c>
      <c r="L96" s="389">
        <v>10</v>
      </c>
      <c r="M96" s="389">
        <v>11</v>
      </c>
      <c r="N96" s="389">
        <v>12</v>
      </c>
      <c r="O96" s="389">
        <v>13</v>
      </c>
      <c r="P96" s="389">
        <v>14</v>
      </c>
      <c r="Q96" s="390">
        <v>15</v>
      </c>
      <c r="R96" s="390">
        <v>16</v>
      </c>
      <c r="S96" s="389">
        <v>17</v>
      </c>
      <c r="T96" s="389">
        <v>18</v>
      </c>
      <c r="U96" s="389">
        <v>19</v>
      </c>
      <c r="V96" s="389">
        <v>20</v>
      </c>
      <c r="W96" s="389">
        <v>21</v>
      </c>
      <c r="X96" s="390">
        <v>22</v>
      </c>
      <c r="Y96" s="390">
        <v>23</v>
      </c>
      <c r="Z96" s="389">
        <v>24</v>
      </c>
      <c r="AA96" s="389">
        <v>25</v>
      </c>
      <c r="AB96" s="389">
        <v>26</v>
      </c>
      <c r="AC96" s="389">
        <v>27</v>
      </c>
      <c r="AD96" s="389">
        <v>28</v>
      </c>
      <c r="AE96" s="390">
        <v>29</v>
      </c>
      <c r="AF96" s="390">
        <v>30</v>
      </c>
      <c r="AG96" s="1365"/>
      <c r="AH96" s="1"/>
      <c r="AJ96" s="1366"/>
      <c r="AK96" s="1366"/>
      <c r="AL96" s="1366"/>
      <c r="AM96" s="1367"/>
      <c r="AN96" s="1367"/>
    </row>
    <row r="97" spans="1:40" ht="18" customHeight="1" x14ac:dyDescent="0.2">
      <c r="A97" s="1368"/>
      <c r="B97" s="1369" t="s">
        <v>192</v>
      </c>
      <c r="C97" s="1356"/>
      <c r="D97" s="1356"/>
      <c r="E97" s="1356">
        <v>22</v>
      </c>
      <c r="F97" s="1356">
        <v>22</v>
      </c>
      <c r="G97" s="1370"/>
      <c r="H97" s="1356" t="s">
        <v>46</v>
      </c>
      <c r="I97" s="1370">
        <v>21</v>
      </c>
      <c r="J97" s="1370"/>
      <c r="K97" s="1370"/>
      <c r="L97" s="1370" t="s">
        <v>50</v>
      </c>
      <c r="M97" s="1370">
        <v>4</v>
      </c>
      <c r="N97" s="1370" t="s">
        <v>50</v>
      </c>
      <c r="O97" s="1356" t="s">
        <v>46</v>
      </c>
      <c r="P97" s="1356">
        <v>21</v>
      </c>
      <c r="Q97" s="1356">
        <v>21</v>
      </c>
      <c r="R97" s="1356">
        <v>21</v>
      </c>
      <c r="S97" s="410" t="s">
        <v>50</v>
      </c>
      <c r="T97" s="410" t="s">
        <v>50</v>
      </c>
      <c r="U97" s="410" t="s">
        <v>50</v>
      </c>
      <c r="V97" s="1356" t="s">
        <v>46</v>
      </c>
      <c r="W97" s="410" t="s">
        <v>50</v>
      </c>
      <c r="X97" s="1356" t="s">
        <v>0</v>
      </c>
      <c r="Y97" s="1356" t="s">
        <v>0</v>
      </c>
      <c r="Z97" s="1355">
        <v>6</v>
      </c>
      <c r="AA97" s="1355">
        <v>6</v>
      </c>
      <c r="AB97" s="1356" t="s">
        <v>46</v>
      </c>
      <c r="AC97" s="1356" t="s">
        <v>50</v>
      </c>
      <c r="AD97" s="1355" t="s">
        <v>50</v>
      </c>
      <c r="AE97" s="1355" t="s">
        <v>109</v>
      </c>
      <c r="AF97" s="1355" t="s">
        <v>109</v>
      </c>
      <c r="AG97" s="1357"/>
      <c r="AH97" s="1"/>
      <c r="AJ97" s="123"/>
      <c r="AK97" s="123"/>
      <c r="AL97" s="123"/>
      <c r="AM97" s="215"/>
      <c r="AN97" s="215"/>
    </row>
    <row r="98" spans="1:40" ht="18" customHeight="1" x14ac:dyDescent="0.2">
      <c r="A98" s="1371"/>
      <c r="B98" s="1372" t="s">
        <v>193</v>
      </c>
      <c r="C98" s="799"/>
      <c r="D98" s="799"/>
      <c r="E98" s="799">
        <v>99</v>
      </c>
      <c r="F98" s="799">
        <v>99</v>
      </c>
      <c r="G98" s="799"/>
      <c r="H98" s="1349" t="s">
        <v>46</v>
      </c>
      <c r="I98" s="636" t="s">
        <v>46</v>
      </c>
      <c r="J98" s="799"/>
      <c r="K98" s="799"/>
      <c r="L98" s="799" t="s">
        <v>46</v>
      </c>
      <c r="M98" s="799" t="s">
        <v>50</v>
      </c>
      <c r="N98" s="799">
        <v>4</v>
      </c>
      <c r="O98" s="1349" t="s">
        <v>46</v>
      </c>
      <c r="P98" s="636">
        <v>4</v>
      </c>
      <c r="Q98" s="799"/>
      <c r="R98" s="799"/>
      <c r="S98" s="799">
        <v>4</v>
      </c>
      <c r="T98" s="799">
        <v>4</v>
      </c>
      <c r="U98" s="799">
        <v>4</v>
      </c>
      <c r="V98" s="1349" t="s">
        <v>46</v>
      </c>
      <c r="W98" s="636">
        <v>4</v>
      </c>
      <c r="X98" s="799"/>
      <c r="Y98" s="799"/>
      <c r="Z98" s="799">
        <v>3</v>
      </c>
      <c r="AA98" s="799">
        <v>3</v>
      </c>
      <c r="AB98" s="1349" t="s">
        <v>46</v>
      </c>
      <c r="AC98" s="1349">
        <v>3</v>
      </c>
      <c r="AD98" s="636">
        <v>3</v>
      </c>
      <c r="AE98" s="799"/>
      <c r="AF98" s="799"/>
      <c r="AG98" s="801"/>
      <c r="AH98" s="1"/>
      <c r="AJ98" s="123"/>
      <c r="AK98" s="123"/>
      <c r="AL98" s="123"/>
      <c r="AM98" s="123"/>
      <c r="AN98" s="123"/>
    </row>
    <row r="99" spans="1:40" ht="18" customHeight="1" x14ac:dyDescent="0.2">
      <c r="A99" s="1371"/>
      <c r="B99" s="1373" t="s">
        <v>194</v>
      </c>
      <c r="C99" s="636" t="s">
        <v>46</v>
      </c>
      <c r="D99" s="636" t="s">
        <v>46</v>
      </c>
      <c r="E99" s="636" t="s">
        <v>46</v>
      </c>
      <c r="F99" s="636" t="s">
        <v>46</v>
      </c>
      <c r="G99" s="636" t="s">
        <v>46</v>
      </c>
      <c r="H99" s="636" t="s">
        <v>46</v>
      </c>
      <c r="I99" s="636" t="s">
        <v>46</v>
      </c>
      <c r="J99" s="636" t="s">
        <v>46</v>
      </c>
      <c r="K99" s="636" t="s">
        <v>46</v>
      </c>
      <c r="L99" s="636" t="s">
        <v>46</v>
      </c>
      <c r="M99" s="636" t="s">
        <v>46</v>
      </c>
      <c r="N99" s="636" t="s">
        <v>46</v>
      </c>
      <c r="O99" s="636" t="s">
        <v>46</v>
      </c>
      <c r="P99" s="636" t="s">
        <v>46</v>
      </c>
      <c r="Q99" s="636" t="s">
        <v>46</v>
      </c>
      <c r="R99" s="636" t="s">
        <v>46</v>
      </c>
      <c r="S99" s="636" t="s">
        <v>46</v>
      </c>
      <c r="T99" s="636" t="s">
        <v>46</v>
      </c>
      <c r="U99" s="636" t="s">
        <v>46</v>
      </c>
      <c r="V99" s="636" t="s">
        <v>46</v>
      </c>
      <c r="W99" s="636" t="s">
        <v>46</v>
      </c>
      <c r="X99" s="636" t="s">
        <v>46</v>
      </c>
      <c r="Y99" s="636" t="s">
        <v>46</v>
      </c>
      <c r="Z99" s="636" t="s">
        <v>46</v>
      </c>
      <c r="AA99" s="636" t="s">
        <v>46</v>
      </c>
      <c r="AB99" s="636" t="s">
        <v>46</v>
      </c>
      <c r="AC99" s="636" t="s">
        <v>46</v>
      </c>
      <c r="AD99" s="636" t="s">
        <v>46</v>
      </c>
      <c r="AE99" s="636" t="s">
        <v>46</v>
      </c>
      <c r="AF99" s="636" t="s">
        <v>46</v>
      </c>
      <c r="AG99" s="819" t="s">
        <v>46</v>
      </c>
      <c r="AH99" s="1"/>
      <c r="AJ99" s="123"/>
      <c r="AK99" s="123"/>
      <c r="AL99" s="123"/>
      <c r="AM99" s="123"/>
      <c r="AN99" s="123"/>
    </row>
    <row r="100" spans="1:40" ht="18" customHeight="1" thickBot="1" x14ac:dyDescent="0.25">
      <c r="A100" s="1311"/>
      <c r="B100" s="1374"/>
      <c r="C100" s="1375"/>
      <c r="D100" s="1375"/>
      <c r="E100" s="1375" t="s">
        <v>46</v>
      </c>
      <c r="F100" s="1375" t="s">
        <v>46</v>
      </c>
      <c r="G100" s="1375"/>
      <c r="H100" s="1363" t="s">
        <v>46</v>
      </c>
      <c r="I100" s="1363" t="s">
        <v>46</v>
      </c>
      <c r="J100" s="1375"/>
      <c r="K100" s="1375"/>
      <c r="L100" s="1375" t="s">
        <v>46</v>
      </c>
      <c r="M100" s="1375" t="s">
        <v>46</v>
      </c>
      <c r="N100" s="1375" t="s">
        <v>46</v>
      </c>
      <c r="O100" s="1363" t="s">
        <v>46</v>
      </c>
      <c r="P100" s="1363" t="s">
        <v>46</v>
      </c>
      <c r="Q100" s="1375"/>
      <c r="R100" s="1375"/>
      <c r="S100" s="1375" t="s">
        <v>46</v>
      </c>
      <c r="T100" s="1375" t="s">
        <v>46</v>
      </c>
      <c r="U100" s="1375" t="s">
        <v>46</v>
      </c>
      <c r="V100" s="1363" t="s">
        <v>46</v>
      </c>
      <c r="W100" s="1363" t="s">
        <v>46</v>
      </c>
      <c r="X100" s="1375"/>
      <c r="Y100" s="1376"/>
      <c r="Z100" s="1375" t="s">
        <v>46</v>
      </c>
      <c r="AA100" s="1375" t="s">
        <v>46</v>
      </c>
      <c r="AB100" s="1375" t="s">
        <v>46</v>
      </c>
      <c r="AC100" s="1363" t="s">
        <v>46</v>
      </c>
      <c r="AD100" s="1363" t="s">
        <v>46</v>
      </c>
      <c r="AE100" s="1375"/>
      <c r="AF100" s="1375"/>
      <c r="AG100" s="1377"/>
      <c r="AH100" s="1"/>
      <c r="AJ100" s="123"/>
      <c r="AK100" s="123"/>
      <c r="AL100" s="123"/>
      <c r="AM100" s="123"/>
      <c r="AN100" s="123"/>
    </row>
    <row r="101" spans="1:40" ht="18" customHeight="1" thickBot="1" x14ac:dyDescent="0.25">
      <c r="A101" s="841"/>
      <c r="B101" s="392" t="s">
        <v>44</v>
      </c>
      <c r="C101" s="272">
        <v>1</v>
      </c>
      <c r="D101" s="272">
        <v>2</v>
      </c>
      <c r="E101" s="273">
        <v>3</v>
      </c>
      <c r="F101" s="273">
        <v>4</v>
      </c>
      <c r="G101" s="272">
        <v>5</v>
      </c>
      <c r="H101" s="273">
        <v>6</v>
      </c>
      <c r="I101" s="273">
        <v>7</v>
      </c>
      <c r="J101" s="272">
        <v>8</v>
      </c>
      <c r="K101" s="272">
        <v>9</v>
      </c>
      <c r="L101" s="273">
        <v>10</v>
      </c>
      <c r="M101" s="273">
        <v>11</v>
      </c>
      <c r="N101" s="273">
        <v>12</v>
      </c>
      <c r="O101" s="273">
        <v>13</v>
      </c>
      <c r="P101" s="273">
        <v>14</v>
      </c>
      <c r="Q101" s="272">
        <v>15</v>
      </c>
      <c r="R101" s="272">
        <v>16</v>
      </c>
      <c r="S101" s="273">
        <v>17</v>
      </c>
      <c r="T101" s="273">
        <v>18</v>
      </c>
      <c r="U101" s="273">
        <v>19</v>
      </c>
      <c r="V101" s="273">
        <v>20</v>
      </c>
      <c r="W101" s="273">
        <v>21</v>
      </c>
      <c r="X101" s="272">
        <v>22</v>
      </c>
      <c r="Y101" s="272">
        <v>23</v>
      </c>
      <c r="Z101" s="273">
        <v>24</v>
      </c>
      <c r="AA101" s="273">
        <v>25</v>
      </c>
      <c r="AB101" s="273">
        <v>26</v>
      </c>
      <c r="AC101" s="273">
        <v>27</v>
      </c>
      <c r="AD101" s="273">
        <v>28</v>
      </c>
      <c r="AE101" s="272">
        <v>29</v>
      </c>
      <c r="AF101" s="272">
        <v>30</v>
      </c>
      <c r="AG101" s="1365"/>
      <c r="AH101" s="1"/>
    </row>
    <row r="102" spans="1:40" ht="18" customHeight="1" x14ac:dyDescent="0.2">
      <c r="A102" s="1371"/>
      <c r="B102" s="1378" t="s">
        <v>195</v>
      </c>
      <c r="C102" s="1258"/>
      <c r="D102" s="402"/>
      <c r="E102" s="1258"/>
      <c r="F102" s="1258"/>
      <c r="G102" s="1258"/>
      <c r="H102" s="1258"/>
      <c r="I102" s="1258"/>
      <c r="J102" s="1258"/>
      <c r="K102" s="1258"/>
      <c r="L102" s="1258"/>
      <c r="M102" s="1258"/>
      <c r="N102" s="1258"/>
      <c r="O102" s="1258"/>
      <c r="P102" s="1258"/>
      <c r="Q102" s="1258"/>
      <c r="R102" s="1258"/>
      <c r="S102" s="1258"/>
      <c r="T102" s="1258"/>
      <c r="U102" s="1258"/>
      <c r="V102" s="1258"/>
      <c r="W102" s="1258"/>
      <c r="X102" s="1258"/>
      <c r="Y102" s="1258"/>
      <c r="Z102" s="1258"/>
      <c r="AA102" s="1258"/>
      <c r="AB102" s="1258"/>
      <c r="AC102" s="1258"/>
      <c r="AD102" s="1258"/>
      <c r="AE102" s="1258"/>
      <c r="AF102" s="1258"/>
      <c r="AG102" s="1210"/>
      <c r="AH102" s="1"/>
    </row>
    <row r="103" spans="1:40" ht="18" customHeight="1" x14ac:dyDescent="0.2">
      <c r="A103" s="1371"/>
      <c r="B103" s="1178"/>
      <c r="C103" s="1379"/>
      <c r="D103" s="1379"/>
      <c r="E103" s="1379"/>
      <c r="F103" s="1182"/>
      <c r="G103" s="1182"/>
      <c r="H103" s="1379"/>
      <c r="I103" s="1379"/>
      <c r="J103" s="1379"/>
      <c r="K103" s="1379"/>
      <c r="L103" s="1379"/>
      <c r="M103" s="1379"/>
      <c r="N103" s="1379"/>
      <c r="O103" s="1379"/>
      <c r="P103" s="1379"/>
      <c r="Q103" s="1379"/>
      <c r="R103" s="1379"/>
      <c r="S103" s="1379"/>
      <c r="T103" s="1174"/>
      <c r="U103" s="1379"/>
      <c r="V103" s="1379"/>
      <c r="W103" s="1379"/>
      <c r="X103" s="1379"/>
      <c r="Y103" s="1379"/>
      <c r="Z103" s="1379"/>
      <c r="AA103" s="1379"/>
      <c r="AB103" s="1379"/>
      <c r="AC103" s="1379"/>
      <c r="AD103" s="1379"/>
      <c r="AE103" s="1379"/>
      <c r="AF103" s="1379"/>
      <c r="AG103" s="1380"/>
      <c r="AH103" s="1"/>
    </row>
    <row r="104" spans="1:40" ht="18" customHeight="1" x14ac:dyDescent="0.2">
      <c r="A104" s="1371"/>
      <c r="B104" s="1178"/>
      <c r="C104" s="1174"/>
      <c r="D104" s="1174"/>
      <c r="E104" s="1174"/>
      <c r="F104" s="1174"/>
      <c r="G104" s="1174"/>
      <c r="H104" s="1174"/>
      <c r="I104" s="1174"/>
      <c r="J104" s="1174"/>
      <c r="K104" s="1174"/>
      <c r="L104" s="1174"/>
      <c r="M104" s="1174"/>
      <c r="N104" s="1174"/>
      <c r="O104" s="1174"/>
      <c r="P104" s="1174"/>
      <c r="Q104" s="1174"/>
      <c r="R104" s="1174"/>
      <c r="S104" s="1174"/>
      <c r="T104" s="1174"/>
      <c r="U104" s="1174"/>
      <c r="V104" s="1174"/>
      <c r="W104" s="1174"/>
      <c r="X104" s="1174"/>
      <c r="Y104" s="1174"/>
      <c r="Z104" s="1174"/>
      <c r="AA104" s="1174"/>
      <c r="AB104" s="1174"/>
      <c r="AC104" s="1174"/>
      <c r="AD104" s="1174"/>
      <c r="AE104" s="1174"/>
      <c r="AF104" s="1174"/>
      <c r="AG104" s="1177"/>
      <c r="AH104" s="1"/>
    </row>
    <row r="105" spans="1:40" ht="18" customHeight="1" thickBot="1" x14ac:dyDescent="0.25">
      <c r="A105" s="126"/>
      <c r="B105" s="1192"/>
      <c r="C105" s="1381"/>
      <c r="D105" s="1381"/>
      <c r="E105" s="1381"/>
      <c r="F105" s="1381"/>
      <c r="G105" s="1381"/>
      <c r="H105" s="1381"/>
      <c r="I105" s="1381"/>
      <c r="J105" s="1381"/>
      <c r="K105" s="1381"/>
      <c r="L105" s="1381"/>
      <c r="M105" s="1381"/>
      <c r="N105" s="1381"/>
      <c r="O105" s="1381"/>
      <c r="P105" s="1381"/>
      <c r="Q105" s="1381"/>
      <c r="R105" s="1381"/>
      <c r="S105" s="1381"/>
      <c r="T105" s="1381"/>
      <c r="U105" s="1381"/>
      <c r="V105" s="1381"/>
      <c r="W105" s="1381"/>
      <c r="X105" s="1381"/>
      <c r="Y105" s="1381"/>
      <c r="Z105" s="1381"/>
      <c r="AA105" s="1381"/>
      <c r="AB105" s="1381"/>
      <c r="AC105" s="1381"/>
      <c r="AD105" s="1381"/>
      <c r="AE105" s="1381"/>
      <c r="AF105" s="1381"/>
      <c r="AG105" s="1222"/>
      <c r="AH105" s="1"/>
    </row>
    <row r="106" spans="1:40" ht="18" customHeight="1" x14ac:dyDescent="0.2">
      <c r="A106" s="126"/>
      <c r="B106" s="127"/>
      <c r="C106" s="142"/>
      <c r="D106" s="142"/>
      <c r="E106" s="142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28"/>
      <c r="AH106" s="1"/>
    </row>
    <row r="107" spans="1:40" ht="18" customHeight="1" thickBot="1" x14ac:dyDescent="0.25">
      <c r="A107" s="216" t="s">
        <v>197</v>
      </c>
      <c r="B107" s="127"/>
      <c r="C107" s="142"/>
      <c r="D107" s="142"/>
      <c r="E107" s="142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237"/>
      <c r="S107" s="237"/>
      <c r="T107" s="237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28"/>
      <c r="AH107" s="1"/>
    </row>
    <row r="108" spans="1:40" ht="18" customHeight="1" thickBot="1" x14ac:dyDescent="0.3">
      <c r="A108" s="126"/>
      <c r="B108" s="217"/>
      <c r="C108" s="218"/>
      <c r="D108" s="218"/>
      <c r="E108" s="221" t="s">
        <v>198</v>
      </c>
      <c r="F108" s="218"/>
      <c r="G108" s="218"/>
      <c r="H108" s="218"/>
      <c r="I108" s="218"/>
      <c r="J108" s="218"/>
      <c r="K108" s="226" t="s">
        <v>13</v>
      </c>
      <c r="L108" s="222"/>
      <c r="M108" s="222"/>
      <c r="N108" s="222"/>
      <c r="O108" s="222"/>
      <c r="P108" s="222"/>
      <c r="Q108" s="222"/>
      <c r="R108" s="222"/>
      <c r="S108" s="222"/>
      <c r="T108" s="223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"/>
    </row>
    <row r="109" spans="1:40" ht="18" customHeight="1" thickBot="1" x14ac:dyDescent="0.3">
      <c r="A109" s="126"/>
      <c r="B109" s="217" t="s">
        <v>199</v>
      </c>
      <c r="C109" s="218"/>
      <c r="D109" s="218"/>
      <c r="E109" s="219" t="s">
        <v>200</v>
      </c>
      <c r="F109" s="218"/>
      <c r="G109" s="218"/>
      <c r="H109" s="218"/>
      <c r="I109" s="218"/>
      <c r="J109" s="218"/>
      <c r="K109" s="218" t="s">
        <v>201</v>
      </c>
      <c r="L109" s="218"/>
      <c r="M109" s="218"/>
      <c r="N109" s="218"/>
      <c r="O109" s="218"/>
      <c r="P109" s="218"/>
      <c r="Q109" s="218"/>
      <c r="R109" s="236" t="s">
        <v>202</v>
      </c>
      <c r="S109" s="236"/>
      <c r="T109" s="236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"/>
    </row>
    <row r="110" spans="1:40" ht="18" customHeight="1" thickBot="1" x14ac:dyDescent="0.3">
      <c r="A110" s="126"/>
      <c r="B110" s="217" t="s">
        <v>22</v>
      </c>
      <c r="C110" s="218"/>
      <c r="D110" s="218"/>
      <c r="E110" s="221" t="s">
        <v>203</v>
      </c>
      <c r="F110" s="218"/>
      <c r="G110" s="218"/>
      <c r="H110" s="218"/>
      <c r="I110" s="218"/>
      <c r="J110" s="218"/>
      <c r="K110" s="218" t="s">
        <v>204</v>
      </c>
      <c r="L110" s="218"/>
      <c r="M110" s="218"/>
      <c r="N110" s="218"/>
      <c r="O110" s="218"/>
      <c r="P110" s="218"/>
      <c r="Q110" s="218"/>
      <c r="R110" s="218"/>
      <c r="S110" s="218"/>
      <c r="T110" s="220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"/>
    </row>
    <row r="111" spans="1:40" ht="18" customHeight="1" thickBot="1" x14ac:dyDescent="0.3">
      <c r="A111" s="126"/>
      <c r="B111" s="217" t="s">
        <v>205</v>
      </c>
      <c r="C111" s="218"/>
      <c r="D111" s="218"/>
      <c r="E111" s="221" t="s">
        <v>206</v>
      </c>
      <c r="F111" s="218"/>
      <c r="G111" s="218"/>
      <c r="H111" s="218"/>
      <c r="I111" s="218"/>
      <c r="J111" s="218"/>
      <c r="K111" s="218" t="s">
        <v>207</v>
      </c>
      <c r="L111" s="229"/>
      <c r="M111" s="229"/>
      <c r="N111" s="229"/>
      <c r="O111" s="229"/>
      <c r="P111" s="229"/>
      <c r="Q111" s="229"/>
      <c r="R111" s="229"/>
      <c r="S111" s="229"/>
      <c r="T111" s="230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"/>
    </row>
    <row r="112" spans="1:40" ht="18" customHeight="1" thickBot="1" x14ac:dyDescent="0.3">
      <c r="A112" s="126"/>
      <c r="B112" s="227"/>
      <c r="C112" s="227"/>
      <c r="D112" s="227"/>
      <c r="E112" s="228"/>
      <c r="F112" s="227"/>
      <c r="G112" s="227"/>
      <c r="H112" s="227"/>
      <c r="I112" s="227"/>
      <c r="J112" s="227"/>
      <c r="K112" s="227"/>
      <c r="L112" s="231"/>
      <c r="M112" s="231"/>
      <c r="N112" s="231"/>
      <c r="O112" s="231"/>
      <c r="P112" s="231"/>
      <c r="Q112" s="231"/>
      <c r="R112" s="231"/>
      <c r="S112" s="231"/>
      <c r="T112" s="231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"/>
    </row>
    <row r="113" spans="1:40" ht="18" customHeight="1" thickBot="1" x14ac:dyDescent="0.3">
      <c r="A113" s="126"/>
      <c r="B113" s="847" t="s">
        <v>44</v>
      </c>
      <c r="C113" s="1154">
        <v>1</v>
      </c>
      <c r="D113" s="1154">
        <v>2</v>
      </c>
      <c r="E113" s="1155">
        <v>3</v>
      </c>
      <c r="F113" s="1155">
        <v>4</v>
      </c>
      <c r="G113" s="1154">
        <v>5</v>
      </c>
      <c r="H113" s="1155">
        <v>6</v>
      </c>
      <c r="I113" s="1155">
        <v>7</v>
      </c>
      <c r="J113" s="1154">
        <v>8</v>
      </c>
      <c r="K113" s="1154">
        <v>9</v>
      </c>
      <c r="L113" s="1155">
        <v>10</v>
      </c>
      <c r="M113" s="1155">
        <v>11</v>
      </c>
      <c r="N113" s="1155">
        <v>12</v>
      </c>
      <c r="O113" s="1155">
        <v>13</v>
      </c>
      <c r="P113" s="1155">
        <v>14</v>
      </c>
      <c r="Q113" s="1154">
        <v>15</v>
      </c>
      <c r="R113" s="1154">
        <v>16</v>
      </c>
      <c r="S113" s="1155">
        <v>17</v>
      </c>
      <c r="T113" s="1155">
        <v>18</v>
      </c>
      <c r="U113" s="1155">
        <v>19</v>
      </c>
      <c r="V113" s="1155">
        <v>20</v>
      </c>
      <c r="W113" s="1155">
        <v>21</v>
      </c>
      <c r="X113" s="1154">
        <v>22</v>
      </c>
      <c r="Y113" s="1154">
        <v>23</v>
      </c>
      <c r="Z113" s="1155">
        <v>24</v>
      </c>
      <c r="AA113" s="1155">
        <v>25</v>
      </c>
      <c r="AB113" s="1155">
        <v>26</v>
      </c>
      <c r="AC113" s="1155">
        <v>27</v>
      </c>
      <c r="AD113" s="1155">
        <v>28</v>
      </c>
      <c r="AE113" s="1154">
        <v>29</v>
      </c>
      <c r="AF113" s="1154">
        <v>30</v>
      </c>
      <c r="AG113" s="1353"/>
      <c r="AH113" s="1"/>
      <c r="AJ113" s="1151" t="s">
        <v>41</v>
      </c>
      <c r="AK113" s="1151" t="s">
        <v>62</v>
      </c>
      <c r="AL113" s="1151" t="s">
        <v>63</v>
      </c>
      <c r="AM113" s="1151" t="s">
        <v>64</v>
      </c>
      <c r="AN113" s="1151" t="s">
        <v>65</v>
      </c>
    </row>
    <row r="114" spans="1:40" ht="18" customHeight="1" x14ac:dyDescent="0.2">
      <c r="B114" s="848" t="s">
        <v>208</v>
      </c>
      <c r="C114" s="1355"/>
      <c r="D114" s="1354"/>
      <c r="E114" s="1354" t="s">
        <v>209</v>
      </c>
      <c r="F114" s="1354" t="s">
        <v>209</v>
      </c>
      <c r="G114" s="1354" t="s">
        <v>209</v>
      </c>
      <c r="H114" s="1354" t="s">
        <v>209</v>
      </c>
      <c r="I114" s="1354" t="s">
        <v>209</v>
      </c>
      <c r="J114" s="1354" t="s">
        <v>210</v>
      </c>
      <c r="K114" s="1355" t="s">
        <v>211</v>
      </c>
      <c r="L114" s="1354" t="s">
        <v>50</v>
      </c>
      <c r="M114" s="1354" t="s">
        <v>50</v>
      </c>
      <c r="N114" s="1382" t="s">
        <v>50</v>
      </c>
      <c r="O114" s="1354" t="s">
        <v>50</v>
      </c>
      <c r="P114" s="1354" t="s">
        <v>50</v>
      </c>
      <c r="Q114" s="1355" t="s">
        <v>50</v>
      </c>
      <c r="R114" s="1354" t="s">
        <v>50</v>
      </c>
      <c r="S114" s="1383" t="s">
        <v>209</v>
      </c>
      <c r="T114" s="1383" t="s">
        <v>209</v>
      </c>
      <c r="U114" s="1383" t="s">
        <v>209</v>
      </c>
      <c r="V114" s="1383" t="s">
        <v>209</v>
      </c>
      <c r="W114" s="1383" t="s">
        <v>209</v>
      </c>
      <c r="X114" s="1383" t="s">
        <v>210</v>
      </c>
      <c r="Y114" s="1383" t="s">
        <v>211</v>
      </c>
      <c r="Z114" s="1383" t="s">
        <v>50</v>
      </c>
      <c r="AA114" s="1383" t="s">
        <v>50</v>
      </c>
      <c r="AB114" s="1383" t="s">
        <v>50</v>
      </c>
      <c r="AC114" s="1383" t="s">
        <v>50</v>
      </c>
      <c r="AD114" s="1383" t="s">
        <v>50</v>
      </c>
      <c r="AE114" s="1383"/>
      <c r="AF114" s="1383"/>
      <c r="AG114" s="1357"/>
      <c r="AH114" s="1"/>
      <c r="AJ114" s="638">
        <v>136</v>
      </c>
      <c r="AK114" s="638"/>
      <c r="AL114" s="638">
        <f t="shared" ref="AL114:AL115" si="3">IF(AJ114="","",SUM(AJ114:AK114))</f>
        <v>136</v>
      </c>
      <c r="AM114" s="639">
        <f t="shared" ref="AM114:AM115" si="4">IF(AJ114="","",AL114-_xlfn.SINGLE(NormTid))</f>
        <v>-24.330000000000013</v>
      </c>
      <c r="AN114" s="639">
        <f>IF(AM114="","",AM114+'Maj 2024'!AN115)</f>
        <v>-24.330000000000013</v>
      </c>
    </row>
    <row r="115" spans="1:40" ht="18" customHeight="1" thickBot="1" x14ac:dyDescent="0.25">
      <c r="B115" s="851" t="s">
        <v>212</v>
      </c>
      <c r="C115" s="636" t="s">
        <v>210</v>
      </c>
      <c r="D115" s="1348" t="s">
        <v>211</v>
      </c>
      <c r="E115" s="1348" t="s">
        <v>50</v>
      </c>
      <c r="F115" s="636" t="s">
        <v>50</v>
      </c>
      <c r="G115" s="636" t="s">
        <v>50</v>
      </c>
      <c r="H115" s="636" t="s">
        <v>50</v>
      </c>
      <c r="I115" s="862" t="s">
        <v>145</v>
      </c>
      <c r="J115" s="862" t="s">
        <v>147</v>
      </c>
      <c r="K115" s="862" t="s">
        <v>148</v>
      </c>
      <c r="L115" s="636" t="s">
        <v>209</v>
      </c>
      <c r="M115" s="1348" t="s">
        <v>209</v>
      </c>
      <c r="N115" s="813" t="s">
        <v>209</v>
      </c>
      <c r="O115" s="1348" t="s">
        <v>209</v>
      </c>
      <c r="P115" s="1348" t="s">
        <v>209</v>
      </c>
      <c r="Q115" s="636" t="s">
        <v>210</v>
      </c>
      <c r="R115" s="1348" t="s">
        <v>211</v>
      </c>
      <c r="S115" s="1348" t="s">
        <v>50</v>
      </c>
      <c r="T115" s="636" t="s">
        <v>50</v>
      </c>
      <c r="U115" s="636" t="s">
        <v>50</v>
      </c>
      <c r="V115" s="636" t="s">
        <v>50</v>
      </c>
      <c r="W115" s="636" t="s">
        <v>50</v>
      </c>
      <c r="X115" s="636"/>
      <c r="Y115" s="636"/>
      <c r="Z115" s="802" t="s">
        <v>209</v>
      </c>
      <c r="AA115" s="802" t="s">
        <v>209</v>
      </c>
      <c r="AB115" s="813" t="s">
        <v>209</v>
      </c>
      <c r="AC115" s="1348" t="s">
        <v>209</v>
      </c>
      <c r="AD115" s="1348" t="s">
        <v>209</v>
      </c>
      <c r="AE115" s="636" t="s">
        <v>210</v>
      </c>
      <c r="AF115" s="1348" t="s">
        <v>211</v>
      </c>
      <c r="AG115" s="801"/>
      <c r="AH115" s="1"/>
      <c r="AJ115" s="638">
        <v>150</v>
      </c>
      <c r="AK115" s="638"/>
      <c r="AL115" s="638">
        <f t="shared" si="3"/>
        <v>150</v>
      </c>
      <c r="AM115" s="639">
        <f t="shared" si="4"/>
        <v>-10.330000000000013</v>
      </c>
      <c r="AN115" s="639">
        <f>IF(AM115="","",AM115+'Maj 2024'!AN116)</f>
        <v>-10.330000000000013</v>
      </c>
    </row>
    <row r="116" spans="1:40" ht="18" customHeight="1" thickBot="1" x14ac:dyDescent="0.25">
      <c r="B116" s="852" t="s">
        <v>0</v>
      </c>
      <c r="C116" s="853" t="s">
        <v>147</v>
      </c>
      <c r="D116" s="855" t="s">
        <v>148</v>
      </c>
      <c r="E116" s="855"/>
      <c r="F116" s="1212" t="s">
        <v>0</v>
      </c>
      <c r="G116" s="1212" t="s">
        <v>0</v>
      </c>
      <c r="H116" s="1363" t="s">
        <v>0</v>
      </c>
      <c r="I116" s="1363" t="s">
        <v>145</v>
      </c>
      <c r="J116" s="1363" t="s">
        <v>147</v>
      </c>
      <c r="K116" s="1363" t="s">
        <v>148</v>
      </c>
      <c r="L116" s="853" t="s">
        <v>0</v>
      </c>
      <c r="M116" s="855" t="s">
        <v>0</v>
      </c>
      <c r="N116" s="853" t="s">
        <v>0</v>
      </c>
      <c r="O116" s="853" t="s">
        <v>0</v>
      </c>
      <c r="P116" s="854" t="s">
        <v>145</v>
      </c>
      <c r="Q116" s="853" t="s">
        <v>147</v>
      </c>
      <c r="R116" s="855" t="s">
        <v>148</v>
      </c>
      <c r="S116" s="855"/>
      <c r="T116" s="1212" t="s">
        <v>0</v>
      </c>
      <c r="U116" s="1212" t="s">
        <v>0</v>
      </c>
      <c r="V116" s="1363" t="s">
        <v>0</v>
      </c>
      <c r="W116" s="1363" t="s">
        <v>145</v>
      </c>
      <c r="X116" s="1363" t="s">
        <v>147</v>
      </c>
      <c r="Y116" s="1363" t="s">
        <v>148</v>
      </c>
      <c r="Z116" s="853" t="s">
        <v>0</v>
      </c>
      <c r="AA116" s="855" t="s">
        <v>0</v>
      </c>
      <c r="AB116" s="853" t="s">
        <v>0</v>
      </c>
      <c r="AC116" s="853" t="s">
        <v>0</v>
      </c>
      <c r="AD116" s="854" t="s">
        <v>145</v>
      </c>
      <c r="AE116" s="853" t="s">
        <v>147</v>
      </c>
      <c r="AF116" s="855" t="s">
        <v>148</v>
      </c>
      <c r="AG116" s="1384"/>
      <c r="AH116" s="1"/>
      <c r="AJ116" s="1366"/>
      <c r="AK116" s="1366"/>
      <c r="AL116" s="1366"/>
      <c r="AM116" s="1367"/>
      <c r="AN116" s="1367"/>
    </row>
    <row r="117" spans="1:40" ht="18" customHeight="1" x14ac:dyDescent="0.2">
      <c r="B117" s="232"/>
      <c r="C117" s="233"/>
      <c r="D117" s="233"/>
      <c r="E117" s="234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234"/>
      <c r="T117" s="234"/>
      <c r="U117" s="234"/>
      <c r="V117" s="234"/>
      <c r="W117" s="234"/>
      <c r="X117" s="234"/>
      <c r="Y117" s="234"/>
      <c r="Z117" s="234"/>
      <c r="AA117" s="234"/>
      <c r="AB117" s="234"/>
      <c r="AC117" s="234"/>
      <c r="AD117" s="234"/>
      <c r="AE117" s="234"/>
      <c r="AF117" s="234"/>
      <c r="AG117" s="234"/>
      <c r="AH117" s="1"/>
      <c r="AJ117" s="123"/>
      <c r="AK117" s="123"/>
      <c r="AL117" s="123"/>
      <c r="AM117" s="215"/>
      <c r="AN117" s="215"/>
    </row>
    <row r="118" spans="1:40" ht="18" customHeight="1" thickBot="1" x14ac:dyDescent="0.25">
      <c r="A118" s="3" t="s">
        <v>213</v>
      </c>
      <c r="AH118" s="1"/>
      <c r="AJ118" s="123"/>
      <c r="AK118" s="123"/>
      <c r="AL118" s="123"/>
      <c r="AM118" s="215"/>
      <c r="AN118" s="215"/>
    </row>
    <row r="119" spans="1:40" ht="18" customHeight="1" thickBot="1" x14ac:dyDescent="0.3">
      <c r="B119" s="217"/>
      <c r="C119" s="218"/>
      <c r="D119" s="218"/>
      <c r="E119" s="221" t="s">
        <v>198</v>
      </c>
      <c r="F119" s="218"/>
      <c r="G119" s="218"/>
      <c r="H119" s="218"/>
      <c r="I119" s="218"/>
      <c r="J119" s="218"/>
      <c r="K119" s="226" t="s">
        <v>13</v>
      </c>
      <c r="L119" s="222"/>
      <c r="M119" s="222"/>
      <c r="N119" s="222"/>
      <c r="O119" s="222"/>
      <c r="P119" s="222"/>
      <c r="Q119" s="222"/>
      <c r="R119" s="222"/>
      <c r="S119" s="222"/>
      <c r="T119" s="223"/>
      <c r="AH119" s="1"/>
      <c r="AJ119" s="123"/>
      <c r="AK119" s="123"/>
      <c r="AL119" s="123"/>
      <c r="AM119" s="215"/>
      <c r="AN119" s="215"/>
    </row>
    <row r="120" spans="1:40" ht="18" customHeight="1" thickBot="1" x14ac:dyDescent="0.3">
      <c r="B120" s="217" t="s">
        <v>199</v>
      </c>
      <c r="C120" s="218"/>
      <c r="D120" s="218"/>
      <c r="E120" s="219" t="s">
        <v>214</v>
      </c>
      <c r="F120" s="218"/>
      <c r="G120" s="218"/>
      <c r="H120" s="218"/>
      <c r="I120" s="218"/>
      <c r="J120" s="218"/>
      <c r="K120" s="218" t="s">
        <v>215</v>
      </c>
      <c r="L120" s="218"/>
      <c r="M120" s="218"/>
      <c r="N120" s="218"/>
      <c r="O120" s="218"/>
      <c r="P120" s="218"/>
      <c r="Q120" s="218"/>
      <c r="R120" s="236" t="s">
        <v>216</v>
      </c>
      <c r="S120" s="236"/>
      <c r="T120" s="236"/>
      <c r="AH120" s="1"/>
      <c r="AJ120" s="123"/>
      <c r="AK120" s="123"/>
      <c r="AL120" s="123"/>
      <c r="AM120" s="215"/>
      <c r="AN120" s="215"/>
    </row>
    <row r="121" spans="1:40" ht="18" customHeight="1" thickBot="1" x14ac:dyDescent="0.3">
      <c r="B121" s="217" t="s">
        <v>22</v>
      </c>
      <c r="C121" s="218"/>
      <c r="D121" s="218"/>
      <c r="E121" s="221" t="s">
        <v>217</v>
      </c>
      <c r="F121" s="218"/>
      <c r="G121" s="218"/>
      <c r="H121" s="218"/>
      <c r="I121" s="218"/>
      <c r="J121" s="218"/>
      <c r="K121" s="218" t="s">
        <v>218</v>
      </c>
      <c r="L121" s="218"/>
      <c r="M121" s="218"/>
      <c r="N121" s="218"/>
      <c r="O121" s="218"/>
      <c r="P121" s="218"/>
      <c r="Q121" s="218"/>
      <c r="R121" s="218"/>
      <c r="S121" s="218"/>
      <c r="T121" s="220"/>
      <c r="AH121" s="1"/>
      <c r="AJ121" s="123"/>
      <c r="AK121" s="123"/>
      <c r="AL121" s="123"/>
      <c r="AM121" s="215"/>
      <c r="AN121" s="215"/>
    </row>
    <row r="122" spans="1:40" ht="18" customHeight="1" thickBot="1" x14ac:dyDescent="0.3">
      <c r="B122" s="217" t="s">
        <v>205</v>
      </c>
      <c r="C122" s="218"/>
      <c r="D122" s="218"/>
      <c r="E122" s="221" t="s">
        <v>219</v>
      </c>
      <c r="F122" s="218"/>
      <c r="G122" s="218"/>
      <c r="H122" s="218"/>
      <c r="I122" s="218"/>
      <c r="J122" s="218"/>
      <c r="K122" s="218" t="s">
        <v>220</v>
      </c>
      <c r="L122" s="229"/>
      <c r="M122" s="229"/>
      <c r="N122" s="229"/>
      <c r="O122" s="229"/>
      <c r="P122" s="229"/>
      <c r="Q122" s="229"/>
      <c r="R122" s="229"/>
      <c r="S122" s="229"/>
      <c r="T122" s="230"/>
      <c r="U122" s="108"/>
      <c r="V122" s="108"/>
      <c r="AH122" s="1"/>
      <c r="AJ122" s="123"/>
      <c r="AK122" s="123"/>
      <c r="AL122" s="123"/>
      <c r="AM122" s="215"/>
      <c r="AN122" s="215"/>
    </row>
    <row r="123" spans="1:40" ht="18" customHeight="1" thickBot="1" x14ac:dyDescent="0.25">
      <c r="T123" s="108"/>
      <c r="U123" s="108"/>
      <c r="V123" s="108"/>
      <c r="AH123" s="1"/>
      <c r="AJ123" s="123"/>
      <c r="AK123" s="123"/>
      <c r="AL123" s="123"/>
      <c r="AM123" s="215"/>
      <c r="AN123" s="215"/>
    </row>
    <row r="124" spans="1:40" ht="18" customHeight="1" thickBot="1" x14ac:dyDescent="0.25">
      <c r="B124" s="1385" t="s">
        <v>44</v>
      </c>
      <c r="C124" s="1154">
        <v>1</v>
      </c>
      <c r="D124" s="1154">
        <v>2</v>
      </c>
      <c r="E124" s="1155">
        <v>3</v>
      </c>
      <c r="F124" s="1155">
        <v>4</v>
      </c>
      <c r="G124" s="1154">
        <v>5</v>
      </c>
      <c r="H124" s="1155">
        <v>6</v>
      </c>
      <c r="I124" s="1155">
        <v>7</v>
      </c>
      <c r="J124" s="1154">
        <v>8</v>
      </c>
      <c r="K124" s="1154">
        <v>9</v>
      </c>
      <c r="L124" s="1155">
        <v>10</v>
      </c>
      <c r="M124" s="1155">
        <v>11</v>
      </c>
      <c r="N124" s="1155">
        <v>12</v>
      </c>
      <c r="O124" s="1155">
        <v>13</v>
      </c>
      <c r="P124" s="1155">
        <v>14</v>
      </c>
      <c r="Q124" s="1154">
        <v>15</v>
      </c>
      <c r="R124" s="1154">
        <v>16</v>
      </c>
      <c r="S124" s="1155">
        <v>17</v>
      </c>
      <c r="T124" s="1155">
        <v>18</v>
      </c>
      <c r="U124" s="1155">
        <v>19</v>
      </c>
      <c r="V124" s="1155">
        <v>20</v>
      </c>
      <c r="W124" s="1155">
        <v>21</v>
      </c>
      <c r="X124" s="1154">
        <v>22</v>
      </c>
      <c r="Y124" s="1154">
        <v>23</v>
      </c>
      <c r="Z124" s="1155">
        <v>24</v>
      </c>
      <c r="AA124" s="1155">
        <v>25</v>
      </c>
      <c r="AB124" s="1155">
        <v>26</v>
      </c>
      <c r="AC124" s="1155">
        <v>27</v>
      </c>
      <c r="AD124" s="1155">
        <v>28</v>
      </c>
      <c r="AE124" s="1154">
        <v>29</v>
      </c>
      <c r="AF124" s="1154">
        <v>30</v>
      </c>
      <c r="AG124" s="1353"/>
      <c r="AH124" s="1"/>
      <c r="AJ124" s="1151" t="s">
        <v>41</v>
      </c>
      <c r="AK124" s="1151" t="s">
        <v>62</v>
      </c>
      <c r="AL124" s="1151" t="s">
        <v>63</v>
      </c>
      <c r="AM124" s="1151" t="s">
        <v>64</v>
      </c>
      <c r="AN124" s="1151" t="s">
        <v>65</v>
      </c>
    </row>
    <row r="125" spans="1:40" ht="18" customHeight="1" x14ac:dyDescent="0.2">
      <c r="B125" s="1386" t="s">
        <v>221</v>
      </c>
      <c r="C125" s="858"/>
      <c r="D125" s="858"/>
      <c r="E125" s="1387" t="s">
        <v>72</v>
      </c>
      <c r="F125" s="1387" t="s">
        <v>72</v>
      </c>
      <c r="G125" s="1387" t="s">
        <v>72</v>
      </c>
      <c r="H125" s="1387" t="s">
        <v>72</v>
      </c>
      <c r="I125" s="1388" t="s">
        <v>72</v>
      </c>
      <c r="J125" s="858" t="s">
        <v>73</v>
      </c>
      <c r="K125" s="858" t="s">
        <v>74</v>
      </c>
      <c r="L125" s="858" t="s">
        <v>50</v>
      </c>
      <c r="M125" s="858" t="s">
        <v>50</v>
      </c>
      <c r="N125" s="858" t="s">
        <v>50</v>
      </c>
      <c r="O125" s="858" t="s">
        <v>50</v>
      </c>
      <c r="P125" s="858" t="s">
        <v>50</v>
      </c>
      <c r="Q125" s="858"/>
      <c r="R125" s="858"/>
      <c r="S125" s="1388" t="s">
        <v>72</v>
      </c>
      <c r="T125" s="1388" t="s">
        <v>72</v>
      </c>
      <c r="U125" s="1388" t="s">
        <v>72</v>
      </c>
      <c r="V125" s="1388" t="s">
        <v>72</v>
      </c>
      <c r="W125" s="1388" t="s">
        <v>72</v>
      </c>
      <c r="X125" s="858" t="s">
        <v>73</v>
      </c>
      <c r="Y125" s="858" t="s">
        <v>74</v>
      </c>
      <c r="Z125" s="858" t="s">
        <v>50</v>
      </c>
      <c r="AA125" s="858" t="s">
        <v>50</v>
      </c>
      <c r="AB125" s="858" t="s">
        <v>50</v>
      </c>
      <c r="AC125" s="858" t="s">
        <v>50</v>
      </c>
      <c r="AD125" s="858" t="s">
        <v>50</v>
      </c>
      <c r="AE125" s="858"/>
      <c r="AF125" s="858"/>
      <c r="AG125" s="1355" t="s">
        <v>0</v>
      </c>
      <c r="AH125" s="1"/>
      <c r="AJ125" s="638">
        <v>124</v>
      </c>
      <c r="AK125" s="638"/>
      <c r="AL125" s="638">
        <f t="shared" ref="AL125:AL126" si="5">IF(AJ125="","",SUM(AJ125:AK125))</f>
        <v>124</v>
      </c>
      <c r="AM125" s="639">
        <f t="shared" ref="AM125:AM126" si="6">IF(AJ125="","",AL125-_xlfn.SINGLE(NormTid))</f>
        <v>-36.330000000000013</v>
      </c>
      <c r="AN125" s="639">
        <f>IF(AM125="","",AM125+'Maj 2024'!AN126)</f>
        <v>-36.330000000000013</v>
      </c>
    </row>
    <row r="126" spans="1:40" ht="18" customHeight="1" x14ac:dyDescent="0.2">
      <c r="B126" s="1389" t="s">
        <v>222</v>
      </c>
      <c r="C126" s="636" t="s">
        <v>73</v>
      </c>
      <c r="D126" s="636" t="s">
        <v>74</v>
      </c>
      <c r="E126" s="636" t="s">
        <v>50</v>
      </c>
      <c r="F126" s="636" t="s">
        <v>50</v>
      </c>
      <c r="G126" s="1359" t="s">
        <v>50</v>
      </c>
      <c r="H126" s="636" t="s">
        <v>50</v>
      </c>
      <c r="I126" s="636" t="s">
        <v>50</v>
      </c>
      <c r="J126" s="636"/>
      <c r="K126" s="636"/>
      <c r="L126" s="1348" t="s">
        <v>72</v>
      </c>
      <c r="M126" s="1348" t="s">
        <v>72</v>
      </c>
      <c r="N126" s="1348" t="s">
        <v>72</v>
      </c>
      <c r="O126" s="1348" t="s">
        <v>72</v>
      </c>
      <c r="P126" s="1348" t="s">
        <v>72</v>
      </c>
      <c r="Q126" s="636" t="s">
        <v>73</v>
      </c>
      <c r="R126" s="636" t="s">
        <v>74</v>
      </c>
      <c r="S126" s="636" t="s">
        <v>50</v>
      </c>
      <c r="T126" s="636" t="s">
        <v>50</v>
      </c>
      <c r="U126" s="636" t="s">
        <v>50</v>
      </c>
      <c r="V126" s="636" t="s">
        <v>50</v>
      </c>
      <c r="W126" s="636" t="s">
        <v>50</v>
      </c>
      <c r="X126" s="636"/>
      <c r="Y126" s="636"/>
      <c r="Z126" s="1348" t="s">
        <v>72</v>
      </c>
      <c r="AA126" s="1348" t="s">
        <v>72</v>
      </c>
      <c r="AB126" s="1348" t="s">
        <v>72</v>
      </c>
      <c r="AC126" s="1348" t="s">
        <v>72</v>
      </c>
      <c r="AD126" s="1348" t="s">
        <v>72</v>
      </c>
      <c r="AE126" s="636" t="s">
        <v>73</v>
      </c>
      <c r="AF126" s="636" t="s">
        <v>74</v>
      </c>
      <c r="AG126" s="636" t="s">
        <v>0</v>
      </c>
      <c r="AH126" s="1"/>
      <c r="AJ126" s="638">
        <v>150</v>
      </c>
      <c r="AK126" s="638"/>
      <c r="AL126" s="638">
        <f t="shared" si="5"/>
        <v>150</v>
      </c>
      <c r="AM126" s="639">
        <f t="shared" si="6"/>
        <v>-10.330000000000013</v>
      </c>
      <c r="AN126" s="639">
        <f>IF(AM126="","",AM126+'Maj 2024'!AN127)</f>
        <v>-10.330000000000013</v>
      </c>
    </row>
    <row r="127" spans="1:40" ht="18" customHeight="1" thickBot="1" x14ac:dyDescent="0.25">
      <c r="B127" s="860" t="s">
        <v>0</v>
      </c>
      <c r="C127" s="1212" t="s">
        <v>140</v>
      </c>
      <c r="D127" s="1212" t="s">
        <v>141</v>
      </c>
      <c r="E127" s="1212" t="s">
        <v>50</v>
      </c>
      <c r="F127" s="1212" t="s">
        <v>50</v>
      </c>
      <c r="G127" s="1212" t="s">
        <v>50</v>
      </c>
      <c r="H127" s="1212" t="s">
        <v>50</v>
      </c>
      <c r="I127" s="1212" t="s">
        <v>139</v>
      </c>
      <c r="J127" s="1212" t="s">
        <v>140</v>
      </c>
      <c r="K127" s="1212" t="s">
        <v>141</v>
      </c>
      <c r="L127" s="1212" t="s">
        <v>50</v>
      </c>
      <c r="M127" s="1212" t="s">
        <v>50</v>
      </c>
      <c r="N127" s="1212" t="s">
        <v>50</v>
      </c>
      <c r="O127" s="1212" t="s">
        <v>50</v>
      </c>
      <c r="P127" s="1212" t="s">
        <v>139</v>
      </c>
      <c r="Q127" s="1212" t="s">
        <v>140</v>
      </c>
      <c r="R127" s="1212" t="s">
        <v>141</v>
      </c>
      <c r="S127" s="1212" t="s">
        <v>50</v>
      </c>
      <c r="T127" s="1212" t="s">
        <v>50</v>
      </c>
      <c r="U127" s="1212" t="s">
        <v>50</v>
      </c>
      <c r="V127" s="1212" t="s">
        <v>50</v>
      </c>
      <c r="W127" s="1212" t="s">
        <v>139</v>
      </c>
      <c r="X127" s="1212" t="s">
        <v>140</v>
      </c>
      <c r="Y127" s="1212" t="s">
        <v>141</v>
      </c>
      <c r="Z127" s="1212" t="s">
        <v>50</v>
      </c>
      <c r="AA127" s="1212" t="s">
        <v>50</v>
      </c>
      <c r="AB127" s="1212" t="s">
        <v>50</v>
      </c>
      <c r="AC127" s="1212" t="s">
        <v>50</v>
      </c>
      <c r="AD127" s="1212" t="s">
        <v>139</v>
      </c>
      <c r="AE127" s="1212" t="s">
        <v>140</v>
      </c>
      <c r="AF127" s="1212" t="s">
        <v>141</v>
      </c>
      <c r="AG127" s="856" t="s">
        <v>0</v>
      </c>
      <c r="AH127" s="1"/>
    </row>
    <row r="128" spans="1:40" ht="18" customHeight="1" x14ac:dyDescent="0.2">
      <c r="B128" s="235" t="s">
        <v>0</v>
      </c>
      <c r="C128" s="234" t="s">
        <v>0</v>
      </c>
      <c r="D128" s="234" t="s">
        <v>0</v>
      </c>
      <c r="E128" s="234" t="s">
        <v>0</v>
      </c>
      <c r="F128" s="234" t="s">
        <v>0</v>
      </c>
      <c r="G128" s="234" t="s">
        <v>0</v>
      </c>
      <c r="H128" s="234" t="s">
        <v>0</v>
      </c>
      <c r="I128" s="234" t="s">
        <v>0</v>
      </c>
      <c r="J128" s="234" t="s">
        <v>0</v>
      </c>
      <c r="K128" s="234" t="s">
        <v>0</v>
      </c>
      <c r="L128" s="234" t="s">
        <v>0</v>
      </c>
      <c r="M128" s="234" t="s">
        <v>0</v>
      </c>
      <c r="N128" s="234" t="s">
        <v>0</v>
      </c>
      <c r="O128" s="234" t="s">
        <v>0</v>
      </c>
      <c r="P128" s="234" t="s">
        <v>0</v>
      </c>
      <c r="Q128" s="234" t="s">
        <v>0</v>
      </c>
      <c r="R128" s="234" t="s">
        <v>0</v>
      </c>
      <c r="S128" s="234" t="s">
        <v>0</v>
      </c>
      <c r="T128" s="234" t="s">
        <v>0</v>
      </c>
      <c r="U128" s="234" t="s">
        <v>0</v>
      </c>
      <c r="V128" s="234" t="s">
        <v>0</v>
      </c>
      <c r="W128" s="234" t="s">
        <v>0</v>
      </c>
      <c r="X128" s="234" t="s">
        <v>0</v>
      </c>
      <c r="Y128" s="234" t="s">
        <v>0</v>
      </c>
      <c r="Z128" s="234" t="s">
        <v>0</v>
      </c>
      <c r="AA128" s="234" t="s">
        <v>0</v>
      </c>
      <c r="AB128" s="234" t="s">
        <v>0</v>
      </c>
      <c r="AC128" s="234" t="s">
        <v>0</v>
      </c>
      <c r="AD128" s="234" t="s">
        <v>0</v>
      </c>
      <c r="AE128" s="234" t="s">
        <v>0</v>
      </c>
      <c r="AF128" s="234" t="s">
        <v>0</v>
      </c>
      <c r="AG128" s="234" t="s">
        <v>0</v>
      </c>
      <c r="AH128" s="1"/>
      <c r="AJ128" s="123"/>
      <c r="AK128" s="123"/>
      <c r="AL128" s="123"/>
      <c r="AM128" s="215"/>
      <c r="AN128" s="215"/>
    </row>
    <row r="129" spans="1:40" ht="18" customHeight="1" thickBot="1" x14ac:dyDescent="0.25">
      <c r="A129" s="3" t="s">
        <v>223</v>
      </c>
      <c r="AH129" s="1"/>
      <c r="AJ129" s="123"/>
      <c r="AK129" s="123"/>
      <c r="AL129" s="123"/>
      <c r="AM129" s="215"/>
      <c r="AN129" s="215"/>
    </row>
    <row r="130" spans="1:40" ht="18" customHeight="1" thickBot="1" x14ac:dyDescent="0.3">
      <c r="B130" s="217"/>
      <c r="C130" s="218"/>
      <c r="D130" s="218"/>
      <c r="E130" s="221" t="s">
        <v>198</v>
      </c>
      <c r="F130" s="218"/>
      <c r="G130" s="218"/>
      <c r="H130" s="218"/>
      <c r="I130" s="218"/>
      <c r="J130" s="218"/>
      <c r="K130" s="226" t="s">
        <v>13</v>
      </c>
      <c r="L130" s="222"/>
      <c r="M130" s="222"/>
      <c r="N130" s="222"/>
      <c r="O130" s="222"/>
      <c r="P130" s="222"/>
      <c r="Q130" s="222"/>
      <c r="R130" s="222"/>
      <c r="S130" s="222"/>
      <c r="T130" s="223"/>
      <c r="AH130" s="1"/>
      <c r="AJ130" s="123"/>
      <c r="AK130" s="123"/>
      <c r="AL130" s="123"/>
      <c r="AM130" s="215"/>
      <c r="AN130" s="215"/>
    </row>
    <row r="131" spans="1:40" ht="18" customHeight="1" thickBot="1" x14ac:dyDescent="0.3">
      <c r="B131" s="217" t="s">
        <v>199</v>
      </c>
      <c r="C131" s="218"/>
      <c r="D131" s="218"/>
      <c r="E131" s="219" t="s">
        <v>224</v>
      </c>
      <c r="F131" s="218"/>
      <c r="G131" s="218"/>
      <c r="H131" s="218"/>
      <c r="I131" s="218"/>
      <c r="J131" s="218"/>
      <c r="K131" s="218" t="s">
        <v>225</v>
      </c>
      <c r="L131" s="218"/>
      <c r="M131" s="218"/>
      <c r="N131" s="218"/>
      <c r="O131" s="218"/>
      <c r="P131" s="218"/>
      <c r="Q131" s="218"/>
      <c r="R131" s="236" t="s">
        <v>226</v>
      </c>
      <c r="S131" s="236"/>
      <c r="T131" s="236"/>
      <c r="AH131" s="1"/>
      <c r="AJ131" s="123"/>
      <c r="AK131" s="123"/>
      <c r="AL131" s="123"/>
      <c r="AM131" s="215"/>
      <c r="AN131" s="215"/>
    </row>
    <row r="132" spans="1:40" ht="18" customHeight="1" thickBot="1" x14ac:dyDescent="0.3">
      <c r="B132" s="217" t="s">
        <v>22</v>
      </c>
      <c r="C132" s="218"/>
      <c r="D132" s="218"/>
      <c r="E132" s="221" t="s">
        <v>227</v>
      </c>
      <c r="F132" s="218"/>
      <c r="G132" s="218"/>
      <c r="H132" s="218"/>
      <c r="I132" s="218"/>
      <c r="J132" s="218"/>
      <c r="K132" s="218" t="s">
        <v>228</v>
      </c>
      <c r="L132" s="218"/>
      <c r="M132" s="218"/>
      <c r="N132" s="218"/>
      <c r="O132" s="218"/>
      <c r="P132" s="218"/>
      <c r="Q132" s="218"/>
      <c r="R132" s="218"/>
      <c r="S132" s="218"/>
      <c r="T132" s="220"/>
      <c r="AH132" s="1"/>
      <c r="AJ132" s="123"/>
      <c r="AK132" s="123"/>
      <c r="AL132" s="123"/>
      <c r="AM132" s="215"/>
      <c r="AN132" s="215"/>
    </row>
    <row r="133" spans="1:40" ht="18" customHeight="1" thickBot="1" x14ac:dyDescent="0.3">
      <c r="B133" s="217" t="s">
        <v>205</v>
      </c>
      <c r="C133" s="218"/>
      <c r="D133" s="218"/>
      <c r="E133" s="221" t="s">
        <v>229</v>
      </c>
      <c r="F133" s="218"/>
      <c r="G133" s="218"/>
      <c r="H133" s="218"/>
      <c r="I133" s="218"/>
      <c r="J133" s="218"/>
      <c r="K133" s="218" t="s">
        <v>230</v>
      </c>
      <c r="L133" s="229"/>
      <c r="M133" s="229"/>
      <c r="N133" s="229"/>
      <c r="O133" s="229"/>
      <c r="P133" s="229"/>
      <c r="Q133" s="229"/>
      <c r="R133" s="229"/>
      <c r="S133" s="229"/>
      <c r="T133" s="230"/>
      <c r="U133" s="108"/>
      <c r="V133" s="108"/>
      <c r="AH133" s="1"/>
      <c r="AJ133" s="123"/>
      <c r="AK133" s="123"/>
      <c r="AL133" s="123"/>
      <c r="AM133" s="215"/>
      <c r="AN133" s="215"/>
    </row>
    <row r="134" spans="1:40" ht="18" customHeight="1" thickBot="1" x14ac:dyDescent="0.25">
      <c r="T134" s="108"/>
      <c r="U134" s="108"/>
      <c r="V134" s="108"/>
      <c r="AH134" s="1"/>
      <c r="AJ134" s="123"/>
      <c r="AK134" s="123"/>
      <c r="AL134" s="123"/>
      <c r="AM134" s="215"/>
      <c r="AN134" s="215"/>
    </row>
    <row r="135" spans="1:40" ht="18" customHeight="1" thickBot="1" x14ac:dyDescent="0.25">
      <c r="B135" s="1385" t="s">
        <v>44</v>
      </c>
      <c r="C135" s="1154">
        <v>1</v>
      </c>
      <c r="D135" s="1154">
        <v>2</v>
      </c>
      <c r="E135" s="1155">
        <v>3</v>
      </c>
      <c r="F135" s="1155">
        <v>4</v>
      </c>
      <c r="G135" s="1154">
        <v>5</v>
      </c>
      <c r="H135" s="1155">
        <v>6</v>
      </c>
      <c r="I135" s="1155">
        <v>7</v>
      </c>
      <c r="J135" s="1154">
        <v>8</v>
      </c>
      <c r="K135" s="1154">
        <v>9</v>
      </c>
      <c r="L135" s="1155">
        <v>10</v>
      </c>
      <c r="M135" s="1155">
        <v>11</v>
      </c>
      <c r="N135" s="1155">
        <v>12</v>
      </c>
      <c r="O135" s="1155">
        <v>13</v>
      </c>
      <c r="P135" s="1155">
        <v>14</v>
      </c>
      <c r="Q135" s="1154">
        <v>15</v>
      </c>
      <c r="R135" s="1154">
        <v>16</v>
      </c>
      <c r="S135" s="1155">
        <v>17</v>
      </c>
      <c r="T135" s="1155">
        <v>18</v>
      </c>
      <c r="U135" s="1155">
        <v>19</v>
      </c>
      <c r="V135" s="1155">
        <v>20</v>
      </c>
      <c r="W135" s="1155">
        <v>21</v>
      </c>
      <c r="X135" s="1154">
        <v>22</v>
      </c>
      <c r="Y135" s="1154">
        <v>23</v>
      </c>
      <c r="Z135" s="1155">
        <v>24</v>
      </c>
      <c r="AA135" s="1155">
        <v>25</v>
      </c>
      <c r="AB135" s="1155">
        <v>26</v>
      </c>
      <c r="AC135" s="1155">
        <v>27</v>
      </c>
      <c r="AD135" s="1155">
        <v>28</v>
      </c>
      <c r="AE135" s="1154">
        <v>29</v>
      </c>
      <c r="AF135" s="1154">
        <v>30</v>
      </c>
      <c r="AG135" s="1353"/>
      <c r="AH135" s="1"/>
      <c r="AJ135" s="1151" t="s">
        <v>41</v>
      </c>
      <c r="AK135" s="1151" t="s">
        <v>62</v>
      </c>
      <c r="AL135" s="1151" t="s">
        <v>63</v>
      </c>
      <c r="AM135" s="1151" t="s">
        <v>64</v>
      </c>
      <c r="AN135" s="1151" t="s">
        <v>65</v>
      </c>
    </row>
    <row r="136" spans="1:40" ht="18" customHeight="1" x14ac:dyDescent="0.2">
      <c r="B136" s="1390" t="s">
        <v>231</v>
      </c>
      <c r="C136" s="1391" t="s">
        <v>140</v>
      </c>
      <c r="D136" s="1391" t="s">
        <v>141</v>
      </c>
      <c r="E136" s="1354" t="s">
        <v>162</v>
      </c>
      <c r="F136" s="1354" t="s">
        <v>162</v>
      </c>
      <c r="G136" s="1354" t="s">
        <v>162</v>
      </c>
      <c r="H136" s="1354" t="s">
        <v>162</v>
      </c>
      <c r="I136" s="1354" t="s">
        <v>162</v>
      </c>
      <c r="J136" s="1355" t="s">
        <v>163</v>
      </c>
      <c r="K136" s="1355" t="s">
        <v>164</v>
      </c>
      <c r="L136" s="1355" t="s">
        <v>50</v>
      </c>
      <c r="M136" s="1355" t="s">
        <v>50</v>
      </c>
      <c r="N136" s="1355" t="s">
        <v>50</v>
      </c>
      <c r="O136" s="1355" t="s">
        <v>50</v>
      </c>
      <c r="P136" s="1355" t="s">
        <v>50</v>
      </c>
      <c r="Q136" s="1355"/>
      <c r="R136" s="1355"/>
      <c r="S136" s="1354" t="s">
        <v>162</v>
      </c>
      <c r="T136" s="1354" t="s">
        <v>162</v>
      </c>
      <c r="U136" s="1354" t="s">
        <v>162</v>
      </c>
      <c r="V136" s="1354" t="s">
        <v>162</v>
      </c>
      <c r="W136" s="1354" t="s">
        <v>162</v>
      </c>
      <c r="X136" s="1355" t="s">
        <v>163</v>
      </c>
      <c r="Y136" s="1355" t="s">
        <v>164</v>
      </c>
      <c r="Z136" s="1355" t="s">
        <v>50</v>
      </c>
      <c r="AA136" s="1355" t="s">
        <v>50</v>
      </c>
      <c r="AB136" s="1355" t="s">
        <v>50</v>
      </c>
      <c r="AC136" s="1355" t="s">
        <v>50</v>
      </c>
      <c r="AD136" s="1355" t="s">
        <v>50</v>
      </c>
      <c r="AE136" s="1355"/>
      <c r="AF136" s="1355"/>
      <c r="AG136" s="1355" t="s">
        <v>0</v>
      </c>
      <c r="AH136" s="1"/>
      <c r="AJ136" s="638">
        <v>136</v>
      </c>
      <c r="AK136" s="638"/>
      <c r="AL136" s="638">
        <f t="shared" ref="AL136:AL137" si="7">IF(AJ136="","",SUM(AJ136:AK136))</f>
        <v>136</v>
      </c>
      <c r="AM136" s="639">
        <f t="shared" ref="AM136:AM137" si="8">IF(AJ136="","",AL136-_xlfn.SINGLE(NormTid))</f>
        <v>-24.330000000000013</v>
      </c>
      <c r="AN136" s="639">
        <f>IF(AM136="","",AM136+'Maj 2024'!AN137)</f>
        <v>-24.330000000000013</v>
      </c>
    </row>
    <row r="137" spans="1:40" ht="18" customHeight="1" x14ac:dyDescent="0.2">
      <c r="B137" s="863" t="s">
        <v>0</v>
      </c>
      <c r="C137" s="636" t="s">
        <v>163</v>
      </c>
      <c r="D137" s="636" t="s">
        <v>164</v>
      </c>
      <c r="E137" s="636" t="s">
        <v>50</v>
      </c>
      <c r="F137" s="636" t="s">
        <v>50</v>
      </c>
      <c r="G137" s="636" t="s">
        <v>50</v>
      </c>
      <c r="H137" s="636" t="s">
        <v>50</v>
      </c>
      <c r="I137" s="636" t="s">
        <v>50</v>
      </c>
      <c r="J137" s="636"/>
      <c r="K137" s="636"/>
      <c r="L137" s="1348" t="s">
        <v>162</v>
      </c>
      <c r="M137" s="1348" t="s">
        <v>162</v>
      </c>
      <c r="N137" s="1348" t="s">
        <v>162</v>
      </c>
      <c r="O137" s="1348" t="s">
        <v>162</v>
      </c>
      <c r="P137" s="1348" t="s">
        <v>162</v>
      </c>
      <c r="Q137" s="636" t="s">
        <v>163</v>
      </c>
      <c r="R137" s="636" t="s">
        <v>164</v>
      </c>
      <c r="S137" s="636" t="s">
        <v>50</v>
      </c>
      <c r="T137" s="636" t="s">
        <v>50</v>
      </c>
      <c r="U137" s="636" t="s">
        <v>50</v>
      </c>
      <c r="V137" s="636" t="s">
        <v>50</v>
      </c>
      <c r="W137" s="636" t="s">
        <v>50</v>
      </c>
      <c r="X137" s="636"/>
      <c r="Y137" s="636"/>
      <c r="Z137" s="1348" t="s">
        <v>162</v>
      </c>
      <c r="AA137" s="1348" t="s">
        <v>162</v>
      </c>
      <c r="AB137" s="1348" t="s">
        <v>162</v>
      </c>
      <c r="AC137" s="1348" t="s">
        <v>162</v>
      </c>
      <c r="AD137" s="1348" t="s">
        <v>162</v>
      </c>
      <c r="AE137" s="636" t="s">
        <v>163</v>
      </c>
      <c r="AF137" s="636" t="s">
        <v>164</v>
      </c>
      <c r="AG137" s="636" t="s">
        <v>0</v>
      </c>
      <c r="AH137" s="1"/>
      <c r="AJ137" s="638">
        <f t="shared" ref="AJ137" si="9">$AJ$12</f>
        <v>160.33000000000001</v>
      </c>
      <c r="AK137" s="638"/>
      <c r="AL137" s="638">
        <f t="shared" si="7"/>
        <v>160.33000000000001</v>
      </c>
      <c r="AM137" s="639">
        <f t="shared" si="8"/>
        <v>0</v>
      </c>
      <c r="AN137" s="639">
        <f>IF(AM137="","",AM137+'Maj 2024'!AN138)</f>
        <v>0</v>
      </c>
    </row>
    <row r="138" spans="1:40" ht="18" customHeight="1" thickBot="1" x14ac:dyDescent="0.25">
      <c r="B138" s="864" t="s">
        <v>0</v>
      </c>
      <c r="C138" s="1363" t="s">
        <v>150</v>
      </c>
      <c r="D138" s="1363" t="s">
        <v>71</v>
      </c>
      <c r="E138" s="1363" t="s">
        <v>50</v>
      </c>
      <c r="F138" s="1363" t="s">
        <v>50</v>
      </c>
      <c r="G138" s="1363" t="s">
        <v>50</v>
      </c>
      <c r="H138" s="1363" t="s">
        <v>50</v>
      </c>
      <c r="I138" s="1363" t="s">
        <v>149</v>
      </c>
      <c r="J138" s="1363" t="s">
        <v>150</v>
      </c>
      <c r="K138" s="1363" t="s">
        <v>71</v>
      </c>
      <c r="L138" s="1363" t="s">
        <v>50</v>
      </c>
      <c r="M138" s="1363" t="s">
        <v>50</v>
      </c>
      <c r="N138" s="1363" t="s">
        <v>50</v>
      </c>
      <c r="O138" s="1363" t="s">
        <v>50</v>
      </c>
      <c r="P138" s="1363" t="s">
        <v>149</v>
      </c>
      <c r="Q138" s="1363" t="s">
        <v>150</v>
      </c>
      <c r="R138" s="1363" t="s">
        <v>71</v>
      </c>
      <c r="S138" s="1363" t="s">
        <v>50</v>
      </c>
      <c r="T138" s="1363" t="s">
        <v>50</v>
      </c>
      <c r="U138" s="1363" t="s">
        <v>50</v>
      </c>
      <c r="V138" s="1363" t="s">
        <v>50</v>
      </c>
      <c r="W138" s="1363" t="s">
        <v>149</v>
      </c>
      <c r="X138" s="1363" t="s">
        <v>150</v>
      </c>
      <c r="Y138" s="1363" t="s">
        <v>71</v>
      </c>
      <c r="Z138" s="1363" t="s">
        <v>50</v>
      </c>
      <c r="AA138" s="1363" t="s">
        <v>50</v>
      </c>
      <c r="AB138" s="1363" t="s">
        <v>50</v>
      </c>
      <c r="AC138" s="1363" t="s">
        <v>50</v>
      </c>
      <c r="AD138" s="1363" t="s">
        <v>149</v>
      </c>
      <c r="AE138" s="1363" t="s">
        <v>150</v>
      </c>
      <c r="AF138" s="1363" t="s">
        <v>71</v>
      </c>
      <c r="AG138" s="1363" t="s">
        <v>0</v>
      </c>
      <c r="AH138" s="1"/>
      <c r="AJ138" s="123"/>
      <c r="AK138" s="123"/>
      <c r="AL138" s="123"/>
      <c r="AM138" s="215"/>
      <c r="AN138" s="215"/>
    </row>
    <row r="139" spans="1:40" ht="18" customHeight="1" x14ac:dyDescent="0.2">
      <c r="B139" s="127"/>
      <c r="C139" s="128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28"/>
      <c r="AH139" s="1"/>
    </row>
    <row r="140" spans="1:40" ht="18" customHeight="1" thickBot="1" x14ac:dyDescent="0.25">
      <c r="A140" s="107" t="s">
        <v>232</v>
      </c>
    </row>
    <row r="141" spans="1:40" ht="18" customHeight="1" thickBot="1" x14ac:dyDescent="0.25">
      <c r="B141" s="1392" t="s">
        <v>233</v>
      </c>
      <c r="C141" s="1393"/>
      <c r="D141" s="1227" t="s">
        <v>17</v>
      </c>
      <c r="E141" s="1227"/>
      <c r="F141" s="382"/>
      <c r="G141" s="1393"/>
      <c r="H141" s="1227" t="s">
        <v>18</v>
      </c>
      <c r="I141" s="1227"/>
      <c r="J141" s="382"/>
      <c r="K141" s="1393"/>
      <c r="L141" s="1227" t="s">
        <v>19</v>
      </c>
      <c r="M141" s="1227"/>
      <c r="N141" s="382"/>
      <c r="O141" s="1393"/>
      <c r="P141" s="1227" t="s">
        <v>20</v>
      </c>
      <c r="Q141" s="1227"/>
      <c r="R141" s="382"/>
      <c r="S141" s="1393"/>
      <c r="T141" s="1227" t="s">
        <v>21</v>
      </c>
      <c r="U141" s="1227"/>
      <c r="V141" s="382"/>
      <c r="W141" s="1393"/>
      <c r="X141" s="1227" t="s">
        <v>22</v>
      </c>
      <c r="Y141" s="1227"/>
      <c r="Z141" s="382"/>
      <c r="AA141" s="1393"/>
      <c r="AB141" s="1227" t="s">
        <v>23</v>
      </c>
      <c r="AC141" s="1227"/>
      <c r="AD141" s="1227"/>
      <c r="AE141" s="1227" t="s">
        <v>234</v>
      </c>
      <c r="AF141" s="1227"/>
      <c r="AG141" s="1227"/>
      <c r="AH141" s="1227"/>
      <c r="AI141" s="1394"/>
    </row>
    <row r="142" spans="1:40" ht="18" customHeight="1" x14ac:dyDescent="0.2">
      <c r="B142" s="383" t="s">
        <v>235</v>
      </c>
      <c r="C142" s="1369" t="s">
        <v>10</v>
      </c>
      <c r="D142" s="1227"/>
      <c r="E142" s="1231"/>
      <c r="F142" s="405"/>
      <c r="G142" s="1369" t="s">
        <v>10</v>
      </c>
      <c r="H142" s="1395"/>
      <c r="I142" s="1231"/>
      <c r="J142" s="405"/>
      <c r="K142" s="406" t="s">
        <v>10</v>
      </c>
      <c r="L142" s="1227"/>
      <c r="M142" s="1227"/>
      <c r="N142" s="382"/>
      <c r="O142" s="406" t="s">
        <v>10</v>
      </c>
      <c r="P142" s="1396"/>
      <c r="Q142" s="1231"/>
      <c r="R142" s="405"/>
      <c r="S142" s="1369" t="s">
        <v>10</v>
      </c>
      <c r="T142" s="1231"/>
      <c r="U142" s="1231"/>
      <c r="V142" s="1231"/>
      <c r="W142" s="1397"/>
      <c r="X142" s="1398"/>
      <c r="Y142" s="1398"/>
      <c r="Z142" s="1399"/>
      <c r="AA142" s="1231"/>
      <c r="AB142" s="1231"/>
      <c r="AC142" s="1231"/>
      <c r="AD142" s="1231"/>
      <c r="AE142" s="1400">
        <v>37</v>
      </c>
      <c r="AF142" s="1227"/>
      <c r="AG142" s="1231"/>
      <c r="AH142" s="1231"/>
      <c r="AI142" s="1232"/>
    </row>
    <row r="143" spans="1:40" ht="18" customHeight="1" x14ac:dyDescent="0.2">
      <c r="B143" s="1401" t="s">
        <v>236</v>
      </c>
      <c r="C143" s="1372" t="s">
        <v>237</v>
      </c>
      <c r="D143" s="1121"/>
      <c r="E143" s="1121"/>
      <c r="F143" s="1237"/>
      <c r="G143" s="1372" t="s">
        <v>238</v>
      </c>
      <c r="H143" s="1244"/>
      <c r="I143" s="1121"/>
      <c r="J143" s="1237"/>
      <c r="K143" s="1372" t="s">
        <v>239</v>
      </c>
      <c r="L143" s="1244" t="s">
        <v>240</v>
      </c>
      <c r="M143" s="1121"/>
      <c r="N143" s="1237"/>
      <c r="O143" s="1372" t="s">
        <v>239</v>
      </c>
      <c r="P143" s="1244" t="s">
        <v>240</v>
      </c>
      <c r="Q143" s="1121"/>
      <c r="R143" s="1237"/>
      <c r="S143" s="1372" t="s">
        <v>241</v>
      </c>
      <c r="T143" s="1121"/>
      <c r="U143" s="1121"/>
      <c r="V143" s="1237"/>
      <c r="W143" s="457" t="s">
        <v>143</v>
      </c>
      <c r="X143" s="875" t="s">
        <v>242</v>
      </c>
      <c r="Y143" s="467"/>
      <c r="Z143" s="467"/>
      <c r="AA143" s="1402" t="s">
        <v>143</v>
      </c>
      <c r="AB143" s="1244" t="s">
        <v>242</v>
      </c>
      <c r="AC143" s="1402"/>
      <c r="AD143" s="1402"/>
      <c r="AE143" s="1402">
        <v>68</v>
      </c>
      <c r="AF143" s="1121"/>
      <c r="AG143" s="1121"/>
      <c r="AH143" s="1121"/>
      <c r="AI143" s="1403"/>
    </row>
    <row r="144" spans="1:40" ht="18" customHeight="1" x14ac:dyDescent="0.2">
      <c r="B144" s="1401" t="s">
        <v>243</v>
      </c>
      <c r="C144" s="1404" t="s">
        <v>244</v>
      </c>
      <c r="D144" s="1121"/>
      <c r="E144" s="1121"/>
      <c r="F144" s="1237"/>
      <c r="G144" s="1244" t="s">
        <v>244</v>
      </c>
      <c r="H144" s="1244"/>
      <c r="I144" s="1121"/>
      <c r="J144" s="1237"/>
      <c r="K144" s="1244" t="s">
        <v>244</v>
      </c>
      <c r="L144" s="1121"/>
      <c r="M144" s="1121"/>
      <c r="N144" s="1237"/>
      <c r="O144" s="1244" t="s">
        <v>244</v>
      </c>
      <c r="P144" s="1244"/>
      <c r="Q144" s="1121"/>
      <c r="R144" s="1237"/>
      <c r="S144" s="1244" t="s">
        <v>244</v>
      </c>
      <c r="T144" s="1121"/>
      <c r="U144" s="1121"/>
      <c r="V144" s="1237"/>
      <c r="W144" s="1402"/>
      <c r="X144" s="1121"/>
      <c r="Y144" s="1121"/>
      <c r="Z144" s="1237"/>
      <c r="AA144" s="1402"/>
      <c r="AB144" s="1121"/>
      <c r="AC144" s="1121"/>
      <c r="AD144" s="1121"/>
      <c r="AE144" s="1402">
        <v>0</v>
      </c>
      <c r="AF144" s="1121"/>
      <c r="AG144" s="1121"/>
      <c r="AH144" s="1121"/>
      <c r="AI144" s="1403"/>
    </row>
    <row r="145" spans="1:35" ht="18" customHeight="1" thickBot="1" x14ac:dyDescent="0.25">
      <c r="B145" s="1405" t="s">
        <v>245</v>
      </c>
      <c r="C145" s="1406" t="s">
        <v>10</v>
      </c>
      <c r="D145" s="199"/>
      <c r="E145" s="1247"/>
      <c r="F145" s="1249"/>
      <c r="G145" s="1406" t="s">
        <v>10</v>
      </c>
      <c r="H145" s="201"/>
      <c r="I145" s="1247"/>
      <c r="J145" s="1249"/>
      <c r="K145" s="1406" t="s">
        <v>10</v>
      </c>
      <c r="L145" s="199"/>
      <c r="M145" s="1247"/>
      <c r="N145" s="1249"/>
      <c r="O145" s="1406" t="s">
        <v>10</v>
      </c>
      <c r="P145" s="1251"/>
      <c r="Q145" s="1247"/>
      <c r="R145" s="1249"/>
      <c r="S145" s="1406" t="s">
        <v>10</v>
      </c>
      <c r="T145" s="1247"/>
      <c r="U145" s="1247"/>
      <c r="V145" s="1247"/>
      <c r="W145" s="1407"/>
      <c r="X145" s="1247"/>
      <c r="Y145" s="1247"/>
      <c r="Z145" s="1408"/>
      <c r="AA145" s="1247"/>
      <c r="AB145" s="1247"/>
      <c r="AC145" s="1247"/>
      <c r="AD145" s="1247"/>
      <c r="AE145" s="1374">
        <v>37</v>
      </c>
      <c r="AF145" s="1247"/>
      <c r="AG145" s="1247"/>
      <c r="AH145" s="1247"/>
      <c r="AI145" s="1254"/>
    </row>
    <row r="146" spans="1:35" ht="18" customHeight="1" thickBot="1" x14ac:dyDescent="0.25">
      <c r="D146" s="467"/>
    </row>
    <row r="147" spans="1:35" ht="18" customHeight="1" thickBot="1" x14ac:dyDescent="0.25">
      <c r="A147" s="1130"/>
      <c r="B147" s="1130" t="s">
        <v>44</v>
      </c>
      <c r="C147" s="1154">
        <v>1</v>
      </c>
      <c r="D147" s="1154">
        <v>2</v>
      </c>
      <c r="E147" s="1155">
        <v>3</v>
      </c>
      <c r="F147" s="1155">
        <v>4</v>
      </c>
      <c r="G147" s="1154">
        <v>5</v>
      </c>
      <c r="H147" s="1155">
        <v>6</v>
      </c>
      <c r="I147" s="1155">
        <v>7</v>
      </c>
      <c r="J147" s="1154">
        <v>8</v>
      </c>
      <c r="K147" s="1154">
        <v>9</v>
      </c>
      <c r="L147" s="1155">
        <v>10</v>
      </c>
      <c r="M147" s="1155">
        <v>11</v>
      </c>
      <c r="N147" s="1155">
        <v>12</v>
      </c>
      <c r="O147" s="1155">
        <v>13</v>
      </c>
      <c r="P147" s="1155">
        <v>14</v>
      </c>
      <c r="Q147" s="1154">
        <v>15</v>
      </c>
      <c r="R147" s="1154">
        <v>16</v>
      </c>
      <c r="S147" s="1155">
        <v>17</v>
      </c>
      <c r="T147" s="1155">
        <v>18</v>
      </c>
      <c r="U147" s="1155">
        <v>19</v>
      </c>
      <c r="V147" s="1155">
        <v>20</v>
      </c>
      <c r="W147" s="1155">
        <v>21</v>
      </c>
      <c r="X147" s="1154">
        <v>22</v>
      </c>
      <c r="Y147" s="1154">
        <v>23</v>
      </c>
      <c r="Z147" s="1155">
        <v>24</v>
      </c>
      <c r="AA147" s="1155">
        <v>25</v>
      </c>
      <c r="AB147" s="1155">
        <v>26</v>
      </c>
      <c r="AC147" s="1155">
        <v>27</v>
      </c>
      <c r="AD147" s="1155">
        <v>28</v>
      </c>
      <c r="AE147" s="1154">
        <v>29</v>
      </c>
      <c r="AF147" s="1154">
        <v>30</v>
      </c>
      <c r="AG147" s="1353"/>
      <c r="AH147" s="110"/>
      <c r="AI147" s="111"/>
    </row>
    <row r="148" spans="1:35" ht="18" customHeight="1" x14ac:dyDescent="0.2">
      <c r="A148" s="1409">
        <v>1</v>
      </c>
      <c r="B148" s="1410" t="s">
        <v>246</v>
      </c>
      <c r="C148" s="1411"/>
      <c r="D148" s="1411"/>
      <c r="E148" s="1411" t="s">
        <v>172</v>
      </c>
      <c r="F148" s="1411" t="s">
        <v>172</v>
      </c>
      <c r="G148" s="1412"/>
      <c r="H148" s="1411" t="s">
        <v>172</v>
      </c>
      <c r="I148" s="1411" t="s">
        <v>172</v>
      </c>
      <c r="J148" s="1411"/>
      <c r="K148" s="1411"/>
      <c r="L148" s="1411" t="s">
        <v>172</v>
      </c>
      <c r="M148" s="1411" t="s">
        <v>172</v>
      </c>
      <c r="N148" s="1411" t="s">
        <v>172</v>
      </c>
      <c r="O148" s="1411" t="s">
        <v>172</v>
      </c>
      <c r="P148" s="1411" t="s">
        <v>172</v>
      </c>
      <c r="Q148" s="1413"/>
      <c r="R148" s="1413"/>
      <c r="S148" s="1411" t="s">
        <v>142</v>
      </c>
      <c r="T148" s="1411" t="s">
        <v>142</v>
      </c>
      <c r="U148" s="1411" t="s">
        <v>142</v>
      </c>
      <c r="V148" s="1411" t="s">
        <v>142</v>
      </c>
      <c r="W148" s="1411" t="s">
        <v>142</v>
      </c>
      <c r="X148" s="1411" t="s">
        <v>143</v>
      </c>
      <c r="Y148" s="1411" t="s">
        <v>143</v>
      </c>
      <c r="Z148" s="1411" t="s">
        <v>50</v>
      </c>
      <c r="AA148" s="1411" t="s">
        <v>50</v>
      </c>
      <c r="AB148" s="1411" t="s">
        <v>50</v>
      </c>
      <c r="AC148" s="1411" t="s">
        <v>50</v>
      </c>
      <c r="AD148" s="1411" t="s">
        <v>50</v>
      </c>
      <c r="AE148" s="1411"/>
      <c r="AF148" s="1411"/>
      <c r="AG148" s="1414"/>
      <c r="AH148" s="115"/>
      <c r="AI148" s="116"/>
    </row>
    <row r="149" spans="1:35" ht="18" customHeight="1" x14ac:dyDescent="0.2">
      <c r="A149" s="1415">
        <v>2</v>
      </c>
      <c r="B149" s="1416" t="s">
        <v>170</v>
      </c>
      <c r="C149" s="1333" t="s">
        <v>143</v>
      </c>
      <c r="D149" s="1174" t="s">
        <v>143</v>
      </c>
      <c r="E149" s="1185" t="s">
        <v>50</v>
      </c>
      <c r="F149" s="1185" t="s">
        <v>50</v>
      </c>
      <c r="G149" s="1185" t="s">
        <v>50</v>
      </c>
      <c r="H149" s="1185" t="s">
        <v>50</v>
      </c>
      <c r="I149" s="1185" t="s">
        <v>50</v>
      </c>
      <c r="J149" s="1185"/>
      <c r="K149" s="1185"/>
      <c r="L149" s="1185" t="s">
        <v>172</v>
      </c>
      <c r="M149" s="1185" t="s">
        <v>172</v>
      </c>
      <c r="N149" s="1185" t="s">
        <v>172</v>
      </c>
      <c r="O149" s="1185" t="s">
        <v>172</v>
      </c>
      <c r="P149" s="1185" t="s">
        <v>172</v>
      </c>
      <c r="Q149" s="1185"/>
      <c r="R149" s="1185"/>
      <c r="S149" s="1174" t="s">
        <v>172</v>
      </c>
      <c r="T149" s="1174" t="s">
        <v>172</v>
      </c>
      <c r="U149" s="1174" t="s">
        <v>172</v>
      </c>
      <c r="V149" s="1333" t="s">
        <v>172</v>
      </c>
      <c r="W149" s="1333" t="s">
        <v>172</v>
      </c>
      <c r="X149" s="1174"/>
      <c r="Y149" s="1174"/>
      <c r="Z149" s="1174" t="s">
        <v>142</v>
      </c>
      <c r="AA149" s="1174" t="s">
        <v>142</v>
      </c>
      <c r="AB149" s="1174" t="s">
        <v>142</v>
      </c>
      <c r="AC149" s="1174" t="s">
        <v>142</v>
      </c>
      <c r="AD149" s="1174" t="s">
        <v>142</v>
      </c>
      <c r="AE149" s="1333" t="s">
        <v>143</v>
      </c>
      <c r="AF149" s="1174" t="s">
        <v>143</v>
      </c>
      <c r="AG149" s="1177"/>
      <c r="AH149" s="115"/>
      <c r="AI149" s="116"/>
    </row>
    <row r="150" spans="1:35" ht="18" customHeight="1" x14ac:dyDescent="0.2">
      <c r="A150" s="1415">
        <v>3</v>
      </c>
      <c r="B150" s="1416" t="s">
        <v>167</v>
      </c>
      <c r="C150" s="1174"/>
      <c r="D150" s="1333"/>
      <c r="E150" s="1174" t="s">
        <v>142</v>
      </c>
      <c r="F150" s="1174" t="s">
        <v>142</v>
      </c>
      <c r="G150" s="1174" t="s">
        <v>143</v>
      </c>
      <c r="H150" s="1174" t="s">
        <v>142</v>
      </c>
      <c r="I150" s="1174" t="s">
        <v>142</v>
      </c>
      <c r="J150" s="1174" t="s">
        <v>143</v>
      </c>
      <c r="K150" s="1174" t="s">
        <v>143</v>
      </c>
      <c r="L150" s="1174" t="s">
        <v>50</v>
      </c>
      <c r="M150" s="1174" t="s">
        <v>50</v>
      </c>
      <c r="N150" s="1174" t="s">
        <v>50</v>
      </c>
      <c r="O150" s="1174" t="s">
        <v>50</v>
      </c>
      <c r="P150" s="1174" t="s">
        <v>50</v>
      </c>
      <c r="Q150" s="1174"/>
      <c r="R150" s="1174"/>
      <c r="S150" s="1174" t="s">
        <v>172</v>
      </c>
      <c r="T150" s="1174" t="s">
        <v>172</v>
      </c>
      <c r="U150" s="1174" t="s">
        <v>172</v>
      </c>
      <c r="V150" s="1174" t="s">
        <v>172</v>
      </c>
      <c r="W150" s="1174" t="s">
        <v>172</v>
      </c>
      <c r="X150" s="1174"/>
      <c r="Y150" s="1174"/>
      <c r="Z150" s="1174" t="s">
        <v>172</v>
      </c>
      <c r="AA150" s="1174" t="s">
        <v>172</v>
      </c>
      <c r="AB150" s="1174" t="s">
        <v>172</v>
      </c>
      <c r="AC150" s="1174" t="s">
        <v>172</v>
      </c>
      <c r="AD150" s="1174" t="s">
        <v>172</v>
      </c>
      <c r="AE150" s="1174"/>
      <c r="AF150" s="1333"/>
      <c r="AG150" s="1177"/>
      <c r="AH150" s="115"/>
      <c r="AI150" s="116"/>
    </row>
    <row r="151" spans="1:35" ht="18" customHeight="1" thickBot="1" x14ac:dyDescent="0.25">
      <c r="A151" s="1417">
        <v>4</v>
      </c>
      <c r="B151" s="1217" t="s">
        <v>246</v>
      </c>
      <c r="C151" s="1418"/>
      <c r="D151" s="1418"/>
      <c r="E151" s="1418" t="s">
        <v>172</v>
      </c>
      <c r="F151" s="1418" t="s">
        <v>172</v>
      </c>
      <c r="G151" s="1418"/>
      <c r="H151" s="1418" t="s">
        <v>172</v>
      </c>
      <c r="I151" s="1418" t="s">
        <v>172</v>
      </c>
      <c r="J151" s="1418" t="s">
        <v>0</v>
      </c>
      <c r="K151" s="1418" t="s">
        <v>0</v>
      </c>
      <c r="L151" s="1418" t="s">
        <v>142</v>
      </c>
      <c r="M151" s="1418" t="s">
        <v>142</v>
      </c>
      <c r="N151" s="1418" t="s">
        <v>142</v>
      </c>
      <c r="O151" s="1418" t="s">
        <v>142</v>
      </c>
      <c r="P151" s="1418" t="s">
        <v>142</v>
      </c>
      <c r="Q151" s="1418" t="s">
        <v>143</v>
      </c>
      <c r="R151" s="1220" t="s">
        <v>143</v>
      </c>
      <c r="S151" s="1220" t="s">
        <v>50</v>
      </c>
      <c r="T151" s="1220" t="s">
        <v>50</v>
      </c>
      <c r="U151" s="1220" t="s">
        <v>50</v>
      </c>
      <c r="V151" s="1418" t="s">
        <v>50</v>
      </c>
      <c r="W151" s="1418" t="s">
        <v>50</v>
      </c>
      <c r="X151" s="1220"/>
      <c r="Y151" s="1418"/>
      <c r="Z151" s="1220" t="s">
        <v>172</v>
      </c>
      <c r="AA151" s="1220" t="s">
        <v>172</v>
      </c>
      <c r="AB151" s="1220" t="s">
        <v>172</v>
      </c>
      <c r="AC151" s="1220" t="s">
        <v>172</v>
      </c>
      <c r="AD151" s="1220" t="s">
        <v>172</v>
      </c>
      <c r="AE151" s="1418"/>
      <c r="AF151" s="1418"/>
      <c r="AG151" s="1222"/>
      <c r="AH151" s="115"/>
      <c r="AI151" s="116"/>
    </row>
    <row r="152" spans="1:35" ht="18" customHeight="1" thickBot="1" x14ac:dyDescent="0.25">
      <c r="A152" s="129"/>
      <c r="B152" s="123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  <c r="Y152" s="130"/>
      <c r="Z152" s="130"/>
      <c r="AA152" s="130"/>
      <c r="AB152" s="130"/>
      <c r="AC152" s="130"/>
      <c r="AD152" s="130"/>
      <c r="AE152" s="130"/>
      <c r="AF152" s="130"/>
      <c r="AG152" s="131"/>
      <c r="AH152" s="132"/>
      <c r="AI152" s="116"/>
    </row>
    <row r="153" spans="1:35" ht="18" customHeight="1" x14ac:dyDescent="0.2">
      <c r="A153" s="48"/>
      <c r="B153" s="404" t="s">
        <v>247</v>
      </c>
      <c r="C153" s="1400"/>
      <c r="D153" s="1419" t="s">
        <v>17</v>
      </c>
      <c r="E153" s="1420"/>
      <c r="F153" s="1400"/>
      <c r="G153" s="1421" t="s">
        <v>18</v>
      </c>
      <c r="H153" s="405"/>
      <c r="I153" s="1422"/>
      <c r="J153" s="1421" t="s">
        <v>19</v>
      </c>
      <c r="K153" s="1423"/>
      <c r="L153" s="1422"/>
      <c r="M153" s="1424" t="s">
        <v>20</v>
      </c>
      <c r="N153" s="1423"/>
      <c r="O153" s="1422"/>
      <c r="P153" s="1421" t="s">
        <v>21</v>
      </c>
      <c r="Q153" s="1425"/>
      <c r="R153" s="1422"/>
      <c r="S153" s="1421" t="s">
        <v>22</v>
      </c>
      <c r="T153" s="1426"/>
      <c r="U153" s="1422"/>
      <c r="V153" s="1421" t="s">
        <v>23</v>
      </c>
      <c r="W153" s="1425"/>
      <c r="X153" s="1427" t="s">
        <v>234</v>
      </c>
      <c r="Y153" s="1428"/>
      <c r="Z153" s="1428"/>
      <c r="AA153" s="1429"/>
      <c r="AB153" s="406" t="s">
        <v>126</v>
      </c>
      <c r="AC153" s="407"/>
      <c r="AD153" s="407"/>
      <c r="AE153" s="408"/>
      <c r="AF153" s="408"/>
      <c r="AG153" s="409"/>
      <c r="AH153" s="132"/>
      <c r="AI153" s="116"/>
    </row>
    <row r="154" spans="1:35" ht="18" customHeight="1" x14ac:dyDescent="0.2">
      <c r="A154" s="48"/>
      <c r="B154" s="1430" t="s">
        <v>248</v>
      </c>
      <c r="C154" s="1431" t="s">
        <v>249</v>
      </c>
      <c r="D154" s="1124"/>
      <c r="E154" s="1125"/>
      <c r="F154" s="1431" t="s">
        <v>249</v>
      </c>
      <c r="G154" s="1124"/>
      <c r="H154" s="1125"/>
      <c r="I154" s="1431" t="s">
        <v>249</v>
      </c>
      <c r="J154" s="1124"/>
      <c r="K154" s="1125"/>
      <c r="L154" s="1431" t="s">
        <v>249</v>
      </c>
      <c r="M154" s="1124"/>
      <c r="N154" s="1125"/>
      <c r="O154" s="1431" t="s">
        <v>250</v>
      </c>
      <c r="P154" s="1124"/>
      <c r="Q154" s="1125"/>
      <c r="R154" s="1431"/>
      <c r="S154" s="1124"/>
      <c r="T154" s="1125"/>
      <c r="U154" s="1431"/>
      <c r="V154" s="1124"/>
      <c r="W154" s="1125"/>
      <c r="X154" s="1431"/>
      <c r="Y154" s="1432"/>
      <c r="Z154" s="1432"/>
      <c r="AA154" s="1432"/>
      <c r="AB154" s="1120"/>
      <c r="AC154" s="1432"/>
      <c r="AD154" s="1432"/>
      <c r="AE154" s="1432"/>
      <c r="AF154" s="1432"/>
      <c r="AG154" s="1433"/>
      <c r="AH154" s="132"/>
      <c r="AI154" s="116"/>
    </row>
    <row r="155" spans="1:35" ht="18" customHeight="1" thickBot="1" x14ac:dyDescent="0.25">
      <c r="A155" s="48"/>
      <c r="B155" s="4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132"/>
      <c r="AI155" s="116"/>
    </row>
    <row r="156" spans="1:35" ht="18" customHeight="1" thickBot="1" x14ac:dyDescent="0.25">
      <c r="A156" s="1434" t="s">
        <v>43</v>
      </c>
      <c r="B156" s="1256" t="s">
        <v>44</v>
      </c>
      <c r="C156" s="1154">
        <v>1</v>
      </c>
      <c r="D156" s="1154">
        <v>2</v>
      </c>
      <c r="E156" s="1155">
        <v>3</v>
      </c>
      <c r="F156" s="1155">
        <v>4</v>
      </c>
      <c r="G156" s="1154">
        <v>5</v>
      </c>
      <c r="H156" s="1155">
        <v>6</v>
      </c>
      <c r="I156" s="1155">
        <v>7</v>
      </c>
      <c r="J156" s="1154">
        <v>8</v>
      </c>
      <c r="K156" s="1154">
        <v>9</v>
      </c>
      <c r="L156" s="1155">
        <v>10</v>
      </c>
      <c r="M156" s="1155">
        <v>11</v>
      </c>
      <c r="N156" s="1155">
        <v>12</v>
      </c>
      <c r="O156" s="1155">
        <v>13</v>
      </c>
      <c r="P156" s="1155">
        <v>14</v>
      </c>
      <c r="Q156" s="1154">
        <v>15</v>
      </c>
      <c r="R156" s="1154">
        <v>16</v>
      </c>
      <c r="S156" s="1155">
        <v>17</v>
      </c>
      <c r="T156" s="1155">
        <v>18</v>
      </c>
      <c r="U156" s="1155">
        <v>19</v>
      </c>
      <c r="V156" s="1155">
        <v>20</v>
      </c>
      <c r="W156" s="1155">
        <v>21</v>
      </c>
      <c r="X156" s="1154">
        <v>22</v>
      </c>
      <c r="Y156" s="1154">
        <v>23</v>
      </c>
      <c r="Z156" s="1155">
        <v>24</v>
      </c>
      <c r="AA156" s="1155">
        <v>25</v>
      </c>
      <c r="AB156" s="1155">
        <v>26</v>
      </c>
      <c r="AC156" s="1155">
        <v>27</v>
      </c>
      <c r="AD156" s="1155">
        <v>28</v>
      </c>
      <c r="AE156" s="1154">
        <v>29</v>
      </c>
      <c r="AF156" s="1154">
        <v>30</v>
      </c>
      <c r="AG156" s="1353"/>
      <c r="AH156" s="132"/>
      <c r="AI156" s="116"/>
    </row>
    <row r="157" spans="1:35" ht="18" customHeight="1" x14ac:dyDescent="0.2">
      <c r="A157" s="1435">
        <v>8520</v>
      </c>
      <c r="B157" s="1436" t="s">
        <v>251</v>
      </c>
      <c r="C157" s="1258"/>
      <c r="D157" s="1258"/>
      <c r="E157" s="1258" t="s">
        <v>252</v>
      </c>
      <c r="F157" s="1287" t="s">
        <v>252</v>
      </c>
      <c r="G157" s="1258"/>
      <c r="H157" s="1258" t="s">
        <v>252</v>
      </c>
      <c r="I157" s="1258" t="s">
        <v>252</v>
      </c>
      <c r="J157" s="1258"/>
      <c r="K157" s="1258"/>
      <c r="L157" s="1258" t="s">
        <v>252</v>
      </c>
      <c r="M157" s="1258" t="s">
        <v>252</v>
      </c>
      <c r="N157" s="1258" t="s">
        <v>252</v>
      </c>
      <c r="O157" s="1258" t="s">
        <v>252</v>
      </c>
      <c r="P157" s="1258" t="s">
        <v>252</v>
      </c>
      <c r="Q157" s="1258"/>
      <c r="R157" s="1258"/>
      <c r="S157" s="1437" t="s">
        <v>252</v>
      </c>
      <c r="T157" s="1437" t="s">
        <v>252</v>
      </c>
      <c r="U157" s="1437" t="s">
        <v>252</v>
      </c>
      <c r="V157" s="1437" t="s">
        <v>252</v>
      </c>
      <c r="W157" s="1437" t="s">
        <v>252</v>
      </c>
      <c r="X157" s="1437"/>
      <c r="Y157" s="1437"/>
      <c r="Z157" s="1437" t="s">
        <v>252</v>
      </c>
      <c r="AA157" s="1437" t="s">
        <v>252</v>
      </c>
      <c r="AB157" s="1437" t="s">
        <v>252</v>
      </c>
      <c r="AC157" s="1437" t="s">
        <v>252</v>
      </c>
      <c r="AD157" s="1437" t="s">
        <v>252</v>
      </c>
      <c r="AE157" s="1437"/>
      <c r="AF157" s="1437"/>
      <c r="AG157" s="1210"/>
      <c r="AH157" s="132"/>
      <c r="AI157" s="116"/>
    </row>
    <row r="158" spans="1:35" ht="18" customHeight="1" x14ac:dyDescent="0.2">
      <c r="A158" s="136"/>
      <c r="B158" s="135"/>
      <c r="C158" s="128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32"/>
      <c r="AI158" s="116"/>
    </row>
    <row r="159" spans="1:35" ht="18" customHeight="1" x14ac:dyDescent="0.2">
      <c r="AH159" s="67"/>
      <c r="AI159" s="67"/>
    </row>
    <row r="160" spans="1:35" ht="18" customHeight="1" thickBot="1" x14ac:dyDescent="0.25">
      <c r="A160" s="107" t="s">
        <v>254</v>
      </c>
      <c r="B160" s="108"/>
      <c r="C160" s="108"/>
      <c r="D160" s="109"/>
      <c r="E160" s="109"/>
      <c r="F160" s="109"/>
      <c r="G160" s="65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8"/>
      <c r="AI160" s="108"/>
    </row>
    <row r="161" spans="1:36" ht="18" customHeight="1" x14ac:dyDescent="0.2">
      <c r="A161" s="107"/>
      <c r="B161" s="404" t="s">
        <v>255</v>
      </c>
      <c r="C161" s="1438"/>
      <c r="D161" s="1439" t="s">
        <v>17</v>
      </c>
      <c r="E161" s="1440"/>
      <c r="F161" s="1441"/>
      <c r="G161" s="1438"/>
      <c r="H161" s="1439" t="s">
        <v>18</v>
      </c>
      <c r="I161" s="1440"/>
      <c r="J161" s="1441"/>
      <c r="K161" s="1438"/>
      <c r="L161" s="1439" t="s">
        <v>19</v>
      </c>
      <c r="M161" s="1440"/>
      <c r="N161" s="1441"/>
      <c r="O161" s="1438"/>
      <c r="P161" s="1439" t="s">
        <v>20</v>
      </c>
      <c r="Q161" s="1440"/>
      <c r="R161" s="1441"/>
      <c r="S161" s="1438"/>
      <c r="T161" s="1439" t="s">
        <v>21</v>
      </c>
      <c r="U161" s="1440"/>
      <c r="V161" s="1441"/>
      <c r="W161" s="1438"/>
      <c r="X161" s="1439" t="s">
        <v>22</v>
      </c>
      <c r="Y161" s="1440"/>
      <c r="Z161" s="1441"/>
      <c r="AA161" s="1438"/>
      <c r="AB161" s="1439" t="s">
        <v>23</v>
      </c>
      <c r="AC161" s="1440"/>
      <c r="AD161" s="1440"/>
      <c r="AE161" s="1442" t="s">
        <v>126</v>
      </c>
      <c r="AF161" s="1440"/>
      <c r="AG161" s="1440"/>
      <c r="AH161" s="1440"/>
      <c r="AI161" s="1443"/>
    </row>
    <row r="162" spans="1:36" ht="18" customHeight="1" x14ac:dyDescent="0.2">
      <c r="A162" s="107"/>
      <c r="B162" s="1444" t="s">
        <v>235</v>
      </c>
      <c r="C162" s="1445">
        <v>69</v>
      </c>
      <c r="D162" s="1446" t="s">
        <v>256</v>
      </c>
      <c r="E162" s="1446"/>
      <c r="F162" s="1447"/>
      <c r="G162" s="1445">
        <v>69</v>
      </c>
      <c r="H162" s="1446" t="s">
        <v>256</v>
      </c>
      <c r="I162" s="1446"/>
      <c r="J162" s="1447"/>
      <c r="K162" s="1445">
        <v>69</v>
      </c>
      <c r="L162" s="1446" t="s">
        <v>256</v>
      </c>
      <c r="M162" s="1446"/>
      <c r="N162" s="1447"/>
      <c r="O162" s="1445">
        <v>69</v>
      </c>
      <c r="P162" s="1446" t="s">
        <v>256</v>
      </c>
      <c r="Q162" s="1446"/>
      <c r="R162" s="1447"/>
      <c r="S162" s="1445">
        <v>69</v>
      </c>
      <c r="T162" s="1446" t="s">
        <v>256</v>
      </c>
      <c r="U162" s="1446"/>
      <c r="V162" s="1447"/>
      <c r="W162" s="1445"/>
      <c r="X162" s="1448"/>
      <c r="Y162" s="1448"/>
      <c r="Z162" s="1449"/>
      <c r="AA162" s="1445"/>
      <c r="AB162" s="1446"/>
      <c r="AC162" s="1446"/>
      <c r="AD162" s="1302"/>
      <c r="AE162" s="1450">
        <v>35</v>
      </c>
      <c r="AF162" s="1446"/>
      <c r="AG162" s="1446"/>
      <c r="AH162" s="1302"/>
      <c r="AI162" s="1451"/>
    </row>
    <row r="163" spans="1:36" ht="18" customHeight="1" x14ac:dyDescent="0.2">
      <c r="A163" s="107"/>
      <c r="B163" s="1444" t="s">
        <v>236</v>
      </c>
      <c r="C163" s="1445">
        <v>79</v>
      </c>
      <c r="D163" s="1446" t="s">
        <v>257</v>
      </c>
      <c r="E163" s="1446"/>
      <c r="F163" s="1447"/>
      <c r="G163" s="1445">
        <v>79</v>
      </c>
      <c r="H163" s="1446" t="s">
        <v>257</v>
      </c>
      <c r="I163" s="1446"/>
      <c r="J163" s="1447"/>
      <c r="K163" s="1445">
        <v>79</v>
      </c>
      <c r="L163" s="1446" t="s">
        <v>257</v>
      </c>
      <c r="M163" s="1446"/>
      <c r="N163" s="1447"/>
      <c r="O163" s="1445">
        <v>79</v>
      </c>
      <c r="P163" s="1446" t="s">
        <v>257</v>
      </c>
      <c r="Q163" s="1446"/>
      <c r="R163" s="1447"/>
      <c r="S163" s="1445">
        <v>79</v>
      </c>
      <c r="T163" s="1446" t="s">
        <v>257</v>
      </c>
      <c r="U163" s="1446"/>
      <c r="V163" s="1447"/>
      <c r="W163" s="1445"/>
      <c r="X163" s="1446"/>
      <c r="Y163" s="1446"/>
      <c r="Z163" s="1447"/>
      <c r="AA163" s="1446"/>
      <c r="AB163" s="1446"/>
      <c r="AC163" s="1446"/>
      <c r="AD163" s="1302"/>
      <c r="AE163" s="1450">
        <v>40</v>
      </c>
      <c r="AF163" s="1446"/>
      <c r="AG163" s="1446"/>
      <c r="AH163" s="1302"/>
      <c r="AI163" s="1451"/>
    </row>
    <row r="164" spans="1:36" ht="18" customHeight="1" x14ac:dyDescent="0.2">
      <c r="A164" s="107"/>
      <c r="B164" s="1444" t="s">
        <v>243</v>
      </c>
      <c r="C164" s="1445">
        <v>89</v>
      </c>
      <c r="D164" s="1446" t="s">
        <v>258</v>
      </c>
      <c r="E164" s="1446"/>
      <c r="F164" s="1447"/>
      <c r="G164" s="1445">
        <v>89</v>
      </c>
      <c r="H164" s="1446" t="s">
        <v>258</v>
      </c>
      <c r="I164" s="1446"/>
      <c r="J164" s="1447"/>
      <c r="K164" s="1445">
        <v>89</v>
      </c>
      <c r="L164" s="1446" t="s">
        <v>258</v>
      </c>
      <c r="M164" s="1446"/>
      <c r="N164" s="1447"/>
      <c r="O164" s="1445">
        <v>89</v>
      </c>
      <c r="P164" s="1446" t="s">
        <v>258</v>
      </c>
      <c r="Q164" s="1446"/>
      <c r="R164" s="1447"/>
      <c r="S164" s="1445">
        <v>89</v>
      </c>
      <c r="T164" s="1446" t="s">
        <v>259</v>
      </c>
      <c r="U164" s="1446"/>
      <c r="V164" s="1447"/>
      <c r="W164" s="1452"/>
      <c r="X164" s="1453" t="s">
        <v>260</v>
      </c>
      <c r="Y164" s="1453"/>
      <c r="Z164" s="1454"/>
      <c r="AA164" s="1452"/>
      <c r="AB164" s="1453"/>
      <c r="AC164" s="1453"/>
      <c r="AD164" s="1304"/>
      <c r="AE164" s="1450">
        <v>44</v>
      </c>
      <c r="AF164" s="1446"/>
      <c r="AG164" s="1446"/>
      <c r="AH164" s="1302"/>
      <c r="AI164" s="1451"/>
    </row>
    <row r="165" spans="1:36" ht="18" customHeight="1" x14ac:dyDescent="0.2">
      <c r="A165" s="107"/>
      <c r="B165" s="19" t="s">
        <v>245</v>
      </c>
      <c r="C165" s="1452">
        <v>99</v>
      </c>
      <c r="D165" s="1453" t="s">
        <v>261</v>
      </c>
      <c r="E165" s="1453"/>
      <c r="F165" s="1454"/>
      <c r="G165" s="1452">
        <v>99</v>
      </c>
      <c r="H165" s="1453" t="s">
        <v>261</v>
      </c>
      <c r="I165" s="1453"/>
      <c r="J165" s="1454"/>
      <c r="K165" s="1452">
        <v>99</v>
      </c>
      <c r="L165" s="1453" t="s">
        <v>261</v>
      </c>
      <c r="M165" s="1453"/>
      <c r="N165" s="1454"/>
      <c r="O165" s="1452">
        <v>99</v>
      </c>
      <c r="P165" s="1453" t="s">
        <v>261</v>
      </c>
      <c r="Q165" s="1453"/>
      <c r="R165" s="1454"/>
      <c r="S165" s="1452">
        <v>99</v>
      </c>
      <c r="T165" s="1453" t="s">
        <v>244</v>
      </c>
      <c r="U165" s="1453"/>
      <c r="V165" s="1304"/>
      <c r="W165" s="1303"/>
      <c r="X165" s="1304"/>
      <c r="Y165" s="1453"/>
      <c r="Z165" s="1454"/>
      <c r="AA165" s="1303"/>
      <c r="AB165" s="1304"/>
      <c r="AC165" s="1453"/>
      <c r="AD165" s="1454"/>
      <c r="AE165" s="1455">
        <v>28</v>
      </c>
      <c r="AF165" s="1453"/>
      <c r="AG165" s="1453"/>
      <c r="AH165" s="1304"/>
      <c r="AI165" s="1456"/>
    </row>
    <row r="166" spans="1:36" ht="18" customHeight="1" thickBot="1" x14ac:dyDescent="0.25">
      <c r="A166" s="107"/>
      <c r="B166" s="1457" t="s">
        <v>262</v>
      </c>
      <c r="C166" s="1458" t="s">
        <v>77</v>
      </c>
      <c r="D166" s="1459" t="s">
        <v>263</v>
      </c>
      <c r="E166" s="1460"/>
      <c r="F166" s="1249"/>
      <c r="G166" s="1458" t="s">
        <v>77</v>
      </c>
      <c r="H166" s="1459" t="s">
        <v>263</v>
      </c>
      <c r="I166" s="1247"/>
      <c r="J166" s="1460"/>
      <c r="K166" s="1458" t="s">
        <v>77</v>
      </c>
      <c r="L166" s="1459" t="s">
        <v>263</v>
      </c>
      <c r="M166" s="1460"/>
      <c r="N166" s="1461"/>
      <c r="O166" s="1458" t="s">
        <v>77</v>
      </c>
      <c r="P166" s="1459" t="s">
        <v>263</v>
      </c>
      <c r="Q166" s="1460"/>
      <c r="R166" s="1459"/>
      <c r="S166" s="1458" t="s">
        <v>77</v>
      </c>
      <c r="T166" s="1251" t="s">
        <v>264</v>
      </c>
      <c r="U166" s="1459"/>
      <c r="V166" s="1461"/>
      <c r="W166" s="1460"/>
      <c r="X166" s="1459"/>
      <c r="Y166" s="1459"/>
      <c r="Z166" s="1459"/>
      <c r="AA166" s="1462"/>
      <c r="AB166" s="1463"/>
      <c r="AC166" s="1459"/>
      <c r="AD166" s="1464"/>
      <c r="AE166" s="1459"/>
      <c r="AF166" s="1459"/>
      <c r="AG166" s="1459"/>
      <c r="AH166" s="1465"/>
      <c r="AI166" s="1456"/>
    </row>
    <row r="167" spans="1:36" ht="18" customHeight="1" thickBot="1" x14ac:dyDescent="0.25">
      <c r="A167" s="68"/>
      <c r="B167" s="107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8"/>
      <c r="AI167" s="280"/>
      <c r="AJ167" s="123"/>
    </row>
    <row r="168" spans="1:36" ht="18" customHeight="1" thickBot="1" x14ac:dyDescent="0.25">
      <c r="A168" s="1434"/>
      <c r="B168" s="1256" t="s">
        <v>44</v>
      </c>
      <c r="C168" s="1154">
        <v>1</v>
      </c>
      <c r="D168" s="1154">
        <v>2</v>
      </c>
      <c r="E168" s="1155">
        <v>3</v>
      </c>
      <c r="F168" s="1155">
        <v>4</v>
      </c>
      <c r="G168" s="1154">
        <v>5</v>
      </c>
      <c r="H168" s="1155">
        <v>6</v>
      </c>
      <c r="I168" s="1155">
        <v>7</v>
      </c>
      <c r="J168" s="1154">
        <v>8</v>
      </c>
      <c r="K168" s="1154">
        <v>9</v>
      </c>
      <c r="L168" s="1155">
        <v>10</v>
      </c>
      <c r="M168" s="1155">
        <v>11</v>
      </c>
      <c r="N168" s="1155">
        <v>12</v>
      </c>
      <c r="O168" s="1155">
        <v>13</v>
      </c>
      <c r="P168" s="1155">
        <v>14</v>
      </c>
      <c r="Q168" s="1154">
        <v>15</v>
      </c>
      <c r="R168" s="1154">
        <v>16</v>
      </c>
      <c r="S168" s="1155">
        <v>17</v>
      </c>
      <c r="T168" s="1155">
        <v>18</v>
      </c>
      <c r="U168" s="1155">
        <v>19</v>
      </c>
      <c r="V168" s="1155">
        <v>20</v>
      </c>
      <c r="W168" s="1155">
        <v>21</v>
      </c>
      <c r="X168" s="1154">
        <v>22</v>
      </c>
      <c r="Y168" s="1154">
        <v>23</v>
      </c>
      <c r="Z168" s="1155">
        <v>24</v>
      </c>
      <c r="AA168" s="1155">
        <v>25</v>
      </c>
      <c r="AB168" s="1155">
        <v>26</v>
      </c>
      <c r="AC168" s="1155">
        <v>27</v>
      </c>
      <c r="AD168" s="1155">
        <v>28</v>
      </c>
      <c r="AE168" s="1154">
        <v>29</v>
      </c>
      <c r="AF168" s="1154">
        <v>30</v>
      </c>
      <c r="AG168" s="1353"/>
      <c r="AH168" s="110"/>
      <c r="AI168" s="210"/>
      <c r="AJ168" s="123"/>
    </row>
    <row r="169" spans="1:36" ht="18" customHeight="1" x14ac:dyDescent="0.2">
      <c r="A169" s="1409">
        <v>1</v>
      </c>
      <c r="B169" s="1466" t="s">
        <v>265</v>
      </c>
      <c r="C169" s="1437">
        <v>89</v>
      </c>
      <c r="D169" s="1437"/>
      <c r="E169" s="1437">
        <v>99</v>
      </c>
      <c r="F169" s="1437">
        <v>99</v>
      </c>
      <c r="G169" s="1437"/>
      <c r="H169" s="1437">
        <v>99</v>
      </c>
      <c r="I169" s="1437" t="s">
        <v>50</v>
      </c>
      <c r="J169" s="1437"/>
      <c r="K169" s="1437"/>
      <c r="L169" s="1437" t="s">
        <v>77</v>
      </c>
      <c r="M169" s="1437" t="s">
        <v>77</v>
      </c>
      <c r="N169" s="1437" t="s">
        <v>77</v>
      </c>
      <c r="O169" s="1437" t="s">
        <v>77</v>
      </c>
      <c r="P169" s="1437" t="s">
        <v>77</v>
      </c>
      <c r="Q169" s="1437"/>
      <c r="R169" s="1437"/>
      <c r="S169" s="1411">
        <v>69</v>
      </c>
      <c r="T169" s="1411">
        <v>69</v>
      </c>
      <c r="U169" s="1467">
        <v>69</v>
      </c>
      <c r="V169" s="1263">
        <v>69</v>
      </c>
      <c r="W169" s="1467">
        <v>69</v>
      </c>
      <c r="X169" s="1467"/>
      <c r="Y169" s="1467"/>
      <c r="Z169" s="1467">
        <v>79</v>
      </c>
      <c r="AA169" s="1468">
        <v>79</v>
      </c>
      <c r="AB169" s="1469">
        <v>79</v>
      </c>
      <c r="AC169" s="1467">
        <v>79</v>
      </c>
      <c r="AD169" s="1467">
        <v>79</v>
      </c>
      <c r="AE169" s="1467"/>
      <c r="AF169" s="1470"/>
      <c r="AG169" s="1471"/>
      <c r="AH169" s="124"/>
      <c r="AI169" s="124"/>
      <c r="AJ169" s="123"/>
    </row>
    <row r="170" spans="1:36" ht="18" customHeight="1" thickBot="1" x14ac:dyDescent="0.25">
      <c r="A170" s="1415">
        <v>2</v>
      </c>
      <c r="B170" s="1472" t="s">
        <v>266</v>
      </c>
      <c r="C170" s="1182"/>
      <c r="D170" s="1174"/>
      <c r="E170" s="1182" t="s">
        <v>77</v>
      </c>
      <c r="F170" s="1182" t="s">
        <v>77</v>
      </c>
      <c r="G170" s="1182"/>
      <c r="H170" s="1223" t="s">
        <v>77</v>
      </c>
      <c r="I170" s="1179" t="s">
        <v>77</v>
      </c>
      <c r="J170" s="1223"/>
      <c r="K170" s="1223"/>
      <c r="L170" s="1174">
        <v>69</v>
      </c>
      <c r="M170" s="1174">
        <v>69</v>
      </c>
      <c r="N170" s="1223">
        <v>69</v>
      </c>
      <c r="O170" s="1223">
        <v>69</v>
      </c>
      <c r="P170" s="1223">
        <v>69</v>
      </c>
      <c r="Q170" s="1223"/>
      <c r="R170" s="1179"/>
      <c r="S170" s="1223">
        <v>79</v>
      </c>
      <c r="T170" s="1174">
        <v>79</v>
      </c>
      <c r="U170" s="1223">
        <v>79</v>
      </c>
      <c r="V170" s="1263">
        <v>79</v>
      </c>
      <c r="W170" s="1223">
        <v>79</v>
      </c>
      <c r="X170" s="1223"/>
      <c r="Y170" s="1223"/>
      <c r="Z170" s="1176">
        <v>89</v>
      </c>
      <c r="AA170" s="1176">
        <v>89</v>
      </c>
      <c r="AB170" s="1176">
        <v>89</v>
      </c>
      <c r="AC170" s="1185">
        <v>89</v>
      </c>
      <c r="AD170" s="1185">
        <v>89</v>
      </c>
      <c r="AE170" s="1185">
        <v>89</v>
      </c>
      <c r="AF170" s="1185"/>
      <c r="AG170" s="1321"/>
      <c r="AH170" s="125"/>
      <c r="AI170" s="140"/>
      <c r="AJ170" s="123"/>
    </row>
    <row r="171" spans="1:36" ht="18" customHeight="1" x14ac:dyDescent="0.2">
      <c r="A171" s="1415">
        <v>3</v>
      </c>
      <c r="B171" s="1472" t="s">
        <v>267</v>
      </c>
      <c r="C171" s="1473"/>
      <c r="D171" s="1174"/>
      <c r="E171" s="1174">
        <v>69</v>
      </c>
      <c r="F171" s="1473">
        <v>69</v>
      </c>
      <c r="G171" s="1179"/>
      <c r="H171" s="1473">
        <v>69</v>
      </c>
      <c r="I171" s="1179">
        <v>69</v>
      </c>
      <c r="J171" s="1474"/>
      <c r="K171" s="1473"/>
      <c r="L171" s="1473">
        <v>79</v>
      </c>
      <c r="M171" s="1473">
        <v>79</v>
      </c>
      <c r="N171" s="1223">
        <v>79</v>
      </c>
      <c r="O171" s="1332">
        <v>79</v>
      </c>
      <c r="P171" s="1379">
        <v>79</v>
      </c>
      <c r="Q171" s="1185"/>
      <c r="R171" s="1185"/>
      <c r="S171" s="1176">
        <v>89</v>
      </c>
      <c r="T171" s="1185">
        <v>89</v>
      </c>
      <c r="U171" s="1473">
        <v>89</v>
      </c>
      <c r="V171" s="1262" t="s">
        <v>410</v>
      </c>
      <c r="W171" s="1262">
        <v>89</v>
      </c>
      <c r="X171" s="1262">
        <v>89</v>
      </c>
      <c r="Y171" s="1262"/>
      <c r="Z171" s="1262">
        <v>99</v>
      </c>
      <c r="AA171" s="1262" t="s">
        <v>411</v>
      </c>
      <c r="AB171" s="1134">
        <v>99</v>
      </c>
      <c r="AC171" s="1332">
        <v>99</v>
      </c>
      <c r="AD171" s="1473" t="s">
        <v>50</v>
      </c>
      <c r="AE171" s="1473"/>
      <c r="AF171" s="1473"/>
      <c r="AG171" s="1475"/>
      <c r="AH171" s="124"/>
      <c r="AI171" s="67"/>
    </row>
    <row r="172" spans="1:36" ht="18" customHeight="1" x14ac:dyDescent="0.2">
      <c r="A172" s="1415">
        <v>4</v>
      </c>
      <c r="B172" s="1472" t="s">
        <v>269</v>
      </c>
      <c r="C172" s="1174"/>
      <c r="D172" s="1174"/>
      <c r="E172" s="1174">
        <v>79</v>
      </c>
      <c r="F172" s="1174">
        <v>79</v>
      </c>
      <c r="G172" s="1174"/>
      <c r="H172" s="1174">
        <v>79</v>
      </c>
      <c r="I172" s="1179">
        <v>79</v>
      </c>
      <c r="J172" s="1174"/>
      <c r="K172" s="1174"/>
      <c r="L172" s="1174">
        <v>89</v>
      </c>
      <c r="M172" s="1176">
        <v>89</v>
      </c>
      <c r="N172" s="1223">
        <v>89</v>
      </c>
      <c r="O172" s="1174">
        <v>89</v>
      </c>
      <c r="P172" s="1174">
        <v>89</v>
      </c>
      <c r="Q172" s="1379">
        <v>89</v>
      </c>
      <c r="R172" s="1379"/>
      <c r="S172" s="1134">
        <v>99</v>
      </c>
      <c r="T172" s="1174">
        <v>99</v>
      </c>
      <c r="U172" s="1174">
        <v>99</v>
      </c>
      <c r="V172" s="1263">
        <v>99</v>
      </c>
      <c r="W172" s="1176" t="s">
        <v>50</v>
      </c>
      <c r="X172" s="1176"/>
      <c r="Y172" s="1379"/>
      <c r="Z172" s="1379" t="s">
        <v>77</v>
      </c>
      <c r="AA172" s="1176" t="s">
        <v>77</v>
      </c>
      <c r="AB172" s="1176" t="s">
        <v>77</v>
      </c>
      <c r="AC172" s="1174" t="s">
        <v>152</v>
      </c>
      <c r="AD172" s="1174" t="s">
        <v>152</v>
      </c>
      <c r="AE172" s="1174"/>
      <c r="AF172" s="1379"/>
      <c r="AG172" s="1321"/>
      <c r="AH172" s="124"/>
      <c r="AI172" s="67"/>
    </row>
    <row r="173" spans="1:36" ht="18" customHeight="1" thickBot="1" x14ac:dyDescent="0.25">
      <c r="A173" s="1417">
        <v>5</v>
      </c>
      <c r="B173" s="1274" t="s">
        <v>270</v>
      </c>
      <c r="C173" s="1381"/>
      <c r="D173" s="1381"/>
      <c r="E173" s="1476">
        <v>89</v>
      </c>
      <c r="F173" s="1322">
        <v>89</v>
      </c>
      <c r="G173" s="1268"/>
      <c r="H173" s="1322">
        <v>89</v>
      </c>
      <c r="I173" s="1322">
        <v>89</v>
      </c>
      <c r="J173" s="1221">
        <v>89</v>
      </c>
      <c r="K173" s="1196"/>
      <c r="L173" s="1220">
        <v>99</v>
      </c>
      <c r="M173" s="1220">
        <v>99</v>
      </c>
      <c r="N173" s="1221">
        <v>99</v>
      </c>
      <c r="O173" s="1381">
        <v>99</v>
      </c>
      <c r="P173" s="1381" t="s">
        <v>50</v>
      </c>
      <c r="Q173" s="258" t="s">
        <v>290</v>
      </c>
      <c r="R173" s="1381"/>
      <c r="S173" s="1220" t="s">
        <v>252</v>
      </c>
      <c r="T173" s="1218" t="s">
        <v>77</v>
      </c>
      <c r="U173" s="1381" t="s">
        <v>152</v>
      </c>
      <c r="V173" s="1263" t="s">
        <v>77</v>
      </c>
      <c r="W173" s="1381" t="s">
        <v>77</v>
      </c>
      <c r="X173" s="1381"/>
      <c r="Y173" s="1381"/>
      <c r="Z173" s="1200">
        <v>69</v>
      </c>
      <c r="AA173" s="1200">
        <v>69</v>
      </c>
      <c r="AB173" s="1200">
        <v>69</v>
      </c>
      <c r="AC173" s="1220">
        <v>69</v>
      </c>
      <c r="AD173" s="1220">
        <v>69</v>
      </c>
      <c r="AE173" s="1220"/>
      <c r="AF173" s="1220"/>
      <c r="AG173" s="1477"/>
      <c r="AH173" s="124"/>
      <c r="AI173" s="67"/>
    </row>
    <row r="174" spans="1:36" ht="18" customHeight="1" x14ac:dyDescent="0.2">
      <c r="A174" s="129"/>
      <c r="B174" s="141"/>
      <c r="C174" s="142"/>
      <c r="D174" s="142"/>
      <c r="E174" s="142"/>
      <c r="F174" s="128"/>
      <c r="G174" s="140"/>
      <c r="H174" s="140"/>
      <c r="I174" s="140"/>
      <c r="J174" s="140"/>
      <c r="K174" s="140"/>
      <c r="L174" s="128"/>
      <c r="M174" s="128"/>
      <c r="N174" s="142"/>
      <c r="O174" s="142"/>
      <c r="P174" s="142"/>
      <c r="Q174" s="142"/>
      <c r="R174" s="142"/>
      <c r="S174" s="128"/>
      <c r="T174" s="143"/>
      <c r="U174" s="142"/>
      <c r="V174" s="142"/>
      <c r="W174" s="142"/>
      <c r="X174" s="142"/>
      <c r="Y174" s="142"/>
      <c r="Z174" s="144"/>
      <c r="AA174" s="144"/>
      <c r="AB174" s="142"/>
      <c r="AC174" s="142"/>
      <c r="AD174" s="142"/>
      <c r="AE174" s="142"/>
      <c r="AF174" s="142"/>
      <c r="AG174" s="144"/>
      <c r="AH174" s="124"/>
      <c r="AI174" s="1478"/>
    </row>
    <row r="175" spans="1:36" ht="18" customHeight="1" x14ac:dyDescent="0.2">
      <c r="A175" s="69"/>
      <c r="B175" s="70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 t="s">
        <v>0</v>
      </c>
      <c r="AB175" s="66"/>
      <c r="AC175" s="66"/>
      <c r="AD175" s="66"/>
      <c r="AE175" s="66"/>
      <c r="AF175" s="66"/>
      <c r="AG175" s="66"/>
      <c r="AH175" s="67"/>
      <c r="AI175" s="67"/>
    </row>
    <row r="176" spans="1:36" ht="18" customHeight="1" thickBot="1" x14ac:dyDescent="0.25">
      <c r="A176" s="107" t="s">
        <v>271</v>
      </c>
      <c r="B176" s="108"/>
      <c r="C176" s="108"/>
      <c r="D176" s="109"/>
      <c r="E176" s="109"/>
      <c r="F176" s="109"/>
      <c r="G176" s="65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8"/>
      <c r="AI176" s="108"/>
    </row>
    <row r="177" spans="1:35" ht="18" customHeight="1" x14ac:dyDescent="0.2">
      <c r="A177" s="107"/>
      <c r="B177" s="404" t="s">
        <v>255</v>
      </c>
      <c r="C177" s="1438"/>
      <c r="D177" s="1439" t="s">
        <v>17</v>
      </c>
      <c r="E177" s="1440"/>
      <c r="F177" s="1441"/>
      <c r="G177" s="1438"/>
      <c r="H177" s="1439" t="s">
        <v>18</v>
      </c>
      <c r="I177" s="1440"/>
      <c r="J177" s="1441"/>
      <c r="K177" s="1438"/>
      <c r="L177" s="1439" t="s">
        <v>19</v>
      </c>
      <c r="M177" s="1440"/>
      <c r="N177" s="1441"/>
      <c r="O177" s="1438"/>
      <c r="P177" s="1439" t="s">
        <v>20</v>
      </c>
      <c r="Q177" s="1440"/>
      <c r="R177" s="1441"/>
      <c r="S177" s="1438"/>
      <c r="T177" s="1439" t="s">
        <v>21</v>
      </c>
      <c r="U177" s="1440"/>
      <c r="V177" s="1441"/>
      <c r="W177" s="1438"/>
      <c r="X177" s="1439" t="s">
        <v>22</v>
      </c>
      <c r="Y177" s="1440"/>
      <c r="Z177" s="1441"/>
      <c r="AA177" s="1438"/>
      <c r="AB177" s="1439" t="s">
        <v>23</v>
      </c>
      <c r="AC177" s="1440"/>
      <c r="AD177" s="1440"/>
      <c r="AE177" s="1442" t="s">
        <v>126</v>
      </c>
      <c r="AF177" s="1440"/>
      <c r="AG177" s="1440"/>
      <c r="AH177" s="1440"/>
      <c r="AI177" s="1443"/>
    </row>
    <row r="178" spans="1:35" ht="18" customHeight="1" x14ac:dyDescent="0.2">
      <c r="A178" s="107"/>
      <c r="B178" s="1444" t="s">
        <v>272</v>
      </c>
      <c r="C178" s="1301" t="s">
        <v>273</v>
      </c>
      <c r="D178" s="1446"/>
      <c r="E178" s="1446"/>
      <c r="F178" s="1447"/>
      <c r="G178" s="1301" t="s">
        <v>273</v>
      </c>
      <c r="H178" s="1446"/>
      <c r="I178" s="1446"/>
      <c r="J178" s="1447"/>
      <c r="K178" s="1301" t="s">
        <v>273</v>
      </c>
      <c r="L178" s="1446"/>
      <c r="M178" s="1446"/>
      <c r="N178" s="1447"/>
      <c r="O178" s="1301" t="s">
        <v>274</v>
      </c>
      <c r="P178" s="1446"/>
      <c r="Q178" s="1446"/>
      <c r="R178" s="1447"/>
      <c r="S178" s="1301" t="s">
        <v>275</v>
      </c>
      <c r="T178" s="1446"/>
      <c r="U178" s="1446"/>
      <c r="V178" s="1447"/>
      <c r="W178" s="1301" t="s">
        <v>276</v>
      </c>
      <c r="X178" s="1448"/>
      <c r="Y178" s="1448"/>
      <c r="Z178" s="1449"/>
      <c r="AA178" s="1301" t="s">
        <v>276</v>
      </c>
      <c r="AB178" s="1446"/>
      <c r="AC178" s="1446"/>
      <c r="AD178" s="1302"/>
      <c r="AE178" s="1450">
        <v>68</v>
      </c>
      <c r="AF178" s="948"/>
      <c r="AG178" s="948"/>
      <c r="AH178" s="948"/>
      <c r="AI178" s="949"/>
    </row>
    <row r="179" spans="1:35" ht="18" customHeight="1" x14ac:dyDescent="0.2">
      <c r="A179" s="107"/>
      <c r="B179" s="1444"/>
      <c r="C179" s="1301" t="s">
        <v>244</v>
      </c>
      <c r="D179" s="1446"/>
      <c r="E179" s="1446"/>
      <c r="F179" s="1447"/>
      <c r="G179" s="1301" t="s">
        <v>244</v>
      </c>
      <c r="H179" s="1446"/>
      <c r="I179" s="1446"/>
      <c r="J179" s="1447"/>
      <c r="K179" s="1301" t="s">
        <v>244</v>
      </c>
      <c r="L179" s="1446"/>
      <c r="M179" s="1446"/>
      <c r="N179" s="1447"/>
      <c r="O179" s="1301" t="s">
        <v>244</v>
      </c>
      <c r="P179" s="1446"/>
      <c r="Q179" s="1446"/>
      <c r="R179" s="1447"/>
      <c r="S179" s="1301" t="s">
        <v>244</v>
      </c>
      <c r="T179" s="1446"/>
      <c r="U179" s="1446"/>
      <c r="V179" s="1447"/>
      <c r="W179" s="1301" t="s">
        <v>244</v>
      </c>
      <c r="X179" s="1446"/>
      <c r="Y179" s="1446"/>
      <c r="Z179" s="1447"/>
      <c r="AA179" s="1446" t="s">
        <v>244</v>
      </c>
      <c r="AB179" s="1446"/>
      <c r="AC179" s="1446"/>
      <c r="AD179" s="1302"/>
      <c r="AE179" s="1450">
        <v>0</v>
      </c>
      <c r="AF179" s="948"/>
      <c r="AG179" s="948"/>
      <c r="AH179" s="948"/>
      <c r="AI179" s="949"/>
    </row>
    <row r="180" spans="1:35" ht="18" customHeight="1" x14ac:dyDescent="0.2">
      <c r="A180" s="107"/>
      <c r="B180" s="1444" t="s">
        <v>277</v>
      </c>
      <c r="C180" s="1301" t="s">
        <v>274</v>
      </c>
      <c r="D180" s="1446"/>
      <c r="E180" s="1446"/>
      <c r="F180" s="1447"/>
      <c r="G180" s="1301" t="s">
        <v>274</v>
      </c>
      <c r="H180" s="1446"/>
      <c r="I180" s="1446"/>
      <c r="J180" s="1447"/>
      <c r="K180" s="1301" t="s">
        <v>274</v>
      </c>
      <c r="L180" s="1446"/>
      <c r="M180" s="1446"/>
      <c r="N180" s="1447"/>
      <c r="O180" s="1301" t="s">
        <v>273</v>
      </c>
      <c r="P180" s="1446"/>
      <c r="Q180" s="1446"/>
      <c r="R180" s="1447"/>
      <c r="S180" s="1301" t="s">
        <v>273</v>
      </c>
      <c r="T180" s="1446"/>
      <c r="U180" s="1446"/>
      <c r="V180" s="1447"/>
      <c r="W180" s="1301" t="s">
        <v>275</v>
      </c>
      <c r="X180" s="1448"/>
      <c r="Y180" s="1448"/>
      <c r="Z180" s="1449"/>
      <c r="AA180" s="1301" t="s">
        <v>275</v>
      </c>
      <c r="AB180" s="1446"/>
      <c r="AC180" s="1446"/>
      <c r="AD180" s="1302"/>
      <c r="AE180" s="1450">
        <v>68</v>
      </c>
      <c r="AF180" s="1446"/>
      <c r="AG180" s="1446" t="s">
        <v>0</v>
      </c>
      <c r="AH180" s="1302"/>
      <c r="AI180" s="1451"/>
    </row>
    <row r="181" spans="1:35" ht="18" customHeight="1" x14ac:dyDescent="0.2">
      <c r="A181" s="107"/>
      <c r="B181" s="1444"/>
      <c r="C181" s="1301" t="s">
        <v>244</v>
      </c>
      <c r="D181" s="1446"/>
      <c r="E181" s="1446"/>
      <c r="F181" s="1447"/>
      <c r="G181" s="1301" t="s">
        <v>244</v>
      </c>
      <c r="H181" s="1446"/>
      <c r="I181" s="1446"/>
      <c r="J181" s="1447"/>
      <c r="K181" s="1301" t="s">
        <v>244</v>
      </c>
      <c r="L181" s="1446"/>
      <c r="M181" s="1446"/>
      <c r="N181" s="1447"/>
      <c r="O181" s="1301" t="s">
        <v>244</v>
      </c>
      <c r="P181" s="1446"/>
      <c r="Q181" s="1446"/>
      <c r="R181" s="1447"/>
      <c r="S181" s="1301" t="s">
        <v>244</v>
      </c>
      <c r="T181" s="1446"/>
      <c r="U181" s="1446"/>
      <c r="V181" s="1447"/>
      <c r="W181" s="1301" t="s">
        <v>244</v>
      </c>
      <c r="X181" s="1446"/>
      <c r="Y181" s="1446"/>
      <c r="Z181" s="1447"/>
      <c r="AA181" s="1446" t="s">
        <v>244</v>
      </c>
      <c r="AB181" s="1446"/>
      <c r="AC181" s="1446"/>
      <c r="AD181" s="1302"/>
      <c r="AE181" s="1450">
        <v>0</v>
      </c>
      <c r="AF181" s="1446"/>
      <c r="AG181" s="1446"/>
      <c r="AH181" s="1302"/>
      <c r="AI181" s="1451"/>
    </row>
    <row r="182" spans="1:35" ht="18" customHeight="1" x14ac:dyDescent="0.2">
      <c r="A182" s="107"/>
      <c r="B182" s="1444" t="s">
        <v>278</v>
      </c>
      <c r="C182" s="1301" t="s">
        <v>273</v>
      </c>
      <c r="D182" s="1446"/>
      <c r="E182" s="1446"/>
      <c r="F182" s="1447"/>
      <c r="G182" s="1301" t="s">
        <v>273</v>
      </c>
      <c r="H182" s="1446"/>
      <c r="I182" s="1446"/>
      <c r="J182" s="1447"/>
      <c r="K182" s="1301" t="s">
        <v>273</v>
      </c>
      <c r="L182" s="1446"/>
      <c r="M182" s="1446"/>
      <c r="N182" s="1447"/>
      <c r="O182" s="1301" t="s">
        <v>273</v>
      </c>
      <c r="P182" s="1446"/>
      <c r="Q182" s="1446"/>
      <c r="R182" s="1447"/>
      <c r="S182" s="1301" t="s">
        <v>273</v>
      </c>
      <c r="T182" s="1446"/>
      <c r="U182" s="1446"/>
      <c r="V182" s="1447"/>
      <c r="W182" s="1301" t="s">
        <v>279</v>
      </c>
      <c r="X182" s="1453"/>
      <c r="Y182" s="1453"/>
      <c r="Z182" s="1454"/>
      <c r="AA182" s="1301" t="s">
        <v>279</v>
      </c>
      <c r="AB182" s="1453"/>
      <c r="AC182" s="1453"/>
      <c r="AD182" s="1304"/>
      <c r="AE182" s="1450">
        <v>68</v>
      </c>
      <c r="AF182" s="1446"/>
      <c r="AG182" s="1446"/>
      <c r="AH182" s="1302"/>
      <c r="AI182" s="1451"/>
    </row>
    <row r="183" spans="1:35" ht="18" customHeight="1" thickBot="1" x14ac:dyDescent="0.25">
      <c r="A183" s="107"/>
      <c r="B183" s="1444"/>
      <c r="C183" s="1479" t="s">
        <v>244</v>
      </c>
      <c r="D183" s="1480"/>
      <c r="E183" s="1480"/>
      <c r="F183" s="1481"/>
      <c r="G183" s="1479" t="s">
        <v>244</v>
      </c>
      <c r="H183" s="1480"/>
      <c r="I183" s="1480"/>
      <c r="J183" s="1481"/>
      <c r="K183" s="1479" t="s">
        <v>244</v>
      </c>
      <c r="L183" s="1480"/>
      <c r="M183" s="1480"/>
      <c r="N183" s="1481"/>
      <c r="O183" s="1479" t="s">
        <v>244</v>
      </c>
      <c r="P183" s="1480"/>
      <c r="Q183" s="1480"/>
      <c r="R183" s="1481"/>
      <c r="S183" s="1479" t="s">
        <v>244</v>
      </c>
      <c r="T183" s="1480"/>
      <c r="U183" s="1480"/>
      <c r="V183" s="1465"/>
      <c r="W183" s="1479" t="s">
        <v>244</v>
      </c>
      <c r="X183" s="1465"/>
      <c r="Y183" s="1480"/>
      <c r="Z183" s="1481"/>
      <c r="AA183" s="1479" t="s">
        <v>244</v>
      </c>
      <c r="AB183" s="1465"/>
      <c r="AC183" s="1480"/>
      <c r="AD183" s="1481"/>
      <c r="AE183" s="1482" t="s">
        <v>280</v>
      </c>
      <c r="AF183" s="1480"/>
      <c r="AG183" s="1480"/>
      <c r="AH183" s="1465"/>
      <c r="AI183" s="1483"/>
    </row>
    <row r="184" spans="1:35" ht="18" customHeight="1" thickBot="1" x14ac:dyDescent="0.25">
      <c r="A184" s="68"/>
      <c r="B184" s="107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8"/>
      <c r="AI184" s="108"/>
    </row>
    <row r="185" spans="1:35" ht="18" customHeight="1" thickBot="1" x14ac:dyDescent="0.25">
      <c r="A185" s="1434"/>
      <c r="B185" s="1256" t="s">
        <v>44</v>
      </c>
      <c r="C185" s="1154">
        <v>1</v>
      </c>
      <c r="D185" s="1154">
        <v>2</v>
      </c>
      <c r="E185" s="1155">
        <v>3</v>
      </c>
      <c r="F185" s="1155">
        <v>4</v>
      </c>
      <c r="G185" s="1154">
        <v>5</v>
      </c>
      <c r="H185" s="1155">
        <v>6</v>
      </c>
      <c r="I185" s="1155">
        <v>7</v>
      </c>
      <c r="J185" s="1154">
        <v>8</v>
      </c>
      <c r="K185" s="1154">
        <v>9</v>
      </c>
      <c r="L185" s="1155">
        <v>10</v>
      </c>
      <c r="M185" s="1155">
        <v>11</v>
      </c>
      <c r="N185" s="1155">
        <v>12</v>
      </c>
      <c r="O185" s="1155">
        <v>13</v>
      </c>
      <c r="P185" s="1155">
        <v>14</v>
      </c>
      <c r="Q185" s="1154">
        <v>15</v>
      </c>
      <c r="R185" s="1154">
        <v>16</v>
      </c>
      <c r="S185" s="1155">
        <v>17</v>
      </c>
      <c r="T185" s="1155">
        <v>18</v>
      </c>
      <c r="U185" s="1155">
        <v>19</v>
      </c>
      <c r="V185" s="1155">
        <v>20</v>
      </c>
      <c r="W185" s="1155">
        <v>21</v>
      </c>
      <c r="X185" s="1154">
        <v>22</v>
      </c>
      <c r="Y185" s="1154">
        <v>23</v>
      </c>
      <c r="Z185" s="1155">
        <v>24</v>
      </c>
      <c r="AA185" s="1155">
        <v>25</v>
      </c>
      <c r="AB185" s="1155">
        <v>26</v>
      </c>
      <c r="AC185" s="1155">
        <v>27</v>
      </c>
      <c r="AD185" s="1155">
        <v>28</v>
      </c>
      <c r="AE185" s="1154">
        <v>29</v>
      </c>
      <c r="AF185" s="1154">
        <v>30</v>
      </c>
      <c r="AG185" s="1353"/>
      <c r="AH185" s="110"/>
      <c r="AI185" s="111"/>
    </row>
    <row r="186" spans="1:35" ht="18" customHeight="1" x14ac:dyDescent="0.2">
      <c r="A186" s="1484">
        <v>1</v>
      </c>
      <c r="B186" s="1485"/>
      <c r="C186" s="1355"/>
      <c r="D186" s="1355"/>
      <c r="E186" s="410">
        <v>23</v>
      </c>
      <c r="F186" s="410">
        <v>23</v>
      </c>
      <c r="G186" s="410">
        <v>23</v>
      </c>
      <c r="H186" s="1355">
        <v>23</v>
      </c>
      <c r="I186" s="1355">
        <v>23</v>
      </c>
      <c r="J186" s="1355">
        <v>23</v>
      </c>
      <c r="K186" s="1355">
        <v>23</v>
      </c>
      <c r="L186" s="410" t="s">
        <v>50</v>
      </c>
      <c r="M186" s="410" t="s">
        <v>50</v>
      </c>
      <c r="N186" s="410" t="s">
        <v>50</v>
      </c>
      <c r="O186" s="1355" t="s">
        <v>50</v>
      </c>
      <c r="P186" s="1355" t="s">
        <v>50</v>
      </c>
      <c r="Q186" s="1355"/>
      <c r="R186" s="1355"/>
      <c r="S186" s="410">
        <v>21</v>
      </c>
      <c r="T186" s="410">
        <v>21</v>
      </c>
      <c r="U186" s="410">
        <v>21</v>
      </c>
      <c r="V186" s="1355">
        <v>21</v>
      </c>
      <c r="W186" s="1355">
        <v>21</v>
      </c>
      <c r="X186" s="1355">
        <v>21</v>
      </c>
      <c r="Y186" s="1355">
        <v>21</v>
      </c>
      <c r="Z186" s="410" t="s">
        <v>50</v>
      </c>
      <c r="AA186" s="410" t="s">
        <v>50</v>
      </c>
      <c r="AB186" s="410" t="s">
        <v>50</v>
      </c>
      <c r="AC186" s="1355" t="s">
        <v>50</v>
      </c>
      <c r="AD186" s="1355" t="s">
        <v>50</v>
      </c>
      <c r="AE186" s="1355"/>
      <c r="AF186" s="1355"/>
      <c r="AG186" s="411"/>
      <c r="AH186" s="67"/>
      <c r="AI186" s="67"/>
    </row>
    <row r="187" spans="1:35" ht="18" customHeight="1" x14ac:dyDescent="0.2">
      <c r="A187" s="1486">
        <v>2</v>
      </c>
      <c r="B187" s="748"/>
      <c r="C187" s="636"/>
      <c r="D187" s="636"/>
      <c r="E187" s="1348">
        <v>21</v>
      </c>
      <c r="F187" s="1349">
        <v>21</v>
      </c>
      <c r="G187" s="1349">
        <v>21</v>
      </c>
      <c r="H187" s="1349">
        <v>21</v>
      </c>
      <c r="I187" s="1349">
        <v>21</v>
      </c>
      <c r="J187" s="1349">
        <v>21</v>
      </c>
      <c r="K187" s="1349">
        <v>21</v>
      </c>
      <c r="L187" s="1348" t="s">
        <v>50</v>
      </c>
      <c r="M187" s="1349" t="s">
        <v>50</v>
      </c>
      <c r="N187" s="1349" t="s">
        <v>50</v>
      </c>
      <c r="O187" s="1349" t="s">
        <v>50</v>
      </c>
      <c r="P187" s="1349" t="s">
        <v>50</v>
      </c>
      <c r="Q187" s="1349"/>
      <c r="R187" s="1349"/>
      <c r="S187" s="1487">
        <v>22</v>
      </c>
      <c r="T187" s="1488">
        <v>22</v>
      </c>
      <c r="U187" s="1488">
        <v>22</v>
      </c>
      <c r="V187" s="1488">
        <v>22</v>
      </c>
      <c r="W187" s="1487">
        <v>22</v>
      </c>
      <c r="X187" s="1487">
        <v>22</v>
      </c>
      <c r="Y187" s="1487">
        <v>22</v>
      </c>
      <c r="Z187" s="1488" t="s">
        <v>50</v>
      </c>
      <c r="AA187" s="1488" t="s">
        <v>50</v>
      </c>
      <c r="AB187" s="1488" t="s">
        <v>50</v>
      </c>
      <c r="AC187" s="1488" t="s">
        <v>50</v>
      </c>
      <c r="AD187" s="1488" t="s">
        <v>50</v>
      </c>
      <c r="AE187" s="1488"/>
      <c r="AF187" s="1488"/>
      <c r="AG187" s="819"/>
      <c r="AH187" s="67"/>
      <c r="AI187" s="67"/>
    </row>
    <row r="188" spans="1:35" ht="18" customHeight="1" x14ac:dyDescent="0.2">
      <c r="A188" s="1486">
        <v>3</v>
      </c>
      <c r="B188" s="748"/>
      <c r="C188" s="636"/>
      <c r="D188" s="636"/>
      <c r="E188" s="799">
        <v>22</v>
      </c>
      <c r="F188" s="799">
        <v>22</v>
      </c>
      <c r="G188" s="799">
        <v>22</v>
      </c>
      <c r="H188" s="799">
        <v>22</v>
      </c>
      <c r="I188" s="636">
        <v>22</v>
      </c>
      <c r="J188" s="636">
        <v>22</v>
      </c>
      <c r="K188" s="1489">
        <v>22</v>
      </c>
      <c r="L188" s="799" t="s">
        <v>50</v>
      </c>
      <c r="M188" s="799" t="s">
        <v>50</v>
      </c>
      <c r="N188" s="799" t="s">
        <v>50</v>
      </c>
      <c r="O188" s="799" t="s">
        <v>50</v>
      </c>
      <c r="P188" s="636" t="s">
        <v>50</v>
      </c>
      <c r="Q188" s="636"/>
      <c r="R188" s="1489"/>
      <c r="S188" s="1348">
        <v>23</v>
      </c>
      <c r="T188" s="636">
        <v>23</v>
      </c>
      <c r="U188" s="636">
        <v>23</v>
      </c>
      <c r="V188" s="636">
        <v>23</v>
      </c>
      <c r="W188" s="636">
        <v>23</v>
      </c>
      <c r="X188" s="636">
        <v>23</v>
      </c>
      <c r="Y188" s="636">
        <v>23</v>
      </c>
      <c r="Z188" s="1348" t="s">
        <v>50</v>
      </c>
      <c r="AA188" s="636" t="s">
        <v>50</v>
      </c>
      <c r="AB188" s="636" t="s">
        <v>50</v>
      </c>
      <c r="AC188" s="636" t="s">
        <v>50</v>
      </c>
      <c r="AD188" s="636" t="s">
        <v>50</v>
      </c>
      <c r="AE188" s="636"/>
      <c r="AF188" s="636"/>
      <c r="AG188" s="819"/>
      <c r="AH188" s="67"/>
      <c r="AI188" s="67"/>
    </row>
    <row r="189" spans="1:35" ht="18" customHeight="1" x14ac:dyDescent="0.2">
      <c r="A189" s="1486">
        <v>4</v>
      </c>
      <c r="B189" s="958" t="s">
        <v>281</v>
      </c>
      <c r="C189" s="636">
        <v>22</v>
      </c>
      <c r="D189" s="636">
        <v>22</v>
      </c>
      <c r="E189" s="1331">
        <v>21</v>
      </c>
      <c r="F189" s="636" t="s">
        <v>50</v>
      </c>
      <c r="G189" s="961">
        <v>22</v>
      </c>
      <c r="H189" s="961">
        <v>22</v>
      </c>
      <c r="I189" s="961">
        <v>22</v>
      </c>
      <c r="J189" s="961">
        <v>22</v>
      </c>
      <c r="K189" s="961">
        <v>22</v>
      </c>
      <c r="L189" s="799">
        <v>23</v>
      </c>
      <c r="M189" s="799">
        <v>23</v>
      </c>
      <c r="N189" s="799">
        <v>23</v>
      </c>
      <c r="O189" s="799">
        <v>23</v>
      </c>
      <c r="P189" s="636">
        <v>23</v>
      </c>
      <c r="Q189" s="636">
        <v>23</v>
      </c>
      <c r="R189" s="636">
        <v>23</v>
      </c>
      <c r="S189" s="799" t="s">
        <v>50</v>
      </c>
      <c r="T189" s="799" t="s">
        <v>50</v>
      </c>
      <c r="U189" s="961" t="s">
        <v>50</v>
      </c>
      <c r="V189" s="799" t="s">
        <v>50</v>
      </c>
      <c r="W189" s="636" t="s">
        <v>50</v>
      </c>
      <c r="X189" s="636"/>
      <c r="Y189" s="1490"/>
      <c r="Z189" s="636">
        <v>21</v>
      </c>
      <c r="AA189" s="636">
        <v>21</v>
      </c>
      <c r="AB189" s="636">
        <v>21</v>
      </c>
      <c r="AC189" s="636">
        <v>21</v>
      </c>
      <c r="AD189" s="1348" t="s">
        <v>110</v>
      </c>
      <c r="AE189" s="636">
        <v>21</v>
      </c>
      <c r="AF189" s="636">
        <v>21</v>
      </c>
      <c r="AG189" s="801"/>
      <c r="AH189" s="67"/>
      <c r="AI189" s="67"/>
    </row>
    <row r="190" spans="1:35" ht="18" customHeight="1" thickBot="1" x14ac:dyDescent="0.25">
      <c r="A190" s="1486">
        <v>5</v>
      </c>
      <c r="B190" s="1386" t="s">
        <v>282</v>
      </c>
      <c r="C190" s="636">
        <v>23</v>
      </c>
      <c r="D190" s="1491">
        <v>23</v>
      </c>
      <c r="E190" s="1488" t="s">
        <v>50</v>
      </c>
      <c r="F190" s="1488" t="s">
        <v>50</v>
      </c>
      <c r="G190" s="1488" t="s">
        <v>50</v>
      </c>
      <c r="H190" s="1488" t="s">
        <v>50</v>
      </c>
      <c r="I190" s="1488" t="s">
        <v>50</v>
      </c>
      <c r="J190" s="1488"/>
      <c r="K190" s="1488"/>
      <c r="L190" s="1488">
        <v>21</v>
      </c>
      <c r="M190" s="1488">
        <v>21</v>
      </c>
      <c r="N190" s="1488">
        <v>21</v>
      </c>
      <c r="O190" s="1488">
        <v>21</v>
      </c>
      <c r="P190" s="1488">
        <v>21</v>
      </c>
      <c r="Q190" s="1488">
        <v>21</v>
      </c>
      <c r="R190" s="1488">
        <v>21</v>
      </c>
      <c r="S190" s="1488" t="s">
        <v>50</v>
      </c>
      <c r="T190" s="1488" t="s">
        <v>50</v>
      </c>
      <c r="U190" s="1488" t="s">
        <v>50</v>
      </c>
      <c r="V190" s="1488" t="s">
        <v>50</v>
      </c>
      <c r="W190" s="1488" t="s">
        <v>50</v>
      </c>
      <c r="X190" s="1488"/>
      <c r="Y190" s="1488"/>
      <c r="Z190" s="655">
        <v>22</v>
      </c>
      <c r="AA190" s="655">
        <v>22</v>
      </c>
      <c r="AB190" s="1492">
        <v>22</v>
      </c>
      <c r="AC190" s="1492">
        <v>22</v>
      </c>
      <c r="AD190" s="1492">
        <v>22</v>
      </c>
      <c r="AE190" s="1375">
        <v>22</v>
      </c>
      <c r="AF190" s="1375">
        <v>22</v>
      </c>
      <c r="AG190" s="801"/>
      <c r="AH190" s="67"/>
      <c r="AI190" s="67"/>
    </row>
    <row r="191" spans="1:35" ht="18" customHeight="1" thickBot="1" x14ac:dyDescent="0.25">
      <c r="A191" s="1493">
        <v>6</v>
      </c>
      <c r="B191" s="754" t="s">
        <v>283</v>
      </c>
      <c r="C191" s="1494">
        <v>21</v>
      </c>
      <c r="D191" s="1494">
        <v>21</v>
      </c>
      <c r="E191" s="853" t="s">
        <v>50</v>
      </c>
      <c r="F191" s="1363" t="s">
        <v>50</v>
      </c>
      <c r="G191" s="1363" t="s">
        <v>50</v>
      </c>
      <c r="H191" s="655" t="s">
        <v>50</v>
      </c>
      <c r="I191" s="655" t="s">
        <v>50</v>
      </c>
      <c r="J191" s="655"/>
      <c r="K191" s="655"/>
      <c r="L191" s="655">
        <v>22</v>
      </c>
      <c r="M191" s="655">
        <v>22</v>
      </c>
      <c r="N191" s="1375">
        <v>22</v>
      </c>
      <c r="O191" s="1375">
        <v>22</v>
      </c>
      <c r="P191" s="1375">
        <v>22</v>
      </c>
      <c r="Q191" s="1375">
        <v>22</v>
      </c>
      <c r="R191" s="1375">
        <v>22</v>
      </c>
      <c r="S191" s="1375" t="s">
        <v>50</v>
      </c>
      <c r="T191" s="1375" t="s">
        <v>50</v>
      </c>
      <c r="U191" s="1363" t="s">
        <v>50</v>
      </c>
      <c r="V191" s="1363" t="s">
        <v>50</v>
      </c>
      <c r="W191" s="1363" t="s">
        <v>50</v>
      </c>
      <c r="X191" s="1363"/>
      <c r="Y191" s="1363"/>
      <c r="Z191" s="799">
        <v>23</v>
      </c>
      <c r="AA191" s="799">
        <v>23</v>
      </c>
      <c r="AB191" s="799">
        <v>23</v>
      </c>
      <c r="AC191" s="799">
        <v>23</v>
      </c>
      <c r="AD191" s="636">
        <v>23</v>
      </c>
      <c r="AE191" s="636">
        <v>23</v>
      </c>
      <c r="AF191" s="636">
        <v>23</v>
      </c>
      <c r="AG191" s="1384"/>
      <c r="AH191" s="67"/>
      <c r="AI191" s="67"/>
    </row>
    <row r="192" spans="1:35" ht="18" customHeight="1" x14ac:dyDescent="0.2">
      <c r="A192" s="129"/>
      <c r="B192" s="127"/>
      <c r="C192" s="128"/>
      <c r="D192" s="128"/>
      <c r="E192" s="140"/>
      <c r="F192" s="128"/>
      <c r="G192" s="128"/>
      <c r="H192" s="145"/>
      <c r="I192" s="145"/>
      <c r="J192" s="145"/>
      <c r="K192" s="145"/>
      <c r="L192" s="145"/>
      <c r="M192" s="145"/>
      <c r="N192" s="125"/>
      <c r="O192" s="125"/>
      <c r="P192" s="140"/>
      <c r="Q192" s="128"/>
      <c r="R192" s="128"/>
      <c r="S192" s="140"/>
      <c r="T192" s="128"/>
      <c r="U192" s="128"/>
      <c r="V192" s="128"/>
      <c r="W192" s="128"/>
      <c r="X192" s="128"/>
      <c r="Y192" s="128"/>
      <c r="Z192" s="128"/>
      <c r="AA192" s="128"/>
      <c r="AB192" s="125"/>
      <c r="AC192" s="125"/>
      <c r="AD192" s="140"/>
      <c r="AE192" s="128"/>
      <c r="AF192" s="128"/>
      <c r="AG192" s="140"/>
      <c r="AH192" s="67"/>
      <c r="AI192" s="67"/>
    </row>
    <row r="193" spans="1:35" ht="18" customHeight="1" x14ac:dyDescent="0.2">
      <c r="A193" s="69"/>
      <c r="B193" s="70"/>
      <c r="C193" s="120"/>
      <c r="D193" s="120"/>
      <c r="E193" s="106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106"/>
      <c r="Q193" s="120"/>
      <c r="R193" s="120"/>
      <c r="S193" s="106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1"/>
      <c r="AD193" s="121"/>
      <c r="AE193" s="121"/>
      <c r="AF193" s="120"/>
      <c r="AG193" s="106"/>
      <c r="AH193" s="67"/>
      <c r="AI193" s="67"/>
    </row>
    <row r="194" spans="1:35" ht="18" customHeight="1" thickBot="1" x14ac:dyDescent="0.25">
      <c r="A194" s="103" t="s">
        <v>284</v>
      </c>
      <c r="D194" s="48"/>
      <c r="E194" s="48"/>
      <c r="F194" s="48"/>
      <c r="G194" s="65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</row>
    <row r="195" spans="1:35" ht="18" customHeight="1" x14ac:dyDescent="0.2">
      <c r="A195" s="1"/>
      <c r="B195" s="404" t="s">
        <v>255</v>
      </c>
      <c r="C195" s="1400"/>
      <c r="D195" s="1439" t="s">
        <v>17</v>
      </c>
      <c r="E195" s="1231"/>
      <c r="F195" s="405"/>
      <c r="G195" s="1400"/>
      <c r="H195" s="1439" t="s">
        <v>18</v>
      </c>
      <c r="I195" s="1231"/>
      <c r="J195" s="405"/>
      <c r="K195" s="1400"/>
      <c r="L195" s="1439" t="s">
        <v>19</v>
      </c>
      <c r="M195" s="1231"/>
      <c r="N195" s="405"/>
      <c r="O195" s="1400"/>
      <c r="P195" s="1439" t="s">
        <v>20</v>
      </c>
      <c r="Q195" s="1231"/>
      <c r="R195" s="405"/>
      <c r="S195" s="1400"/>
      <c r="T195" s="1439" t="s">
        <v>21</v>
      </c>
      <c r="U195" s="1231"/>
      <c r="V195" s="405"/>
      <c r="W195" s="1400"/>
      <c r="X195" s="1439" t="s">
        <v>22</v>
      </c>
      <c r="Y195" s="1231"/>
      <c r="Z195" s="405"/>
      <c r="AA195" s="1400"/>
      <c r="AB195" s="1439" t="s">
        <v>23</v>
      </c>
      <c r="AC195" s="1231"/>
      <c r="AD195" s="1231"/>
      <c r="AE195" s="1442" t="s">
        <v>126</v>
      </c>
      <c r="AF195" s="1231"/>
      <c r="AG195" s="1231"/>
      <c r="AH195" s="1231"/>
      <c r="AI195" s="1232"/>
    </row>
    <row r="196" spans="1:35" ht="18" customHeight="1" x14ac:dyDescent="0.2">
      <c r="A196" s="1"/>
      <c r="B196" s="1444" t="s">
        <v>235</v>
      </c>
      <c r="C196" s="1301" t="s">
        <v>256</v>
      </c>
      <c r="D196" s="1121"/>
      <c r="E196" s="1121"/>
      <c r="F196" s="1447"/>
      <c r="G196" s="1301" t="s">
        <v>256</v>
      </c>
      <c r="H196" s="1121"/>
      <c r="I196" s="1121"/>
      <c r="J196" s="1447"/>
      <c r="K196" s="1301" t="s">
        <v>256</v>
      </c>
      <c r="L196" s="1121"/>
      <c r="M196" s="1121"/>
      <c r="N196" s="1447"/>
      <c r="O196" s="1301" t="s">
        <v>285</v>
      </c>
      <c r="P196" s="1121"/>
      <c r="Q196" s="1121"/>
      <c r="R196" s="1447"/>
      <c r="S196" s="1301" t="s">
        <v>244</v>
      </c>
      <c r="T196" s="1121"/>
      <c r="U196" s="1121"/>
      <c r="V196" s="1447"/>
      <c r="W196" s="1495"/>
      <c r="X196" s="1496"/>
      <c r="Y196" s="1496"/>
      <c r="Z196" s="1449"/>
      <c r="AA196" s="1445"/>
      <c r="AB196" s="1121"/>
      <c r="AC196" s="1121"/>
      <c r="AD196" s="1302"/>
      <c r="AE196" s="1450">
        <v>27</v>
      </c>
      <c r="AF196" s="1121"/>
      <c r="AG196" s="1121"/>
      <c r="AH196" s="1302"/>
      <c r="AI196" s="1403"/>
    </row>
    <row r="197" spans="1:35" ht="18" customHeight="1" x14ac:dyDescent="0.2">
      <c r="A197" s="1"/>
      <c r="B197" s="1444" t="s">
        <v>236</v>
      </c>
      <c r="C197" s="1301" t="s">
        <v>286</v>
      </c>
      <c r="D197" s="1121"/>
      <c r="E197" s="1121"/>
      <c r="F197" s="1447"/>
      <c r="G197" s="1301" t="s">
        <v>286</v>
      </c>
      <c r="H197" s="1121"/>
      <c r="I197" s="1121"/>
      <c r="J197" s="1447"/>
      <c r="K197" s="1301" t="s">
        <v>286</v>
      </c>
      <c r="L197" s="1121"/>
      <c r="M197" s="1121"/>
      <c r="N197" s="1447"/>
      <c r="O197" s="1301" t="s">
        <v>286</v>
      </c>
      <c r="P197" s="1121"/>
      <c r="Q197" s="1121"/>
      <c r="R197" s="1447"/>
      <c r="S197" s="1301" t="s">
        <v>256</v>
      </c>
      <c r="T197" s="1121"/>
      <c r="U197" s="1121"/>
      <c r="V197" s="1447"/>
      <c r="W197" s="1301"/>
      <c r="X197" s="1121"/>
      <c r="Y197" s="1121"/>
      <c r="Z197" s="1447"/>
      <c r="AA197" s="1121"/>
      <c r="AB197" s="1121"/>
      <c r="AC197" s="1121"/>
      <c r="AD197" s="1302"/>
      <c r="AE197" s="1450">
        <v>39</v>
      </c>
      <c r="AF197" s="1121"/>
      <c r="AG197" s="1121"/>
      <c r="AH197" s="1302"/>
      <c r="AI197" s="1403"/>
    </row>
    <row r="198" spans="1:35" ht="18" customHeight="1" x14ac:dyDescent="0.2">
      <c r="A198" s="1"/>
      <c r="B198" s="1444" t="s">
        <v>243</v>
      </c>
      <c r="C198" s="1301" t="s">
        <v>286</v>
      </c>
      <c r="D198" s="1121"/>
      <c r="E198" s="1121"/>
      <c r="F198" s="1447"/>
      <c r="G198" s="1301" t="s">
        <v>286</v>
      </c>
      <c r="H198" s="1121"/>
      <c r="I198" s="1121"/>
      <c r="J198" s="1447"/>
      <c r="K198" s="1301" t="s">
        <v>286</v>
      </c>
      <c r="L198" s="1121"/>
      <c r="M198" s="1121"/>
      <c r="N198" s="1447"/>
      <c r="O198" s="1301" t="s">
        <v>286</v>
      </c>
      <c r="P198" s="1121"/>
      <c r="Q198" s="1121"/>
      <c r="R198" s="1447"/>
      <c r="S198" s="1301" t="s">
        <v>286</v>
      </c>
      <c r="T198" s="1121"/>
      <c r="U198" s="1121"/>
      <c r="V198" s="1447"/>
      <c r="W198" s="1303" t="s">
        <v>260</v>
      </c>
      <c r="X198" s="1234"/>
      <c r="Y198" s="1234"/>
      <c r="Z198" s="1454"/>
      <c r="AA198" s="1452"/>
      <c r="AB198" s="1234"/>
      <c r="AC198" s="1234"/>
      <c r="AD198" s="1304"/>
      <c r="AE198" s="1450">
        <v>45</v>
      </c>
      <c r="AF198" s="1121"/>
      <c r="AG198" s="1121"/>
      <c r="AH198" s="1302"/>
      <c r="AI198" s="1403"/>
    </row>
    <row r="199" spans="1:35" ht="18" customHeight="1" thickBot="1" x14ac:dyDescent="0.25">
      <c r="A199" s="1"/>
      <c r="B199" s="147" t="s">
        <v>245</v>
      </c>
      <c r="C199" s="1479"/>
      <c r="D199" s="1247"/>
      <c r="E199" s="1247"/>
      <c r="F199" s="1481"/>
      <c r="G199" s="1479"/>
      <c r="H199" s="1247"/>
      <c r="I199" s="1247"/>
      <c r="J199" s="1481"/>
      <c r="K199" s="1479"/>
      <c r="L199" s="1247"/>
      <c r="M199" s="1247"/>
      <c r="N199" s="1481"/>
      <c r="O199" s="1479"/>
      <c r="P199" s="1247"/>
      <c r="Q199" s="1247"/>
      <c r="R199" s="1481"/>
      <c r="S199" s="1479"/>
      <c r="T199" s="1247"/>
      <c r="U199" s="1247"/>
      <c r="V199" s="1465"/>
      <c r="W199" s="1479"/>
      <c r="X199" s="1465"/>
      <c r="Y199" s="1247"/>
      <c r="Z199" s="1481"/>
      <c r="AA199" s="1479"/>
      <c r="AB199" s="1465"/>
      <c r="AC199" s="1247"/>
      <c r="AD199" s="1481"/>
      <c r="AE199" s="1497"/>
      <c r="AF199" s="1247"/>
      <c r="AG199" s="1247"/>
      <c r="AH199" s="1465"/>
      <c r="AI199" s="1254"/>
    </row>
    <row r="200" spans="1:35" ht="18" customHeight="1" thickBot="1" x14ac:dyDescent="0.25">
      <c r="A200" s="68"/>
      <c r="B200" s="1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</row>
    <row r="201" spans="1:35" ht="18" customHeight="1" thickBot="1" x14ac:dyDescent="0.25">
      <c r="A201" s="1434"/>
      <c r="B201" s="1256" t="s">
        <v>44</v>
      </c>
      <c r="C201" s="1154">
        <v>1</v>
      </c>
      <c r="D201" s="1154">
        <v>2</v>
      </c>
      <c r="E201" s="1155">
        <v>3</v>
      </c>
      <c r="F201" s="1155">
        <v>4</v>
      </c>
      <c r="G201" s="1154">
        <v>5</v>
      </c>
      <c r="H201" s="1155">
        <v>6</v>
      </c>
      <c r="I201" s="1155">
        <v>7</v>
      </c>
      <c r="J201" s="1154">
        <v>8</v>
      </c>
      <c r="K201" s="1154">
        <v>9</v>
      </c>
      <c r="L201" s="1155">
        <v>10</v>
      </c>
      <c r="M201" s="1155">
        <v>11</v>
      </c>
      <c r="N201" s="1155">
        <v>12</v>
      </c>
      <c r="O201" s="1155">
        <v>13</v>
      </c>
      <c r="P201" s="1155">
        <v>14</v>
      </c>
      <c r="Q201" s="1154">
        <v>15</v>
      </c>
      <c r="R201" s="1154">
        <v>16</v>
      </c>
      <c r="S201" s="1155">
        <v>17</v>
      </c>
      <c r="T201" s="1155">
        <v>18</v>
      </c>
      <c r="U201" s="1155">
        <v>19</v>
      </c>
      <c r="V201" s="1155">
        <v>20</v>
      </c>
      <c r="W201" s="1155">
        <v>21</v>
      </c>
      <c r="X201" s="1154">
        <v>22</v>
      </c>
      <c r="Y201" s="1154">
        <v>23</v>
      </c>
      <c r="Z201" s="1155">
        <v>24</v>
      </c>
      <c r="AA201" s="1155">
        <v>25</v>
      </c>
      <c r="AB201" s="1155">
        <v>26</v>
      </c>
      <c r="AC201" s="1155">
        <v>27</v>
      </c>
      <c r="AD201" s="1155">
        <v>28</v>
      </c>
      <c r="AE201" s="1154">
        <v>29</v>
      </c>
      <c r="AF201" s="1154">
        <v>30</v>
      </c>
      <c r="AG201" s="1353"/>
      <c r="AH201" s="110"/>
      <c r="AI201" s="111"/>
    </row>
    <row r="202" spans="1:35" ht="18" customHeight="1" x14ac:dyDescent="0.2">
      <c r="A202" s="1409">
        <v>1</v>
      </c>
      <c r="B202" s="1498"/>
      <c r="C202" s="1499"/>
      <c r="D202" s="1500"/>
      <c r="E202" s="1500" t="s">
        <v>46</v>
      </c>
      <c r="F202" s="1500" t="s">
        <v>46</v>
      </c>
      <c r="G202" s="1411"/>
      <c r="H202" s="1411" t="s">
        <v>46</v>
      </c>
      <c r="I202" s="1500" t="s">
        <v>46</v>
      </c>
      <c r="J202" s="1499"/>
      <c r="K202" s="1500"/>
      <c r="L202" s="1500" t="s">
        <v>46</v>
      </c>
      <c r="M202" s="1500" t="s">
        <v>46</v>
      </c>
      <c r="N202" s="1467" t="s">
        <v>46</v>
      </c>
      <c r="O202" s="1411" t="s">
        <v>46</v>
      </c>
      <c r="P202" s="1500" t="s">
        <v>46</v>
      </c>
      <c r="Q202" s="1499"/>
      <c r="R202" s="1500"/>
      <c r="S202" s="1500" t="s">
        <v>46</v>
      </c>
      <c r="T202" s="1500" t="s">
        <v>46</v>
      </c>
      <c r="U202" s="1411" t="s">
        <v>46</v>
      </c>
      <c r="V202" s="1411" t="s">
        <v>46</v>
      </c>
      <c r="W202" s="1500" t="s">
        <v>46</v>
      </c>
      <c r="X202" s="1499"/>
      <c r="Y202" s="1500"/>
      <c r="Z202" s="1500" t="s">
        <v>46</v>
      </c>
      <c r="AA202" s="1500" t="s">
        <v>46</v>
      </c>
      <c r="AB202" s="1411" t="s">
        <v>46</v>
      </c>
      <c r="AC202" s="1411" t="s">
        <v>46</v>
      </c>
      <c r="AD202" s="1500" t="s">
        <v>46</v>
      </c>
      <c r="AE202" s="1499"/>
      <c r="AF202" s="1500"/>
      <c r="AG202" s="1414"/>
      <c r="AH202" s="132"/>
      <c r="AI202" s="116"/>
    </row>
    <row r="203" spans="1:35" ht="18" customHeight="1" x14ac:dyDescent="0.2">
      <c r="A203" s="1415">
        <v>2</v>
      </c>
      <c r="B203" s="1501" t="s">
        <v>287</v>
      </c>
      <c r="C203" s="1174"/>
      <c r="D203" s="1174"/>
      <c r="E203" s="1174" t="s">
        <v>290</v>
      </c>
      <c r="F203" s="1174" t="s">
        <v>290</v>
      </c>
      <c r="G203" s="1174"/>
      <c r="H203" s="1174" t="s">
        <v>290</v>
      </c>
      <c r="I203" s="1174" t="s">
        <v>290</v>
      </c>
      <c r="J203" s="1174" t="s">
        <v>290</v>
      </c>
      <c r="K203" s="1174"/>
      <c r="L203" s="1185" t="s">
        <v>288</v>
      </c>
      <c r="M203" s="1185" t="s">
        <v>288</v>
      </c>
      <c r="N203" s="1174" t="s">
        <v>288</v>
      </c>
      <c r="O203" s="1174" t="s">
        <v>288</v>
      </c>
      <c r="P203" s="1174" t="s">
        <v>50</v>
      </c>
      <c r="Q203" s="1174"/>
      <c r="R203" s="1174"/>
      <c r="S203" s="1174" t="s">
        <v>289</v>
      </c>
      <c r="T203" s="1174" t="s">
        <v>289</v>
      </c>
      <c r="U203" s="1174" t="s">
        <v>289</v>
      </c>
      <c r="V203" s="1174" t="s">
        <v>289</v>
      </c>
      <c r="W203" s="1174" t="s">
        <v>289</v>
      </c>
      <c r="X203" s="1174"/>
      <c r="Y203" s="1174"/>
      <c r="Z203" s="1502" t="s">
        <v>290</v>
      </c>
      <c r="AA203" s="1337" t="s">
        <v>290</v>
      </c>
      <c r="AB203" s="1174" t="s">
        <v>290</v>
      </c>
      <c r="AC203" s="1174" t="s">
        <v>290</v>
      </c>
      <c r="AD203" s="1174" t="s">
        <v>290</v>
      </c>
      <c r="AE203" s="1174" t="s">
        <v>290</v>
      </c>
      <c r="AF203" s="1174"/>
      <c r="AG203" s="1177"/>
      <c r="AH203" s="132"/>
      <c r="AI203" s="116"/>
    </row>
    <row r="204" spans="1:35" ht="18" customHeight="1" x14ac:dyDescent="0.2">
      <c r="A204" s="1415">
        <v>3</v>
      </c>
      <c r="B204" s="1503" t="s">
        <v>291</v>
      </c>
      <c r="C204" s="1174" t="s">
        <v>290</v>
      </c>
      <c r="D204" s="1174"/>
      <c r="E204" s="1174" t="s">
        <v>288</v>
      </c>
      <c r="F204" s="1185" t="s">
        <v>288</v>
      </c>
      <c r="G204" s="1174"/>
      <c r="H204" s="1174" t="s">
        <v>288</v>
      </c>
      <c r="I204" s="1174" t="s">
        <v>50</v>
      </c>
      <c r="J204" s="1174"/>
      <c r="K204" s="1174"/>
      <c r="L204" s="1174" t="s">
        <v>289</v>
      </c>
      <c r="M204" s="1174" t="s">
        <v>289</v>
      </c>
      <c r="N204" s="1174" t="s">
        <v>289</v>
      </c>
      <c r="O204" s="1174" t="s">
        <v>289</v>
      </c>
      <c r="P204" s="1174" t="s">
        <v>289</v>
      </c>
      <c r="Q204" s="1174"/>
      <c r="R204" s="1174"/>
      <c r="S204" s="1174" t="s">
        <v>290</v>
      </c>
      <c r="T204" s="1174" t="s">
        <v>290</v>
      </c>
      <c r="U204" s="1174" t="s">
        <v>290</v>
      </c>
      <c r="V204" s="1174" t="s">
        <v>290</v>
      </c>
      <c r="W204" s="1174" t="s">
        <v>290</v>
      </c>
      <c r="X204" s="1174" t="s">
        <v>290</v>
      </c>
      <c r="Y204" s="1174"/>
      <c r="Z204" s="1174" t="s">
        <v>288</v>
      </c>
      <c r="AA204" s="1185" t="s">
        <v>288</v>
      </c>
      <c r="AB204" s="1174" t="s">
        <v>288</v>
      </c>
      <c r="AC204" s="1174" t="s">
        <v>288</v>
      </c>
      <c r="AD204" s="1174" t="s">
        <v>50</v>
      </c>
      <c r="AE204" s="1174"/>
      <c r="AF204" s="1174"/>
      <c r="AG204" s="1177"/>
      <c r="AH204" s="132"/>
      <c r="AI204" s="116"/>
    </row>
    <row r="205" spans="1:35" ht="18" customHeight="1" x14ac:dyDescent="0.2">
      <c r="A205" s="1415">
        <v>4</v>
      </c>
      <c r="B205" s="1503"/>
      <c r="C205" s="1174"/>
      <c r="D205" s="1174"/>
      <c r="E205" s="1174"/>
      <c r="F205" s="1174"/>
      <c r="G205" s="1174"/>
      <c r="H205" s="1174"/>
      <c r="I205" s="1174"/>
      <c r="J205" s="1174"/>
      <c r="K205" s="1174"/>
      <c r="L205" s="1182"/>
      <c r="M205" s="1182"/>
      <c r="N205" s="1174"/>
      <c r="O205" s="1174"/>
      <c r="P205" s="1174"/>
      <c r="Q205" s="1174"/>
      <c r="R205" s="1174"/>
      <c r="S205" s="1174"/>
      <c r="T205" s="1174"/>
      <c r="U205" s="1174"/>
      <c r="V205" s="1174"/>
      <c r="W205" s="1174"/>
      <c r="X205" s="1174"/>
      <c r="Y205" s="1174"/>
      <c r="Z205" s="1174"/>
      <c r="AA205" s="1174"/>
      <c r="AB205" s="1174"/>
      <c r="AC205" s="1174"/>
      <c r="AD205" s="1174"/>
      <c r="AE205" s="1174"/>
      <c r="AF205" s="1174"/>
      <c r="AG205" s="1504"/>
      <c r="AH205" s="132"/>
      <c r="AI205" s="116"/>
    </row>
    <row r="206" spans="1:35" ht="18" customHeight="1" x14ac:dyDescent="0.2">
      <c r="A206" s="1415">
        <v>5</v>
      </c>
      <c r="B206" s="1503" t="s">
        <v>292</v>
      </c>
      <c r="C206" s="1174"/>
      <c r="D206" s="1174"/>
      <c r="E206" s="1174"/>
      <c r="F206" s="1174"/>
      <c r="G206" s="1174"/>
      <c r="H206" s="1174"/>
      <c r="I206" s="1174"/>
      <c r="J206" s="1174"/>
      <c r="K206" s="1182"/>
      <c r="L206" s="1174"/>
      <c r="M206" s="1174"/>
      <c r="N206" s="1174"/>
      <c r="O206" s="1174"/>
      <c r="P206" s="1174"/>
      <c r="Q206" s="1174"/>
      <c r="R206" s="1174"/>
      <c r="S206" s="1174"/>
      <c r="T206" s="1174"/>
      <c r="U206" s="1174"/>
      <c r="V206" s="1174"/>
      <c r="W206" s="1174"/>
      <c r="X206" s="1174"/>
      <c r="Y206" s="1174"/>
      <c r="Z206" s="1174"/>
      <c r="AA206" s="1174"/>
      <c r="AB206" s="1174"/>
      <c r="AC206" s="1174"/>
      <c r="AD206" s="1174"/>
      <c r="AE206" s="1174"/>
      <c r="AF206" s="1182"/>
      <c r="AG206" s="1177"/>
      <c r="AH206" s="132"/>
      <c r="AI206" s="116"/>
    </row>
    <row r="207" spans="1:35" ht="18" customHeight="1" x14ac:dyDescent="0.2">
      <c r="A207" s="1415">
        <v>6</v>
      </c>
      <c r="B207" s="1178" t="s">
        <v>293</v>
      </c>
      <c r="C207" s="1174"/>
      <c r="D207" s="1174"/>
      <c r="E207" s="1174" t="s">
        <v>46</v>
      </c>
      <c r="F207" s="1179" t="s">
        <v>46</v>
      </c>
      <c r="G207" s="1174"/>
      <c r="H207" s="1174" t="s">
        <v>46</v>
      </c>
      <c r="I207" s="1174" t="s">
        <v>46</v>
      </c>
      <c r="J207" s="1174"/>
      <c r="K207" s="1174"/>
      <c r="L207" s="1174" t="s">
        <v>46</v>
      </c>
      <c r="M207" s="1174" t="s">
        <v>46</v>
      </c>
      <c r="N207" s="1223" t="s">
        <v>46</v>
      </c>
      <c r="O207" s="1174" t="s">
        <v>46</v>
      </c>
      <c r="P207" s="1182" t="s">
        <v>46</v>
      </c>
      <c r="Q207" s="1182"/>
      <c r="R207" s="1182"/>
      <c r="S207" s="1182" t="s">
        <v>46</v>
      </c>
      <c r="T207" s="1174" t="s">
        <v>46</v>
      </c>
      <c r="U207" s="1174" t="s">
        <v>46</v>
      </c>
      <c r="V207" s="1179" t="s">
        <v>46</v>
      </c>
      <c r="W207" s="1174" t="s">
        <v>46</v>
      </c>
      <c r="X207" s="1174"/>
      <c r="Y207" s="1174"/>
      <c r="Z207" s="1174" t="s">
        <v>46</v>
      </c>
      <c r="AA207" s="1179" t="s">
        <v>46</v>
      </c>
      <c r="AB207" s="1174" t="s">
        <v>46</v>
      </c>
      <c r="AC207" s="1174" t="s">
        <v>46</v>
      </c>
      <c r="AD207" s="1174" t="s">
        <v>46</v>
      </c>
      <c r="AE207" s="1174"/>
      <c r="AF207" s="1174"/>
      <c r="AG207" s="1321"/>
      <c r="AH207" s="124"/>
      <c r="AI207" s="67"/>
    </row>
    <row r="208" spans="1:35" ht="18" customHeight="1" x14ac:dyDescent="0.2">
      <c r="A208" s="1505">
        <v>7</v>
      </c>
      <c r="B208" s="1378" t="s">
        <v>412</v>
      </c>
      <c r="C208" s="1506"/>
      <c r="D208" s="1506"/>
      <c r="E208" s="1506"/>
      <c r="F208" s="1195"/>
      <c r="G208" s="1506"/>
      <c r="H208" s="1506"/>
      <c r="I208" s="1506"/>
      <c r="J208" s="1506"/>
      <c r="K208" s="1506"/>
      <c r="L208" s="1506"/>
      <c r="M208" s="1506"/>
      <c r="N208" s="1507"/>
      <c r="O208" s="1506"/>
      <c r="P208" s="1198"/>
      <c r="Q208" s="1198"/>
      <c r="R208" s="1198"/>
      <c r="S208" s="1198"/>
      <c r="T208" s="1506"/>
      <c r="U208" s="1506"/>
      <c r="V208" s="1195"/>
      <c r="W208" s="1506"/>
      <c r="X208" s="1506"/>
      <c r="Y208" s="1506"/>
      <c r="Z208" s="1506"/>
      <c r="AA208" s="1195"/>
      <c r="AB208" s="1506"/>
      <c r="AC208" s="1506"/>
      <c r="AD208" s="1506"/>
      <c r="AE208" s="1506"/>
      <c r="AF208" s="1506"/>
      <c r="AG208" s="1508"/>
      <c r="AH208" s="124"/>
      <c r="AI208" s="67"/>
    </row>
    <row r="209" spans="1:36" ht="18" customHeight="1" thickBot="1" x14ac:dyDescent="0.25">
      <c r="A209" s="1417">
        <v>8</v>
      </c>
      <c r="B209" s="1192" t="s">
        <v>413</v>
      </c>
      <c r="C209" s="1220"/>
      <c r="D209" s="1220"/>
      <c r="E209" s="1220"/>
      <c r="F209" s="1220"/>
      <c r="G209" s="1220"/>
      <c r="H209" s="1220"/>
      <c r="I209" s="1220"/>
      <c r="J209" s="1220"/>
      <c r="K209" s="1220"/>
      <c r="L209" s="1220"/>
      <c r="M209" s="1220"/>
      <c r="N209" s="1220"/>
      <c r="O209" s="1220"/>
      <c r="P209" s="1220"/>
      <c r="Q209" s="1220"/>
      <c r="R209" s="1220"/>
      <c r="S209" s="1220"/>
      <c r="T209" s="1220"/>
      <c r="U209" s="1220"/>
      <c r="V209" s="1220"/>
      <c r="W209" s="1220"/>
      <c r="X209" s="1220"/>
      <c r="Y209" s="1220"/>
      <c r="Z209" s="1220"/>
      <c r="AA209" s="1220"/>
      <c r="AB209" s="1220"/>
      <c r="AC209" s="1220"/>
      <c r="AD209" s="1220"/>
      <c r="AE209" s="1220"/>
      <c r="AF209" s="1220"/>
      <c r="AG209" s="1222"/>
      <c r="AH209" s="67"/>
      <c r="AI209" s="67"/>
    </row>
    <row r="210" spans="1:36" ht="18" customHeight="1" x14ac:dyDescent="0.2">
      <c r="A210" s="129"/>
      <c r="B210" s="127"/>
      <c r="C210" s="128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28"/>
      <c r="AH210" s="67"/>
      <c r="AI210" s="67"/>
    </row>
    <row r="211" spans="1:36" ht="18" customHeight="1" x14ac:dyDescent="0.2">
      <c r="A211" s="129"/>
      <c r="B211" s="127"/>
      <c r="C211" s="128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67"/>
      <c r="AI211" s="67"/>
    </row>
    <row r="212" spans="1:36" ht="18" customHeight="1" thickBot="1" x14ac:dyDescent="0.25">
      <c r="A212" s="97" t="s">
        <v>294</v>
      </c>
      <c r="B212" s="48"/>
      <c r="C212" s="66"/>
      <c r="D212" s="48"/>
      <c r="E212" s="48"/>
      <c r="F212" s="66"/>
      <c r="G212" s="48"/>
      <c r="H212" s="48"/>
      <c r="I212" s="66"/>
      <c r="J212" s="66"/>
      <c r="K212" s="48"/>
      <c r="L212" s="66"/>
      <c r="M212" s="48"/>
      <c r="N212" s="48"/>
      <c r="O212" s="66"/>
      <c r="P212" s="48"/>
      <c r="Q212" s="66"/>
      <c r="R212" s="66"/>
      <c r="S212" s="48"/>
      <c r="T212" s="48"/>
      <c r="U212" s="66"/>
      <c r="V212" s="48"/>
      <c r="W212" s="66"/>
      <c r="X212" s="66"/>
      <c r="Y212" s="48"/>
      <c r="Z212" s="48"/>
      <c r="AA212" s="48"/>
      <c r="AB212" s="48"/>
      <c r="AC212" s="48"/>
      <c r="AD212" s="48"/>
      <c r="AE212" s="66"/>
      <c r="AF212" s="48"/>
      <c r="AG212" s="48"/>
      <c r="AH212" s="67"/>
      <c r="AI212" s="67"/>
    </row>
    <row r="213" spans="1:36" ht="18" customHeight="1" x14ac:dyDescent="0.2">
      <c r="A213" s="69"/>
      <c r="B213" s="1509" t="s">
        <v>295</v>
      </c>
      <c r="C213" s="1510"/>
      <c r="D213" s="224" t="s">
        <v>17</v>
      </c>
      <c r="E213" s="225"/>
      <c r="F213" s="384"/>
      <c r="G213" s="1511"/>
      <c r="H213" s="224" t="s">
        <v>18</v>
      </c>
      <c r="I213" s="225"/>
      <c r="J213" s="384"/>
      <c r="K213" s="1511"/>
      <c r="L213" s="224" t="s">
        <v>19</v>
      </c>
      <c r="M213" s="225"/>
      <c r="N213" s="384"/>
      <c r="O213" s="1511"/>
      <c r="P213" s="224" t="s">
        <v>20</v>
      </c>
      <c r="Q213" s="225"/>
      <c r="R213" s="384"/>
      <c r="S213" s="1511"/>
      <c r="T213" s="224" t="s">
        <v>21</v>
      </c>
      <c r="U213" s="225"/>
      <c r="V213" s="384"/>
      <c r="W213" s="1511"/>
      <c r="X213" s="224" t="s">
        <v>22</v>
      </c>
      <c r="Y213" s="225"/>
      <c r="Z213" s="384"/>
      <c r="AA213" s="1511"/>
      <c r="AB213" s="224" t="s">
        <v>23</v>
      </c>
      <c r="AC213" s="225"/>
      <c r="AD213" s="225"/>
      <c r="AE213" s="1512" t="s">
        <v>126</v>
      </c>
      <c r="AF213" s="225"/>
      <c r="AG213" s="225"/>
      <c r="AH213" s="225"/>
      <c r="AI213" s="385"/>
    </row>
    <row r="214" spans="1:36" ht="18" customHeight="1" x14ac:dyDescent="0.2">
      <c r="A214" s="69"/>
      <c r="B214" s="1137" t="s">
        <v>296</v>
      </c>
      <c r="C214" s="983" t="s">
        <v>297</v>
      </c>
      <c r="D214" s="1513" t="s">
        <v>298</v>
      </c>
      <c r="E214" s="985"/>
      <c r="F214" s="1514"/>
      <c r="G214" s="987"/>
      <c r="H214" s="1515" t="s">
        <v>298</v>
      </c>
      <c r="I214" s="1516"/>
      <c r="J214" s="1514"/>
      <c r="K214" s="987"/>
      <c r="L214" s="1515" t="s">
        <v>298</v>
      </c>
      <c r="M214" s="1516"/>
      <c r="N214" s="1514"/>
      <c r="O214" s="987"/>
      <c r="P214" s="1515" t="s">
        <v>299</v>
      </c>
      <c r="Q214" s="1516"/>
      <c r="R214" s="1514"/>
      <c r="S214" s="987"/>
      <c r="T214" s="1515" t="s">
        <v>300</v>
      </c>
      <c r="U214" s="1516"/>
      <c r="V214" s="1514"/>
      <c r="W214" s="990"/>
      <c r="X214" s="1517"/>
      <c r="Y214" s="1517"/>
      <c r="Z214" s="1518"/>
      <c r="AA214" s="990"/>
      <c r="AB214" s="1517"/>
      <c r="AC214" s="1517"/>
      <c r="AD214" s="1517"/>
      <c r="AE214" s="990"/>
      <c r="AF214" s="1517"/>
      <c r="AG214" s="1517"/>
      <c r="AH214" s="1519"/>
      <c r="AI214" s="994"/>
    </row>
    <row r="215" spans="1:36" ht="18" customHeight="1" x14ac:dyDescent="0.2">
      <c r="A215" s="69"/>
      <c r="B215" s="1137" t="s">
        <v>301</v>
      </c>
      <c r="C215" s="983" t="s">
        <v>174</v>
      </c>
      <c r="D215" s="1513" t="s">
        <v>298</v>
      </c>
      <c r="E215" s="985"/>
      <c r="F215" s="1514"/>
      <c r="G215" s="987"/>
      <c r="H215" s="1515" t="s">
        <v>298</v>
      </c>
      <c r="I215" s="1516"/>
      <c r="J215" s="1514"/>
      <c r="K215" s="987"/>
      <c r="L215" s="1515" t="s">
        <v>302</v>
      </c>
      <c r="M215" s="1516"/>
      <c r="N215" s="1514"/>
      <c r="O215" s="987"/>
      <c r="P215" s="1515" t="s">
        <v>303</v>
      </c>
      <c r="Q215" s="1516"/>
      <c r="R215" s="1514"/>
      <c r="S215" s="987"/>
      <c r="T215" s="1515" t="s">
        <v>304</v>
      </c>
      <c r="U215" s="1516"/>
      <c r="V215" s="1514"/>
      <c r="W215" s="990"/>
      <c r="X215" s="1517"/>
      <c r="Y215" s="1517"/>
      <c r="Z215" s="1518"/>
      <c r="AA215" s="990"/>
      <c r="AB215" s="1517"/>
      <c r="AC215" s="1517"/>
      <c r="AD215" s="1517"/>
      <c r="AE215" s="990"/>
      <c r="AF215" s="1517"/>
      <c r="AG215" s="1517"/>
      <c r="AH215" s="1519"/>
      <c r="AI215" s="994"/>
    </row>
    <row r="216" spans="1:36" ht="18" customHeight="1" x14ac:dyDescent="0.2">
      <c r="A216" s="69"/>
      <c r="B216" s="1137" t="s">
        <v>305</v>
      </c>
      <c r="C216" s="983" t="s">
        <v>154</v>
      </c>
      <c r="D216" s="1513" t="s">
        <v>306</v>
      </c>
      <c r="E216" s="985"/>
      <c r="F216" s="1514"/>
      <c r="G216" s="987"/>
      <c r="H216" s="1513" t="s">
        <v>306</v>
      </c>
      <c r="I216" s="1516"/>
      <c r="J216" s="1514"/>
      <c r="K216" s="987"/>
      <c r="L216" s="1513" t="s">
        <v>306</v>
      </c>
      <c r="M216" s="1516"/>
      <c r="N216" s="1514"/>
      <c r="O216" s="987"/>
      <c r="P216" s="1515" t="s">
        <v>307</v>
      </c>
      <c r="Q216" s="1516"/>
      <c r="R216" s="1514"/>
      <c r="S216" s="987"/>
      <c r="T216" s="1515" t="s">
        <v>304</v>
      </c>
      <c r="U216" s="1516"/>
      <c r="V216" s="1514"/>
      <c r="W216" s="990"/>
      <c r="X216" s="1517"/>
      <c r="Y216" s="1517"/>
      <c r="Z216" s="1518"/>
      <c r="AA216" s="990"/>
      <c r="AB216" s="1517"/>
      <c r="AC216" s="1517"/>
      <c r="AD216" s="1517"/>
      <c r="AE216" s="990"/>
      <c r="AF216" s="1517"/>
      <c r="AG216" s="1517"/>
      <c r="AH216" s="1519"/>
      <c r="AI216" s="994"/>
    </row>
    <row r="217" spans="1:36" ht="18" customHeight="1" x14ac:dyDescent="0.2">
      <c r="A217" s="69"/>
      <c r="B217" s="1137" t="s">
        <v>308</v>
      </c>
      <c r="C217" s="983" t="s">
        <v>309</v>
      </c>
      <c r="D217" s="1513" t="s">
        <v>310</v>
      </c>
      <c r="E217" s="985"/>
      <c r="F217" s="1514"/>
      <c r="G217" s="987"/>
      <c r="H217" s="1515" t="s">
        <v>298</v>
      </c>
      <c r="I217" s="1516"/>
      <c r="J217" s="1514"/>
      <c r="K217" s="987"/>
      <c r="L217" s="1515" t="s">
        <v>298</v>
      </c>
      <c r="M217" s="1516"/>
      <c r="N217" s="1514"/>
      <c r="O217" s="987"/>
      <c r="P217" s="1515" t="s">
        <v>311</v>
      </c>
      <c r="Q217" s="1516"/>
      <c r="R217" s="1514"/>
      <c r="S217" s="987"/>
      <c r="T217" s="1515" t="s">
        <v>312</v>
      </c>
      <c r="U217" s="1516"/>
      <c r="V217" s="1514"/>
      <c r="W217" s="990"/>
      <c r="X217" s="1517"/>
      <c r="Y217" s="1517"/>
      <c r="Z217" s="1518"/>
      <c r="AA217" s="990"/>
      <c r="AB217" s="1517"/>
      <c r="AC217" s="1517"/>
      <c r="AD217" s="1517"/>
      <c r="AE217" s="990"/>
      <c r="AF217" s="1517"/>
      <c r="AG217" s="1517"/>
      <c r="AH217" s="1519"/>
      <c r="AI217" s="994"/>
    </row>
    <row r="218" spans="1:36" ht="18" customHeight="1" x14ac:dyDescent="0.2">
      <c r="A218" s="69"/>
      <c r="B218" s="1520" t="s">
        <v>313</v>
      </c>
      <c r="C218" s="983" t="s">
        <v>160</v>
      </c>
      <c r="D218" s="1513" t="s">
        <v>314</v>
      </c>
      <c r="E218" s="985"/>
      <c r="F218" s="1521"/>
      <c r="G218" s="996"/>
      <c r="H218" s="1513" t="s">
        <v>314</v>
      </c>
      <c r="I218" s="1522"/>
      <c r="J218" s="1521"/>
      <c r="K218" s="996"/>
      <c r="L218" s="1513" t="s">
        <v>314</v>
      </c>
      <c r="M218" s="1522"/>
      <c r="N218" s="1521"/>
      <c r="O218" s="996"/>
      <c r="P218" s="1515" t="s">
        <v>315</v>
      </c>
      <c r="Q218" s="1522"/>
      <c r="R218" s="1521"/>
      <c r="S218" s="996"/>
      <c r="T218" s="1515" t="s">
        <v>304</v>
      </c>
      <c r="U218" s="1522"/>
      <c r="V218" s="1140"/>
      <c r="W218" s="1523"/>
      <c r="X218" s="1366"/>
      <c r="Y218" s="1366"/>
      <c r="Z218" s="1008"/>
      <c r="AA218" s="1523"/>
      <c r="AB218" s="1366"/>
      <c r="AC218" s="1366"/>
      <c r="AD218" s="1366"/>
      <c r="AE218" s="1523"/>
      <c r="AF218" s="1366"/>
      <c r="AG218" s="1366"/>
      <c r="AH218" s="1524"/>
      <c r="AI218" s="1002"/>
    </row>
    <row r="219" spans="1:36" ht="18" customHeight="1" x14ac:dyDescent="0.2">
      <c r="A219" s="69"/>
      <c r="B219" s="1137" t="s">
        <v>316</v>
      </c>
      <c r="C219" s="983" t="s">
        <v>168</v>
      </c>
      <c r="D219" s="1513" t="s">
        <v>317</v>
      </c>
      <c r="E219" s="985"/>
      <c r="F219" s="1514"/>
      <c r="G219" s="987"/>
      <c r="H219" s="1513" t="s">
        <v>317</v>
      </c>
      <c r="I219" s="1516"/>
      <c r="J219" s="1514"/>
      <c r="K219" s="987"/>
      <c r="L219" s="1513" t="s">
        <v>317</v>
      </c>
      <c r="M219" s="1516"/>
      <c r="N219" s="1514"/>
      <c r="O219" s="987"/>
      <c r="P219" s="1515" t="s">
        <v>318</v>
      </c>
      <c r="Q219" s="1516"/>
      <c r="R219" s="1514"/>
      <c r="S219" s="987"/>
      <c r="T219" s="1515" t="s">
        <v>304</v>
      </c>
      <c r="U219" s="1516"/>
      <c r="V219" s="1514"/>
      <c r="W219" s="990"/>
      <c r="X219" s="1517"/>
      <c r="Y219" s="1517"/>
      <c r="Z219" s="1142"/>
      <c r="AA219" s="990"/>
      <c r="AB219" s="1517"/>
      <c r="AC219" s="1517"/>
      <c r="AD219" s="1517"/>
      <c r="AE219" s="990"/>
      <c r="AF219" s="1517"/>
      <c r="AG219" s="1517"/>
      <c r="AH219" s="1519"/>
      <c r="AI219" s="994"/>
    </row>
    <row r="220" spans="1:36" ht="18" customHeight="1" x14ac:dyDescent="0.2">
      <c r="A220" s="69"/>
      <c r="B220" s="1137" t="s">
        <v>319</v>
      </c>
      <c r="C220" s="983" t="s">
        <v>158</v>
      </c>
      <c r="D220" s="1513" t="s">
        <v>320</v>
      </c>
      <c r="E220" s="985"/>
      <c r="F220" s="1514"/>
      <c r="G220" s="987"/>
      <c r="H220" s="1515" t="s">
        <v>320</v>
      </c>
      <c r="I220" s="1516"/>
      <c r="J220" s="1514"/>
      <c r="K220" s="987"/>
      <c r="L220" s="1515" t="s">
        <v>320</v>
      </c>
      <c r="M220" s="1516"/>
      <c r="N220" s="1516"/>
      <c r="O220" s="987"/>
      <c r="P220" s="1515" t="s">
        <v>320</v>
      </c>
      <c r="Q220" s="1516"/>
      <c r="R220" s="1516"/>
      <c r="S220" s="987"/>
      <c r="T220" s="1515" t="s">
        <v>304</v>
      </c>
      <c r="U220" s="1516"/>
      <c r="V220" s="1514"/>
      <c r="W220" s="1137"/>
      <c r="X220" s="1517"/>
      <c r="Y220" s="1517"/>
      <c r="Z220" s="1142"/>
      <c r="AA220" s="990"/>
      <c r="AB220" s="1517"/>
      <c r="AC220" s="1517"/>
      <c r="AD220" s="1517"/>
      <c r="AE220" s="990"/>
      <c r="AF220" s="1517"/>
      <c r="AG220" s="1517"/>
      <c r="AH220" s="1519"/>
      <c r="AI220" s="994"/>
    </row>
    <row r="221" spans="1:36" ht="18" customHeight="1" x14ac:dyDescent="0.2">
      <c r="A221" s="69"/>
      <c r="B221" s="1137" t="s">
        <v>321</v>
      </c>
      <c r="C221" s="983" t="s">
        <v>322</v>
      </c>
      <c r="D221" s="1513" t="s">
        <v>320</v>
      </c>
      <c r="E221" s="985"/>
      <c r="F221" s="1514"/>
      <c r="G221" s="987"/>
      <c r="H221" s="1515" t="s">
        <v>320</v>
      </c>
      <c r="I221" s="1516"/>
      <c r="J221" s="1514"/>
      <c r="K221" s="987"/>
      <c r="L221" s="1515" t="s">
        <v>320</v>
      </c>
      <c r="M221" s="1516"/>
      <c r="N221" s="1516"/>
      <c r="O221" s="987"/>
      <c r="P221" s="1515" t="s">
        <v>320</v>
      </c>
      <c r="Q221" s="1516"/>
      <c r="R221" s="1516"/>
      <c r="S221" s="987"/>
      <c r="T221" s="1515" t="s">
        <v>304</v>
      </c>
      <c r="U221" s="1516"/>
      <c r="V221" s="1514"/>
      <c r="W221" s="1137"/>
      <c r="X221" s="1517"/>
      <c r="Y221" s="1517"/>
      <c r="Z221" s="1518"/>
      <c r="AA221" s="1525"/>
      <c r="AB221" s="1517"/>
      <c r="AC221" s="1517"/>
      <c r="AD221" s="1517"/>
      <c r="AE221" s="990"/>
      <c r="AF221" s="1517"/>
      <c r="AG221" s="1517"/>
      <c r="AH221" s="1519"/>
      <c r="AI221" s="994"/>
    </row>
    <row r="222" spans="1:36" ht="18" customHeight="1" x14ac:dyDescent="0.2">
      <c r="A222" s="69"/>
      <c r="C222" s="260"/>
      <c r="D222" s="261"/>
      <c r="E222" s="261"/>
      <c r="F222" s="260"/>
      <c r="G222" s="262"/>
      <c r="H222" s="261"/>
      <c r="I222" s="260"/>
      <c r="J222" s="260"/>
      <c r="K222" s="262"/>
      <c r="L222" s="261"/>
      <c r="M222" s="260"/>
      <c r="N222" s="260"/>
      <c r="O222" s="262"/>
      <c r="P222" s="261"/>
      <c r="Q222" s="260"/>
      <c r="R222" s="260"/>
      <c r="S222" s="262"/>
      <c r="T222" s="261"/>
      <c r="U222" s="260"/>
      <c r="V222" s="260"/>
      <c r="AA222" s="122"/>
      <c r="AE222" s="122"/>
      <c r="AH222" s="67"/>
      <c r="AI222" s="67"/>
    </row>
    <row r="223" spans="1:36" ht="18" customHeight="1" thickBot="1" x14ac:dyDescent="0.25">
      <c r="A223" s="69"/>
      <c r="B223" t="s">
        <v>323</v>
      </c>
      <c r="C223" s="122"/>
      <c r="F223" s="122"/>
      <c r="I223" s="122"/>
      <c r="J223" s="122"/>
      <c r="L223" s="122"/>
      <c r="O223" s="122"/>
      <c r="Q223" s="122"/>
      <c r="R223" s="122"/>
      <c r="U223" s="122"/>
      <c r="W223" s="122"/>
      <c r="X223" s="122"/>
      <c r="AE223" s="122"/>
      <c r="AH223" s="67"/>
      <c r="AI223" s="67"/>
      <c r="AJ223" s="123"/>
    </row>
    <row r="224" spans="1:36" ht="18" customHeight="1" x14ac:dyDescent="0.2">
      <c r="A224" s="69"/>
      <c r="B224" s="1509" t="s">
        <v>295</v>
      </c>
      <c r="C224" s="1526"/>
      <c r="D224" s="224" t="s">
        <v>17</v>
      </c>
      <c r="E224" s="225"/>
      <c r="F224" s="384"/>
      <c r="G224" s="1511"/>
      <c r="H224" s="224" t="s">
        <v>18</v>
      </c>
      <c r="I224" s="225"/>
      <c r="J224" s="384"/>
      <c r="K224" s="1511"/>
      <c r="L224" s="224" t="s">
        <v>19</v>
      </c>
      <c r="M224" s="225"/>
      <c r="N224" s="384"/>
      <c r="O224" s="1511"/>
      <c r="P224" s="224" t="s">
        <v>20</v>
      </c>
      <c r="Q224" s="225"/>
      <c r="R224" s="384"/>
      <c r="S224" s="1511"/>
      <c r="T224" s="224" t="s">
        <v>21</v>
      </c>
      <c r="U224" s="225"/>
      <c r="V224" s="384"/>
      <c r="W224" s="1511"/>
      <c r="X224" s="224" t="s">
        <v>22</v>
      </c>
      <c r="Y224" s="225"/>
      <c r="Z224" s="384"/>
      <c r="AA224" s="1511"/>
      <c r="AB224" s="224" t="s">
        <v>23</v>
      </c>
      <c r="AC224" s="225"/>
      <c r="AD224" s="225"/>
      <c r="AE224" s="1512" t="s">
        <v>126</v>
      </c>
      <c r="AF224" s="225"/>
      <c r="AG224" s="225"/>
      <c r="AH224" s="225"/>
      <c r="AI224" s="385"/>
      <c r="AJ224" s="123"/>
    </row>
    <row r="225" spans="1:37" ht="18" customHeight="1" x14ac:dyDescent="0.2">
      <c r="A225" s="69"/>
      <c r="B225" s="1137" t="s">
        <v>296</v>
      </c>
      <c r="C225" s="983" t="s">
        <v>297</v>
      </c>
      <c r="D225" s="1513" t="s">
        <v>324</v>
      </c>
      <c r="E225" s="985"/>
      <c r="F225" s="1514"/>
      <c r="G225" s="987"/>
      <c r="H225" s="1513" t="s">
        <v>324</v>
      </c>
      <c r="I225" s="1516"/>
      <c r="J225" s="1514"/>
      <c r="K225" s="987"/>
      <c r="L225" s="1513" t="s">
        <v>324</v>
      </c>
      <c r="M225" s="1516"/>
      <c r="N225" s="1514"/>
      <c r="O225" s="987"/>
      <c r="P225" s="1515" t="s">
        <v>325</v>
      </c>
      <c r="Q225" s="1516"/>
      <c r="R225" s="1514"/>
      <c r="S225" s="987"/>
      <c r="T225" s="1515" t="s">
        <v>326</v>
      </c>
      <c r="U225" s="1516"/>
      <c r="V225" s="1514"/>
      <c r="W225" s="1006"/>
      <c r="X225" s="1142"/>
      <c r="Y225" s="1142"/>
      <c r="Z225" s="1140"/>
      <c r="AA225" s="1006"/>
      <c r="AB225" s="1142"/>
      <c r="AC225" s="1142"/>
      <c r="AD225" s="1142"/>
      <c r="AE225" s="1006"/>
      <c r="AF225" s="1142"/>
      <c r="AG225" s="1142"/>
      <c r="AH225" s="1519"/>
      <c r="AI225" s="994"/>
      <c r="AJ225" s="123"/>
    </row>
    <row r="226" spans="1:37" ht="18" customHeight="1" x14ac:dyDescent="0.2">
      <c r="A226" s="69"/>
      <c r="B226" s="1137" t="s">
        <v>301</v>
      </c>
      <c r="C226" s="983" t="s">
        <v>174</v>
      </c>
      <c r="D226" s="1513" t="s">
        <v>324</v>
      </c>
      <c r="E226" s="985"/>
      <c r="F226" s="1514"/>
      <c r="G226" s="987"/>
      <c r="H226" s="1513" t="s">
        <v>324</v>
      </c>
      <c r="I226" s="1516"/>
      <c r="J226" s="1514"/>
      <c r="K226" s="987"/>
      <c r="L226" s="1515" t="s">
        <v>302</v>
      </c>
      <c r="M226" s="1516"/>
      <c r="N226" s="1514"/>
      <c r="O226" s="987"/>
      <c r="P226" s="1515" t="s">
        <v>327</v>
      </c>
      <c r="Q226" s="1516"/>
      <c r="R226" s="1514"/>
      <c r="S226" s="987"/>
      <c r="T226" s="1515" t="s">
        <v>328</v>
      </c>
      <c r="U226" s="1516"/>
      <c r="V226" s="1514"/>
      <c r="W226" s="1006"/>
      <c r="X226" s="1142"/>
      <c r="Y226" s="1142"/>
      <c r="Z226" s="1140"/>
      <c r="AA226" s="1006"/>
      <c r="AB226" s="1142"/>
      <c r="AC226" s="1142"/>
      <c r="AD226" s="1142"/>
      <c r="AE226" s="1006"/>
      <c r="AF226" s="1142"/>
      <c r="AG226" s="1142"/>
      <c r="AH226" s="1519"/>
      <c r="AI226" s="994"/>
      <c r="AJ226" s="123"/>
    </row>
    <row r="227" spans="1:37" ht="18" customHeight="1" x14ac:dyDescent="0.2">
      <c r="A227" s="69"/>
      <c r="B227" s="1137" t="s">
        <v>305</v>
      </c>
      <c r="C227" s="983" t="s">
        <v>154</v>
      </c>
      <c r="D227" s="1513" t="s">
        <v>324</v>
      </c>
      <c r="E227" s="985"/>
      <c r="F227" s="1514"/>
      <c r="G227" s="987"/>
      <c r="H227" s="1513" t="s">
        <v>324</v>
      </c>
      <c r="I227" s="1516"/>
      <c r="J227" s="1514"/>
      <c r="K227" s="987"/>
      <c r="L227" s="1513" t="s">
        <v>324</v>
      </c>
      <c r="M227" s="1516"/>
      <c r="N227" s="1514"/>
      <c r="O227" s="987"/>
      <c r="P227" s="1515" t="s">
        <v>329</v>
      </c>
      <c r="Q227" s="1516"/>
      <c r="R227" s="1514"/>
      <c r="S227" s="987"/>
      <c r="T227" s="1515" t="s">
        <v>328</v>
      </c>
      <c r="U227" s="1516"/>
      <c r="V227" s="1514"/>
      <c r="W227" s="1006"/>
      <c r="X227" s="1142"/>
      <c r="Y227" s="1142"/>
      <c r="Z227" s="1140"/>
      <c r="AA227" s="1006"/>
      <c r="AB227" s="1142"/>
      <c r="AC227" s="1142"/>
      <c r="AD227" s="1142"/>
      <c r="AE227" s="1006"/>
      <c r="AF227" s="1142"/>
      <c r="AG227" s="1142"/>
      <c r="AH227" s="1519"/>
      <c r="AI227" s="994"/>
      <c r="AJ227" s="123"/>
    </row>
    <row r="228" spans="1:37" ht="18" customHeight="1" x14ac:dyDescent="0.2">
      <c r="A228" s="69"/>
      <c r="B228" s="1137" t="s">
        <v>308</v>
      </c>
      <c r="C228" s="983" t="s">
        <v>309</v>
      </c>
      <c r="D228" s="1513" t="s">
        <v>330</v>
      </c>
      <c r="E228" s="985"/>
      <c r="F228" s="1514"/>
      <c r="G228" s="987"/>
      <c r="H228" s="1513" t="s">
        <v>330</v>
      </c>
      <c r="I228" s="1516"/>
      <c r="J228" s="1514"/>
      <c r="K228" s="987"/>
      <c r="L228" s="1513" t="s">
        <v>314</v>
      </c>
      <c r="M228" s="1516"/>
      <c r="N228" s="1514"/>
      <c r="O228" s="987"/>
      <c r="P228" s="1515" t="s">
        <v>331</v>
      </c>
      <c r="Q228" s="1516"/>
      <c r="R228" s="1514"/>
      <c r="S228" s="987"/>
      <c r="T228" s="1515" t="s">
        <v>326</v>
      </c>
      <c r="U228" s="1516"/>
      <c r="V228" s="1514"/>
      <c r="W228" s="1006"/>
      <c r="X228" s="1142"/>
      <c r="Y228" s="1142"/>
      <c r="Z228" s="1140"/>
      <c r="AA228" s="1006"/>
      <c r="AB228" s="1142"/>
      <c r="AC228" s="1142"/>
      <c r="AD228" s="1142"/>
      <c r="AE228" s="1006"/>
      <c r="AF228" s="1142"/>
      <c r="AG228" s="1142"/>
      <c r="AH228" s="1519"/>
      <c r="AI228" s="994"/>
      <c r="AJ228" s="123"/>
    </row>
    <row r="229" spans="1:37" ht="18" customHeight="1" x14ac:dyDescent="0.2">
      <c r="A229" s="69"/>
      <c r="B229" s="1520" t="s">
        <v>313</v>
      </c>
      <c r="C229" s="983" t="s">
        <v>160</v>
      </c>
      <c r="D229" s="1513" t="s">
        <v>324</v>
      </c>
      <c r="E229" s="985"/>
      <c r="F229" s="1514"/>
      <c r="G229" s="987"/>
      <c r="H229" s="1513" t="s">
        <v>324</v>
      </c>
      <c r="I229" s="1516"/>
      <c r="J229" s="1514"/>
      <c r="K229" s="987"/>
      <c r="L229" s="1513" t="s">
        <v>324</v>
      </c>
      <c r="M229" s="1516"/>
      <c r="N229" s="1514"/>
      <c r="O229" s="987"/>
      <c r="P229" s="1515" t="s">
        <v>329</v>
      </c>
      <c r="Q229" s="1516"/>
      <c r="R229" s="1514"/>
      <c r="S229" s="987"/>
      <c r="T229" s="1515" t="s">
        <v>328</v>
      </c>
      <c r="U229" s="1516"/>
      <c r="V229" s="1514"/>
      <c r="W229" s="1523"/>
      <c r="X229" s="1366"/>
      <c r="Y229" s="1366"/>
      <c r="Z229" s="1008"/>
      <c r="AA229" s="1523"/>
      <c r="AB229" s="1366"/>
      <c r="AC229" s="1366"/>
      <c r="AD229" s="1366"/>
      <c r="AE229" s="1523"/>
      <c r="AF229" s="1366"/>
      <c r="AG229" s="1366"/>
      <c r="AH229" s="1524"/>
      <c r="AI229" s="1002"/>
      <c r="AJ229" s="123"/>
    </row>
    <row r="230" spans="1:37" ht="18" customHeight="1" x14ac:dyDescent="0.2">
      <c r="A230" s="69"/>
      <c r="B230" s="1137" t="s">
        <v>316</v>
      </c>
      <c r="C230" s="983" t="s">
        <v>168</v>
      </c>
      <c r="D230" s="1513" t="s">
        <v>324</v>
      </c>
      <c r="E230" s="985"/>
      <c r="F230" s="1514"/>
      <c r="G230" s="987"/>
      <c r="H230" s="1513" t="s">
        <v>324</v>
      </c>
      <c r="I230" s="1516"/>
      <c r="J230" s="1514"/>
      <c r="K230" s="987"/>
      <c r="L230" s="1513" t="s">
        <v>324</v>
      </c>
      <c r="M230" s="1516"/>
      <c r="N230" s="1514"/>
      <c r="O230" s="987"/>
      <c r="P230" s="1515" t="s">
        <v>325</v>
      </c>
      <c r="Q230" s="1516"/>
      <c r="R230" s="1514"/>
      <c r="S230" s="987"/>
      <c r="T230" s="1515" t="s">
        <v>326</v>
      </c>
      <c r="U230" s="1516"/>
      <c r="V230" s="1514"/>
      <c r="W230" s="1006"/>
      <c r="X230" s="1142"/>
      <c r="Y230" s="1142"/>
      <c r="Z230" s="1142"/>
      <c r="AA230" s="1006"/>
      <c r="AB230" s="1142"/>
      <c r="AC230" s="1142"/>
      <c r="AD230" s="1142"/>
      <c r="AE230" s="1006"/>
      <c r="AF230" s="1142"/>
      <c r="AG230" s="1142"/>
      <c r="AH230" s="1519"/>
      <c r="AI230" s="994"/>
      <c r="AJ230" s="123"/>
    </row>
    <row r="231" spans="1:37" ht="18" customHeight="1" x14ac:dyDescent="0.2">
      <c r="A231" s="69"/>
      <c r="B231" s="1137" t="s">
        <v>319</v>
      </c>
      <c r="C231" s="983" t="s">
        <v>158</v>
      </c>
      <c r="D231" s="1513" t="s">
        <v>320</v>
      </c>
      <c r="E231" s="985"/>
      <c r="F231" s="1514"/>
      <c r="G231" s="987"/>
      <c r="H231" s="1515" t="s">
        <v>320</v>
      </c>
      <c r="I231" s="1516"/>
      <c r="J231" s="1514"/>
      <c r="K231" s="987"/>
      <c r="L231" s="1515" t="s">
        <v>320</v>
      </c>
      <c r="M231" s="1516"/>
      <c r="N231" s="1516"/>
      <c r="O231" s="987"/>
      <c r="P231" s="1515" t="s">
        <v>320</v>
      </c>
      <c r="Q231" s="1516"/>
      <c r="R231" s="1516"/>
      <c r="S231" s="987"/>
      <c r="T231" s="1515" t="s">
        <v>304</v>
      </c>
      <c r="U231" s="1516"/>
      <c r="V231" s="1514"/>
      <c r="W231" s="1137"/>
      <c r="X231" s="1142"/>
      <c r="Y231" s="1142"/>
      <c r="Z231" s="1142"/>
      <c r="AA231" s="1006"/>
      <c r="AB231" s="1142"/>
      <c r="AC231" s="1142"/>
      <c r="AD231" s="1142"/>
      <c r="AE231" s="1006"/>
      <c r="AF231" s="1142"/>
      <c r="AG231" s="1142"/>
      <c r="AH231" s="1519"/>
      <c r="AI231" s="994"/>
      <c r="AJ231" s="123"/>
    </row>
    <row r="232" spans="1:37" ht="18" customHeight="1" x14ac:dyDescent="0.2">
      <c r="A232" s="69"/>
      <c r="B232" s="1137" t="s">
        <v>321</v>
      </c>
      <c r="C232" s="983" t="s">
        <v>322</v>
      </c>
      <c r="D232" s="1513" t="s">
        <v>320</v>
      </c>
      <c r="E232" s="985"/>
      <c r="F232" s="1514"/>
      <c r="G232" s="987"/>
      <c r="H232" s="1515" t="s">
        <v>320</v>
      </c>
      <c r="I232" s="1516"/>
      <c r="J232" s="1514"/>
      <c r="K232" s="987"/>
      <c r="L232" s="1515" t="s">
        <v>320</v>
      </c>
      <c r="M232" s="1516"/>
      <c r="N232" s="1516"/>
      <c r="O232" s="987"/>
      <c r="P232" s="1515" t="s">
        <v>320</v>
      </c>
      <c r="Q232" s="1516"/>
      <c r="R232" s="1516"/>
      <c r="S232" s="987"/>
      <c r="T232" s="1515" t="s">
        <v>304</v>
      </c>
      <c r="U232" s="1516"/>
      <c r="V232" s="1514"/>
      <c r="W232" s="1137"/>
      <c r="X232" s="1142"/>
      <c r="Y232" s="1142"/>
      <c r="Z232" s="1140"/>
      <c r="AA232" s="1525"/>
      <c r="AB232" s="1142"/>
      <c r="AC232" s="1142"/>
      <c r="AD232" s="1142"/>
      <c r="AE232" s="1006"/>
      <c r="AF232" s="1142"/>
      <c r="AG232" s="1142"/>
      <c r="AH232" s="1519"/>
      <c r="AI232" s="994"/>
      <c r="AJ232" s="123"/>
    </row>
    <row r="233" spans="1:37" ht="18" customHeight="1" thickBot="1" x14ac:dyDescent="0.25">
      <c r="A233" s="69"/>
      <c r="B233" s="133"/>
      <c r="C233" s="134"/>
      <c r="D233" s="135"/>
      <c r="E233" s="136"/>
      <c r="F233" s="136"/>
      <c r="G233" s="137"/>
      <c r="H233" s="135"/>
      <c r="I233" s="136"/>
      <c r="J233" s="136"/>
      <c r="K233" s="137"/>
      <c r="L233" s="135"/>
      <c r="M233" s="136"/>
      <c r="N233" s="136"/>
      <c r="O233" s="137"/>
      <c r="P233" s="127"/>
      <c r="Q233" s="136"/>
      <c r="R233" s="136"/>
      <c r="S233" s="137"/>
      <c r="T233" s="127"/>
      <c r="U233" s="136"/>
      <c r="V233" s="136"/>
      <c r="W233" s="136"/>
      <c r="X233" s="136"/>
      <c r="Y233" s="136"/>
      <c r="Z233" s="136"/>
      <c r="AA233" s="137"/>
      <c r="AB233" s="136"/>
      <c r="AC233" s="136"/>
      <c r="AD233" s="136"/>
      <c r="AE233" s="137"/>
      <c r="AF233" s="136"/>
      <c r="AG233" s="136"/>
      <c r="AH233" s="124"/>
      <c r="AI233" s="124"/>
      <c r="AJ233" s="123"/>
    </row>
    <row r="234" spans="1:37" ht="18" customHeight="1" thickBot="1" x14ac:dyDescent="0.25">
      <c r="A234" s="96"/>
      <c r="B234" s="1527" t="s">
        <v>44</v>
      </c>
      <c r="C234" s="1154">
        <v>1</v>
      </c>
      <c r="D234" s="1154">
        <v>2</v>
      </c>
      <c r="E234" s="1155">
        <v>3</v>
      </c>
      <c r="F234" s="1155">
        <v>4</v>
      </c>
      <c r="G234" s="1154">
        <v>5</v>
      </c>
      <c r="H234" s="1155">
        <v>6</v>
      </c>
      <c r="I234" s="1155">
        <v>7</v>
      </c>
      <c r="J234" s="1154">
        <v>8</v>
      </c>
      <c r="K234" s="1154">
        <v>9</v>
      </c>
      <c r="L234" s="1155">
        <v>10</v>
      </c>
      <c r="M234" s="1155">
        <v>11</v>
      </c>
      <c r="N234" s="1155">
        <v>12</v>
      </c>
      <c r="O234" s="1155">
        <v>13</v>
      </c>
      <c r="P234" s="1155">
        <v>14</v>
      </c>
      <c r="Q234" s="1154">
        <v>15</v>
      </c>
      <c r="R234" s="1154">
        <v>16</v>
      </c>
      <c r="S234" s="1155">
        <v>17</v>
      </c>
      <c r="T234" s="1155">
        <v>18</v>
      </c>
      <c r="U234" s="1155">
        <v>19</v>
      </c>
      <c r="V234" s="1155">
        <v>20</v>
      </c>
      <c r="W234" s="1155">
        <v>21</v>
      </c>
      <c r="X234" s="1154">
        <v>22</v>
      </c>
      <c r="Y234" s="1154">
        <v>23</v>
      </c>
      <c r="Z234" s="1155">
        <v>24</v>
      </c>
      <c r="AA234" s="1155">
        <v>25</v>
      </c>
      <c r="AB234" s="1155">
        <v>26</v>
      </c>
      <c r="AC234" s="1155">
        <v>27</v>
      </c>
      <c r="AD234" s="1155">
        <v>28</v>
      </c>
      <c r="AE234" s="1154">
        <v>29</v>
      </c>
      <c r="AF234" s="1154">
        <v>30</v>
      </c>
      <c r="AG234" s="1353"/>
      <c r="AH234" s="117"/>
      <c r="AI234" s="111"/>
    </row>
    <row r="235" spans="1:37" ht="18" customHeight="1" x14ac:dyDescent="0.2">
      <c r="A235" s="69"/>
      <c r="B235" s="1011" t="s">
        <v>332</v>
      </c>
      <c r="C235" s="1348"/>
      <c r="D235" s="1348"/>
      <c r="E235" s="1348" t="s">
        <v>414</v>
      </c>
      <c r="F235" s="1348" t="s">
        <v>414</v>
      </c>
      <c r="G235" s="1348"/>
      <c r="H235" s="1348" t="s">
        <v>414</v>
      </c>
      <c r="I235" s="1348" t="s">
        <v>414</v>
      </c>
      <c r="J235" s="1348"/>
      <c r="K235" s="1348"/>
      <c r="L235" s="1348" t="s">
        <v>414</v>
      </c>
      <c r="M235" s="1348" t="s">
        <v>414</v>
      </c>
      <c r="N235" s="1348" t="s">
        <v>414</v>
      </c>
      <c r="O235" s="1348" t="s">
        <v>414</v>
      </c>
      <c r="P235" s="1348" t="s">
        <v>414</v>
      </c>
      <c r="Q235" s="1348"/>
      <c r="R235" s="1348"/>
      <c r="S235" s="1348" t="s">
        <v>414</v>
      </c>
      <c r="T235" s="1348" t="s">
        <v>414</v>
      </c>
      <c r="U235" s="1348" t="s">
        <v>414</v>
      </c>
      <c r="V235" s="1348" t="s">
        <v>414</v>
      </c>
      <c r="W235" s="1348" t="s">
        <v>414</v>
      </c>
      <c r="X235" s="1348"/>
      <c r="Y235" s="1348"/>
      <c r="Z235" s="1348" t="s">
        <v>414</v>
      </c>
      <c r="AA235" s="1348" t="s">
        <v>414</v>
      </c>
      <c r="AB235" s="1528" t="s">
        <v>414</v>
      </c>
      <c r="AC235" s="1528" t="s">
        <v>414</v>
      </c>
      <c r="AD235" s="1528" t="s">
        <v>414</v>
      </c>
      <c r="AE235" s="1528"/>
      <c r="AF235" s="1528"/>
      <c r="AG235" s="801"/>
      <c r="AH235" s="116"/>
      <c r="AI235" s="116"/>
    </row>
    <row r="236" spans="1:37" ht="18" customHeight="1" x14ac:dyDescent="0.2">
      <c r="A236" s="69"/>
      <c r="B236" s="1011" t="s">
        <v>333</v>
      </c>
      <c r="C236" s="1348"/>
      <c r="D236" s="1348"/>
      <c r="E236" s="1348" t="s">
        <v>174</v>
      </c>
      <c r="F236" s="1348" t="s">
        <v>174</v>
      </c>
      <c r="G236" s="1348"/>
      <c r="H236" s="1348" t="s">
        <v>174</v>
      </c>
      <c r="I236" s="1348" t="s">
        <v>174</v>
      </c>
      <c r="J236" s="1348"/>
      <c r="K236" s="1348"/>
      <c r="L236" s="1348" t="s">
        <v>174</v>
      </c>
      <c r="M236" s="1348" t="s">
        <v>174</v>
      </c>
      <c r="N236" s="1348" t="s">
        <v>174</v>
      </c>
      <c r="O236" s="1348" t="s">
        <v>174</v>
      </c>
      <c r="P236" s="1348" t="s">
        <v>174</v>
      </c>
      <c r="Q236" s="1348"/>
      <c r="R236" s="1348"/>
      <c r="S236" s="1348" t="s">
        <v>174</v>
      </c>
      <c r="T236" s="1348" t="s">
        <v>174</v>
      </c>
      <c r="U236" s="1348" t="s">
        <v>174</v>
      </c>
      <c r="V236" s="1348" t="s">
        <v>174</v>
      </c>
      <c r="W236" s="1348" t="s">
        <v>174</v>
      </c>
      <c r="X236" s="1348"/>
      <c r="Y236" s="1348"/>
      <c r="Z236" s="1348" t="s">
        <v>174</v>
      </c>
      <c r="AA236" s="1529" t="s">
        <v>174</v>
      </c>
      <c r="AB236" s="1348" t="s">
        <v>174</v>
      </c>
      <c r="AC236" s="1348" t="s">
        <v>174</v>
      </c>
      <c r="AD236" s="1348" t="s">
        <v>174</v>
      </c>
      <c r="AE236" s="1348"/>
      <c r="AF236" s="1348"/>
      <c r="AG236" s="801"/>
      <c r="AH236" s="116"/>
      <c r="AI236" s="116"/>
    </row>
    <row r="237" spans="1:37" ht="18" customHeight="1" x14ac:dyDescent="0.2">
      <c r="A237" s="69"/>
      <c r="B237" s="1012" t="s">
        <v>334</v>
      </c>
      <c r="C237" s="805"/>
      <c r="D237" s="805"/>
      <c r="E237" s="805" t="s">
        <v>154</v>
      </c>
      <c r="F237" s="805" t="s">
        <v>154</v>
      </c>
      <c r="G237" s="805"/>
      <c r="H237" s="805" t="s">
        <v>154</v>
      </c>
      <c r="I237" s="805" t="s">
        <v>154</v>
      </c>
      <c r="J237" s="805"/>
      <c r="K237" s="805"/>
      <c r="L237" s="805" t="s">
        <v>154</v>
      </c>
      <c r="M237" s="805" t="s">
        <v>154</v>
      </c>
      <c r="N237" s="805" t="s">
        <v>154</v>
      </c>
      <c r="O237" s="805" t="s">
        <v>154</v>
      </c>
      <c r="P237" s="805" t="s">
        <v>154</v>
      </c>
      <c r="Q237" s="805"/>
      <c r="R237" s="805"/>
      <c r="S237" s="805" t="s">
        <v>154</v>
      </c>
      <c r="T237" s="805" t="s">
        <v>154</v>
      </c>
      <c r="U237" s="805" t="s">
        <v>154</v>
      </c>
      <c r="V237" s="805" t="s">
        <v>154</v>
      </c>
      <c r="W237" s="805" t="s">
        <v>154</v>
      </c>
      <c r="X237" s="805"/>
      <c r="Y237" s="805"/>
      <c r="Z237" s="805" t="s">
        <v>154</v>
      </c>
      <c r="AA237" s="805" t="s">
        <v>154</v>
      </c>
      <c r="AB237" s="805" t="s">
        <v>154</v>
      </c>
      <c r="AC237" s="805" t="s">
        <v>154</v>
      </c>
      <c r="AD237" s="805" t="s">
        <v>154</v>
      </c>
      <c r="AE237" s="805"/>
      <c r="AF237" s="805"/>
      <c r="AG237" s="801"/>
      <c r="AH237" s="116"/>
      <c r="AI237" s="116"/>
      <c r="AK237" t="s">
        <v>0</v>
      </c>
    </row>
    <row r="238" spans="1:37" ht="18" customHeight="1" x14ac:dyDescent="0.2">
      <c r="A238" s="69"/>
      <c r="B238" s="1011" t="s">
        <v>335</v>
      </c>
      <c r="C238" s="1348"/>
      <c r="D238" s="1348"/>
      <c r="E238" s="1348" t="s">
        <v>309</v>
      </c>
      <c r="F238" s="1348" t="s">
        <v>309</v>
      </c>
      <c r="G238" s="1348"/>
      <c r="H238" s="1530" t="s">
        <v>309</v>
      </c>
      <c r="I238" s="1530" t="s">
        <v>309</v>
      </c>
      <c r="J238" s="1530"/>
      <c r="K238" s="1530" t="s">
        <v>405</v>
      </c>
      <c r="L238" s="1348" t="s">
        <v>309</v>
      </c>
      <c r="M238" s="1348" t="s">
        <v>309</v>
      </c>
      <c r="N238" s="1348" t="s">
        <v>309</v>
      </c>
      <c r="O238" s="1348" t="s">
        <v>309</v>
      </c>
      <c r="P238" s="1348" t="s">
        <v>309</v>
      </c>
      <c r="Q238" s="1348"/>
      <c r="R238" s="1348"/>
      <c r="S238" s="1348" t="s">
        <v>309</v>
      </c>
      <c r="T238" s="1348" t="s">
        <v>309</v>
      </c>
      <c r="U238" s="1348" t="s">
        <v>309</v>
      </c>
      <c r="V238" s="1348" t="s">
        <v>309</v>
      </c>
      <c r="W238" s="1348" t="s">
        <v>309</v>
      </c>
      <c r="X238" s="1348"/>
      <c r="Y238" s="1348"/>
      <c r="Z238" s="1348" t="s">
        <v>309</v>
      </c>
      <c r="AA238" s="1348" t="s">
        <v>309</v>
      </c>
      <c r="AB238" s="1531" t="s">
        <v>309</v>
      </c>
      <c r="AC238" s="1348" t="s">
        <v>309</v>
      </c>
      <c r="AD238" s="1348" t="s">
        <v>309</v>
      </c>
      <c r="AE238" s="1348"/>
      <c r="AF238" s="1348"/>
      <c r="AG238" s="801"/>
      <c r="AH238" s="116"/>
      <c r="AI238" s="116"/>
    </row>
    <row r="239" spans="1:37" ht="18" customHeight="1" x14ac:dyDescent="0.2">
      <c r="A239" s="69"/>
      <c r="B239" s="1011"/>
      <c r="C239" s="635"/>
      <c r="D239" s="635"/>
      <c r="E239" s="635" t="s">
        <v>160</v>
      </c>
      <c r="F239" s="635" t="s">
        <v>160</v>
      </c>
      <c r="G239" s="635"/>
      <c r="H239" s="635" t="s">
        <v>160</v>
      </c>
      <c r="I239" s="635" t="s">
        <v>160</v>
      </c>
      <c r="J239" s="635"/>
      <c r="K239" s="635"/>
      <c r="L239" s="635" t="s">
        <v>160</v>
      </c>
      <c r="M239" s="635" t="s">
        <v>160</v>
      </c>
      <c r="N239" s="635" t="s">
        <v>160</v>
      </c>
      <c r="O239" s="635" t="s">
        <v>160</v>
      </c>
      <c r="P239" s="635" t="s">
        <v>160</v>
      </c>
      <c r="Q239" s="635"/>
      <c r="R239" s="635"/>
      <c r="S239" s="635" t="s">
        <v>160</v>
      </c>
      <c r="T239" s="635" t="s">
        <v>160</v>
      </c>
      <c r="U239" s="635" t="s">
        <v>160</v>
      </c>
      <c r="V239" s="635" t="s">
        <v>160</v>
      </c>
      <c r="W239" s="635" t="s">
        <v>160</v>
      </c>
      <c r="X239" s="635"/>
      <c r="Y239" s="635"/>
      <c r="Z239" s="635" t="s">
        <v>160</v>
      </c>
      <c r="AA239" s="635" t="s">
        <v>160</v>
      </c>
      <c r="AB239" s="635" t="s">
        <v>160</v>
      </c>
      <c r="AC239" s="635" t="s">
        <v>160</v>
      </c>
      <c r="AD239" s="635" t="s">
        <v>160</v>
      </c>
      <c r="AE239" s="635"/>
      <c r="AF239" s="635"/>
      <c r="AG239" s="801"/>
      <c r="AH239" s="116"/>
      <c r="AI239" s="116"/>
    </row>
    <row r="240" spans="1:37" ht="18" customHeight="1" x14ac:dyDescent="0.2">
      <c r="A240" s="69"/>
      <c r="B240" s="1011"/>
      <c r="C240" s="1348"/>
      <c r="D240" s="1348"/>
      <c r="E240" s="1348" t="s">
        <v>168</v>
      </c>
      <c r="F240" s="1348" t="s">
        <v>168</v>
      </c>
      <c r="G240" s="1348"/>
      <c r="H240" s="1348" t="s">
        <v>168</v>
      </c>
      <c r="I240" s="1348" t="s">
        <v>168</v>
      </c>
      <c r="J240" s="1348"/>
      <c r="K240" s="1348"/>
      <c r="L240" s="1348" t="s">
        <v>168</v>
      </c>
      <c r="M240" s="1348" t="s">
        <v>168</v>
      </c>
      <c r="N240" s="1348" t="s">
        <v>168</v>
      </c>
      <c r="O240" s="1348" t="s">
        <v>168</v>
      </c>
      <c r="P240" s="1348" t="s">
        <v>168</v>
      </c>
      <c r="Q240" s="1348"/>
      <c r="R240" s="1348"/>
      <c r="S240" s="1348" t="s">
        <v>168</v>
      </c>
      <c r="T240" s="1348" t="s">
        <v>168</v>
      </c>
      <c r="U240" s="1348" t="s">
        <v>168</v>
      </c>
      <c r="V240" s="1348" t="s">
        <v>168</v>
      </c>
      <c r="W240" s="1348" t="s">
        <v>168</v>
      </c>
      <c r="X240" s="1348"/>
      <c r="Y240" s="1348"/>
      <c r="Z240" s="1348" t="s">
        <v>168</v>
      </c>
      <c r="AA240" s="1348" t="s">
        <v>168</v>
      </c>
      <c r="AB240" s="1348" t="s">
        <v>168</v>
      </c>
      <c r="AC240" s="1348" t="s">
        <v>168</v>
      </c>
      <c r="AD240" s="1348" t="s">
        <v>168</v>
      </c>
      <c r="AE240" s="1348"/>
      <c r="AF240" s="1348"/>
      <c r="AG240" s="801"/>
      <c r="AH240" s="116"/>
      <c r="AI240" s="116"/>
    </row>
    <row r="241" spans="1:35" ht="18" customHeight="1" x14ac:dyDescent="0.2">
      <c r="A241" s="69"/>
      <c r="B241" s="748" t="s">
        <v>336</v>
      </c>
      <c r="C241" s="1488"/>
      <c r="D241" s="1488"/>
      <c r="E241" s="1488" t="s">
        <v>158</v>
      </c>
      <c r="F241" s="1488" t="s">
        <v>158</v>
      </c>
      <c r="G241" s="1488"/>
      <c r="H241" s="1488" t="s">
        <v>158</v>
      </c>
      <c r="I241" s="1488" t="s">
        <v>158</v>
      </c>
      <c r="J241" s="1488"/>
      <c r="K241" s="1488"/>
      <c r="L241" s="1488" t="s">
        <v>158</v>
      </c>
      <c r="M241" s="1488" t="s">
        <v>158</v>
      </c>
      <c r="N241" s="1488" t="s">
        <v>158</v>
      </c>
      <c r="O241" s="1488" t="s">
        <v>158</v>
      </c>
      <c r="P241" s="1488" t="s">
        <v>158</v>
      </c>
      <c r="Q241" s="1488"/>
      <c r="R241" s="1488"/>
      <c r="S241" s="1348" t="s">
        <v>158</v>
      </c>
      <c r="T241" s="1348" t="s">
        <v>158</v>
      </c>
      <c r="U241" s="1348" t="s">
        <v>158</v>
      </c>
      <c r="V241" s="1348" t="s">
        <v>158</v>
      </c>
      <c r="W241" s="1348" t="s">
        <v>158</v>
      </c>
      <c r="X241" s="1348"/>
      <c r="Y241" s="1348"/>
      <c r="Z241" s="1348" t="s">
        <v>158</v>
      </c>
      <c r="AA241" s="638" t="s">
        <v>158</v>
      </c>
      <c r="AB241" s="638" t="s">
        <v>158</v>
      </c>
      <c r="AC241" s="638" t="s">
        <v>158</v>
      </c>
      <c r="AD241" s="1348" t="s">
        <v>158</v>
      </c>
      <c r="AE241" s="1348"/>
      <c r="AF241" s="1348"/>
      <c r="AG241" s="801"/>
      <c r="AH241" s="116"/>
      <c r="AI241" s="116"/>
    </row>
    <row r="242" spans="1:35" ht="18" customHeight="1" x14ac:dyDescent="0.2">
      <c r="A242" s="69"/>
      <c r="B242" s="764" t="s">
        <v>337</v>
      </c>
      <c r="C242" s="799"/>
      <c r="D242" s="799"/>
      <c r="E242" s="799" t="s">
        <v>322</v>
      </c>
      <c r="F242" s="799" t="s">
        <v>322</v>
      </c>
      <c r="G242" s="799"/>
      <c r="H242" s="799" t="s">
        <v>322</v>
      </c>
      <c r="I242" s="799" t="s">
        <v>322</v>
      </c>
      <c r="J242" s="799"/>
      <c r="K242" s="799"/>
      <c r="L242" s="799" t="s">
        <v>322</v>
      </c>
      <c r="M242" s="799" t="s">
        <v>322</v>
      </c>
      <c r="N242" s="799" t="s">
        <v>322</v>
      </c>
      <c r="O242" s="799" t="s">
        <v>322</v>
      </c>
      <c r="P242" s="799" t="s">
        <v>322</v>
      </c>
      <c r="Q242" s="799"/>
      <c r="R242" s="799"/>
      <c r="S242" s="799" t="s">
        <v>322</v>
      </c>
      <c r="T242" s="799" t="s">
        <v>322</v>
      </c>
      <c r="U242" s="799" t="s">
        <v>322</v>
      </c>
      <c r="V242" s="799" t="s">
        <v>322</v>
      </c>
      <c r="W242" s="799" t="s">
        <v>322</v>
      </c>
      <c r="X242" s="799"/>
      <c r="Y242" s="799"/>
      <c r="Z242" s="799" t="s">
        <v>322</v>
      </c>
      <c r="AA242" s="799" t="s">
        <v>322</v>
      </c>
      <c r="AB242" s="805" t="s">
        <v>322</v>
      </c>
      <c r="AC242" s="805" t="s">
        <v>322</v>
      </c>
      <c r="AD242" s="805" t="s">
        <v>322</v>
      </c>
      <c r="AE242" s="805" t="s">
        <v>405</v>
      </c>
      <c r="AF242" s="638"/>
      <c r="AG242" s="801"/>
      <c r="AH242" s="67"/>
      <c r="AI242" s="67"/>
    </row>
    <row r="243" spans="1:35" ht="18" customHeight="1" x14ac:dyDescent="0.2">
      <c r="A243" s="96"/>
      <c r="B243" s="141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40"/>
      <c r="AF243" s="140"/>
      <c r="AG243" s="140"/>
      <c r="AH243" s="73"/>
    </row>
    <row r="244" spans="1:35" ht="18" customHeight="1" x14ac:dyDescent="0.2"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</row>
    <row r="245" spans="1:35" ht="18" customHeight="1" thickBot="1" x14ac:dyDescent="0.25">
      <c r="A245" s="1" t="s">
        <v>339</v>
      </c>
      <c r="B245" s="37"/>
    </row>
    <row r="246" spans="1:35" ht="18" customHeight="1" x14ac:dyDescent="0.2">
      <c r="A246" s="1"/>
      <c r="B246" s="1014" t="s">
        <v>340</v>
      </c>
      <c r="C246" s="1532" t="s">
        <v>17</v>
      </c>
      <c r="D246" s="1395"/>
      <c r="E246" s="1395"/>
      <c r="F246" s="1395"/>
      <c r="G246" s="1532" t="s">
        <v>18</v>
      </c>
      <c r="H246" s="1395"/>
      <c r="I246" s="1395"/>
      <c r="J246" s="1395"/>
      <c r="K246" s="1532" t="s">
        <v>19</v>
      </c>
      <c r="L246" s="1395"/>
      <c r="M246" s="1395"/>
      <c r="N246" s="1395"/>
      <c r="O246" s="1532" t="s">
        <v>20</v>
      </c>
      <c r="P246" s="1395"/>
      <c r="Q246" s="1395"/>
      <c r="R246" s="1395"/>
      <c r="S246" s="1532" t="s">
        <v>21</v>
      </c>
      <c r="T246" s="1395"/>
      <c r="U246" s="1395"/>
      <c r="V246" s="1395"/>
      <c r="W246" s="1532" t="s">
        <v>22</v>
      </c>
      <c r="X246" s="1231"/>
      <c r="Y246" s="1395"/>
      <c r="Z246" s="1533"/>
      <c r="AA246" s="1532" t="s">
        <v>23</v>
      </c>
      <c r="AB246" s="1231"/>
      <c r="AC246" s="1395"/>
      <c r="AD246" s="1533"/>
      <c r="AE246" s="1534" t="s">
        <v>126</v>
      </c>
      <c r="AF246" s="1395"/>
      <c r="AG246" s="1395"/>
      <c r="AH246" s="1395"/>
      <c r="AI246" s="1232"/>
    </row>
    <row r="247" spans="1:35" ht="18" customHeight="1" x14ac:dyDescent="0.2">
      <c r="A247" s="1"/>
      <c r="B247" s="1018">
        <v>3701</v>
      </c>
      <c r="C247" s="70" t="s">
        <v>341</v>
      </c>
      <c r="D247" s="70"/>
      <c r="E247" s="70"/>
      <c r="F247" s="70"/>
      <c r="G247" s="1535" t="s">
        <v>342</v>
      </c>
      <c r="H247" s="70"/>
      <c r="I247" s="70"/>
      <c r="J247" s="70"/>
      <c r="K247" s="1535" t="s">
        <v>342</v>
      </c>
      <c r="L247" s="70"/>
      <c r="M247" s="70"/>
      <c r="N247" s="70"/>
      <c r="O247" s="1535" t="s">
        <v>342</v>
      </c>
      <c r="P247" s="70"/>
      <c r="Q247" s="70"/>
      <c r="R247" s="70"/>
      <c r="S247" s="1535" t="s">
        <v>343</v>
      </c>
      <c r="T247" s="70"/>
      <c r="U247" s="70"/>
      <c r="V247" s="70"/>
      <c r="W247" s="1372"/>
      <c r="X247" s="1019"/>
      <c r="Y247" s="1244"/>
      <c r="Z247" s="1020"/>
      <c r="AA247" s="1372"/>
      <c r="AB247" s="1019"/>
      <c r="AC247" s="1244"/>
      <c r="AD247" s="1020"/>
      <c r="AE247" s="1445"/>
      <c r="AF247" s="1244"/>
      <c r="AG247" s="1244"/>
      <c r="AH247" s="1244"/>
      <c r="AI247" s="1403"/>
    </row>
    <row r="248" spans="1:35" ht="18" customHeight="1" x14ac:dyDescent="0.2">
      <c r="B248" s="1014">
        <v>3700</v>
      </c>
      <c r="C248" s="1244" t="s">
        <v>249</v>
      </c>
      <c r="D248" s="1244"/>
      <c r="E248" s="1244"/>
      <c r="F248" s="1244"/>
      <c r="G248" s="1404" t="s">
        <v>249</v>
      </c>
      <c r="H248" s="1244"/>
      <c r="I248" s="1244"/>
      <c r="J248" s="1244"/>
      <c r="K248" s="1404" t="s">
        <v>249</v>
      </c>
      <c r="L248" s="1244"/>
      <c r="M248" s="1244"/>
      <c r="N248" s="1244"/>
      <c r="O248" s="1404" t="s">
        <v>249</v>
      </c>
      <c r="P248" s="1244"/>
      <c r="Q248" s="1244"/>
      <c r="R248" s="1244"/>
      <c r="S248" s="1404" t="s">
        <v>250</v>
      </c>
      <c r="T248" s="1244"/>
      <c r="U248" s="1244"/>
      <c r="V248" s="1244"/>
      <c r="W248" s="1372"/>
      <c r="X248" s="1244"/>
      <c r="Y248" s="1244"/>
      <c r="Z248" s="1447"/>
      <c r="AA248" s="1445"/>
      <c r="AB248" s="1244"/>
      <c r="AC248" s="1244"/>
      <c r="AD248" s="1302"/>
      <c r="AE248" s="1021"/>
      <c r="AF248" s="1244"/>
      <c r="AG248" s="1244"/>
      <c r="AH248" s="1302"/>
      <c r="AI248" s="1403"/>
    </row>
    <row r="249" spans="1:35" ht="18" customHeight="1" x14ac:dyDescent="0.2">
      <c r="A249" s="1"/>
      <c r="B249" s="1014">
        <v>8514</v>
      </c>
      <c r="C249" s="1244" t="s">
        <v>342</v>
      </c>
      <c r="D249" s="1244"/>
      <c r="E249" s="1244"/>
      <c r="F249" s="1244"/>
      <c r="G249" s="1404" t="s">
        <v>342</v>
      </c>
      <c r="H249" s="1244"/>
      <c r="I249" s="1244"/>
      <c r="J249" s="1244"/>
      <c r="K249" s="1404" t="s">
        <v>342</v>
      </c>
      <c r="L249" s="1244"/>
      <c r="M249" s="1244"/>
      <c r="N249" s="1244"/>
      <c r="O249" s="1404" t="s">
        <v>342</v>
      </c>
      <c r="P249" s="1244"/>
      <c r="Q249" s="1244"/>
      <c r="R249" s="1244"/>
      <c r="S249" s="1404" t="s">
        <v>344</v>
      </c>
      <c r="T249" s="1244"/>
      <c r="U249" s="1244"/>
      <c r="V249" s="1244"/>
      <c r="W249" s="1372"/>
      <c r="X249" s="1244"/>
      <c r="Y249" s="1244"/>
      <c r="Z249" s="1447"/>
      <c r="AA249" s="1301"/>
      <c r="AB249" s="1244"/>
      <c r="AC249" s="1244"/>
      <c r="AD249" s="1302"/>
      <c r="AE249" s="1301"/>
      <c r="AF249" s="1244"/>
      <c r="AG249" s="1244"/>
      <c r="AH249" s="1302"/>
      <c r="AI249" s="1403"/>
    </row>
    <row r="250" spans="1:35" ht="18" customHeight="1" x14ac:dyDescent="0.2">
      <c r="A250" s="1"/>
      <c r="B250" s="1014">
        <v>8500</v>
      </c>
      <c r="C250" s="875" t="s">
        <v>345</v>
      </c>
      <c r="D250" s="875"/>
      <c r="E250" s="875"/>
      <c r="F250" s="875"/>
      <c r="G250" s="1022" t="s">
        <v>345</v>
      </c>
      <c r="H250" s="875"/>
      <c r="I250" s="875"/>
      <c r="J250" s="875"/>
      <c r="K250" s="1022" t="s">
        <v>345</v>
      </c>
      <c r="L250" s="875"/>
      <c r="M250" s="875"/>
      <c r="N250" s="875"/>
      <c r="O250" s="1022" t="s">
        <v>345</v>
      </c>
      <c r="P250" s="875"/>
      <c r="Q250" s="875"/>
      <c r="R250" s="875"/>
      <c r="S250" s="1022" t="s">
        <v>346</v>
      </c>
      <c r="T250" s="875"/>
      <c r="U250" s="875"/>
      <c r="V250" s="875"/>
      <c r="W250" s="1372"/>
      <c r="X250" s="875"/>
      <c r="Y250" s="875"/>
      <c r="Z250" s="1023"/>
      <c r="AA250" s="1024"/>
      <c r="AB250" s="875"/>
      <c r="AC250" s="875"/>
      <c r="AD250" s="1023"/>
      <c r="AE250" s="1024"/>
      <c r="AF250" s="875"/>
      <c r="AG250" s="875"/>
      <c r="AH250" s="1025"/>
      <c r="AI250" s="1026"/>
    </row>
    <row r="251" spans="1:35" ht="18" customHeight="1" x14ac:dyDescent="0.2">
      <c r="A251" s="1"/>
      <c r="B251" s="1014">
        <v>8514</v>
      </c>
      <c r="C251" s="1027" t="s">
        <v>342</v>
      </c>
      <c r="D251" s="1027"/>
      <c r="E251" s="1027"/>
      <c r="F251" s="1027"/>
      <c r="G251" s="1028" t="s">
        <v>342</v>
      </c>
      <c r="H251" s="1027"/>
      <c r="I251" s="1027"/>
      <c r="J251" s="1027"/>
      <c r="K251" s="1028" t="s">
        <v>342</v>
      </c>
      <c r="L251" s="1027"/>
      <c r="M251" s="1027"/>
      <c r="N251" s="1027"/>
      <c r="O251" s="1028" t="s">
        <v>342</v>
      </c>
      <c r="P251" s="1027"/>
      <c r="Q251" s="1027"/>
      <c r="R251" s="1027"/>
      <c r="S251" s="1028" t="s">
        <v>344</v>
      </c>
      <c r="T251" s="1027"/>
      <c r="U251" s="1027"/>
      <c r="V251" s="1027"/>
      <c r="W251" s="1029"/>
      <c r="X251" s="1030"/>
      <c r="Y251" s="875"/>
      <c r="Z251" s="1031"/>
      <c r="AA251" s="1032"/>
      <c r="AB251" s="1030"/>
      <c r="AC251" s="875"/>
      <c r="AD251" s="875"/>
      <c r="AE251" s="1033"/>
      <c r="AF251" s="875"/>
      <c r="AG251" s="875"/>
      <c r="AH251" s="875"/>
      <c r="AI251" s="1026"/>
    </row>
    <row r="252" spans="1:35" ht="18" customHeight="1" thickBot="1" x14ac:dyDescent="0.25">
      <c r="A252" s="1"/>
      <c r="B252" s="1034" t="s">
        <v>347</v>
      </c>
      <c r="C252" s="1251" t="s">
        <v>10</v>
      </c>
      <c r="D252" s="1251"/>
      <c r="E252" s="1251"/>
      <c r="F252" s="1251"/>
      <c r="G252" s="1035" t="s">
        <v>10</v>
      </c>
      <c r="H252" s="1251"/>
      <c r="I252" s="1251"/>
      <c r="J252" s="1251"/>
      <c r="K252" s="1406" t="s">
        <v>10</v>
      </c>
      <c r="L252" s="1251"/>
      <c r="M252" s="1251"/>
      <c r="N252" s="1251"/>
      <c r="O252" s="1035" t="s">
        <v>10</v>
      </c>
      <c r="P252" s="1251"/>
      <c r="Q252" s="1251"/>
      <c r="R252" s="1251"/>
      <c r="S252" s="1035" t="s">
        <v>10</v>
      </c>
      <c r="T252" s="1251"/>
      <c r="U252" s="1251"/>
      <c r="V252" s="1251"/>
      <c r="W252" s="1406"/>
      <c r="X252" s="1251"/>
      <c r="Y252" s="1251"/>
      <c r="Z252" s="1481"/>
      <c r="AA252" s="1458"/>
      <c r="AB252" s="1251"/>
      <c r="AC252" s="1251"/>
      <c r="AD252" s="1465"/>
      <c r="AE252" s="1036"/>
      <c r="AF252" s="1251"/>
      <c r="AG252" s="1251"/>
      <c r="AH252" s="1465"/>
      <c r="AI252" s="1254"/>
    </row>
    <row r="253" spans="1:35" ht="18" customHeight="1" x14ac:dyDescent="0.2">
      <c r="A253" s="1"/>
      <c r="B253" s="5"/>
      <c r="C253" s="42"/>
      <c r="D253" s="70"/>
      <c r="E253" s="70"/>
      <c r="F253" s="46"/>
      <c r="G253" s="42"/>
      <c r="H253" s="70"/>
      <c r="I253" s="70"/>
      <c r="J253" s="46"/>
      <c r="K253" s="42"/>
      <c r="L253" s="70"/>
      <c r="M253" s="70"/>
      <c r="N253" s="46"/>
      <c r="O253" s="42"/>
      <c r="P253" s="70"/>
      <c r="Q253" s="70"/>
      <c r="R253" s="46"/>
      <c r="S253" s="42"/>
      <c r="T253" s="70"/>
      <c r="U253" s="70"/>
      <c r="V253" s="46"/>
      <c r="W253" s="46"/>
      <c r="Z253" s="46"/>
      <c r="AA253" s="46"/>
      <c r="AD253" s="46"/>
      <c r="AE253" s="46"/>
      <c r="AH253" s="46"/>
    </row>
    <row r="254" spans="1:35" ht="18" customHeight="1" thickBot="1" x14ac:dyDescent="0.25">
      <c r="A254" s="1" t="s">
        <v>348</v>
      </c>
      <c r="B254" s="5"/>
      <c r="C254" s="42"/>
      <c r="D254" s="70"/>
      <c r="E254" s="70"/>
      <c r="F254" s="46"/>
      <c r="G254" s="42"/>
      <c r="H254" s="70"/>
      <c r="I254" s="70"/>
      <c r="J254" s="46"/>
      <c r="K254" s="42"/>
      <c r="L254" s="70"/>
      <c r="M254" s="70"/>
      <c r="N254" s="46"/>
      <c r="O254" s="42"/>
      <c r="P254" s="70"/>
      <c r="Q254" s="70"/>
      <c r="R254" s="46"/>
      <c r="S254" s="42"/>
      <c r="T254" s="70"/>
      <c r="U254" s="70"/>
      <c r="V254" s="46"/>
      <c r="W254" s="46"/>
      <c r="Z254" s="46"/>
      <c r="AA254" s="46"/>
      <c r="AD254" s="46"/>
      <c r="AE254" s="46"/>
      <c r="AH254" s="46"/>
    </row>
    <row r="255" spans="1:35" ht="18" customHeight="1" thickBot="1" x14ac:dyDescent="0.25">
      <c r="A255" s="1434"/>
      <c r="B255" s="1256" t="s">
        <v>44</v>
      </c>
      <c r="C255" s="1154">
        <v>1</v>
      </c>
      <c r="D255" s="1154">
        <v>2</v>
      </c>
      <c r="E255" s="1155">
        <v>3</v>
      </c>
      <c r="F255" s="1155">
        <v>4</v>
      </c>
      <c r="G255" s="1154">
        <v>5</v>
      </c>
      <c r="H255" s="1155">
        <v>6</v>
      </c>
      <c r="I255" s="1155">
        <v>7</v>
      </c>
      <c r="J255" s="1154">
        <v>8</v>
      </c>
      <c r="K255" s="1154">
        <v>9</v>
      </c>
      <c r="L255" s="1155">
        <v>10</v>
      </c>
      <c r="M255" s="1155">
        <v>11</v>
      </c>
      <c r="N255" s="1155">
        <v>12</v>
      </c>
      <c r="O255" s="1155">
        <v>13</v>
      </c>
      <c r="P255" s="1155">
        <v>14</v>
      </c>
      <c r="Q255" s="1154">
        <v>15</v>
      </c>
      <c r="R255" s="1154">
        <v>16</v>
      </c>
      <c r="S255" s="1155">
        <v>17</v>
      </c>
      <c r="T255" s="1155">
        <v>18</v>
      </c>
      <c r="U255" s="1155">
        <v>19</v>
      </c>
      <c r="V255" s="1155">
        <v>20</v>
      </c>
      <c r="W255" s="1155">
        <v>21</v>
      </c>
      <c r="X255" s="1154">
        <v>22</v>
      </c>
      <c r="Y255" s="1154">
        <v>23</v>
      </c>
      <c r="Z255" s="1155">
        <v>24</v>
      </c>
      <c r="AA255" s="1155">
        <v>25</v>
      </c>
      <c r="AB255" s="1155">
        <v>26</v>
      </c>
      <c r="AC255" s="1155">
        <v>27</v>
      </c>
      <c r="AD255" s="1155">
        <v>28</v>
      </c>
      <c r="AE255" s="1154">
        <v>29</v>
      </c>
      <c r="AF255" s="1154">
        <v>30</v>
      </c>
      <c r="AG255" s="1353"/>
      <c r="AH255" s="110"/>
      <c r="AI255" s="111"/>
    </row>
    <row r="256" spans="1:35" ht="18" customHeight="1" x14ac:dyDescent="0.2">
      <c r="A256" s="1037"/>
      <c r="B256" s="1038" t="s">
        <v>349</v>
      </c>
      <c r="C256" s="1174"/>
      <c r="D256" s="1174"/>
      <c r="E256" s="1174" t="s">
        <v>46</v>
      </c>
      <c r="F256" s="1179" t="s">
        <v>46</v>
      </c>
      <c r="G256" s="1174"/>
      <c r="H256" s="1174" t="s">
        <v>46</v>
      </c>
      <c r="I256" s="1174" t="s">
        <v>46</v>
      </c>
      <c r="J256" s="1174"/>
      <c r="K256" s="1174"/>
      <c r="L256" s="1174" t="s">
        <v>46</v>
      </c>
      <c r="M256" s="1174" t="s">
        <v>46</v>
      </c>
      <c r="N256" s="1223" t="s">
        <v>46</v>
      </c>
      <c r="O256" s="1174" t="s">
        <v>46</v>
      </c>
      <c r="P256" s="1182" t="s">
        <v>46</v>
      </c>
      <c r="Q256" s="1182"/>
      <c r="R256" s="1182"/>
      <c r="S256" s="1182" t="s">
        <v>46</v>
      </c>
      <c r="T256" s="1174" t="s">
        <v>46</v>
      </c>
      <c r="U256" s="1174" t="s">
        <v>46</v>
      </c>
      <c r="V256" s="1179" t="s">
        <v>46</v>
      </c>
      <c r="W256" s="1174" t="s">
        <v>46</v>
      </c>
      <c r="X256" s="1174"/>
      <c r="Y256" s="1174"/>
      <c r="Z256" s="1174" t="s">
        <v>46</v>
      </c>
      <c r="AA256" s="1179" t="s">
        <v>46</v>
      </c>
      <c r="AB256" s="1174" t="s">
        <v>46</v>
      </c>
      <c r="AC256" s="1174" t="s">
        <v>46</v>
      </c>
      <c r="AD256" s="1174" t="s">
        <v>46</v>
      </c>
      <c r="AE256" s="1174"/>
      <c r="AF256" s="1174"/>
      <c r="AG256" s="1536"/>
      <c r="AH256" s="110"/>
      <c r="AI256" s="111"/>
    </row>
    <row r="257" spans="1:35" ht="18" customHeight="1" x14ac:dyDescent="0.2">
      <c r="A257" s="1039"/>
      <c r="B257" s="1040" t="s">
        <v>350</v>
      </c>
      <c r="C257" s="818"/>
      <c r="D257" s="818"/>
      <c r="E257" s="818"/>
      <c r="F257" s="818"/>
      <c r="G257" s="636"/>
      <c r="H257" s="636"/>
      <c r="I257" s="636"/>
      <c r="J257" s="818"/>
      <c r="K257" s="818"/>
      <c r="L257" s="818"/>
      <c r="M257" s="818"/>
      <c r="N257" s="636"/>
      <c r="O257" s="636"/>
      <c r="P257" s="636"/>
      <c r="Q257" s="818"/>
      <c r="R257" s="818"/>
      <c r="S257" s="818"/>
      <c r="T257" s="818"/>
      <c r="U257" s="636"/>
      <c r="V257" s="636"/>
      <c r="W257" s="636"/>
      <c r="X257" s="818"/>
      <c r="Y257" s="818"/>
      <c r="Z257" s="818"/>
      <c r="AA257" s="818"/>
      <c r="AB257" s="636"/>
      <c r="AC257" s="636"/>
      <c r="AD257" s="636"/>
      <c r="AE257" s="818"/>
      <c r="AF257" s="818"/>
      <c r="AG257" s="1041"/>
      <c r="AH257" s="110"/>
      <c r="AI257" s="111"/>
    </row>
    <row r="258" spans="1:35" ht="18" customHeight="1" x14ac:dyDescent="0.2">
      <c r="A258" s="1042">
        <v>8514</v>
      </c>
      <c r="B258" s="1043" t="s">
        <v>351</v>
      </c>
      <c r="C258" s="1174"/>
      <c r="D258" s="1174"/>
      <c r="E258" s="1174" t="s">
        <v>46</v>
      </c>
      <c r="F258" s="1179" t="s">
        <v>46</v>
      </c>
      <c r="G258" s="1174"/>
      <c r="H258" s="1174" t="s">
        <v>46</v>
      </c>
      <c r="I258" s="1174" t="s">
        <v>46</v>
      </c>
      <c r="J258" s="1174"/>
      <c r="K258" s="1174"/>
      <c r="L258" s="1174" t="s">
        <v>46</v>
      </c>
      <c r="M258" s="1174" t="s">
        <v>46</v>
      </c>
      <c r="N258" s="1223" t="s">
        <v>46</v>
      </c>
      <c r="O258" s="1174" t="s">
        <v>46</v>
      </c>
      <c r="P258" s="1182" t="s">
        <v>46</v>
      </c>
      <c r="Q258" s="1182"/>
      <c r="R258" s="1182"/>
      <c r="S258" s="1182" t="s">
        <v>46</v>
      </c>
      <c r="T258" s="1337" t="s">
        <v>46</v>
      </c>
      <c r="U258" s="1337" t="s">
        <v>46</v>
      </c>
      <c r="V258" s="1337" t="s">
        <v>46</v>
      </c>
      <c r="W258" s="1337" t="s">
        <v>46</v>
      </c>
      <c r="X258" s="1186"/>
      <c r="Y258" s="1186"/>
      <c r="Z258" s="1186" t="s">
        <v>46</v>
      </c>
      <c r="AA258" s="1186" t="s">
        <v>46</v>
      </c>
      <c r="AB258" s="1186" t="s">
        <v>46</v>
      </c>
      <c r="AC258" s="1186" t="s">
        <v>46</v>
      </c>
      <c r="AD258" s="1186" t="s">
        <v>46</v>
      </c>
      <c r="AE258" s="1186"/>
      <c r="AF258" s="1186"/>
      <c r="AG258" s="1041"/>
      <c r="AH258" s="115"/>
      <c r="AI258" s="116"/>
    </row>
    <row r="259" spans="1:35" ht="18" customHeight="1" x14ac:dyDescent="0.2">
      <c r="A259" s="1042">
        <v>3701</v>
      </c>
      <c r="B259" s="1044" t="s">
        <v>352</v>
      </c>
      <c r="C259" s="818"/>
      <c r="D259" s="818"/>
      <c r="E259" s="818"/>
      <c r="F259" s="818"/>
      <c r="G259" s="636"/>
      <c r="H259" s="636"/>
      <c r="I259" s="636"/>
      <c r="J259" s="818"/>
      <c r="K259" s="818"/>
      <c r="L259" s="818"/>
      <c r="M259" s="818"/>
      <c r="N259" s="636"/>
      <c r="O259" s="636"/>
      <c r="P259" s="636"/>
      <c r="Q259" s="818"/>
      <c r="R259" s="818"/>
      <c r="S259" s="818"/>
      <c r="T259" s="818"/>
      <c r="U259" s="636"/>
      <c r="V259" s="636"/>
      <c r="W259" s="636"/>
      <c r="X259" s="818"/>
      <c r="Y259" s="818"/>
      <c r="Z259" s="818"/>
      <c r="AA259" s="818"/>
      <c r="AB259" s="636"/>
      <c r="AC259" s="636"/>
      <c r="AD259" s="636"/>
      <c r="AE259" s="818"/>
      <c r="AF259" s="818"/>
      <c r="AG259" s="1041"/>
      <c r="AH259" s="115"/>
      <c r="AI259" s="116"/>
    </row>
    <row r="260" spans="1:35" ht="18" customHeight="1" x14ac:dyDescent="0.2">
      <c r="A260" s="1042">
        <v>3701</v>
      </c>
      <c r="B260" s="1012" t="s">
        <v>353</v>
      </c>
      <c r="C260" s="1174"/>
      <c r="D260" s="1174"/>
      <c r="E260" s="1174" t="s">
        <v>46</v>
      </c>
      <c r="F260" s="1179" t="s">
        <v>46</v>
      </c>
      <c r="G260" s="1174"/>
      <c r="H260" s="1174" t="s">
        <v>46</v>
      </c>
      <c r="I260" s="1174" t="s">
        <v>46</v>
      </c>
      <c r="J260" s="1174"/>
      <c r="K260" s="1174"/>
      <c r="L260" s="1174" t="s">
        <v>46</v>
      </c>
      <c r="M260" s="1174" t="s">
        <v>46</v>
      </c>
      <c r="N260" s="1223" t="s">
        <v>46</v>
      </c>
      <c r="O260" s="1174" t="s">
        <v>46</v>
      </c>
      <c r="P260" s="1182" t="s">
        <v>46</v>
      </c>
      <c r="Q260" s="1182"/>
      <c r="R260" s="1182"/>
      <c r="S260" s="1182" t="s">
        <v>46</v>
      </c>
      <c r="T260" s="1174" t="s">
        <v>46</v>
      </c>
      <c r="U260" s="1174" t="s">
        <v>46</v>
      </c>
      <c r="V260" s="1179" t="s">
        <v>46</v>
      </c>
      <c r="W260" s="1174" t="s">
        <v>46</v>
      </c>
      <c r="X260" s="1174"/>
      <c r="Y260" s="1174"/>
      <c r="Z260" s="1174" t="s">
        <v>46</v>
      </c>
      <c r="AA260" s="1179" t="s">
        <v>46</v>
      </c>
      <c r="AB260" s="1174" t="s">
        <v>46</v>
      </c>
      <c r="AC260" s="1174" t="s">
        <v>46</v>
      </c>
      <c r="AD260" s="1174" t="s">
        <v>46</v>
      </c>
      <c r="AE260" s="1174"/>
      <c r="AF260" s="1174"/>
      <c r="AG260" s="1041"/>
      <c r="AH260" s="115"/>
      <c r="AI260" s="116"/>
    </row>
    <row r="261" spans="1:35" ht="18" customHeight="1" x14ac:dyDescent="0.2">
      <c r="A261" s="1042">
        <v>3701</v>
      </c>
      <c r="B261" s="1012" t="s">
        <v>354</v>
      </c>
      <c r="C261" s="1174"/>
      <c r="D261" s="1174"/>
      <c r="E261" s="1174" t="s">
        <v>46</v>
      </c>
      <c r="F261" s="1179" t="s">
        <v>46</v>
      </c>
      <c r="G261" s="1174"/>
      <c r="H261" s="1174" t="s">
        <v>46</v>
      </c>
      <c r="I261" s="1174" t="s">
        <v>46</v>
      </c>
      <c r="J261" s="1174"/>
      <c r="K261" s="1174"/>
      <c r="L261" s="1174" t="s">
        <v>46</v>
      </c>
      <c r="M261" s="1174" t="s">
        <v>46</v>
      </c>
      <c r="N261" s="1223" t="s">
        <v>46</v>
      </c>
      <c r="O261" s="1174" t="s">
        <v>46</v>
      </c>
      <c r="P261" s="1182" t="s">
        <v>46</v>
      </c>
      <c r="Q261" s="1182"/>
      <c r="R261" s="1182"/>
      <c r="S261" s="1182" t="s">
        <v>46</v>
      </c>
      <c r="T261" s="1174" t="s">
        <v>46</v>
      </c>
      <c r="U261" s="1174" t="s">
        <v>46</v>
      </c>
      <c r="V261" s="1179" t="s">
        <v>46</v>
      </c>
      <c r="W261" s="1174" t="s">
        <v>46</v>
      </c>
      <c r="X261" s="1174"/>
      <c r="Y261" s="1174"/>
      <c r="Z261" s="1174" t="s">
        <v>46</v>
      </c>
      <c r="AA261" s="1179" t="s">
        <v>46</v>
      </c>
      <c r="AB261" s="1174" t="s">
        <v>46</v>
      </c>
      <c r="AC261" s="1174" t="s">
        <v>46</v>
      </c>
      <c r="AD261" s="1337" t="s">
        <v>46</v>
      </c>
      <c r="AE261" s="1174"/>
      <c r="AF261" s="1174"/>
      <c r="AG261" s="1041"/>
      <c r="AH261" s="115"/>
      <c r="AI261" s="116"/>
    </row>
    <row r="262" spans="1:35" ht="18" customHeight="1" x14ac:dyDescent="0.2">
      <c r="A262" s="1042">
        <v>3701</v>
      </c>
      <c r="B262" s="1012" t="s">
        <v>355</v>
      </c>
      <c r="C262" s="1174"/>
      <c r="D262" s="1174"/>
      <c r="E262" s="1174" t="s">
        <v>46</v>
      </c>
      <c r="F262" s="1179" t="s">
        <v>46</v>
      </c>
      <c r="G262" s="1174"/>
      <c r="H262" s="1174" t="s">
        <v>46</v>
      </c>
      <c r="I262" s="1174" t="s">
        <v>46</v>
      </c>
      <c r="J262" s="1174"/>
      <c r="K262" s="1174"/>
      <c r="L262" s="1174" t="s">
        <v>46</v>
      </c>
      <c r="M262" s="1174" t="s">
        <v>46</v>
      </c>
      <c r="N262" s="1223" t="s">
        <v>46</v>
      </c>
      <c r="O262" s="1262" t="s">
        <v>46</v>
      </c>
      <c r="P262" s="1262" t="s">
        <v>46</v>
      </c>
      <c r="Q262" s="1262"/>
      <c r="R262" s="1262"/>
      <c r="S262" s="1262" t="s">
        <v>46</v>
      </c>
      <c r="T262" s="1262" t="s">
        <v>46</v>
      </c>
      <c r="U262" s="1262" t="s">
        <v>46</v>
      </c>
      <c r="V262" s="1262" t="s">
        <v>46</v>
      </c>
      <c r="W262" s="1262" t="s">
        <v>79</v>
      </c>
      <c r="X262" s="1134"/>
      <c r="Y262" s="1134"/>
      <c r="Z262" s="1174" t="s">
        <v>46</v>
      </c>
      <c r="AA262" s="1179" t="s">
        <v>46</v>
      </c>
      <c r="AB262" s="1262" t="s">
        <v>46</v>
      </c>
      <c r="AC262" s="1262" t="s">
        <v>46</v>
      </c>
      <c r="AD262" s="1262" t="s">
        <v>46</v>
      </c>
      <c r="AE262" s="1262"/>
      <c r="AF262" s="1262"/>
      <c r="AG262" s="1041"/>
      <c r="AH262" s="115"/>
      <c r="AI262" s="116"/>
    </row>
    <row r="263" spans="1:35" ht="18" customHeight="1" x14ac:dyDescent="0.2">
      <c r="A263" s="1042">
        <v>3701</v>
      </c>
      <c r="B263" s="1044" t="s">
        <v>357</v>
      </c>
      <c r="C263" s="818"/>
      <c r="D263" s="818"/>
      <c r="E263" s="818"/>
      <c r="F263" s="818"/>
      <c r="G263" s="636"/>
      <c r="H263" s="636"/>
      <c r="I263" s="636"/>
      <c r="J263" s="818"/>
      <c r="K263" s="818"/>
      <c r="L263" s="818"/>
      <c r="M263" s="818"/>
      <c r="N263" s="636"/>
      <c r="O263" s="636"/>
      <c r="P263" s="636"/>
      <c r="Q263" s="818"/>
      <c r="R263" s="818"/>
      <c r="S263" s="818"/>
      <c r="T263" s="818"/>
      <c r="U263" s="636"/>
      <c r="V263" s="636"/>
      <c r="W263" s="636"/>
      <c r="X263" s="818"/>
      <c r="Y263" s="818"/>
      <c r="Z263" s="818"/>
      <c r="AA263" s="818"/>
      <c r="AB263" s="636"/>
      <c r="AC263" s="636"/>
      <c r="AD263" s="636"/>
      <c r="AE263" s="818"/>
      <c r="AF263" s="818"/>
      <c r="AG263" s="1041"/>
      <c r="AH263" s="115"/>
      <c r="AI263" s="116"/>
    </row>
    <row r="264" spans="1:35" ht="18" customHeight="1" x14ac:dyDescent="0.2">
      <c r="A264" s="1042">
        <v>3701</v>
      </c>
      <c r="B264" s="1012" t="s">
        <v>358</v>
      </c>
      <c r="C264" s="1174"/>
      <c r="D264" s="1174"/>
      <c r="E264" s="1174" t="s">
        <v>46</v>
      </c>
      <c r="F264" s="1179" t="s">
        <v>46</v>
      </c>
      <c r="G264" s="1174"/>
      <c r="H264" s="1174" t="s">
        <v>46</v>
      </c>
      <c r="I264" s="1174" t="s">
        <v>46</v>
      </c>
      <c r="J264" s="1174"/>
      <c r="K264" s="1174"/>
      <c r="L264" s="1174" t="s">
        <v>46</v>
      </c>
      <c r="M264" s="1174" t="s">
        <v>46</v>
      </c>
      <c r="N264" s="1223" t="s">
        <v>46</v>
      </c>
      <c r="O264" s="1174" t="s">
        <v>46</v>
      </c>
      <c r="P264" s="1182" t="s">
        <v>46</v>
      </c>
      <c r="Q264" s="1182"/>
      <c r="R264" s="1182"/>
      <c r="S264" s="1182" t="s">
        <v>46</v>
      </c>
      <c r="T264" s="1174" t="s">
        <v>46</v>
      </c>
      <c r="U264" s="1174" t="s">
        <v>46</v>
      </c>
      <c r="V264" s="1179" t="s">
        <v>46</v>
      </c>
      <c r="W264" s="1174" t="s">
        <v>46</v>
      </c>
      <c r="X264" s="1174"/>
      <c r="Y264" s="1174"/>
      <c r="Z264" s="1174" t="s">
        <v>46</v>
      </c>
      <c r="AA264" s="1179" t="s">
        <v>46</v>
      </c>
      <c r="AB264" s="1174" t="s">
        <v>46</v>
      </c>
      <c r="AC264" s="1174" t="s">
        <v>46</v>
      </c>
      <c r="AD264" s="1174" t="s">
        <v>46</v>
      </c>
      <c r="AE264" s="1174"/>
      <c r="AF264" s="1174"/>
      <c r="AG264" s="1041"/>
      <c r="AH264" s="115"/>
      <c r="AI264" s="116"/>
    </row>
    <row r="265" spans="1:35" ht="18" customHeight="1" x14ac:dyDescent="0.2">
      <c r="A265" s="1042">
        <v>3701</v>
      </c>
      <c r="B265" s="1012" t="s">
        <v>359</v>
      </c>
      <c r="C265" s="1174"/>
      <c r="D265" s="1174"/>
      <c r="E265" s="1174" t="s">
        <v>46</v>
      </c>
      <c r="F265" s="1179" t="s">
        <v>46</v>
      </c>
      <c r="G265" s="1174"/>
      <c r="H265" s="1337" t="s">
        <v>46</v>
      </c>
      <c r="I265" s="1337" t="s">
        <v>46</v>
      </c>
      <c r="J265" s="1174"/>
      <c r="K265" s="1174"/>
      <c r="L265" s="1174" t="s">
        <v>46</v>
      </c>
      <c r="M265" s="1174" t="s">
        <v>46</v>
      </c>
      <c r="N265" s="1223" t="s">
        <v>46</v>
      </c>
      <c r="O265" s="1174" t="s">
        <v>46</v>
      </c>
      <c r="P265" s="1182" t="s">
        <v>46</v>
      </c>
      <c r="Q265" s="1182"/>
      <c r="R265" s="1182"/>
      <c r="S265" s="1182" t="s">
        <v>46</v>
      </c>
      <c r="T265" s="1174" t="s">
        <v>46</v>
      </c>
      <c r="U265" s="1174" t="s">
        <v>46</v>
      </c>
      <c r="V265" s="1179" t="s">
        <v>46</v>
      </c>
      <c r="W265" s="1174" t="s">
        <v>46</v>
      </c>
      <c r="X265" s="1174"/>
      <c r="Y265" s="1174"/>
      <c r="Z265" s="1174" t="s">
        <v>46</v>
      </c>
      <c r="AA265" s="1179" t="s">
        <v>46</v>
      </c>
      <c r="AB265" s="1174" t="s">
        <v>46</v>
      </c>
      <c r="AC265" s="1174" t="s">
        <v>46</v>
      </c>
      <c r="AD265" s="1174" t="s">
        <v>46</v>
      </c>
      <c r="AE265" s="1174"/>
      <c r="AF265" s="1174"/>
      <c r="AG265" s="1041"/>
      <c r="AH265" s="115"/>
      <c r="AI265" s="116"/>
    </row>
    <row r="266" spans="1:35" ht="18" customHeight="1" x14ac:dyDescent="0.2">
      <c r="A266" s="1046">
        <v>3701</v>
      </c>
      <c r="B266" s="1012" t="s">
        <v>360</v>
      </c>
      <c r="C266" s="1174"/>
      <c r="D266" s="1174"/>
      <c r="E266" s="1174" t="s">
        <v>46</v>
      </c>
      <c r="F266" s="1179" t="s">
        <v>46</v>
      </c>
      <c r="G266" s="1174"/>
      <c r="H266" s="1174" t="s">
        <v>46</v>
      </c>
      <c r="I266" s="1174" t="s">
        <v>46</v>
      </c>
      <c r="J266" s="1174"/>
      <c r="K266" s="1174"/>
      <c r="L266" s="1174" t="s">
        <v>46</v>
      </c>
      <c r="M266" s="1174" t="s">
        <v>46</v>
      </c>
      <c r="N266" s="1223" t="s">
        <v>46</v>
      </c>
      <c r="O266" s="1174" t="s">
        <v>46</v>
      </c>
      <c r="P266" s="1337" t="s">
        <v>46</v>
      </c>
      <c r="Q266" s="1182"/>
      <c r="R266" s="1182"/>
      <c r="S266" s="1182" t="s">
        <v>46</v>
      </c>
      <c r="T266" s="1174" t="s">
        <v>46</v>
      </c>
      <c r="U266" s="1174" t="s">
        <v>46</v>
      </c>
      <c r="V266" s="1179" t="s">
        <v>46</v>
      </c>
      <c r="W266" s="1174" t="s">
        <v>46</v>
      </c>
      <c r="X266" s="1174"/>
      <c r="Y266" s="1174"/>
      <c r="Z266" s="1174" t="s">
        <v>46</v>
      </c>
      <c r="AA266" s="1179" t="s">
        <v>46</v>
      </c>
      <c r="AB266" s="1174" t="s">
        <v>46</v>
      </c>
      <c r="AC266" s="1174" t="s">
        <v>46</v>
      </c>
      <c r="AD266" s="1174" t="s">
        <v>46</v>
      </c>
      <c r="AE266" s="1174"/>
      <c r="AF266" s="1174"/>
      <c r="AG266" s="1041"/>
      <c r="AH266" s="115"/>
      <c r="AI266" s="116"/>
    </row>
    <row r="267" spans="1:35" ht="18" customHeight="1" x14ac:dyDescent="0.2">
      <c r="A267" s="1042">
        <v>3701</v>
      </c>
      <c r="B267" s="1012" t="s">
        <v>361</v>
      </c>
      <c r="C267" s="1174"/>
      <c r="D267" s="1174"/>
      <c r="E267" s="1174" t="s">
        <v>46</v>
      </c>
      <c r="F267" s="1179" t="s">
        <v>46</v>
      </c>
      <c r="G267" s="1174"/>
      <c r="H267" s="1174" t="s">
        <v>46</v>
      </c>
      <c r="I267" s="1174" t="s">
        <v>46</v>
      </c>
      <c r="J267" s="1174"/>
      <c r="K267" s="1174"/>
      <c r="L267" s="1174" t="s">
        <v>46</v>
      </c>
      <c r="M267" s="1174" t="s">
        <v>46</v>
      </c>
      <c r="N267" s="1223" t="s">
        <v>46</v>
      </c>
      <c r="O267" s="1174" t="s">
        <v>46</v>
      </c>
      <c r="P267" s="1182" t="s">
        <v>46</v>
      </c>
      <c r="Q267" s="1182"/>
      <c r="R267" s="1182"/>
      <c r="S267" s="1182" t="s">
        <v>46</v>
      </c>
      <c r="T267" s="1174" t="s">
        <v>46</v>
      </c>
      <c r="U267" s="1174" t="s">
        <v>46</v>
      </c>
      <c r="V267" s="1179" t="s">
        <v>46</v>
      </c>
      <c r="W267" s="1174" t="s">
        <v>46</v>
      </c>
      <c r="X267" s="1174"/>
      <c r="Y267" s="1174"/>
      <c r="Z267" s="1262" t="s">
        <v>79</v>
      </c>
      <c r="AA267" s="1134" t="s">
        <v>46</v>
      </c>
      <c r="AB267" s="1134" t="s">
        <v>46</v>
      </c>
      <c r="AC267" s="1186" t="s">
        <v>46</v>
      </c>
      <c r="AD267" s="1174" t="s">
        <v>46</v>
      </c>
      <c r="AE267" s="1174"/>
      <c r="AF267" s="1174"/>
      <c r="AG267" s="1041"/>
      <c r="AH267" s="115"/>
      <c r="AI267" s="116"/>
    </row>
    <row r="268" spans="1:35" ht="18" customHeight="1" x14ac:dyDescent="0.2">
      <c r="A268" s="1042">
        <v>3701</v>
      </c>
      <c r="B268" s="1012" t="s">
        <v>362</v>
      </c>
      <c r="C268" s="1174"/>
      <c r="D268" s="1174"/>
      <c r="E268" s="1174" t="s">
        <v>46</v>
      </c>
      <c r="F268" s="1179" t="s">
        <v>46</v>
      </c>
      <c r="G268" s="1174"/>
      <c r="H268" s="1174" t="s">
        <v>46</v>
      </c>
      <c r="I268" s="1174" t="s">
        <v>46</v>
      </c>
      <c r="J268" s="1174"/>
      <c r="K268" s="1174"/>
      <c r="L268" s="1174" t="s">
        <v>46</v>
      </c>
      <c r="M268" s="1174" t="s">
        <v>46</v>
      </c>
      <c r="N268" s="1223" t="s">
        <v>46</v>
      </c>
      <c r="O268" s="1174" t="s">
        <v>46</v>
      </c>
      <c r="P268" s="1182" t="s">
        <v>46</v>
      </c>
      <c r="Q268" s="1182"/>
      <c r="R268" s="1182"/>
      <c r="S268" s="1182" t="s">
        <v>46</v>
      </c>
      <c r="T268" s="1174" t="s">
        <v>46</v>
      </c>
      <c r="U268" s="1174" t="s">
        <v>46</v>
      </c>
      <c r="V268" s="1179" t="s">
        <v>46</v>
      </c>
      <c r="W268" s="1174" t="s">
        <v>46</v>
      </c>
      <c r="X268" s="1174"/>
      <c r="Y268" s="1174"/>
      <c r="Z268" s="1186" t="s">
        <v>46</v>
      </c>
      <c r="AA268" s="1186" t="s">
        <v>46</v>
      </c>
      <c r="AB268" s="1186" t="s">
        <v>46</v>
      </c>
      <c r="AC268" s="1186" t="s">
        <v>46</v>
      </c>
      <c r="AD268" s="1186" t="s">
        <v>46</v>
      </c>
      <c r="AE268" s="1174"/>
      <c r="AF268" s="1174"/>
      <c r="AG268" s="1041"/>
      <c r="AH268" s="115"/>
      <c r="AI268" s="116"/>
    </row>
    <row r="269" spans="1:35" ht="18" customHeight="1" x14ac:dyDescent="0.2">
      <c r="A269" s="1042"/>
      <c r="B269" s="1012" t="s">
        <v>363</v>
      </c>
      <c r="C269" s="1174"/>
      <c r="D269" s="1174"/>
      <c r="E269" s="1174" t="s">
        <v>46</v>
      </c>
      <c r="F269" s="1179" t="s">
        <v>46</v>
      </c>
      <c r="G269" s="1174"/>
      <c r="H269" s="1174" t="s">
        <v>46</v>
      </c>
      <c r="I269" s="1174" t="s">
        <v>46</v>
      </c>
      <c r="J269" s="1174"/>
      <c r="K269" s="1174"/>
      <c r="L269" s="1174" t="s">
        <v>46</v>
      </c>
      <c r="M269" s="1174" t="s">
        <v>46</v>
      </c>
      <c r="N269" s="1223" t="s">
        <v>46</v>
      </c>
      <c r="O269" s="1174" t="s">
        <v>46</v>
      </c>
      <c r="P269" s="1182" t="s">
        <v>46</v>
      </c>
      <c r="Q269" s="1182"/>
      <c r="R269" s="1182"/>
      <c r="S269" s="1182" t="s">
        <v>46</v>
      </c>
      <c r="T269" s="1174" t="s">
        <v>46</v>
      </c>
      <c r="U269" s="1174" t="s">
        <v>46</v>
      </c>
      <c r="V269" s="1179" t="s">
        <v>46</v>
      </c>
      <c r="W269" s="1174" t="s">
        <v>46</v>
      </c>
      <c r="X269" s="1174"/>
      <c r="Y269" s="1174"/>
      <c r="Z269" s="1174" t="s">
        <v>46</v>
      </c>
      <c r="AA269" s="1179" t="s">
        <v>46</v>
      </c>
      <c r="AB269" s="1174" t="s">
        <v>46</v>
      </c>
      <c r="AC269" s="1174" t="s">
        <v>46</v>
      </c>
      <c r="AD269" s="1174" t="s">
        <v>46</v>
      </c>
      <c r="AE269" s="1174"/>
      <c r="AF269" s="1174"/>
      <c r="AG269" s="1041"/>
      <c r="AH269" s="115"/>
      <c r="AI269" s="116"/>
    </row>
    <row r="270" spans="1:35" ht="18" customHeight="1" x14ac:dyDescent="0.2">
      <c r="A270" s="1042"/>
      <c r="B270" s="1012" t="s">
        <v>364</v>
      </c>
      <c r="C270" s="1174"/>
      <c r="D270" s="1174"/>
      <c r="E270" s="1174" t="s">
        <v>46</v>
      </c>
      <c r="F270" s="1179" t="s">
        <v>46</v>
      </c>
      <c r="G270" s="1174"/>
      <c r="H270" s="1174" t="s">
        <v>46</v>
      </c>
      <c r="I270" s="1174" t="s">
        <v>46</v>
      </c>
      <c r="J270" s="1174"/>
      <c r="K270" s="1174"/>
      <c r="L270" s="1262" t="s">
        <v>46</v>
      </c>
      <c r="M270" s="1262" t="s">
        <v>46</v>
      </c>
      <c r="N270" s="1262" t="s">
        <v>46</v>
      </c>
      <c r="O270" s="1262" t="s">
        <v>46</v>
      </c>
      <c r="P270" s="1182" t="s">
        <v>46</v>
      </c>
      <c r="Q270" s="1182"/>
      <c r="R270" s="1182"/>
      <c r="S270" s="1182" t="s">
        <v>46</v>
      </c>
      <c r="T270" s="1174" t="s">
        <v>46</v>
      </c>
      <c r="U270" s="1174" t="s">
        <v>46</v>
      </c>
      <c r="V270" s="1179" t="s">
        <v>46</v>
      </c>
      <c r="W270" s="1174" t="s">
        <v>46</v>
      </c>
      <c r="X270" s="1174"/>
      <c r="Y270" s="1174"/>
      <c r="Z270" s="1174" t="s">
        <v>46</v>
      </c>
      <c r="AA270" s="1179" t="s">
        <v>46</v>
      </c>
      <c r="AB270" s="1174" t="s">
        <v>46</v>
      </c>
      <c r="AC270" s="1174" t="s">
        <v>46</v>
      </c>
      <c r="AD270" s="1174" t="s">
        <v>46</v>
      </c>
      <c r="AE270" s="1174"/>
      <c r="AF270" s="1174"/>
      <c r="AG270" s="1041"/>
      <c r="AH270" s="115"/>
      <c r="AI270" s="116"/>
    </row>
    <row r="271" spans="1:35" ht="18" customHeight="1" x14ac:dyDescent="0.2">
      <c r="A271" s="1042"/>
      <c r="B271" s="1012" t="s">
        <v>365</v>
      </c>
      <c r="C271" s="1174"/>
      <c r="D271" s="1174"/>
      <c r="E271" s="1537" t="s">
        <v>46</v>
      </c>
      <c r="F271" s="1537" t="s">
        <v>46</v>
      </c>
      <c r="G271" s="1537"/>
      <c r="H271" s="1537" t="s">
        <v>46</v>
      </c>
      <c r="I271" s="1537" t="s">
        <v>46</v>
      </c>
      <c r="J271" s="1537"/>
      <c r="K271" s="1537"/>
      <c r="L271" s="1537" t="s">
        <v>46</v>
      </c>
      <c r="M271" s="1174" t="s">
        <v>46</v>
      </c>
      <c r="N271" s="1223" t="s">
        <v>46</v>
      </c>
      <c r="O271" s="1174" t="s">
        <v>46</v>
      </c>
      <c r="P271" s="1182" t="s">
        <v>46</v>
      </c>
      <c r="Q271" s="1182"/>
      <c r="R271" s="1182"/>
      <c r="S271" s="1182" t="s">
        <v>46</v>
      </c>
      <c r="T271" s="1174" t="s">
        <v>46</v>
      </c>
      <c r="U271" s="1174" t="s">
        <v>46</v>
      </c>
      <c r="V271" s="1179" t="s">
        <v>46</v>
      </c>
      <c r="W271" s="1174" t="s">
        <v>46</v>
      </c>
      <c r="X271" s="1174"/>
      <c r="Y271" s="1174"/>
      <c r="Z271" s="1174" t="s">
        <v>46</v>
      </c>
      <c r="AA271" s="1179" t="s">
        <v>46</v>
      </c>
      <c r="AB271" s="1174" t="s">
        <v>46</v>
      </c>
      <c r="AC271" s="1174" t="s">
        <v>46</v>
      </c>
      <c r="AD271" s="1174" t="s">
        <v>46</v>
      </c>
      <c r="AE271" s="1174"/>
      <c r="AF271" s="1174"/>
      <c r="AG271" s="1041"/>
      <c r="AH271" s="115"/>
      <c r="AI271" s="116"/>
    </row>
    <row r="272" spans="1:35" ht="18" customHeight="1" x14ac:dyDescent="0.2">
      <c r="A272" s="1042"/>
      <c r="B272" s="1044" t="s">
        <v>366</v>
      </c>
      <c r="C272" s="818"/>
      <c r="D272" s="818"/>
      <c r="E272" s="818"/>
      <c r="F272" s="818"/>
      <c r="G272" s="636"/>
      <c r="H272" s="636"/>
      <c r="I272" s="636"/>
      <c r="J272" s="818"/>
      <c r="K272" s="818"/>
      <c r="L272" s="818"/>
      <c r="M272" s="818"/>
      <c r="N272" s="636"/>
      <c r="O272" s="636"/>
      <c r="P272" s="636"/>
      <c r="Q272" s="818"/>
      <c r="R272" s="818"/>
      <c r="S272" s="818"/>
      <c r="T272" s="818"/>
      <c r="U272" s="636"/>
      <c r="V272" s="636"/>
      <c r="W272" s="636"/>
      <c r="X272" s="818"/>
      <c r="Y272" s="818"/>
      <c r="Z272" s="818"/>
      <c r="AA272" s="818"/>
      <c r="AB272" s="636"/>
      <c r="AC272" s="636"/>
      <c r="AD272" s="636"/>
      <c r="AE272" s="818"/>
      <c r="AF272" s="818"/>
      <c r="AG272" s="1041"/>
      <c r="AH272" s="115"/>
      <c r="AI272" s="116"/>
    </row>
    <row r="273" spans="1:35" ht="18" customHeight="1" x14ac:dyDescent="0.2">
      <c r="A273" s="1042"/>
      <c r="B273" s="1012" t="s">
        <v>367</v>
      </c>
      <c r="C273" s="1174"/>
      <c r="D273" s="1174"/>
      <c r="E273" s="1174" t="s">
        <v>46</v>
      </c>
      <c r="F273" s="1179" t="s">
        <v>46</v>
      </c>
      <c r="G273" s="1174"/>
      <c r="H273" s="1174" t="s">
        <v>46</v>
      </c>
      <c r="I273" s="1174" t="s">
        <v>46</v>
      </c>
      <c r="J273" s="1174"/>
      <c r="K273" s="1174"/>
      <c r="L273" s="1174" t="s">
        <v>46</v>
      </c>
      <c r="M273" s="1174" t="s">
        <v>46</v>
      </c>
      <c r="N273" s="1223" t="s">
        <v>46</v>
      </c>
      <c r="O273" s="1174" t="s">
        <v>46</v>
      </c>
      <c r="P273" s="1182" t="s">
        <v>46</v>
      </c>
      <c r="Q273" s="1182"/>
      <c r="R273" s="1182"/>
      <c r="S273" s="1182" t="s">
        <v>46</v>
      </c>
      <c r="T273" s="1174" t="s">
        <v>46</v>
      </c>
      <c r="U273" s="1174" t="s">
        <v>46</v>
      </c>
      <c r="V273" s="1179" t="s">
        <v>46</v>
      </c>
      <c r="W273" s="1174" t="s">
        <v>46</v>
      </c>
      <c r="X273" s="1174"/>
      <c r="Y273" s="1174"/>
      <c r="Z273" s="1174" t="s">
        <v>46</v>
      </c>
      <c r="AA273" s="1179" t="s">
        <v>46</v>
      </c>
      <c r="AB273" s="1174" t="s">
        <v>46</v>
      </c>
      <c r="AC273" s="1174" t="s">
        <v>46</v>
      </c>
      <c r="AD273" s="1174" t="s">
        <v>46</v>
      </c>
      <c r="AE273" s="1174"/>
      <c r="AF273" s="1174"/>
      <c r="AG273" s="1041"/>
      <c r="AH273" s="115"/>
      <c r="AI273" s="116"/>
    </row>
    <row r="274" spans="1:35" ht="18" customHeight="1" x14ac:dyDescent="0.2">
      <c r="A274" s="1042"/>
      <c r="B274" s="1012" t="s">
        <v>368</v>
      </c>
      <c r="C274" s="1174"/>
      <c r="D274" s="1174"/>
      <c r="E274" s="1174" t="s">
        <v>46</v>
      </c>
      <c r="F274" s="1179" t="s">
        <v>46</v>
      </c>
      <c r="G274" s="1174"/>
      <c r="H274" s="1174" t="s">
        <v>46</v>
      </c>
      <c r="I274" s="1174" t="s">
        <v>46</v>
      </c>
      <c r="J274" s="1174"/>
      <c r="K274" s="1174"/>
      <c r="L274" s="1174" t="s">
        <v>46</v>
      </c>
      <c r="M274" s="1174" t="s">
        <v>46</v>
      </c>
      <c r="N274" s="1223" t="s">
        <v>46</v>
      </c>
      <c r="O274" s="1174" t="s">
        <v>46</v>
      </c>
      <c r="P274" s="1182" t="s">
        <v>46</v>
      </c>
      <c r="Q274" s="1182"/>
      <c r="R274" s="1182"/>
      <c r="S274" s="1262" t="s">
        <v>46</v>
      </c>
      <c r="T274" s="1538" t="s">
        <v>79</v>
      </c>
      <c r="U274" s="1134" t="s">
        <v>46</v>
      </c>
      <c r="V274" s="1179" t="s">
        <v>46</v>
      </c>
      <c r="W274" s="1174" t="s">
        <v>46</v>
      </c>
      <c r="X274" s="1174"/>
      <c r="Y274" s="1174"/>
      <c r="Z274" s="1186" t="s">
        <v>46</v>
      </c>
      <c r="AA274" s="1186" t="s">
        <v>46</v>
      </c>
      <c r="AB274" s="1186" t="s">
        <v>46</v>
      </c>
      <c r="AC274" s="1186" t="s">
        <v>46</v>
      </c>
      <c r="AD274" s="1186" t="s">
        <v>46</v>
      </c>
      <c r="AE274" s="1174"/>
      <c r="AF274" s="1174"/>
      <c r="AG274" s="1041"/>
      <c r="AH274" s="115"/>
      <c r="AI274" s="116"/>
    </row>
    <row r="275" spans="1:35" ht="18" customHeight="1" x14ac:dyDescent="0.2">
      <c r="A275" s="1042"/>
      <c r="B275" s="1012"/>
      <c r="C275" s="1174"/>
      <c r="D275" s="1174"/>
      <c r="E275" s="1174" t="s">
        <v>46</v>
      </c>
      <c r="F275" s="1179" t="s">
        <v>46</v>
      </c>
      <c r="G275" s="1174"/>
      <c r="H275" s="1174" t="s">
        <v>46</v>
      </c>
      <c r="I275" s="1174" t="s">
        <v>46</v>
      </c>
      <c r="J275" s="1174"/>
      <c r="K275" s="1174"/>
      <c r="L275" s="1174" t="s">
        <v>46</v>
      </c>
      <c r="M275" s="1174" t="s">
        <v>46</v>
      </c>
      <c r="N275" s="1223" t="s">
        <v>46</v>
      </c>
      <c r="O275" s="1174" t="s">
        <v>46</v>
      </c>
      <c r="P275" s="1182" t="s">
        <v>46</v>
      </c>
      <c r="Q275" s="1182"/>
      <c r="R275" s="1182"/>
      <c r="S275" s="1182" t="s">
        <v>46</v>
      </c>
      <c r="T275" s="1174" t="s">
        <v>46</v>
      </c>
      <c r="U275" s="1174" t="s">
        <v>46</v>
      </c>
      <c r="V275" s="1179" t="s">
        <v>46</v>
      </c>
      <c r="W275" s="1174" t="s">
        <v>46</v>
      </c>
      <c r="X275" s="1174"/>
      <c r="Y275" s="1174"/>
      <c r="Z275" s="1174" t="s">
        <v>46</v>
      </c>
      <c r="AA275" s="1179" t="s">
        <v>46</v>
      </c>
      <c r="AB275" s="1174" t="s">
        <v>46</v>
      </c>
      <c r="AC275" s="1174" t="s">
        <v>46</v>
      </c>
      <c r="AD275" s="1174" t="s">
        <v>46</v>
      </c>
      <c r="AE275" s="1174"/>
      <c r="AF275" s="1174"/>
      <c r="AG275" s="1041"/>
      <c r="AH275" s="112"/>
      <c r="AI275" s="67"/>
    </row>
    <row r="276" spans="1:35" ht="18" customHeight="1" x14ac:dyDescent="0.2">
      <c r="A276" s="1042"/>
      <c r="B276" s="1012" t="s">
        <v>369</v>
      </c>
      <c r="C276" s="1174"/>
      <c r="D276" s="1174"/>
      <c r="E276" s="1174" t="s">
        <v>46</v>
      </c>
      <c r="F276" s="1179" t="s">
        <v>46</v>
      </c>
      <c r="G276" s="1174"/>
      <c r="H276" s="1174" t="s">
        <v>46</v>
      </c>
      <c r="I276" s="1174" t="s">
        <v>46</v>
      </c>
      <c r="J276" s="1174"/>
      <c r="K276" s="1174"/>
      <c r="L276" s="1262" t="s">
        <v>46</v>
      </c>
      <c r="M276" s="1262" t="s">
        <v>79</v>
      </c>
      <c r="N276" s="1332" t="s">
        <v>46</v>
      </c>
      <c r="O276" s="1332" t="s">
        <v>46</v>
      </c>
      <c r="P276" s="1182" t="s">
        <v>46</v>
      </c>
      <c r="Q276" s="1182"/>
      <c r="R276" s="1182"/>
      <c r="S276" s="1182" t="s">
        <v>46</v>
      </c>
      <c r="T276" s="1174" t="s">
        <v>46</v>
      </c>
      <c r="U276" s="1174" t="s">
        <v>46</v>
      </c>
      <c r="V276" s="1179" t="s">
        <v>46</v>
      </c>
      <c r="W276" s="1174" t="s">
        <v>46</v>
      </c>
      <c r="X276" s="1174"/>
      <c r="Y276" s="1174"/>
      <c r="Z276" s="1174" t="s">
        <v>46</v>
      </c>
      <c r="AA276" s="1179" t="s">
        <v>46</v>
      </c>
      <c r="AB276" s="1174" t="s">
        <v>46</v>
      </c>
      <c r="AC276" s="1174" t="s">
        <v>46</v>
      </c>
      <c r="AD276" s="1174" t="s">
        <v>46</v>
      </c>
      <c r="AE276" s="1174"/>
      <c r="AF276" s="1174"/>
      <c r="AG276" s="1041"/>
      <c r="AH276" s="112"/>
      <c r="AI276" s="67"/>
    </row>
    <row r="277" spans="1:35" ht="18" customHeight="1" x14ac:dyDescent="0.2">
      <c r="A277" s="638"/>
      <c r="B277" s="1052"/>
      <c r="C277" s="636"/>
      <c r="D277" s="636"/>
      <c r="E277" s="636"/>
      <c r="F277" s="636"/>
      <c r="G277" s="636"/>
      <c r="H277" s="636"/>
      <c r="I277" s="636"/>
      <c r="J277" s="636"/>
      <c r="K277" s="636"/>
      <c r="L277" s="636"/>
      <c r="M277" s="636"/>
      <c r="N277" s="636"/>
      <c r="O277" s="636"/>
      <c r="P277" s="636"/>
      <c r="Q277" s="636"/>
      <c r="R277" s="636"/>
      <c r="S277" s="636"/>
      <c r="T277" s="636"/>
      <c r="U277" s="636"/>
      <c r="V277" s="636"/>
      <c r="W277" s="636"/>
      <c r="X277" s="636"/>
      <c r="Y277" s="636"/>
      <c r="Z277" s="636"/>
      <c r="AA277" s="636"/>
      <c r="AB277" s="636"/>
      <c r="AC277" s="636"/>
      <c r="AD277" s="636"/>
      <c r="AE277" s="636"/>
      <c r="AF277" s="636"/>
      <c r="AG277" s="1041"/>
      <c r="AH277" s="112"/>
      <c r="AI277" s="67"/>
    </row>
    <row r="278" spans="1:35" ht="18" customHeight="1" x14ac:dyDescent="0.2">
      <c r="A278" s="638"/>
      <c r="B278" s="1012"/>
      <c r="C278" s="636"/>
      <c r="D278" s="636"/>
      <c r="E278" s="636"/>
      <c r="F278" s="636"/>
      <c r="G278" s="636"/>
      <c r="H278" s="636"/>
      <c r="I278" s="636"/>
      <c r="J278" s="636"/>
      <c r="K278" s="636"/>
      <c r="L278" s="636"/>
      <c r="M278" s="636"/>
      <c r="N278" s="799"/>
      <c r="O278" s="799"/>
      <c r="P278" s="799"/>
      <c r="Q278" s="1349"/>
      <c r="R278" s="799"/>
      <c r="S278" s="636"/>
      <c r="T278" s="636"/>
      <c r="U278" s="799"/>
      <c r="V278" s="799"/>
      <c r="W278" s="799"/>
      <c r="X278" s="636"/>
      <c r="Y278" s="799"/>
      <c r="Z278" s="636"/>
      <c r="AA278" s="636"/>
      <c r="AB278" s="636"/>
      <c r="AC278" s="636"/>
      <c r="AD278" s="636"/>
      <c r="AE278" s="636"/>
      <c r="AF278" s="799"/>
      <c r="AG278" s="1053"/>
      <c r="AH278" s="112"/>
      <c r="AI278" s="67"/>
    </row>
    <row r="279" spans="1:35" ht="18" customHeight="1" x14ac:dyDescent="0.2">
      <c r="A279" s="638"/>
      <c r="B279" s="638"/>
      <c r="C279" s="636"/>
      <c r="D279" s="636"/>
      <c r="E279" s="636"/>
      <c r="F279" s="636"/>
      <c r="G279" s="636"/>
      <c r="H279" s="636"/>
      <c r="I279" s="636"/>
      <c r="J279" s="636"/>
      <c r="K279" s="636"/>
      <c r="L279" s="636"/>
      <c r="M279" s="636"/>
      <c r="N279" s="636"/>
      <c r="O279" s="636"/>
      <c r="P279" s="636"/>
      <c r="Q279" s="636"/>
      <c r="R279" s="636"/>
      <c r="S279" s="636"/>
      <c r="T279" s="636"/>
      <c r="U279" s="636"/>
      <c r="V279" s="636"/>
      <c r="W279" s="636"/>
      <c r="X279" s="636"/>
      <c r="Y279" s="636"/>
      <c r="Z279" s="636"/>
      <c r="AA279" s="636"/>
      <c r="AB279" s="636"/>
      <c r="AC279" s="636"/>
      <c r="AD279" s="636"/>
      <c r="AE279" s="636"/>
      <c r="AF279" s="636"/>
      <c r="AG279" s="1041"/>
      <c r="AH279" s="112"/>
      <c r="AI279" s="67"/>
    </row>
    <row r="280" spans="1:35" ht="18" customHeight="1" x14ac:dyDescent="0.2">
      <c r="A280" s="638"/>
      <c r="B280" s="638"/>
      <c r="C280" s="636"/>
      <c r="D280" s="636"/>
      <c r="E280" s="636"/>
      <c r="F280" s="636"/>
      <c r="G280" s="636"/>
      <c r="H280" s="1054"/>
      <c r="I280" s="636"/>
      <c r="J280" s="636"/>
      <c r="K280" s="636"/>
      <c r="L280" s="636"/>
      <c r="M280" s="636"/>
      <c r="N280" s="636"/>
      <c r="O280" s="636"/>
      <c r="P280" s="636"/>
      <c r="Q280" s="636"/>
      <c r="R280" s="636"/>
      <c r="S280" s="636"/>
      <c r="T280" s="636"/>
      <c r="U280" s="636"/>
      <c r="V280" s="636"/>
      <c r="W280" s="636"/>
      <c r="X280" s="636"/>
      <c r="Y280" s="636"/>
      <c r="Z280" s="636"/>
      <c r="AA280" s="636"/>
      <c r="AB280" s="636"/>
      <c r="AC280" s="636"/>
      <c r="AD280" s="636"/>
      <c r="AE280" s="636"/>
      <c r="AF280" s="636"/>
      <c r="AG280" s="1055"/>
      <c r="AH280" s="112"/>
      <c r="AI280" s="67"/>
    </row>
    <row r="281" spans="1:35" ht="18" customHeight="1" x14ac:dyDescent="0.2">
      <c r="A281" s="1042"/>
      <c r="B281" s="1056"/>
      <c r="C281" s="636"/>
      <c r="D281" s="636"/>
      <c r="E281" s="636"/>
      <c r="F281" s="636"/>
      <c r="G281" s="636"/>
      <c r="H281" s="636"/>
      <c r="I281" s="636"/>
      <c r="J281" s="636"/>
      <c r="K281" s="636"/>
      <c r="L281" s="636"/>
      <c r="M281" s="636"/>
      <c r="N281" s="636"/>
      <c r="O281" s="636"/>
      <c r="P281" s="636"/>
      <c r="Q281" s="636"/>
      <c r="R281" s="636"/>
      <c r="S281" s="636"/>
      <c r="T281" s="636"/>
      <c r="U281" s="636"/>
      <c r="V281" s="636"/>
      <c r="W281" s="636"/>
      <c r="X281" s="636"/>
      <c r="Y281" s="636"/>
      <c r="Z281" s="636"/>
      <c r="AA281" s="636"/>
      <c r="AB281" s="636"/>
      <c r="AC281" s="636"/>
      <c r="AD281" s="636"/>
      <c r="AE281" s="636"/>
      <c r="AF281" s="636"/>
      <c r="AG281" s="1055"/>
      <c r="AH281" s="112"/>
      <c r="AI281" s="67"/>
    </row>
    <row r="282" spans="1:35" ht="18" customHeight="1" x14ac:dyDescent="0.2">
      <c r="A282" s="1042"/>
      <c r="B282" s="1057"/>
      <c r="C282" s="636"/>
      <c r="D282" s="636"/>
      <c r="E282" s="636"/>
      <c r="F282" s="636"/>
      <c r="G282" s="636"/>
      <c r="H282" s="636"/>
      <c r="I282" s="636"/>
      <c r="J282" s="636"/>
      <c r="K282" s="636"/>
      <c r="L282" s="636"/>
      <c r="M282" s="636"/>
      <c r="N282" s="636"/>
      <c r="O282" s="636"/>
      <c r="P282" s="636"/>
      <c r="Q282" s="636"/>
      <c r="R282" s="636"/>
      <c r="S282" s="636"/>
      <c r="T282" s="636"/>
      <c r="U282" s="636"/>
      <c r="V282" s="636"/>
      <c r="W282" s="636"/>
      <c r="X282" s="636"/>
      <c r="Y282" s="636"/>
      <c r="Z282" s="636"/>
      <c r="AA282" s="636"/>
      <c r="AB282" s="636"/>
      <c r="AC282" s="636"/>
      <c r="AD282" s="636"/>
      <c r="AE282" s="636"/>
      <c r="AF282" s="636"/>
      <c r="AG282" s="1055"/>
      <c r="AH282" s="112"/>
      <c r="AI282" s="67"/>
    </row>
    <row r="283" spans="1:35" ht="18" customHeight="1" x14ac:dyDescent="0.2">
      <c r="A283" s="68"/>
      <c r="B283" s="74"/>
      <c r="C283" s="66"/>
      <c r="D283" s="66"/>
      <c r="E283" s="66"/>
      <c r="F283" s="66"/>
      <c r="G283" s="66"/>
      <c r="H283" s="66"/>
      <c r="I283" s="66"/>
      <c r="J283" s="66"/>
      <c r="L283" s="66"/>
      <c r="M283" s="66"/>
      <c r="N283" s="66"/>
      <c r="O283" s="66"/>
      <c r="P283" s="48"/>
      <c r="Q283" s="48"/>
      <c r="R283" s="48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7"/>
      <c r="AI283" s="67"/>
    </row>
    <row r="284" spans="1:35" ht="18" customHeight="1" x14ac:dyDescent="0.2"/>
    <row r="285" spans="1:35" ht="18" customHeight="1" x14ac:dyDescent="0.2"/>
    <row r="286" spans="1:35" ht="18" customHeight="1" x14ac:dyDescent="0.2"/>
    <row r="287" spans="1:35" ht="18" customHeight="1" thickBot="1" x14ac:dyDescent="0.25">
      <c r="A287" s="103" t="s">
        <v>370</v>
      </c>
    </row>
    <row r="288" spans="1:35" ht="18" customHeight="1" x14ac:dyDescent="0.2">
      <c r="B288" s="1539" t="s">
        <v>340</v>
      </c>
      <c r="C288" s="1400"/>
      <c r="D288" s="1439" t="s">
        <v>17</v>
      </c>
      <c r="E288" s="1231"/>
      <c r="F288" s="405"/>
      <c r="G288" s="1400"/>
      <c r="H288" s="1439" t="s">
        <v>18</v>
      </c>
      <c r="I288" s="1231"/>
      <c r="J288" s="405"/>
      <c r="K288" s="1400"/>
      <c r="L288" s="1439" t="s">
        <v>19</v>
      </c>
      <c r="M288" s="1231"/>
      <c r="N288" s="405"/>
      <c r="O288" s="1400"/>
      <c r="P288" s="1439" t="s">
        <v>20</v>
      </c>
      <c r="Q288" s="1231"/>
      <c r="R288" s="405"/>
      <c r="S288" s="1400"/>
      <c r="T288" s="1439" t="s">
        <v>21</v>
      </c>
      <c r="U288" s="1231"/>
      <c r="V288" s="405"/>
      <c r="W288" s="1400"/>
      <c r="X288" s="1439" t="s">
        <v>22</v>
      </c>
      <c r="Y288" s="1231"/>
      <c r="Z288" s="405"/>
      <c r="AA288" s="1400"/>
      <c r="AB288" s="1439" t="s">
        <v>23</v>
      </c>
      <c r="AC288" s="1231"/>
      <c r="AD288" s="1231"/>
      <c r="AE288" s="1442" t="s">
        <v>126</v>
      </c>
      <c r="AF288" s="1231"/>
      <c r="AG288" s="1231"/>
      <c r="AH288" s="1231"/>
      <c r="AI288" s="1232"/>
    </row>
    <row r="289" spans="1:35" ht="18" customHeight="1" x14ac:dyDescent="0.2">
      <c r="B289" s="452"/>
      <c r="C289" s="1059" t="s">
        <v>371</v>
      </c>
      <c r="D289" s="1030"/>
      <c r="E289" s="1060"/>
      <c r="F289" s="1061"/>
      <c r="G289" s="1059" t="s">
        <v>371</v>
      </c>
      <c r="H289" s="1030"/>
      <c r="I289" s="1060"/>
      <c r="J289" s="1061"/>
      <c r="K289" s="1059" t="s">
        <v>371</v>
      </c>
      <c r="L289" s="1030"/>
      <c r="M289" s="1060"/>
      <c r="N289" s="1061"/>
      <c r="O289" s="1059" t="s">
        <v>371</v>
      </c>
      <c r="P289" s="1062"/>
      <c r="Q289" s="1060"/>
      <c r="R289" s="1061"/>
      <c r="S289" s="1063" t="s">
        <v>372</v>
      </c>
      <c r="T289" s="1030"/>
      <c r="U289" s="1060"/>
      <c r="V289" s="1061"/>
      <c r="W289" s="1032"/>
      <c r="X289" s="1030"/>
      <c r="Y289" s="875"/>
      <c r="Z289" s="1031"/>
      <c r="AA289" s="1032"/>
      <c r="AB289" s="1030"/>
      <c r="AC289" s="875"/>
      <c r="AD289" s="875"/>
      <c r="AE289" s="1033"/>
      <c r="AF289" s="875"/>
      <c r="AG289" s="467"/>
      <c r="AH289" s="467"/>
      <c r="AI289" s="1026"/>
    </row>
    <row r="290" spans="1:35" ht="18" customHeight="1" x14ac:dyDescent="0.2">
      <c r="A290" s="70"/>
      <c r="B290" s="1064"/>
      <c r="C290" s="1495" t="s">
        <v>258</v>
      </c>
      <c r="D290" s="1065"/>
      <c r="E290" s="1060"/>
      <c r="F290" s="1061"/>
      <c r="G290" s="1495" t="s">
        <v>258</v>
      </c>
      <c r="H290" s="1030"/>
      <c r="I290" s="1060"/>
      <c r="J290" s="1061"/>
      <c r="K290" s="1495" t="s">
        <v>258</v>
      </c>
      <c r="L290" s="1030"/>
      <c r="M290" s="1060"/>
      <c r="N290" s="1061"/>
      <c r="O290" s="1495" t="s">
        <v>258</v>
      </c>
      <c r="P290" s="1030"/>
      <c r="Q290" s="1060"/>
      <c r="R290" s="1061"/>
      <c r="S290" s="1059" t="s">
        <v>373</v>
      </c>
      <c r="T290" s="1030"/>
      <c r="U290" s="1060"/>
      <c r="V290" s="1061"/>
      <c r="W290" s="1032"/>
      <c r="X290" s="1030"/>
      <c r="Y290" s="875"/>
      <c r="Z290" s="1031"/>
      <c r="AA290" s="1032"/>
      <c r="AB290" s="1030"/>
      <c r="AC290" s="875"/>
      <c r="AD290" s="875"/>
      <c r="AE290" s="1033"/>
      <c r="AF290" s="875"/>
      <c r="AG290" s="467"/>
      <c r="AH290" s="467"/>
      <c r="AI290" s="1026"/>
    </row>
    <row r="291" spans="1:35" ht="18" customHeight="1" x14ac:dyDescent="0.2">
      <c r="B291" s="1064"/>
      <c r="C291" s="1495" t="s">
        <v>261</v>
      </c>
      <c r="D291" s="1065"/>
      <c r="E291" s="1060"/>
      <c r="F291" s="1061"/>
      <c r="G291" s="1495" t="s">
        <v>261</v>
      </c>
      <c r="H291" s="1030"/>
      <c r="I291" s="1060"/>
      <c r="J291" s="1061"/>
      <c r="K291" s="1495" t="s">
        <v>261</v>
      </c>
      <c r="L291" s="1030"/>
      <c r="M291" s="1060"/>
      <c r="N291" s="1061"/>
      <c r="O291" s="1495" t="s">
        <v>261</v>
      </c>
      <c r="P291" s="1030"/>
      <c r="Q291" s="1060"/>
      <c r="R291" s="1061"/>
      <c r="S291" s="1495" t="s">
        <v>256</v>
      </c>
      <c r="T291" s="1030"/>
      <c r="U291" s="1060"/>
      <c r="V291" s="1061"/>
      <c r="W291" s="1032"/>
      <c r="X291" s="1030"/>
      <c r="Y291" s="875"/>
      <c r="Z291" s="1031"/>
      <c r="AA291" s="1032"/>
      <c r="AB291" s="1030"/>
      <c r="AC291" s="875"/>
      <c r="AD291" s="875"/>
      <c r="AE291" s="1033"/>
      <c r="AF291" s="875"/>
      <c r="AG291" s="467"/>
      <c r="AH291" s="467"/>
      <c r="AI291" s="1026"/>
    </row>
    <row r="292" spans="1:35" ht="18" customHeight="1" x14ac:dyDescent="0.2">
      <c r="B292" s="1064"/>
      <c r="C292" s="1301"/>
      <c r="D292" s="1302"/>
      <c r="E292" s="875"/>
      <c r="F292" s="1031"/>
      <c r="G292" s="1301"/>
      <c r="H292" s="1302"/>
      <c r="I292" s="875"/>
      <c r="J292" s="1031"/>
      <c r="K292" s="1301"/>
      <c r="L292" s="1302"/>
      <c r="M292" s="875"/>
      <c r="N292" s="1031"/>
      <c r="O292" s="1301"/>
      <c r="P292" s="1302"/>
      <c r="Q292" s="875"/>
      <c r="R292" s="1031"/>
      <c r="S292" s="1301"/>
      <c r="T292" s="1302"/>
      <c r="U292" s="875"/>
      <c r="V292" s="1031"/>
      <c r="W292" s="1032"/>
      <c r="X292" s="1030"/>
      <c r="Y292" s="875"/>
      <c r="Z292" s="1031"/>
      <c r="AA292" s="1032"/>
      <c r="AB292" s="1030"/>
      <c r="AC292" s="875"/>
      <c r="AD292" s="875"/>
      <c r="AE292" s="1033"/>
      <c r="AF292" s="875"/>
      <c r="AG292" s="467"/>
      <c r="AH292" s="467"/>
      <c r="AI292" s="1026"/>
    </row>
    <row r="293" spans="1:35" ht="18" customHeight="1" x14ac:dyDescent="0.2">
      <c r="B293" s="1064"/>
      <c r="C293" s="1445"/>
      <c r="D293" s="1302"/>
      <c r="E293" s="875"/>
      <c r="F293" s="1031"/>
      <c r="G293" s="1030"/>
      <c r="H293" s="1030"/>
      <c r="I293" s="875"/>
      <c r="J293" s="1031"/>
      <c r="K293" s="1030"/>
      <c r="L293" s="1030"/>
      <c r="M293" s="875"/>
      <c r="N293" s="1031"/>
      <c r="O293" s="1030"/>
      <c r="P293" s="1030"/>
      <c r="Q293" s="875"/>
      <c r="R293" s="1031"/>
      <c r="S293" s="1030"/>
      <c r="T293" s="1030"/>
      <c r="U293" s="875"/>
      <c r="V293" s="1031"/>
      <c r="W293" s="1032"/>
      <c r="X293" s="1030"/>
      <c r="Y293" s="875"/>
      <c r="Z293" s="1031"/>
      <c r="AA293" s="1032"/>
      <c r="AB293" s="1030"/>
      <c r="AC293" s="875"/>
      <c r="AD293" s="875"/>
      <c r="AE293" s="1033"/>
      <c r="AF293" s="875"/>
      <c r="AG293" s="467"/>
      <c r="AH293" s="467"/>
      <c r="AI293" s="1026"/>
    </row>
    <row r="294" spans="1:35" ht="18" customHeight="1" x14ac:dyDescent="0.2">
      <c r="B294" s="1064" t="s">
        <v>235</v>
      </c>
      <c r="C294" s="1445" t="s">
        <v>10</v>
      </c>
      <c r="D294" s="1065"/>
      <c r="E294" s="1060"/>
      <c r="F294" s="1061"/>
      <c r="G294" s="1445" t="s">
        <v>10</v>
      </c>
      <c r="H294" s="1065"/>
      <c r="I294" s="1060"/>
      <c r="J294" s="1061"/>
      <c r="K294" s="1445" t="s">
        <v>10</v>
      </c>
      <c r="L294" s="1065"/>
      <c r="M294" s="1060"/>
      <c r="N294" s="1061"/>
      <c r="O294" s="1445" t="s">
        <v>10</v>
      </c>
      <c r="P294" s="1065"/>
      <c r="Q294" s="1060"/>
      <c r="R294" s="1061"/>
      <c r="S294" s="1030" t="s">
        <v>10</v>
      </c>
      <c r="T294" s="1030"/>
      <c r="U294" s="1060"/>
      <c r="V294" s="1061"/>
      <c r="W294" s="1032"/>
      <c r="X294" s="1030"/>
      <c r="Y294" s="875"/>
      <c r="Z294" s="1031"/>
      <c r="AA294" s="1032"/>
      <c r="AB294" s="1030"/>
      <c r="AC294" s="875"/>
      <c r="AD294" s="875"/>
      <c r="AE294" s="1033"/>
      <c r="AF294" s="875"/>
      <c r="AG294" s="467"/>
      <c r="AH294" s="467"/>
      <c r="AI294" s="1026"/>
    </row>
    <row r="295" spans="1:35" ht="18" customHeight="1" x14ac:dyDescent="0.2">
      <c r="B295" s="1064" t="s">
        <v>236</v>
      </c>
      <c r="C295" s="1445" t="s">
        <v>10</v>
      </c>
      <c r="D295" s="1065"/>
      <c r="E295" s="1060"/>
      <c r="F295" s="1061"/>
      <c r="G295" s="1445" t="s">
        <v>10</v>
      </c>
      <c r="H295" s="1065"/>
      <c r="I295" s="1060"/>
      <c r="J295" s="1061"/>
      <c r="K295" s="1445" t="s">
        <v>10</v>
      </c>
      <c r="L295" s="1065"/>
      <c r="M295" s="1060"/>
      <c r="N295" s="1061"/>
      <c r="O295" s="1445" t="s">
        <v>10</v>
      </c>
      <c r="P295" s="1065"/>
      <c r="Q295" s="1060"/>
      <c r="R295" s="1061"/>
      <c r="S295" s="1030" t="s">
        <v>10</v>
      </c>
      <c r="T295" s="1030"/>
      <c r="U295" s="1060"/>
      <c r="V295" s="1061"/>
      <c r="W295" s="1032"/>
      <c r="X295" s="1030"/>
      <c r="Y295" s="875"/>
      <c r="Z295" s="1031"/>
      <c r="AA295" s="1032"/>
      <c r="AB295" s="1030"/>
      <c r="AC295" s="875"/>
      <c r="AD295" s="875"/>
      <c r="AE295" s="1033"/>
      <c r="AF295" s="875"/>
      <c r="AG295" s="467"/>
      <c r="AH295" s="467"/>
      <c r="AI295" s="1026"/>
    </row>
    <row r="296" spans="1:35" ht="18" customHeight="1" thickBot="1" x14ac:dyDescent="0.25">
      <c r="B296" s="1066" t="s">
        <v>243</v>
      </c>
      <c r="C296" s="1458" t="s">
        <v>10</v>
      </c>
      <c r="D296" s="1067"/>
      <c r="E296" s="205"/>
      <c r="F296" s="206"/>
      <c r="G296" s="1458" t="s">
        <v>10</v>
      </c>
      <c r="H296" s="1067"/>
      <c r="I296" s="205"/>
      <c r="J296" s="206"/>
      <c r="K296" s="1458" t="s">
        <v>10</v>
      </c>
      <c r="L296" s="1067"/>
      <c r="M296" s="205"/>
      <c r="N296" s="206"/>
      <c r="O296" s="1458" t="s">
        <v>10</v>
      </c>
      <c r="P296" s="1067"/>
      <c r="Q296" s="205"/>
      <c r="R296" s="206"/>
      <c r="S296" s="149" t="s">
        <v>10</v>
      </c>
      <c r="T296" s="149"/>
      <c r="U296" s="205"/>
      <c r="V296" s="206"/>
      <c r="W296" s="200"/>
      <c r="X296" s="149"/>
      <c r="Y296" s="201"/>
      <c r="Z296" s="202"/>
      <c r="AA296" s="203"/>
      <c r="AB296" s="149"/>
      <c r="AC296" s="201"/>
      <c r="AD296" s="201"/>
      <c r="AE296" s="204"/>
      <c r="AF296" s="201"/>
      <c r="AG296" s="199"/>
      <c r="AH296" s="199"/>
      <c r="AI296" s="146"/>
    </row>
    <row r="297" spans="1:35" ht="18" customHeight="1" x14ac:dyDescent="0.2">
      <c r="B297" s="37"/>
      <c r="C297" s="42"/>
      <c r="D297" s="5"/>
      <c r="G297" s="42"/>
      <c r="H297" s="5"/>
      <c r="K297" s="42"/>
      <c r="L297" s="5"/>
      <c r="O297" s="42"/>
      <c r="P297" s="5"/>
      <c r="S297" s="42"/>
      <c r="T297" s="42"/>
      <c r="X297" s="42"/>
      <c r="AB297" s="42"/>
      <c r="AE297" s="42"/>
    </row>
    <row r="298" spans="1:35" ht="18" customHeight="1" thickBot="1" x14ac:dyDescent="0.25">
      <c r="A298" s="1068" t="s">
        <v>374</v>
      </c>
    </row>
    <row r="299" spans="1:35" ht="18" customHeight="1" thickBot="1" x14ac:dyDescent="0.25">
      <c r="A299" s="1434"/>
      <c r="B299" s="1256" t="s">
        <v>44</v>
      </c>
      <c r="C299" s="1154">
        <v>1</v>
      </c>
      <c r="D299" s="1154">
        <v>2</v>
      </c>
      <c r="E299" s="1155">
        <v>3</v>
      </c>
      <c r="F299" s="1155">
        <v>4</v>
      </c>
      <c r="G299" s="1154">
        <v>5</v>
      </c>
      <c r="H299" s="1155">
        <v>6</v>
      </c>
      <c r="I299" s="1155">
        <v>7</v>
      </c>
      <c r="J299" s="1154">
        <v>8</v>
      </c>
      <c r="K299" s="1154">
        <v>9</v>
      </c>
      <c r="L299" s="1155">
        <v>10</v>
      </c>
      <c r="M299" s="1155">
        <v>11</v>
      </c>
      <c r="N299" s="1155">
        <v>12</v>
      </c>
      <c r="O299" s="1155">
        <v>13</v>
      </c>
      <c r="P299" s="1155">
        <v>14</v>
      </c>
      <c r="Q299" s="1154">
        <v>15</v>
      </c>
      <c r="R299" s="1154">
        <v>16</v>
      </c>
      <c r="S299" s="1155">
        <v>17</v>
      </c>
      <c r="T299" s="1155">
        <v>18</v>
      </c>
      <c r="U299" s="1155">
        <v>19</v>
      </c>
      <c r="V299" s="1155">
        <v>20</v>
      </c>
      <c r="W299" s="1155">
        <v>21</v>
      </c>
      <c r="X299" s="1154">
        <v>22</v>
      </c>
      <c r="Y299" s="1154">
        <v>23</v>
      </c>
      <c r="Z299" s="1155">
        <v>24</v>
      </c>
      <c r="AA299" s="1155">
        <v>25</v>
      </c>
      <c r="AB299" s="1155">
        <v>26</v>
      </c>
      <c r="AC299" s="1155">
        <v>27</v>
      </c>
      <c r="AD299" s="1155">
        <v>28</v>
      </c>
      <c r="AE299" s="1154">
        <v>29</v>
      </c>
      <c r="AF299" s="1154">
        <v>30</v>
      </c>
      <c r="AG299" s="1353"/>
      <c r="AH299" s="110"/>
      <c r="AI299" s="111"/>
    </row>
    <row r="300" spans="1:35" ht="18" customHeight="1" x14ac:dyDescent="0.2">
      <c r="A300" s="1540">
        <v>3702</v>
      </c>
      <c r="B300" s="1410" t="s">
        <v>375</v>
      </c>
      <c r="C300" s="1174"/>
      <c r="D300" s="1174"/>
      <c r="E300" s="1174" t="s">
        <v>46</v>
      </c>
      <c r="F300" s="1179" t="s">
        <v>46</v>
      </c>
      <c r="G300" s="1174"/>
      <c r="H300" s="1174" t="s">
        <v>46</v>
      </c>
      <c r="I300" s="1174" t="s">
        <v>46</v>
      </c>
      <c r="J300" s="1174"/>
      <c r="K300" s="1174"/>
      <c r="L300" s="1174" t="s">
        <v>46</v>
      </c>
      <c r="M300" s="1174" t="s">
        <v>46</v>
      </c>
      <c r="N300" s="1223" t="s">
        <v>46</v>
      </c>
      <c r="O300" s="1174" t="s">
        <v>46</v>
      </c>
      <c r="P300" s="1182" t="s">
        <v>46</v>
      </c>
      <c r="Q300" s="1182"/>
      <c r="R300" s="1182"/>
      <c r="S300" s="1182" t="s">
        <v>46</v>
      </c>
      <c r="T300" s="1174" t="s">
        <v>46</v>
      </c>
      <c r="U300" s="1174" t="s">
        <v>46</v>
      </c>
      <c r="V300" s="1179" t="s">
        <v>46</v>
      </c>
      <c r="W300" s="1174" t="s">
        <v>46</v>
      </c>
      <c r="X300" s="1174"/>
      <c r="Y300" s="1174"/>
      <c r="Z300" s="1174" t="s">
        <v>46</v>
      </c>
      <c r="AA300" s="1179" t="s">
        <v>46</v>
      </c>
      <c r="AB300" s="1174" t="s">
        <v>46</v>
      </c>
      <c r="AC300" s="1174" t="s">
        <v>46</v>
      </c>
      <c r="AD300" s="1174" t="s">
        <v>46</v>
      </c>
      <c r="AE300" s="1174"/>
      <c r="AF300" s="1174"/>
      <c r="AG300" s="1210"/>
      <c r="AH300" s="115"/>
      <c r="AI300" s="116"/>
    </row>
    <row r="301" spans="1:35" ht="18" customHeight="1" x14ac:dyDescent="0.2">
      <c r="A301" s="1172"/>
      <c r="B301" s="1134"/>
      <c r="C301" s="1174"/>
      <c r="D301" s="1174"/>
      <c r="E301" s="1174"/>
      <c r="F301" s="1174"/>
      <c r="G301" s="1174"/>
      <c r="H301" s="1174"/>
      <c r="I301" s="1174"/>
      <c r="J301" s="1174"/>
      <c r="K301" s="1174"/>
      <c r="L301" s="1174"/>
      <c r="M301" s="1174"/>
      <c r="N301" s="1174"/>
      <c r="O301" s="1174"/>
      <c r="P301" s="1174"/>
      <c r="Q301" s="1174"/>
      <c r="R301" s="1174"/>
      <c r="S301" s="1174"/>
      <c r="T301" s="1174"/>
      <c r="U301" s="1174"/>
      <c r="V301" s="1174"/>
      <c r="W301" s="1174"/>
      <c r="X301" s="1174"/>
      <c r="Y301" s="1174"/>
      <c r="Z301" s="1174"/>
      <c r="AA301" s="1174"/>
      <c r="AB301" s="1174"/>
      <c r="AC301" s="1174"/>
      <c r="AD301" s="1174"/>
      <c r="AE301" s="1174"/>
      <c r="AF301" s="1174"/>
      <c r="AG301" s="1177"/>
      <c r="AH301" s="115"/>
      <c r="AI301" s="116"/>
    </row>
    <row r="302" spans="1:35" ht="18" customHeight="1" x14ac:dyDescent="0.2">
      <c r="A302" s="1070"/>
      <c r="B302" s="1416"/>
      <c r="C302" s="1174"/>
      <c r="D302" s="1174"/>
      <c r="E302" s="1174"/>
      <c r="F302" s="1174"/>
      <c r="G302" s="1174"/>
      <c r="H302" s="1174"/>
      <c r="I302" s="1174"/>
      <c r="J302" s="1174"/>
      <c r="K302" s="1174"/>
      <c r="L302" s="1174"/>
      <c r="M302" s="1174"/>
      <c r="N302" s="1174"/>
      <c r="O302" s="1174"/>
      <c r="P302" s="1174"/>
      <c r="Q302" s="1174"/>
      <c r="R302" s="1174"/>
      <c r="S302" s="1174"/>
      <c r="T302" s="1174"/>
      <c r="U302" s="1174"/>
      <c r="V302" s="1174"/>
      <c r="W302" s="1174"/>
      <c r="X302" s="1174"/>
      <c r="Y302" s="1174"/>
      <c r="Z302" s="1174"/>
      <c r="AA302" s="1174"/>
      <c r="AB302" s="1174"/>
      <c r="AC302" s="1174"/>
      <c r="AD302" s="1174"/>
      <c r="AE302" s="1174"/>
      <c r="AF302" s="1174"/>
      <c r="AG302" s="1177"/>
      <c r="AH302" s="115"/>
      <c r="AI302" s="116"/>
    </row>
    <row r="303" spans="1:35" ht="18" customHeight="1" x14ac:dyDescent="0.2">
      <c r="A303" s="1071"/>
      <c r="B303" s="1072"/>
      <c r="C303" s="1174"/>
      <c r="D303" s="1174"/>
      <c r="E303" s="1174"/>
      <c r="F303" s="1174"/>
      <c r="G303" s="1174"/>
      <c r="H303" s="1174"/>
      <c r="I303" s="1174"/>
      <c r="J303" s="1174"/>
      <c r="K303" s="1174"/>
      <c r="L303" s="1174"/>
      <c r="M303" s="1174"/>
      <c r="N303" s="1174"/>
      <c r="O303" s="1174"/>
      <c r="P303" s="1174"/>
      <c r="Q303" s="1174"/>
      <c r="R303" s="1174"/>
      <c r="S303" s="1174"/>
      <c r="T303" s="1174"/>
      <c r="U303" s="1174"/>
      <c r="V303" s="1174"/>
      <c r="W303" s="1174"/>
      <c r="X303" s="1174"/>
      <c r="Y303" s="1174"/>
      <c r="Z303" s="1174"/>
      <c r="AA303" s="1174"/>
      <c r="AB303" s="1174"/>
      <c r="AC303" s="1174"/>
      <c r="AD303" s="1174"/>
      <c r="AE303" s="1174"/>
      <c r="AF303" s="1174"/>
      <c r="AG303" s="1177"/>
      <c r="AH303" s="115"/>
      <c r="AI303" s="116"/>
    </row>
    <row r="304" spans="1:35" ht="18" customHeight="1" x14ac:dyDescent="0.2">
      <c r="A304" s="1073"/>
      <c r="B304" s="1074" t="s">
        <v>376</v>
      </c>
      <c r="C304" s="1169"/>
      <c r="D304" s="1169"/>
      <c r="E304" s="1169"/>
      <c r="F304" s="1169"/>
      <c r="G304" s="1169"/>
      <c r="H304" s="1169"/>
      <c r="I304" s="1169"/>
      <c r="J304" s="1169"/>
      <c r="K304" s="1169"/>
      <c r="L304" s="1169"/>
      <c r="M304" s="1169"/>
      <c r="N304" s="1169"/>
      <c r="O304" s="1169"/>
      <c r="P304" s="1169"/>
      <c r="Q304" s="1169"/>
      <c r="R304" s="1169"/>
      <c r="S304" s="1169"/>
      <c r="T304" s="1169"/>
      <c r="U304" s="1169"/>
      <c r="V304" s="1169"/>
      <c r="W304" s="1169"/>
      <c r="X304" s="1169"/>
      <c r="Y304" s="1169"/>
      <c r="Z304" s="1169"/>
      <c r="AA304" s="1169"/>
      <c r="AB304" s="1169"/>
      <c r="AC304" s="1169"/>
      <c r="AD304" s="1169"/>
      <c r="AE304" s="1169"/>
      <c r="AF304" s="1169"/>
      <c r="AG304" s="1075"/>
      <c r="AH304" s="113"/>
      <c r="AI304" s="114"/>
    </row>
    <row r="305" spans="1:36" ht="18" customHeight="1" x14ac:dyDescent="0.2">
      <c r="A305" s="1070">
        <v>3702</v>
      </c>
      <c r="B305" s="1178" t="s">
        <v>377</v>
      </c>
      <c r="C305" s="1223"/>
      <c r="D305" s="1223"/>
      <c r="E305" s="1185" t="s">
        <v>378</v>
      </c>
      <c r="F305" s="1223" t="s">
        <v>378</v>
      </c>
      <c r="G305" s="1223"/>
      <c r="H305" s="1223" t="s">
        <v>378</v>
      </c>
      <c r="I305" s="1185" t="s">
        <v>378</v>
      </c>
      <c r="J305" s="1223"/>
      <c r="K305" s="1185"/>
      <c r="L305" s="1185" t="s">
        <v>378</v>
      </c>
      <c r="M305" s="1223" t="s">
        <v>378</v>
      </c>
      <c r="N305" s="1223" t="s">
        <v>378</v>
      </c>
      <c r="O305" s="1223" t="s">
        <v>378</v>
      </c>
      <c r="P305" s="1185" t="s">
        <v>378</v>
      </c>
      <c r="Q305" s="1223"/>
      <c r="R305" s="1185"/>
      <c r="S305" s="1185" t="s">
        <v>378</v>
      </c>
      <c r="T305" s="1223" t="s">
        <v>378</v>
      </c>
      <c r="U305" s="1223" t="s">
        <v>378</v>
      </c>
      <c r="V305" s="1223" t="s">
        <v>378</v>
      </c>
      <c r="W305" s="1185" t="s">
        <v>378</v>
      </c>
      <c r="X305" s="1223"/>
      <c r="Y305" s="1185"/>
      <c r="Z305" s="1185" t="s">
        <v>378</v>
      </c>
      <c r="AA305" s="1223" t="s">
        <v>378</v>
      </c>
      <c r="AB305" s="1223" t="s">
        <v>378</v>
      </c>
      <c r="AC305" s="1223" t="s">
        <v>378</v>
      </c>
      <c r="AD305" s="1185" t="s">
        <v>378</v>
      </c>
      <c r="AE305" s="1223"/>
      <c r="AF305" s="1185"/>
      <c r="AG305" s="1321"/>
      <c r="AH305" s="115"/>
      <c r="AI305" s="116"/>
    </row>
    <row r="306" spans="1:36" ht="18" customHeight="1" x14ac:dyDescent="0.2">
      <c r="A306" s="1070"/>
      <c r="B306" s="1178" t="s">
        <v>379</v>
      </c>
      <c r="C306" s="1223"/>
      <c r="D306" s="1223"/>
      <c r="E306" s="1223" t="s">
        <v>380</v>
      </c>
      <c r="F306" s="1223" t="s">
        <v>380</v>
      </c>
      <c r="G306" s="1223"/>
      <c r="H306" s="1223" t="s">
        <v>380</v>
      </c>
      <c r="I306" s="1223" t="s">
        <v>380</v>
      </c>
      <c r="J306" s="1223"/>
      <c r="K306" s="1223"/>
      <c r="L306" s="1223" t="s">
        <v>380</v>
      </c>
      <c r="M306" s="1223" t="s">
        <v>380</v>
      </c>
      <c r="N306" s="1223" t="s">
        <v>380</v>
      </c>
      <c r="O306" s="1223" t="s">
        <v>380</v>
      </c>
      <c r="P306" s="1223" t="s">
        <v>380</v>
      </c>
      <c r="Q306" s="1223"/>
      <c r="R306" s="1223"/>
      <c r="S306" s="1223" t="s">
        <v>380</v>
      </c>
      <c r="T306" s="1223" t="s">
        <v>380</v>
      </c>
      <c r="U306" s="1223" t="s">
        <v>380</v>
      </c>
      <c r="V306" s="1223" t="s">
        <v>380</v>
      </c>
      <c r="W306" s="1223" t="s">
        <v>380</v>
      </c>
      <c r="X306" s="1223"/>
      <c r="Y306" s="1223"/>
      <c r="Z306" s="1223" t="s">
        <v>380</v>
      </c>
      <c r="AA306" s="1223" t="s">
        <v>380</v>
      </c>
      <c r="AB306" s="1223" t="s">
        <v>380</v>
      </c>
      <c r="AC306" s="1223" t="s">
        <v>380</v>
      </c>
      <c r="AD306" s="1223" t="s">
        <v>380</v>
      </c>
      <c r="AE306" s="1223"/>
      <c r="AF306" s="1223"/>
      <c r="AG306" s="1541"/>
      <c r="AH306" s="115"/>
      <c r="AI306" s="116"/>
    </row>
    <row r="307" spans="1:36" ht="18" customHeight="1" thickBot="1" x14ac:dyDescent="0.25">
      <c r="A307" s="1076"/>
      <c r="B307" s="1192" t="s">
        <v>381</v>
      </c>
      <c r="C307" s="1221"/>
      <c r="D307" s="1221"/>
      <c r="E307" s="1268" t="s">
        <v>382</v>
      </c>
      <c r="F307" s="1221" t="s">
        <v>382</v>
      </c>
      <c r="G307" s="1221"/>
      <c r="H307" s="1221" t="s">
        <v>382</v>
      </c>
      <c r="I307" s="1221" t="s">
        <v>382</v>
      </c>
      <c r="J307" s="1221"/>
      <c r="K307" s="1268"/>
      <c r="L307" s="1268" t="s">
        <v>382</v>
      </c>
      <c r="M307" s="1221" t="s">
        <v>382</v>
      </c>
      <c r="N307" s="1221" t="s">
        <v>382</v>
      </c>
      <c r="O307" s="1542" t="s">
        <v>382</v>
      </c>
      <c r="P307" s="1542" t="s">
        <v>415</v>
      </c>
      <c r="Q307" s="1221"/>
      <c r="R307" s="1268"/>
      <c r="S307" s="1268" t="s">
        <v>382</v>
      </c>
      <c r="T307" s="1221" t="s">
        <v>382</v>
      </c>
      <c r="U307" s="1221" t="s">
        <v>382</v>
      </c>
      <c r="V307" s="1221" t="s">
        <v>382</v>
      </c>
      <c r="W307" s="1221" t="s">
        <v>382</v>
      </c>
      <c r="X307" s="1221"/>
      <c r="Y307" s="1268"/>
      <c r="Z307" s="1268" t="s">
        <v>382</v>
      </c>
      <c r="AA307" s="1221" t="s">
        <v>382</v>
      </c>
      <c r="AB307" s="1221" t="s">
        <v>382</v>
      </c>
      <c r="AC307" s="1221" t="s">
        <v>382</v>
      </c>
      <c r="AD307" s="1221" t="s">
        <v>382</v>
      </c>
      <c r="AE307" s="1221"/>
      <c r="AF307" s="1268"/>
      <c r="AG307" s="1296"/>
      <c r="AH307" s="115"/>
      <c r="AI307" s="116"/>
    </row>
    <row r="308" spans="1:36" ht="18" customHeight="1" x14ac:dyDescent="0.2"/>
    <row r="309" spans="1:36" ht="18" customHeight="1" x14ac:dyDescent="0.2"/>
    <row r="310" spans="1:36" ht="18" customHeight="1" thickBot="1" x14ac:dyDescent="0.25">
      <c r="A310" s="103" t="s">
        <v>383</v>
      </c>
    </row>
    <row r="311" spans="1:36" ht="18" customHeight="1" x14ac:dyDescent="0.2">
      <c r="A311" s="1"/>
      <c r="B311" s="1539" t="s">
        <v>340</v>
      </c>
      <c r="C311" s="1400"/>
      <c r="D311" s="1439" t="s">
        <v>17</v>
      </c>
      <c r="E311" s="1231"/>
      <c r="F311" s="405"/>
      <c r="G311" s="1400"/>
      <c r="H311" s="1439" t="s">
        <v>18</v>
      </c>
      <c r="I311" s="1231"/>
      <c r="J311" s="405"/>
      <c r="K311" s="1400"/>
      <c r="L311" s="1439" t="s">
        <v>19</v>
      </c>
      <c r="M311" s="1231"/>
      <c r="N311" s="405"/>
      <c r="O311" s="1400"/>
      <c r="P311" s="1439" t="s">
        <v>20</v>
      </c>
      <c r="Q311" s="1231"/>
      <c r="R311" s="405"/>
      <c r="S311" s="1400"/>
      <c r="T311" s="1439" t="s">
        <v>21</v>
      </c>
      <c r="U311" s="1231"/>
      <c r="V311" s="405"/>
      <c r="W311" s="1400"/>
      <c r="X311" s="1439" t="s">
        <v>22</v>
      </c>
      <c r="Y311" s="1231"/>
      <c r="Z311" s="405"/>
      <c r="AA311" s="1400"/>
      <c r="AB311" s="1439" t="s">
        <v>23</v>
      </c>
      <c r="AC311" s="1231"/>
      <c r="AD311" s="1231"/>
      <c r="AE311" s="1442" t="s">
        <v>126</v>
      </c>
      <c r="AF311" s="1231"/>
      <c r="AG311" s="1231"/>
      <c r="AH311" s="1231"/>
      <c r="AI311" s="1232"/>
    </row>
    <row r="312" spans="1:36" ht="18" customHeight="1" x14ac:dyDescent="0.2">
      <c r="A312" s="1"/>
      <c r="B312" s="452"/>
      <c r="C312" s="457"/>
      <c r="D312" s="1030"/>
      <c r="E312" s="467"/>
      <c r="F312" s="1077"/>
      <c r="G312" s="457"/>
      <c r="H312" s="1030"/>
      <c r="I312" s="467"/>
      <c r="J312" s="1077"/>
      <c r="K312" s="457"/>
      <c r="L312" s="1030"/>
      <c r="M312" s="467"/>
      <c r="N312" s="1077"/>
      <c r="O312" s="457"/>
      <c r="P312" s="1030"/>
      <c r="Q312" s="467"/>
      <c r="R312" s="1077"/>
      <c r="S312" s="457"/>
      <c r="T312" s="1030"/>
      <c r="U312" s="467"/>
      <c r="V312" s="1077"/>
      <c r="W312" s="457"/>
      <c r="X312" s="1030"/>
      <c r="Y312" s="467"/>
      <c r="Z312" s="1077"/>
      <c r="AA312" s="457"/>
      <c r="AB312" s="1030"/>
      <c r="AC312" s="467"/>
      <c r="AD312" s="467"/>
      <c r="AE312" s="1033"/>
      <c r="AF312" s="467"/>
      <c r="AG312" s="467"/>
      <c r="AH312" s="467"/>
      <c r="AI312" s="1026"/>
    </row>
    <row r="313" spans="1:36" ht="18" customHeight="1" x14ac:dyDescent="0.2">
      <c r="A313" s="70"/>
      <c r="B313" s="1064"/>
      <c r="C313" s="1301"/>
      <c r="D313" s="1121"/>
      <c r="E313" s="1121"/>
      <c r="F313" s="1447"/>
      <c r="G313" s="1301"/>
      <c r="H313" s="1121"/>
      <c r="I313" s="1121"/>
      <c r="J313" s="1447"/>
      <c r="K313" s="1301"/>
      <c r="L313" s="1121"/>
      <c r="M313" s="1121"/>
      <c r="N313" s="1447"/>
      <c r="O313" s="1301"/>
      <c r="P313" s="1121"/>
      <c r="Q313" s="1121"/>
      <c r="R313" s="1447"/>
      <c r="S313" s="1301"/>
      <c r="T313" s="1121"/>
      <c r="U313" s="1121"/>
      <c r="V313" s="1447"/>
      <c r="W313" s="1301"/>
      <c r="X313" s="1121"/>
      <c r="Y313" s="1121"/>
      <c r="Z313" s="1447"/>
      <c r="AA313" s="1445"/>
      <c r="AB313" s="1121"/>
      <c r="AC313" s="1121"/>
      <c r="AD313" s="1302"/>
      <c r="AE313" s="1078"/>
      <c r="AF313" s="1121"/>
      <c r="AG313" s="1121"/>
      <c r="AH313" s="1302"/>
      <c r="AI313" s="1403"/>
    </row>
    <row r="314" spans="1:36" ht="18" customHeight="1" thickBot="1" x14ac:dyDescent="0.25">
      <c r="A314" s="1"/>
      <c r="B314" s="1457"/>
      <c r="C314" s="1458"/>
      <c r="D314" s="1247"/>
      <c r="E314" s="1247"/>
      <c r="F314" s="1481"/>
      <c r="G314" s="1458"/>
      <c r="H314" s="1247"/>
      <c r="I314" s="1247"/>
      <c r="J314" s="1481"/>
      <c r="K314" s="1458"/>
      <c r="L314" s="1247"/>
      <c r="M314" s="1247"/>
      <c r="N314" s="1481"/>
      <c r="O314" s="1458"/>
      <c r="P314" s="1247"/>
      <c r="Q314" s="1247"/>
      <c r="R314" s="1481"/>
      <c r="S314" s="1458"/>
      <c r="T314" s="1247"/>
      <c r="U314" s="1247"/>
      <c r="V314" s="1481"/>
      <c r="W314" s="1479"/>
      <c r="X314" s="1247"/>
      <c r="Y314" s="1247"/>
      <c r="Z314" s="1481"/>
      <c r="AA314" s="1479"/>
      <c r="AB314" s="1247"/>
      <c r="AC314" s="1247"/>
      <c r="AD314" s="1465"/>
      <c r="AE314" s="1479"/>
      <c r="AF314" s="1247"/>
      <c r="AG314" s="1247"/>
      <c r="AH314" s="1465"/>
      <c r="AI314" s="1254"/>
    </row>
    <row r="315" spans="1:36" ht="18" customHeight="1" x14ac:dyDescent="0.2">
      <c r="A315" s="1"/>
      <c r="B315" s="5"/>
      <c r="C315" s="42"/>
      <c r="F315" s="46"/>
      <c r="G315" s="42"/>
      <c r="J315" s="46"/>
      <c r="K315" s="42"/>
      <c r="N315" s="46"/>
      <c r="O315" s="42"/>
      <c r="R315" s="46"/>
      <c r="S315" s="42"/>
      <c r="V315" s="46"/>
      <c r="W315" s="46"/>
      <c r="Z315" s="46"/>
      <c r="AA315" s="46"/>
      <c r="AD315" s="46"/>
      <c r="AE315" s="46"/>
      <c r="AH315" s="46"/>
    </row>
    <row r="316" spans="1:36" ht="18" customHeight="1" thickBot="1" x14ac:dyDescent="0.25">
      <c r="A316" s="103" t="s">
        <v>384</v>
      </c>
      <c r="B316" s="5"/>
      <c r="C316" s="42"/>
      <c r="F316" s="46"/>
      <c r="G316" s="42"/>
      <c r="J316" s="46"/>
      <c r="K316" s="42"/>
      <c r="N316" s="46"/>
      <c r="O316" s="42"/>
      <c r="R316" s="46"/>
      <c r="S316" s="42"/>
      <c r="V316" s="46"/>
      <c r="W316" s="46"/>
      <c r="Z316" s="46"/>
      <c r="AA316" s="46"/>
      <c r="AD316" s="46"/>
      <c r="AE316" s="46"/>
      <c r="AH316" s="208"/>
      <c r="AI316" s="123"/>
      <c r="AJ316" s="123"/>
    </row>
    <row r="317" spans="1:36" ht="18" customHeight="1" thickBot="1" x14ac:dyDescent="0.25">
      <c r="A317" s="1434" t="s">
        <v>43</v>
      </c>
      <c r="B317" s="1256" t="s">
        <v>44</v>
      </c>
      <c r="C317" s="1154">
        <v>1</v>
      </c>
      <c r="D317" s="1154">
        <v>2</v>
      </c>
      <c r="E317" s="1155">
        <v>3</v>
      </c>
      <c r="F317" s="1155">
        <v>4</v>
      </c>
      <c r="G317" s="1154">
        <v>5</v>
      </c>
      <c r="H317" s="1155">
        <v>6</v>
      </c>
      <c r="I317" s="1155">
        <v>7</v>
      </c>
      <c r="J317" s="1154">
        <v>8</v>
      </c>
      <c r="K317" s="1154">
        <v>9</v>
      </c>
      <c r="L317" s="1155">
        <v>10</v>
      </c>
      <c r="M317" s="1155">
        <v>11</v>
      </c>
      <c r="N317" s="1155">
        <v>12</v>
      </c>
      <c r="O317" s="1155">
        <v>13</v>
      </c>
      <c r="P317" s="1155">
        <v>14</v>
      </c>
      <c r="Q317" s="1154">
        <v>15</v>
      </c>
      <c r="R317" s="1154">
        <v>16</v>
      </c>
      <c r="S317" s="1155">
        <v>17</v>
      </c>
      <c r="T317" s="1155">
        <v>18</v>
      </c>
      <c r="U317" s="1155">
        <v>19</v>
      </c>
      <c r="V317" s="1155">
        <v>20</v>
      </c>
      <c r="W317" s="1155">
        <v>21</v>
      </c>
      <c r="X317" s="1154">
        <v>22</v>
      </c>
      <c r="Y317" s="1154">
        <v>23</v>
      </c>
      <c r="Z317" s="1155">
        <v>24</v>
      </c>
      <c r="AA317" s="1155">
        <v>25</v>
      </c>
      <c r="AB317" s="1155">
        <v>26</v>
      </c>
      <c r="AC317" s="1155">
        <v>27</v>
      </c>
      <c r="AD317" s="1155">
        <v>28</v>
      </c>
      <c r="AE317" s="1154">
        <v>29</v>
      </c>
      <c r="AF317" s="1154">
        <v>30</v>
      </c>
      <c r="AG317" s="1353"/>
      <c r="AH317" s="209"/>
      <c r="AI317" s="210"/>
      <c r="AJ317" s="123"/>
    </row>
    <row r="318" spans="1:36" ht="18" customHeight="1" x14ac:dyDescent="0.2">
      <c r="A318" s="1079"/>
      <c r="B318" s="1080"/>
      <c r="C318" s="1355"/>
      <c r="D318" s="1355"/>
      <c r="E318" s="1355" t="s">
        <v>46</v>
      </c>
      <c r="F318" s="1355" t="s">
        <v>46</v>
      </c>
      <c r="G318" s="1355"/>
      <c r="H318" s="1355" t="s">
        <v>46</v>
      </c>
      <c r="I318" s="1355" t="s">
        <v>46</v>
      </c>
      <c r="J318" s="1355"/>
      <c r="K318" s="1355"/>
      <c r="L318" s="1355" t="s">
        <v>46</v>
      </c>
      <c r="M318" s="1355" t="s">
        <v>46</v>
      </c>
      <c r="N318" s="1355" t="s">
        <v>46</v>
      </c>
      <c r="O318" s="1355" t="s">
        <v>46</v>
      </c>
      <c r="P318" s="1355" t="s">
        <v>46</v>
      </c>
      <c r="Q318" s="1355"/>
      <c r="R318" s="1355"/>
      <c r="S318" s="1355" t="s">
        <v>46</v>
      </c>
      <c r="T318" s="1355" t="s">
        <v>46</v>
      </c>
      <c r="U318" s="1355" t="s">
        <v>46</v>
      </c>
      <c r="V318" s="1355" t="s">
        <v>46</v>
      </c>
      <c r="W318" s="1355" t="s">
        <v>46</v>
      </c>
      <c r="X318" s="1355"/>
      <c r="Y318" s="1355"/>
      <c r="Z318" s="1355" t="s">
        <v>46</v>
      </c>
      <c r="AA318" s="1355" t="s">
        <v>46</v>
      </c>
      <c r="AB318" s="1355" t="s">
        <v>46</v>
      </c>
      <c r="AC318" s="1355" t="s">
        <v>46</v>
      </c>
      <c r="AD318" s="1355" t="s">
        <v>46</v>
      </c>
      <c r="AE318" s="1355"/>
      <c r="AF318" s="1355"/>
      <c r="AG318" s="411"/>
      <c r="AH318" s="211"/>
      <c r="AI318" s="212"/>
      <c r="AJ318" s="123"/>
    </row>
    <row r="319" spans="1:36" ht="18" customHeight="1" x14ac:dyDescent="0.2">
      <c r="A319" s="1081"/>
      <c r="B319" s="748" t="s">
        <v>385</v>
      </c>
      <c r="C319" s="636"/>
      <c r="D319" s="636"/>
      <c r="E319" s="636" t="s">
        <v>46</v>
      </c>
      <c r="F319" s="636" t="s">
        <v>46</v>
      </c>
      <c r="G319" s="636"/>
      <c r="H319" s="636" t="s">
        <v>46</v>
      </c>
      <c r="I319" s="636" t="s">
        <v>46</v>
      </c>
      <c r="J319" s="636"/>
      <c r="K319" s="636"/>
      <c r="L319" s="636" t="s">
        <v>46</v>
      </c>
      <c r="M319" s="636" t="s">
        <v>46</v>
      </c>
      <c r="N319" s="636" t="s">
        <v>46</v>
      </c>
      <c r="O319" s="636" t="s">
        <v>46</v>
      </c>
      <c r="P319" s="636" t="s">
        <v>46</v>
      </c>
      <c r="Q319" s="636"/>
      <c r="R319" s="636"/>
      <c r="S319" s="636" t="s">
        <v>46</v>
      </c>
      <c r="T319" s="636" t="s">
        <v>46</v>
      </c>
      <c r="U319" s="636" t="s">
        <v>46</v>
      </c>
      <c r="V319" s="636" t="s">
        <v>46</v>
      </c>
      <c r="W319" s="636" t="s">
        <v>46</v>
      </c>
      <c r="X319" s="636"/>
      <c r="Y319" s="636"/>
      <c r="Z319" s="636" t="s">
        <v>46</v>
      </c>
      <c r="AA319" s="636" t="s">
        <v>46</v>
      </c>
      <c r="AB319" s="636" t="s">
        <v>46</v>
      </c>
      <c r="AC319" s="636" t="s">
        <v>46</v>
      </c>
      <c r="AD319" s="636" t="s">
        <v>46</v>
      </c>
      <c r="AE319" s="636"/>
      <c r="AF319" s="636"/>
      <c r="AG319" s="1543"/>
      <c r="AH319" s="211"/>
      <c r="AI319" s="212"/>
      <c r="AJ319" s="123"/>
    </row>
    <row r="320" spans="1:36" ht="18" customHeight="1" x14ac:dyDescent="0.2">
      <c r="A320" s="1042"/>
      <c r="B320" s="748" t="s">
        <v>386</v>
      </c>
      <c r="C320" s="636"/>
      <c r="D320" s="636"/>
      <c r="E320" s="636" t="s">
        <v>46</v>
      </c>
      <c r="F320" s="636" t="s">
        <v>46</v>
      </c>
      <c r="G320" s="636"/>
      <c r="H320" s="636" t="s">
        <v>46</v>
      </c>
      <c r="I320" s="636" t="s">
        <v>46</v>
      </c>
      <c r="J320" s="636"/>
      <c r="K320" s="636"/>
      <c r="L320" s="636" t="s">
        <v>46</v>
      </c>
      <c r="M320" s="636" t="s">
        <v>46</v>
      </c>
      <c r="N320" s="636" t="s">
        <v>46</v>
      </c>
      <c r="O320" s="636" t="s">
        <v>46</v>
      </c>
      <c r="P320" s="636" t="s">
        <v>46</v>
      </c>
      <c r="Q320" s="636"/>
      <c r="R320" s="636"/>
      <c r="S320" s="636" t="s">
        <v>46</v>
      </c>
      <c r="T320" s="636" t="s">
        <v>46</v>
      </c>
      <c r="U320" s="636" t="s">
        <v>46</v>
      </c>
      <c r="V320" s="636" t="s">
        <v>46</v>
      </c>
      <c r="W320" s="636" t="s">
        <v>46</v>
      </c>
      <c r="X320" s="636"/>
      <c r="Y320" s="636"/>
      <c r="Z320" s="636" t="s">
        <v>46</v>
      </c>
      <c r="AA320" s="636" t="s">
        <v>46</v>
      </c>
      <c r="AB320" s="636" t="s">
        <v>46</v>
      </c>
      <c r="AC320" s="636" t="s">
        <v>46</v>
      </c>
      <c r="AD320" s="636" t="s">
        <v>46</v>
      </c>
      <c r="AE320" s="636"/>
      <c r="AF320" s="636"/>
      <c r="AG320" s="819"/>
      <c r="AH320" s="211"/>
      <c r="AI320" s="212"/>
      <c r="AJ320" s="123"/>
    </row>
    <row r="321" spans="1:36" ht="18" customHeight="1" x14ac:dyDescent="0.2">
      <c r="A321" s="1042"/>
      <c r="B321" s="748" t="s">
        <v>387</v>
      </c>
      <c r="C321" s="636"/>
      <c r="D321" s="636"/>
      <c r="E321" s="636" t="s">
        <v>46</v>
      </c>
      <c r="F321" s="636" t="s">
        <v>46</v>
      </c>
      <c r="G321" s="636"/>
      <c r="H321" s="799" t="s">
        <v>46</v>
      </c>
      <c r="I321" s="799" t="s">
        <v>46</v>
      </c>
      <c r="J321" s="636"/>
      <c r="K321" s="636"/>
      <c r="L321" s="636" t="s">
        <v>46</v>
      </c>
      <c r="M321" s="636" t="s">
        <v>46</v>
      </c>
      <c r="N321" s="636" t="s">
        <v>46</v>
      </c>
      <c r="O321" s="799" t="s">
        <v>46</v>
      </c>
      <c r="P321" s="799" t="s">
        <v>46</v>
      </c>
      <c r="Q321" s="636"/>
      <c r="R321" s="636"/>
      <c r="S321" s="636" t="s">
        <v>46</v>
      </c>
      <c r="T321" s="636" t="s">
        <v>46</v>
      </c>
      <c r="U321" s="636" t="s">
        <v>46</v>
      </c>
      <c r="V321" s="799" t="s">
        <v>46</v>
      </c>
      <c r="W321" s="799" t="s">
        <v>46</v>
      </c>
      <c r="X321" s="636"/>
      <c r="Y321" s="636"/>
      <c r="Z321" s="636" t="s">
        <v>46</v>
      </c>
      <c r="AA321" s="636" t="s">
        <v>46</v>
      </c>
      <c r="AB321" s="636" t="s">
        <v>46</v>
      </c>
      <c r="AC321" s="799" t="s">
        <v>46</v>
      </c>
      <c r="AD321" s="799" t="s">
        <v>46</v>
      </c>
      <c r="AE321" s="636"/>
      <c r="AF321" s="636"/>
      <c r="AG321" s="819"/>
      <c r="AH321" s="211"/>
      <c r="AI321" s="212"/>
      <c r="AJ321" s="123"/>
    </row>
    <row r="322" spans="1:36" ht="18" customHeight="1" x14ac:dyDescent="0.2">
      <c r="A322" s="1042"/>
      <c r="B322" s="748" t="s">
        <v>388</v>
      </c>
      <c r="C322" s="636"/>
      <c r="D322" s="636"/>
      <c r="E322" s="636" t="s">
        <v>46</v>
      </c>
      <c r="F322" s="636" t="s">
        <v>46</v>
      </c>
      <c r="G322" s="636"/>
      <c r="H322" s="636" t="s">
        <v>46</v>
      </c>
      <c r="I322" s="636" t="s">
        <v>46</v>
      </c>
      <c r="J322" s="636"/>
      <c r="K322" s="636"/>
      <c r="L322" s="636" t="s">
        <v>46</v>
      </c>
      <c r="M322" s="636" t="s">
        <v>46</v>
      </c>
      <c r="N322" s="636" t="s">
        <v>46</v>
      </c>
      <c r="O322" s="636" t="s">
        <v>46</v>
      </c>
      <c r="P322" s="636" t="s">
        <v>46</v>
      </c>
      <c r="Q322" s="636"/>
      <c r="R322" s="636"/>
      <c r="S322" s="636" t="s">
        <v>46</v>
      </c>
      <c r="T322" s="636" t="s">
        <v>46</v>
      </c>
      <c r="U322" s="636" t="s">
        <v>46</v>
      </c>
      <c r="V322" s="636" t="s">
        <v>46</v>
      </c>
      <c r="W322" s="636" t="s">
        <v>46</v>
      </c>
      <c r="X322" s="636"/>
      <c r="Y322" s="636"/>
      <c r="Z322" s="636" t="s">
        <v>46</v>
      </c>
      <c r="AA322" s="636" t="s">
        <v>46</v>
      </c>
      <c r="AB322" s="636" t="s">
        <v>46</v>
      </c>
      <c r="AC322" s="636" t="s">
        <v>46</v>
      </c>
      <c r="AD322" s="636" t="s">
        <v>46</v>
      </c>
      <c r="AE322" s="636"/>
      <c r="AF322" s="636"/>
      <c r="AG322" s="1543"/>
      <c r="AH322" s="211"/>
      <c r="AI322" s="212"/>
      <c r="AJ322" s="123"/>
    </row>
    <row r="323" spans="1:36" ht="18" customHeight="1" x14ac:dyDescent="0.2">
      <c r="A323" s="1042"/>
      <c r="B323" s="748" t="s">
        <v>389</v>
      </c>
      <c r="C323" s="636"/>
      <c r="D323" s="636"/>
      <c r="E323" s="636" t="s">
        <v>46</v>
      </c>
      <c r="F323" s="636" t="s">
        <v>46</v>
      </c>
      <c r="G323" s="636"/>
      <c r="H323" s="636" t="s">
        <v>46</v>
      </c>
      <c r="I323" s="636" t="s">
        <v>46</v>
      </c>
      <c r="J323" s="636"/>
      <c r="K323" s="636"/>
      <c r="L323" s="636" t="s">
        <v>46</v>
      </c>
      <c r="M323" s="636" t="s">
        <v>46</v>
      </c>
      <c r="N323" s="636" t="s">
        <v>46</v>
      </c>
      <c r="O323" s="636" t="s">
        <v>46</v>
      </c>
      <c r="P323" s="636" t="s">
        <v>46</v>
      </c>
      <c r="Q323" s="636"/>
      <c r="R323" s="636"/>
      <c r="S323" s="636" t="s">
        <v>46</v>
      </c>
      <c r="T323" s="636" t="s">
        <v>46</v>
      </c>
      <c r="U323" s="636" t="s">
        <v>46</v>
      </c>
      <c r="V323" s="636" t="s">
        <v>46</v>
      </c>
      <c r="W323" s="636" t="s">
        <v>46</v>
      </c>
      <c r="X323" s="636"/>
      <c r="Y323" s="636"/>
      <c r="Z323" s="636" t="s">
        <v>46</v>
      </c>
      <c r="AA323" s="636" t="s">
        <v>46</v>
      </c>
      <c r="AB323" s="636" t="s">
        <v>46</v>
      </c>
      <c r="AC323" s="636" t="s">
        <v>46</v>
      </c>
      <c r="AD323" s="636" t="s">
        <v>46</v>
      </c>
      <c r="AE323" s="636"/>
      <c r="AF323" s="636"/>
      <c r="AG323" s="801"/>
      <c r="AH323" s="211"/>
      <c r="AI323" s="212"/>
      <c r="AJ323" s="123"/>
    </row>
    <row r="324" spans="1:36" ht="18" customHeight="1" x14ac:dyDescent="0.2">
      <c r="A324" s="1042"/>
      <c r="B324" s="748" t="s">
        <v>390</v>
      </c>
      <c r="C324" s="636"/>
      <c r="D324" s="636"/>
      <c r="E324" s="636" t="s">
        <v>46</v>
      </c>
      <c r="F324" s="636" t="s">
        <v>46</v>
      </c>
      <c r="G324" s="636"/>
      <c r="H324" s="636" t="s">
        <v>46</v>
      </c>
      <c r="I324" s="636" t="s">
        <v>46</v>
      </c>
      <c r="J324" s="636"/>
      <c r="K324" s="636"/>
      <c r="L324" s="636" t="s">
        <v>46</v>
      </c>
      <c r="M324" s="636" t="s">
        <v>46</v>
      </c>
      <c r="N324" s="636" t="s">
        <v>46</v>
      </c>
      <c r="O324" s="636" t="s">
        <v>46</v>
      </c>
      <c r="P324" s="636" t="s">
        <v>46</v>
      </c>
      <c r="Q324" s="636"/>
      <c r="R324" s="636"/>
      <c r="S324" s="636" t="s">
        <v>46</v>
      </c>
      <c r="T324" s="636" t="s">
        <v>46</v>
      </c>
      <c r="U324" s="636" t="s">
        <v>46</v>
      </c>
      <c r="V324" s="636" t="s">
        <v>46</v>
      </c>
      <c r="W324" s="636" t="s">
        <v>46</v>
      </c>
      <c r="X324" s="636"/>
      <c r="Y324" s="636"/>
      <c r="Z324" s="636" t="s">
        <v>46</v>
      </c>
      <c r="AA324" s="636" t="s">
        <v>46</v>
      </c>
      <c r="AB324" s="636" t="s">
        <v>46</v>
      </c>
      <c r="AC324" s="636" t="s">
        <v>46</v>
      </c>
      <c r="AD324" s="636" t="s">
        <v>46</v>
      </c>
      <c r="AE324" s="636"/>
      <c r="AF324" s="636"/>
      <c r="AG324" s="801"/>
      <c r="AH324" s="211"/>
      <c r="AI324" s="212"/>
      <c r="AJ324" s="123"/>
    </row>
    <row r="325" spans="1:36" ht="18" customHeight="1" x14ac:dyDescent="0.2">
      <c r="A325" s="1042"/>
      <c r="B325" s="748" t="s">
        <v>391</v>
      </c>
      <c r="C325" s="636"/>
      <c r="D325" s="636"/>
      <c r="E325" s="636" t="s">
        <v>46</v>
      </c>
      <c r="F325" s="636" t="s">
        <v>46</v>
      </c>
      <c r="G325" s="636"/>
      <c r="H325" s="636" t="s">
        <v>46</v>
      </c>
      <c r="I325" s="636" t="s">
        <v>46</v>
      </c>
      <c r="J325" s="636"/>
      <c r="K325" s="636"/>
      <c r="L325" s="636" t="s">
        <v>46</v>
      </c>
      <c r="M325" s="636" t="s">
        <v>46</v>
      </c>
      <c r="N325" s="636" t="s">
        <v>46</v>
      </c>
      <c r="O325" s="636" t="s">
        <v>46</v>
      </c>
      <c r="P325" s="636" t="s">
        <v>46</v>
      </c>
      <c r="Q325" s="636"/>
      <c r="R325" s="636"/>
      <c r="S325" s="636" t="s">
        <v>46</v>
      </c>
      <c r="T325" s="636" t="s">
        <v>46</v>
      </c>
      <c r="U325" s="636" t="s">
        <v>46</v>
      </c>
      <c r="V325" s="636" t="s">
        <v>46</v>
      </c>
      <c r="W325" s="636" t="s">
        <v>46</v>
      </c>
      <c r="X325" s="636"/>
      <c r="Y325" s="636"/>
      <c r="Z325" s="636" t="s">
        <v>46</v>
      </c>
      <c r="AA325" s="636" t="s">
        <v>46</v>
      </c>
      <c r="AB325" s="636" t="s">
        <v>46</v>
      </c>
      <c r="AC325" s="636" t="s">
        <v>46</v>
      </c>
      <c r="AD325" s="636" t="s">
        <v>46</v>
      </c>
      <c r="AE325" s="636"/>
      <c r="AF325" s="636"/>
      <c r="AG325" s="801"/>
      <c r="AH325" s="211"/>
      <c r="AI325" s="212"/>
      <c r="AJ325" s="123"/>
    </row>
    <row r="326" spans="1:36" ht="18" customHeight="1" x14ac:dyDescent="0.2">
      <c r="A326" s="1042"/>
      <c r="B326" s="748" t="s">
        <v>392</v>
      </c>
      <c r="C326" s="636"/>
      <c r="D326" s="636"/>
      <c r="E326" s="636" t="s">
        <v>46</v>
      </c>
      <c r="F326" s="636" t="s">
        <v>46</v>
      </c>
      <c r="G326" s="636"/>
      <c r="H326" s="636" t="s">
        <v>46</v>
      </c>
      <c r="I326" s="636" t="s">
        <v>46</v>
      </c>
      <c r="J326" s="636"/>
      <c r="K326" s="636"/>
      <c r="L326" s="636" t="s">
        <v>46</v>
      </c>
      <c r="M326" s="636" t="s">
        <v>46</v>
      </c>
      <c r="N326" s="636" t="s">
        <v>46</v>
      </c>
      <c r="O326" s="636" t="s">
        <v>46</v>
      </c>
      <c r="P326" s="636" t="s">
        <v>46</v>
      </c>
      <c r="Q326" s="636"/>
      <c r="R326" s="636"/>
      <c r="S326" s="636" t="s">
        <v>46</v>
      </c>
      <c r="T326" s="636" t="s">
        <v>46</v>
      </c>
      <c r="U326" s="636" t="s">
        <v>46</v>
      </c>
      <c r="V326" s="636" t="s">
        <v>46</v>
      </c>
      <c r="W326" s="636" t="s">
        <v>46</v>
      </c>
      <c r="X326" s="636"/>
      <c r="Y326" s="636"/>
      <c r="Z326" s="636" t="s">
        <v>46</v>
      </c>
      <c r="AA326" s="636" t="s">
        <v>46</v>
      </c>
      <c r="AB326" s="636" t="s">
        <v>46</v>
      </c>
      <c r="AC326" s="636" t="s">
        <v>46</v>
      </c>
      <c r="AD326" s="636" t="s">
        <v>46</v>
      </c>
      <c r="AE326" s="636"/>
      <c r="AF326" s="636"/>
      <c r="AG326" s="801"/>
      <c r="AH326" s="211"/>
      <c r="AI326" s="212"/>
      <c r="AJ326" s="123"/>
    </row>
    <row r="327" spans="1:36" ht="18" customHeight="1" x14ac:dyDescent="0.2">
      <c r="A327" s="1042"/>
      <c r="B327" s="748" t="s">
        <v>393</v>
      </c>
      <c r="C327" s="1489"/>
      <c r="D327" s="636"/>
      <c r="E327" s="636" t="s">
        <v>46</v>
      </c>
      <c r="F327" s="636" t="s">
        <v>46</v>
      </c>
      <c r="G327" s="636"/>
      <c r="H327" s="636" t="s">
        <v>46</v>
      </c>
      <c r="I327" s="636" t="s">
        <v>46</v>
      </c>
      <c r="J327" s="1489"/>
      <c r="K327" s="636"/>
      <c r="L327" s="636" t="s">
        <v>46</v>
      </c>
      <c r="M327" s="636" t="s">
        <v>46</v>
      </c>
      <c r="N327" s="636" t="s">
        <v>46</v>
      </c>
      <c r="O327" s="636" t="s">
        <v>46</v>
      </c>
      <c r="P327" s="636" t="s">
        <v>46</v>
      </c>
      <c r="Q327" s="1489"/>
      <c r="R327" s="636"/>
      <c r="S327" s="636" t="s">
        <v>46</v>
      </c>
      <c r="T327" s="636" t="s">
        <v>46</v>
      </c>
      <c r="U327" s="636" t="s">
        <v>46</v>
      </c>
      <c r="V327" s="636" t="s">
        <v>46</v>
      </c>
      <c r="W327" s="636" t="s">
        <v>46</v>
      </c>
      <c r="X327" s="1489"/>
      <c r="Y327" s="636"/>
      <c r="Z327" s="636" t="s">
        <v>46</v>
      </c>
      <c r="AA327" s="636" t="s">
        <v>46</v>
      </c>
      <c r="AB327" s="636" t="s">
        <v>46</v>
      </c>
      <c r="AC327" s="636" t="s">
        <v>46</v>
      </c>
      <c r="AD327" s="636" t="s">
        <v>46</v>
      </c>
      <c r="AE327" s="1489"/>
      <c r="AF327" s="636"/>
      <c r="AG327" s="801"/>
      <c r="AH327" s="211"/>
      <c r="AI327" s="212"/>
      <c r="AJ327" s="123"/>
    </row>
    <row r="328" spans="1:36" ht="18" customHeight="1" x14ac:dyDescent="0.2">
      <c r="A328" s="1544"/>
      <c r="B328" s="1545" t="s">
        <v>394</v>
      </c>
      <c r="C328" s="856"/>
      <c r="D328" s="856"/>
      <c r="E328" s="856" t="s">
        <v>46</v>
      </c>
      <c r="F328" s="856" t="s">
        <v>46</v>
      </c>
      <c r="G328" s="856"/>
      <c r="H328" s="856" t="s">
        <v>46</v>
      </c>
      <c r="I328" s="856" t="s">
        <v>46</v>
      </c>
      <c r="J328" s="856"/>
      <c r="K328" s="856"/>
      <c r="L328" s="856" t="s">
        <v>46</v>
      </c>
      <c r="M328" s="856" t="s">
        <v>46</v>
      </c>
      <c r="N328" s="856" t="s">
        <v>46</v>
      </c>
      <c r="O328" s="856" t="s">
        <v>46</v>
      </c>
      <c r="P328" s="856" t="s">
        <v>46</v>
      </c>
      <c r="Q328" s="856"/>
      <c r="R328" s="856"/>
      <c r="S328" s="856" t="s">
        <v>46</v>
      </c>
      <c r="T328" s="856" t="s">
        <v>46</v>
      </c>
      <c r="U328" s="856" t="s">
        <v>46</v>
      </c>
      <c r="V328" s="856" t="s">
        <v>46</v>
      </c>
      <c r="W328" s="856" t="s">
        <v>46</v>
      </c>
      <c r="X328" s="856"/>
      <c r="Y328" s="856"/>
      <c r="Z328" s="856" t="s">
        <v>46</v>
      </c>
      <c r="AA328" s="856" t="s">
        <v>46</v>
      </c>
      <c r="AB328" s="856" t="s">
        <v>46</v>
      </c>
      <c r="AC328" s="856" t="s">
        <v>46</v>
      </c>
      <c r="AD328" s="856" t="s">
        <v>46</v>
      </c>
      <c r="AE328" s="856"/>
      <c r="AF328" s="856"/>
      <c r="AG328" s="1546"/>
      <c r="AH328" s="211"/>
      <c r="AI328" s="212"/>
      <c r="AJ328" s="123"/>
    </row>
    <row r="329" spans="1:36" ht="18" customHeight="1" x14ac:dyDescent="0.2">
      <c r="A329" s="1042"/>
      <c r="B329" s="748"/>
      <c r="C329" s="636"/>
      <c r="D329" s="813"/>
      <c r="E329" s="636"/>
      <c r="F329" s="636"/>
      <c r="G329" s="636"/>
      <c r="H329" s="636"/>
      <c r="I329" s="636"/>
      <c r="J329" s="636"/>
      <c r="K329" s="636"/>
      <c r="L329" s="636"/>
      <c r="M329" s="636"/>
      <c r="N329" s="636"/>
      <c r="O329" s="636"/>
      <c r="P329" s="636"/>
      <c r="Q329" s="636"/>
      <c r="R329" s="636"/>
      <c r="S329" s="636"/>
      <c r="T329" s="636"/>
      <c r="U329" s="636"/>
      <c r="V329" s="636"/>
      <c r="W329" s="636"/>
      <c r="X329" s="636"/>
      <c r="Y329" s="636"/>
      <c r="Z329" s="636"/>
      <c r="AA329" s="636"/>
      <c r="AB329" s="636"/>
      <c r="AC329" s="636"/>
      <c r="AD329" s="636"/>
      <c r="AE329" s="636"/>
      <c r="AF329" s="636"/>
      <c r="AG329" s="801"/>
      <c r="AH329" s="211"/>
      <c r="AI329" s="212"/>
      <c r="AJ329" s="123"/>
    </row>
    <row r="330" spans="1:36" ht="18" customHeight="1" x14ac:dyDescent="0.2">
      <c r="A330" s="1084"/>
      <c r="B330" s="1085"/>
      <c r="C330" s="712"/>
      <c r="D330" s="712"/>
      <c r="E330" s="712"/>
      <c r="F330" s="712"/>
      <c r="G330" s="712"/>
      <c r="H330" s="712"/>
      <c r="I330" s="712"/>
      <c r="J330" s="712"/>
      <c r="K330" s="712"/>
      <c r="L330" s="712"/>
      <c r="M330" s="712"/>
      <c r="N330" s="711"/>
      <c r="O330" s="711"/>
      <c r="P330" s="712"/>
      <c r="Q330" s="712"/>
      <c r="R330" s="712"/>
      <c r="S330" s="712"/>
      <c r="T330" s="712"/>
      <c r="U330" s="712"/>
      <c r="V330" s="712"/>
      <c r="W330" s="712"/>
      <c r="X330" s="712"/>
      <c r="Y330" s="712"/>
      <c r="Z330" s="712"/>
      <c r="AA330" s="712"/>
      <c r="AB330" s="711"/>
      <c r="AC330" s="711"/>
      <c r="AD330" s="712"/>
      <c r="AE330" s="712"/>
      <c r="AF330" s="712"/>
      <c r="AG330" s="1086"/>
      <c r="AH330" s="211"/>
      <c r="AI330" s="213"/>
      <c r="AJ330" s="123"/>
    </row>
    <row r="331" spans="1:36" ht="18" customHeight="1" thickBot="1" x14ac:dyDescent="0.25">
      <c r="A331" s="1087"/>
      <c r="B331" s="1088"/>
      <c r="C331" s="1089"/>
      <c r="D331" s="1547"/>
      <c r="E331" s="1547"/>
      <c r="F331" s="1547"/>
      <c r="G331" s="1547"/>
      <c r="H331" s="1547"/>
      <c r="I331" s="1547"/>
      <c r="J331" s="1547"/>
      <c r="K331" s="1547"/>
      <c r="L331" s="1547"/>
      <c r="M331" s="1547"/>
      <c r="N331" s="1548"/>
      <c r="O331" s="1548"/>
      <c r="P331" s="1547"/>
      <c r="Q331" s="1547"/>
      <c r="R331" s="1547"/>
      <c r="S331" s="1547"/>
      <c r="T331" s="1547"/>
      <c r="U331" s="1547"/>
      <c r="V331" s="1547"/>
      <c r="W331" s="1547"/>
      <c r="X331" s="1547"/>
      <c r="Y331" s="1547"/>
      <c r="Z331" s="1547"/>
      <c r="AA331" s="1547"/>
      <c r="AB331" s="1548"/>
      <c r="AC331" s="1548"/>
      <c r="AD331" s="1547"/>
      <c r="AE331" s="1547"/>
      <c r="AF331" s="1547"/>
      <c r="AG331" s="1090"/>
      <c r="AH331" s="211"/>
      <c r="AI331" s="213"/>
      <c r="AJ331" s="123"/>
    </row>
    <row r="332" spans="1:36" ht="18" customHeight="1" x14ac:dyDescent="0.2">
      <c r="AH332" s="123"/>
      <c r="AI332" s="123"/>
      <c r="AJ332" s="123"/>
    </row>
    <row r="333" spans="1:36" x14ac:dyDescent="0.2">
      <c r="AH333" s="123"/>
      <c r="AI333" s="123"/>
      <c r="AJ333" s="123"/>
    </row>
    <row r="334" spans="1:36" x14ac:dyDescent="0.2">
      <c r="AH334" s="123"/>
      <c r="AI334" s="123"/>
      <c r="AJ334" s="123"/>
    </row>
    <row r="335" spans="1:36" x14ac:dyDescent="0.2">
      <c r="AH335" s="123"/>
      <c r="AI335" s="123"/>
      <c r="AJ335" s="123"/>
    </row>
  </sheetData>
  <sheetProtection algorithmName="SHA-512" hashValue="iERn3S/ARCJ/tBrCxQy0Q/2cyBcLCc+v5e84Tw4d/DY8FXptbjWDYUkEKeeLczx/oM74KNQFfES1XQs/rTUCIg==" saltValue="gOrCyKl3yb7Qu3YdFGWE3A==" spinCount="100000" sheet="1" objects="1" scenarios="1"/>
  <mergeCells count="1">
    <mergeCell ref="T36:Z36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15">
    <pageSetUpPr fitToPage="1"/>
  </sheetPr>
  <dimension ref="A1:AN333"/>
  <sheetViews>
    <sheetView topLeftCell="B42" zoomScaleNormal="100" workbookViewId="0">
      <pane xSplit="1" topLeftCell="C1" activePane="topRight" state="frozen"/>
      <selection activeCell="B1" sqref="B1"/>
      <selection pane="topRight" activeCell="P86" sqref="P86"/>
    </sheetView>
  </sheetViews>
  <sheetFormatPr defaultRowHeight="12" x14ac:dyDescent="0.2"/>
  <cols>
    <col min="1" max="1" width="0" hidden="1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9" max="40" width="11.85546875" customWidth="1"/>
  </cols>
  <sheetData>
    <row r="1" spans="1:38" ht="18" customHeight="1" x14ac:dyDescent="0.2">
      <c r="A1" t="s">
        <v>0</v>
      </c>
      <c r="B1" s="1" t="s">
        <v>1</v>
      </c>
    </row>
    <row r="2" spans="1:38" ht="18" customHeight="1" x14ac:dyDescent="0.2">
      <c r="B2" s="1549" t="s">
        <v>2</v>
      </c>
      <c r="C2" s="1092" t="s">
        <v>3</v>
      </c>
      <c r="D2" s="1093"/>
      <c r="E2" s="1094" t="s">
        <v>4</v>
      </c>
      <c r="F2" s="1095"/>
      <c r="G2" s="1096"/>
      <c r="H2" s="1096"/>
      <c r="I2" s="1096"/>
      <c r="J2" s="1096"/>
      <c r="K2" s="1097"/>
      <c r="L2" s="1098" t="s">
        <v>5</v>
      </c>
      <c r="M2" s="1099"/>
      <c r="N2" s="1100"/>
      <c r="O2" s="1101" t="s">
        <v>6</v>
      </c>
      <c r="P2" s="1102"/>
      <c r="Q2" s="1103"/>
      <c r="R2" s="1104"/>
      <c r="S2" s="1105" t="s">
        <v>7</v>
      </c>
      <c r="T2" s="1106"/>
      <c r="U2" s="1107"/>
      <c r="V2" s="1106"/>
      <c r="W2" s="1108" t="s">
        <v>8</v>
      </c>
      <c r="X2" s="1109"/>
      <c r="Y2" s="1110"/>
      <c r="Z2" s="105" t="s">
        <v>9</v>
      </c>
      <c r="AA2" s="1111"/>
      <c r="AB2" s="1112"/>
      <c r="AC2" s="1113"/>
      <c r="AD2" s="1114" t="s">
        <v>10</v>
      </c>
      <c r="AE2" s="1115"/>
      <c r="AF2" s="1115"/>
      <c r="AG2" s="1116"/>
    </row>
    <row r="3" spans="1:38" ht="18" customHeight="1" x14ac:dyDescent="0.2">
      <c r="A3" s="1"/>
      <c r="B3" s="1117" t="s">
        <v>10</v>
      </c>
      <c r="C3" s="1118" t="s">
        <v>10</v>
      </c>
      <c r="D3" s="1119"/>
      <c r="E3" s="543"/>
      <c r="F3" s="544"/>
      <c r="G3" s="544"/>
      <c r="H3" s="545" t="s">
        <v>10</v>
      </c>
      <c r="I3" s="546"/>
      <c r="J3" s="546"/>
      <c r="K3" s="547"/>
      <c r="L3" s="1120" t="s">
        <v>11</v>
      </c>
      <c r="M3" s="1121"/>
      <c r="N3" s="1122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1121"/>
      <c r="AA3" s="1121"/>
      <c r="AB3" s="1124"/>
      <c r="AC3" s="1125"/>
      <c r="AD3" s="1126" t="s">
        <v>13</v>
      </c>
      <c r="AE3" s="1127"/>
      <c r="AF3" s="1127"/>
      <c r="AG3" s="1128"/>
      <c r="AH3" s="1129" t="s">
        <v>14</v>
      </c>
      <c r="AI3" s="1129"/>
      <c r="AJ3" s="1129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1130"/>
      <c r="D5" s="1131" t="s">
        <v>17</v>
      </c>
      <c r="E5" s="1132"/>
      <c r="F5" s="1130"/>
      <c r="G5" s="1131" t="s">
        <v>18</v>
      </c>
      <c r="H5" s="1132"/>
      <c r="I5" s="1130"/>
      <c r="J5" s="1131" t="s">
        <v>19</v>
      </c>
      <c r="K5" s="1132"/>
      <c r="L5" s="1130"/>
      <c r="M5" s="1131" t="s">
        <v>20</v>
      </c>
      <c r="N5" s="1132"/>
      <c r="O5" s="1130"/>
      <c r="P5" s="1131" t="s">
        <v>21</v>
      </c>
      <c r="Q5" s="1132"/>
      <c r="R5" s="1130"/>
      <c r="S5" s="1131" t="s">
        <v>22</v>
      </c>
      <c r="T5" s="1133"/>
      <c r="U5" s="1134"/>
      <c r="V5" s="1135" t="s">
        <v>23</v>
      </c>
      <c r="W5" s="1133"/>
    </row>
    <row r="6" spans="1:38" ht="18" customHeight="1" x14ac:dyDescent="0.2">
      <c r="A6" s="1136"/>
      <c r="B6" s="1137" t="s">
        <v>24</v>
      </c>
      <c r="C6" s="1138" t="s">
        <v>25</v>
      </c>
      <c r="D6" s="1139"/>
      <c r="E6" s="1550"/>
      <c r="F6" s="1551" t="s">
        <v>25</v>
      </c>
      <c r="G6" s="1142"/>
      <c r="H6" s="1142"/>
      <c r="I6" s="1138" t="s">
        <v>26</v>
      </c>
      <c r="J6" s="1142"/>
      <c r="K6" s="1550"/>
      <c r="L6" s="1551" t="s">
        <v>26</v>
      </c>
      <c r="M6" s="1142"/>
      <c r="N6" s="1550"/>
      <c r="O6" s="1551" t="s">
        <v>27</v>
      </c>
      <c r="P6" s="1142"/>
      <c r="Q6" s="1550"/>
      <c r="R6" s="1142"/>
      <c r="S6" s="1142"/>
      <c r="T6" s="1142"/>
      <c r="U6" s="1137"/>
      <c r="V6" s="1142"/>
      <c r="W6" s="1550"/>
      <c r="X6" s="1142"/>
      <c r="Y6" s="1142"/>
      <c r="Z6" s="1142"/>
      <c r="AA6" s="1142"/>
      <c r="AB6" s="1143"/>
      <c r="AC6" s="1550"/>
      <c r="AD6" s="123"/>
      <c r="AE6" s="123"/>
      <c r="AF6" s="123"/>
      <c r="AG6" s="123"/>
    </row>
    <row r="7" spans="1:38" ht="18" customHeight="1" x14ac:dyDescent="0.2">
      <c r="A7" s="1136"/>
      <c r="B7" s="1137" t="s">
        <v>28</v>
      </c>
      <c r="C7" s="1138" t="s">
        <v>29</v>
      </c>
      <c r="D7" s="1142"/>
      <c r="E7" s="1550"/>
      <c r="F7" s="1551" t="s">
        <v>29</v>
      </c>
      <c r="G7" s="1142"/>
      <c r="H7" s="1142"/>
      <c r="I7" s="1138" t="s">
        <v>29</v>
      </c>
      <c r="J7" s="1142"/>
      <c r="K7" s="1550"/>
      <c r="L7" s="1551" t="s">
        <v>29</v>
      </c>
      <c r="M7" s="1142"/>
      <c r="N7" s="1550"/>
      <c r="O7" s="1551" t="s">
        <v>30</v>
      </c>
      <c r="P7" s="1142"/>
      <c r="Q7" s="1550"/>
      <c r="R7" s="1142"/>
      <c r="S7" s="1142"/>
      <c r="T7" s="1142"/>
      <c r="U7" s="1137"/>
      <c r="V7" s="1142"/>
      <c r="W7" s="1550"/>
      <c r="X7" s="1142"/>
      <c r="Y7" s="1142"/>
      <c r="Z7" s="1142"/>
      <c r="AA7" s="1142"/>
      <c r="AB7" s="1144"/>
      <c r="AC7" s="1550"/>
      <c r="AD7" s="123"/>
      <c r="AE7" s="123"/>
      <c r="AF7" s="123"/>
      <c r="AG7" s="123"/>
    </row>
    <row r="8" spans="1:38" ht="18" customHeight="1" x14ac:dyDescent="0.2">
      <c r="A8" s="1137"/>
      <c r="B8" s="1137" t="s">
        <v>31</v>
      </c>
      <c r="C8" s="1552" t="s">
        <v>32</v>
      </c>
      <c r="D8" s="1146"/>
      <c r="E8" s="1553"/>
      <c r="F8" s="1551" t="s">
        <v>33</v>
      </c>
      <c r="G8" s="1146"/>
      <c r="H8" s="1146"/>
      <c r="I8" s="1552" t="s">
        <v>33</v>
      </c>
      <c r="J8" s="1146"/>
      <c r="K8" s="1553"/>
      <c r="L8" s="1551" t="s">
        <v>33</v>
      </c>
      <c r="M8" s="1146"/>
      <c r="N8" s="1146"/>
      <c r="O8" s="1552" t="s">
        <v>34</v>
      </c>
      <c r="P8" s="1146"/>
      <c r="Q8" s="1553"/>
      <c r="R8" s="1148" t="s">
        <v>35</v>
      </c>
      <c r="S8" s="367"/>
      <c r="T8" s="367"/>
      <c r="U8" s="1149" t="s">
        <v>35</v>
      </c>
      <c r="V8" s="367"/>
      <c r="W8" s="1150"/>
      <c r="X8" s="1142"/>
      <c r="Y8" s="1142"/>
      <c r="Z8" s="1142"/>
      <c r="AA8" s="1142"/>
      <c r="AB8" s="1144"/>
      <c r="AC8" s="1550"/>
      <c r="AD8" s="123"/>
      <c r="AE8" s="123"/>
      <c r="AF8" s="123"/>
      <c r="AG8" s="123"/>
    </row>
    <row r="9" spans="1:38" ht="18" customHeight="1" x14ac:dyDescent="0.2">
      <c r="A9" s="1137"/>
      <c r="B9" s="1137" t="s">
        <v>36</v>
      </c>
      <c r="C9" s="1138" t="s">
        <v>37</v>
      </c>
      <c r="D9" s="1146"/>
      <c r="E9" s="1553"/>
      <c r="F9" s="1551" t="s">
        <v>37</v>
      </c>
      <c r="G9" s="1142"/>
      <c r="H9" s="1142"/>
      <c r="I9" s="1138" t="s">
        <v>37</v>
      </c>
      <c r="J9" s="1142"/>
      <c r="K9" s="1550"/>
      <c r="L9" s="1551" t="s">
        <v>37</v>
      </c>
      <c r="M9" s="1142"/>
      <c r="N9" s="1550"/>
      <c r="O9" s="1551" t="s">
        <v>38</v>
      </c>
      <c r="P9" s="1142"/>
      <c r="Q9" s="1550"/>
      <c r="R9" s="1551" t="s">
        <v>39</v>
      </c>
      <c r="S9" s="1142"/>
      <c r="T9" s="1142"/>
      <c r="U9" s="1138" t="s">
        <v>40</v>
      </c>
      <c r="V9" s="1142"/>
      <c r="W9" s="1550"/>
      <c r="X9" s="1142"/>
      <c r="Y9" s="1142"/>
      <c r="Z9" s="1142"/>
      <c r="AA9" s="1142"/>
      <c r="AB9" s="1144"/>
      <c r="AC9" s="1550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H11" s="244"/>
      <c r="AI11" s="111"/>
      <c r="AJ11" s="1554" t="s">
        <v>41</v>
      </c>
    </row>
    <row r="12" spans="1:38" ht="18" customHeight="1" x14ac:dyDescent="0.2">
      <c r="AH12" s="116"/>
      <c r="AI12" s="116"/>
      <c r="AJ12" s="1554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114"/>
    </row>
    <row r="14" spans="1:38" ht="18" customHeight="1" x14ac:dyDescent="0.2">
      <c r="A14" s="393" t="s">
        <v>43</v>
      </c>
      <c r="B14" s="394" t="s">
        <v>44</v>
      </c>
      <c r="C14" s="395">
        <v>1</v>
      </c>
      <c r="D14" s="395">
        <v>2</v>
      </c>
      <c r="E14" s="395">
        <v>3</v>
      </c>
      <c r="F14" s="395">
        <v>4</v>
      </c>
      <c r="G14" s="395">
        <v>5</v>
      </c>
      <c r="H14" s="396">
        <v>6</v>
      </c>
      <c r="I14" s="396">
        <v>7</v>
      </c>
      <c r="J14" s="395">
        <v>8</v>
      </c>
      <c r="K14" s="395">
        <v>9</v>
      </c>
      <c r="L14" s="395">
        <v>10</v>
      </c>
      <c r="M14" s="395">
        <v>11</v>
      </c>
      <c r="N14" s="395">
        <v>12</v>
      </c>
      <c r="O14" s="396">
        <v>13</v>
      </c>
      <c r="P14" s="396">
        <v>14</v>
      </c>
      <c r="Q14" s="395">
        <v>15</v>
      </c>
      <c r="R14" s="395">
        <v>16</v>
      </c>
      <c r="S14" s="395">
        <v>17</v>
      </c>
      <c r="T14" s="395">
        <v>18</v>
      </c>
      <c r="U14" s="395">
        <v>19</v>
      </c>
      <c r="V14" s="396">
        <v>20</v>
      </c>
      <c r="W14" s="396">
        <v>21</v>
      </c>
      <c r="X14" s="395">
        <v>22</v>
      </c>
      <c r="Y14" s="395">
        <v>23</v>
      </c>
      <c r="Z14" s="395">
        <v>24</v>
      </c>
      <c r="AA14" s="395">
        <v>25</v>
      </c>
      <c r="AB14" s="395">
        <v>26</v>
      </c>
      <c r="AC14" s="396">
        <v>27</v>
      </c>
      <c r="AD14" s="396">
        <v>28</v>
      </c>
      <c r="AE14" s="395">
        <v>29</v>
      </c>
      <c r="AF14" s="395">
        <v>30</v>
      </c>
      <c r="AG14" s="395">
        <v>31</v>
      </c>
      <c r="AH14" s="116"/>
      <c r="AI14" s="116"/>
    </row>
    <row r="15" spans="1:38" ht="18" customHeight="1" x14ac:dyDescent="0.2">
      <c r="A15" s="1555">
        <v>8500</v>
      </c>
      <c r="B15" s="1556" t="s">
        <v>45</v>
      </c>
      <c r="C15" s="1557" t="s">
        <v>46</v>
      </c>
      <c r="D15" s="1557" t="s">
        <v>46</v>
      </c>
      <c r="E15" s="1557" t="s">
        <v>46</v>
      </c>
      <c r="F15" s="1557" t="s">
        <v>46</v>
      </c>
      <c r="G15" s="1557" t="s">
        <v>46</v>
      </c>
      <c r="H15" s="1558"/>
      <c r="I15" s="1558"/>
      <c r="J15" s="1557" t="s">
        <v>46</v>
      </c>
      <c r="K15" s="1557" t="s">
        <v>46</v>
      </c>
      <c r="L15" s="1557" t="s">
        <v>46</v>
      </c>
      <c r="M15" s="1557" t="s">
        <v>46</v>
      </c>
      <c r="N15" s="1557" t="s">
        <v>46</v>
      </c>
      <c r="O15" s="1558"/>
      <c r="P15" s="1558"/>
      <c r="Q15" s="1559" t="s">
        <v>46</v>
      </c>
      <c r="R15" s="1559" t="s">
        <v>46</v>
      </c>
      <c r="S15" s="1559" t="s">
        <v>46</v>
      </c>
      <c r="T15" s="1559" t="s">
        <v>46</v>
      </c>
      <c r="U15" s="1559" t="s">
        <v>46</v>
      </c>
      <c r="V15" s="1559"/>
      <c r="W15" s="1559"/>
      <c r="X15" s="1559" t="s">
        <v>46</v>
      </c>
      <c r="Y15" s="1559" t="s">
        <v>46</v>
      </c>
      <c r="Z15" s="1559" t="s">
        <v>46</v>
      </c>
      <c r="AA15" s="1559" t="s">
        <v>46</v>
      </c>
      <c r="AB15" s="1559" t="s">
        <v>46</v>
      </c>
      <c r="AC15" s="1559"/>
      <c r="AD15" s="1559"/>
      <c r="AE15" s="1557" t="s">
        <v>46</v>
      </c>
      <c r="AF15" s="1557" t="s">
        <v>46</v>
      </c>
      <c r="AG15" s="1557" t="s">
        <v>46</v>
      </c>
      <c r="AH15" s="116"/>
      <c r="AI15" s="116"/>
      <c r="AL15" t="s">
        <v>0</v>
      </c>
    </row>
    <row r="16" spans="1:38" ht="18" customHeight="1" x14ac:dyDescent="0.2">
      <c r="A16" s="1168" t="s">
        <v>47</v>
      </c>
      <c r="B16" s="1169"/>
      <c r="C16" s="1169"/>
      <c r="D16" s="1169"/>
      <c r="E16" s="1169"/>
      <c r="F16" s="1169"/>
      <c r="G16" s="1169"/>
      <c r="H16" s="1169"/>
      <c r="I16" s="1169"/>
      <c r="J16" s="1169"/>
      <c r="K16" s="1169"/>
      <c r="L16" s="1169"/>
      <c r="M16" s="1169"/>
      <c r="N16" s="1169"/>
      <c r="O16" s="1169"/>
      <c r="P16" s="1169"/>
      <c r="Q16" s="1169"/>
      <c r="R16" s="1169"/>
      <c r="S16" s="1169"/>
      <c r="T16" s="1169"/>
      <c r="U16" s="1169"/>
      <c r="V16" s="1169"/>
      <c r="W16" s="1169"/>
      <c r="X16" s="1169"/>
      <c r="Y16" s="1169"/>
      <c r="Z16" s="1169"/>
      <c r="AA16" s="1169"/>
      <c r="AB16" s="1169"/>
      <c r="AC16" s="1169"/>
      <c r="AD16" s="1169"/>
      <c r="AE16" s="1169"/>
      <c r="AF16" s="1169"/>
      <c r="AG16" s="1169"/>
      <c r="AH16" s="116"/>
      <c r="AI16" s="116"/>
    </row>
    <row r="17" spans="1:40" ht="18" customHeight="1" x14ac:dyDescent="0.2">
      <c r="A17" s="1560">
        <v>8546</v>
      </c>
      <c r="B17" s="594" t="s">
        <v>48</v>
      </c>
      <c r="C17" s="596" t="s">
        <v>50</v>
      </c>
      <c r="D17" s="595" t="s">
        <v>50</v>
      </c>
      <c r="E17" s="595" t="s">
        <v>50</v>
      </c>
      <c r="F17" s="597" t="s">
        <v>50</v>
      </c>
      <c r="G17" s="597" t="s">
        <v>50</v>
      </c>
      <c r="H17" s="597" t="s">
        <v>0</v>
      </c>
      <c r="I17" s="595"/>
      <c r="J17" s="1285" t="s">
        <v>51</v>
      </c>
      <c r="K17" s="1285" t="s">
        <v>51</v>
      </c>
      <c r="L17" s="1285" t="s">
        <v>51</v>
      </c>
      <c r="M17" s="1285" t="s">
        <v>51</v>
      </c>
      <c r="N17" s="1285" t="s">
        <v>51</v>
      </c>
      <c r="O17" s="1285" t="s">
        <v>52</v>
      </c>
      <c r="P17" s="1285" t="s">
        <v>52</v>
      </c>
      <c r="Q17" s="1285" t="s">
        <v>50</v>
      </c>
      <c r="R17" s="1285" t="s">
        <v>50</v>
      </c>
      <c r="S17" s="1285" t="s">
        <v>50</v>
      </c>
      <c r="T17" s="1285" t="s">
        <v>50</v>
      </c>
      <c r="U17" s="1285" t="s">
        <v>50</v>
      </c>
      <c r="V17" s="1285" t="s">
        <v>53</v>
      </c>
      <c r="W17" s="1285" t="s">
        <v>53</v>
      </c>
      <c r="X17" s="1285" t="s">
        <v>49</v>
      </c>
      <c r="Y17" s="1285" t="s">
        <v>49</v>
      </c>
      <c r="Z17" s="1285" t="s">
        <v>49</v>
      </c>
      <c r="AA17" s="1285" t="s">
        <v>49</v>
      </c>
      <c r="AB17" s="1285" t="s">
        <v>49</v>
      </c>
      <c r="AC17" s="1285"/>
      <c r="AD17" s="1285"/>
      <c r="AE17" s="596" t="s">
        <v>50</v>
      </c>
      <c r="AF17" s="595" t="s">
        <v>50</v>
      </c>
      <c r="AG17" s="595" t="s">
        <v>50</v>
      </c>
      <c r="AH17" s="116"/>
      <c r="AI17" s="116"/>
    </row>
    <row r="18" spans="1:40" ht="18" customHeight="1" x14ac:dyDescent="0.2">
      <c r="A18" s="1172">
        <v>8500</v>
      </c>
      <c r="B18" s="1173" t="s">
        <v>54</v>
      </c>
      <c r="C18" s="1174" t="s">
        <v>51</v>
      </c>
      <c r="D18" s="1174" t="s">
        <v>51</v>
      </c>
      <c r="E18" s="1174" t="s">
        <v>51</v>
      </c>
      <c r="F18" s="1174" t="s">
        <v>51</v>
      </c>
      <c r="G18" s="1174" t="s">
        <v>51</v>
      </c>
      <c r="H18" s="1174" t="s">
        <v>52</v>
      </c>
      <c r="I18" s="1174" t="s">
        <v>52</v>
      </c>
      <c r="J18" s="1174" t="s">
        <v>50</v>
      </c>
      <c r="K18" s="1175" t="s">
        <v>50</v>
      </c>
      <c r="L18" s="1174" t="s">
        <v>50</v>
      </c>
      <c r="M18" s="1175" t="s">
        <v>50</v>
      </c>
      <c r="N18" s="1174" t="s">
        <v>50</v>
      </c>
      <c r="O18" s="1174" t="s">
        <v>53</v>
      </c>
      <c r="P18" s="1174" t="s">
        <v>53</v>
      </c>
      <c r="Q18" s="1174" t="s">
        <v>49</v>
      </c>
      <c r="R18" s="1174" t="s">
        <v>49</v>
      </c>
      <c r="S18" s="1174" t="s">
        <v>49</v>
      </c>
      <c r="T18" s="1174" t="s">
        <v>49</v>
      </c>
      <c r="U18" s="1174" t="s">
        <v>49</v>
      </c>
      <c r="V18" s="1174"/>
      <c r="W18" s="1174"/>
      <c r="X18" s="1174" t="s">
        <v>50</v>
      </c>
      <c r="Y18" s="1175" t="s">
        <v>50</v>
      </c>
      <c r="Z18" s="1175" t="s">
        <v>50</v>
      </c>
      <c r="AA18" s="1174" t="s">
        <v>50</v>
      </c>
      <c r="AB18" s="1174" t="s">
        <v>50</v>
      </c>
      <c r="AC18" s="1174"/>
      <c r="AD18" s="1174"/>
      <c r="AE18" s="1174" t="s">
        <v>51</v>
      </c>
      <c r="AF18" s="1174" t="s">
        <v>51</v>
      </c>
      <c r="AG18" s="1174" t="s">
        <v>51</v>
      </c>
      <c r="AH18" s="116"/>
      <c r="AI18" s="116"/>
    </row>
    <row r="19" spans="1:40" ht="18" customHeight="1" x14ac:dyDescent="0.2">
      <c r="A19" s="1172">
        <v>8500</v>
      </c>
      <c r="B19" s="1178" t="s">
        <v>55</v>
      </c>
      <c r="C19" s="1179" t="s">
        <v>50</v>
      </c>
      <c r="D19" s="1180" t="s">
        <v>50</v>
      </c>
      <c r="E19" s="1180" t="s">
        <v>50</v>
      </c>
      <c r="F19" s="1180" t="s">
        <v>50</v>
      </c>
      <c r="G19" s="1180" t="s">
        <v>50</v>
      </c>
      <c r="H19" s="1180" t="s">
        <v>53</v>
      </c>
      <c r="I19" s="1182" t="s">
        <v>53</v>
      </c>
      <c r="J19" s="1180" t="s">
        <v>49</v>
      </c>
      <c r="K19" s="1180" t="s">
        <v>49</v>
      </c>
      <c r="L19" s="1180" t="s">
        <v>49</v>
      </c>
      <c r="M19" s="1180" t="s">
        <v>49</v>
      </c>
      <c r="N19" s="1174" t="s">
        <v>49</v>
      </c>
      <c r="O19" s="1174"/>
      <c r="P19" s="1179"/>
      <c r="Q19" s="1179" t="s">
        <v>50</v>
      </c>
      <c r="R19" s="1179" t="s">
        <v>50</v>
      </c>
      <c r="S19" s="1180" t="s">
        <v>50</v>
      </c>
      <c r="T19" s="1180" t="s">
        <v>50</v>
      </c>
      <c r="U19" s="1180" t="s">
        <v>50</v>
      </c>
      <c r="V19" s="1180"/>
      <c r="W19" s="1181"/>
      <c r="X19" s="1561" t="s">
        <v>51</v>
      </c>
      <c r="Y19" s="1214" t="s">
        <v>51</v>
      </c>
      <c r="Z19" s="1214" t="s">
        <v>51</v>
      </c>
      <c r="AA19" s="1179" t="s">
        <v>51</v>
      </c>
      <c r="AB19" s="1179" t="s">
        <v>51</v>
      </c>
      <c r="AC19" s="1179" t="s">
        <v>52</v>
      </c>
      <c r="AD19" s="1180" t="s">
        <v>52</v>
      </c>
      <c r="AE19" s="1186" t="s">
        <v>50</v>
      </c>
      <c r="AF19" s="1186" t="s">
        <v>50</v>
      </c>
      <c r="AG19" s="1186" t="s">
        <v>50</v>
      </c>
      <c r="AH19" s="114"/>
      <c r="AI19" s="114"/>
      <c r="AJ19" s="241"/>
      <c r="AK19" s="241"/>
      <c r="AM19" s="241"/>
      <c r="AN19" s="241"/>
    </row>
    <row r="20" spans="1:40" ht="18" customHeight="1" x14ac:dyDescent="0.2">
      <c r="A20" s="1172">
        <v>8546</v>
      </c>
      <c r="B20" s="1178" t="s">
        <v>57</v>
      </c>
      <c r="C20" s="1186" t="s">
        <v>49</v>
      </c>
      <c r="D20" s="1186" t="s">
        <v>49</v>
      </c>
      <c r="E20" s="1186" t="s">
        <v>49</v>
      </c>
      <c r="F20" s="1186" t="s">
        <v>49</v>
      </c>
      <c r="G20" s="1186" t="s">
        <v>49</v>
      </c>
      <c r="H20" s="1186"/>
      <c r="I20" s="1186"/>
      <c r="J20" s="1179" t="s">
        <v>50</v>
      </c>
      <c r="K20" s="1179" t="s">
        <v>50</v>
      </c>
      <c r="L20" s="1180" t="s">
        <v>50</v>
      </c>
      <c r="M20" s="1179" t="s">
        <v>50</v>
      </c>
      <c r="N20" s="1179" t="s">
        <v>50</v>
      </c>
      <c r="O20" s="1180"/>
      <c r="P20" s="1179"/>
      <c r="Q20" s="1179" t="s">
        <v>51</v>
      </c>
      <c r="R20" s="1179" t="s">
        <v>51</v>
      </c>
      <c r="S20" s="1179" t="s">
        <v>51</v>
      </c>
      <c r="T20" s="1179" t="s">
        <v>51</v>
      </c>
      <c r="U20" s="1174" t="s">
        <v>51</v>
      </c>
      <c r="V20" s="1174" t="s">
        <v>52</v>
      </c>
      <c r="W20" s="1180" t="s">
        <v>52</v>
      </c>
      <c r="X20" s="1180" t="s">
        <v>50</v>
      </c>
      <c r="Y20" s="1262" t="s">
        <v>50</v>
      </c>
      <c r="Z20" s="1262" t="s">
        <v>50</v>
      </c>
      <c r="AA20" s="1262" t="s">
        <v>50</v>
      </c>
      <c r="AB20" s="1262" t="s">
        <v>50</v>
      </c>
      <c r="AC20" s="1262" t="s">
        <v>53</v>
      </c>
      <c r="AD20" s="1262" t="s">
        <v>53</v>
      </c>
      <c r="AE20" s="1262" t="s">
        <v>49</v>
      </c>
      <c r="AF20" s="1262" t="s">
        <v>49</v>
      </c>
      <c r="AG20" s="1262" t="s">
        <v>49</v>
      </c>
      <c r="AH20" s="116"/>
      <c r="AI20" s="116"/>
      <c r="AJ20" s="123"/>
      <c r="AK20" s="123"/>
      <c r="AL20" s="123"/>
      <c r="AM20" s="215"/>
      <c r="AN20" s="215"/>
    </row>
    <row r="21" spans="1:40" ht="18" customHeight="1" x14ac:dyDescent="0.2">
      <c r="A21" s="1172">
        <v>8546</v>
      </c>
      <c r="B21" s="1178" t="s">
        <v>58</v>
      </c>
      <c r="C21" s="1186" t="s">
        <v>28</v>
      </c>
      <c r="D21" s="1186" t="s">
        <v>28</v>
      </c>
      <c r="E21" s="1186" t="s">
        <v>28</v>
      </c>
      <c r="F21" s="1186" t="s">
        <v>28</v>
      </c>
      <c r="G21" s="1186" t="s">
        <v>28</v>
      </c>
      <c r="H21" s="1186"/>
      <c r="I21" s="1186"/>
      <c r="J21" s="1186" t="s">
        <v>24</v>
      </c>
      <c r="K21" s="1186" t="s">
        <v>24</v>
      </c>
      <c r="L21" s="1186" t="s">
        <v>24</v>
      </c>
      <c r="M21" s="1186" t="s">
        <v>24</v>
      </c>
      <c r="N21" s="1186" t="s">
        <v>24</v>
      </c>
      <c r="O21" s="1186"/>
      <c r="P21" s="1186"/>
      <c r="Q21" s="1182" t="s">
        <v>28</v>
      </c>
      <c r="R21" s="1182" t="s">
        <v>28</v>
      </c>
      <c r="S21" s="1182" t="s">
        <v>28</v>
      </c>
      <c r="T21" s="1182" t="s">
        <v>28</v>
      </c>
      <c r="U21" s="1182" t="s">
        <v>28</v>
      </c>
      <c r="V21" s="1176" t="s">
        <v>53</v>
      </c>
      <c r="W21" s="1180"/>
      <c r="X21" s="1181" t="s">
        <v>24</v>
      </c>
      <c r="Y21" s="1180" t="s">
        <v>24</v>
      </c>
      <c r="Z21" s="1180" t="s">
        <v>24</v>
      </c>
      <c r="AA21" s="1188" t="s">
        <v>24</v>
      </c>
      <c r="AB21" s="1188" t="s">
        <v>24</v>
      </c>
      <c r="AC21" s="1188"/>
      <c r="AD21" s="1188"/>
      <c r="AE21" s="1182" t="s">
        <v>28</v>
      </c>
      <c r="AF21" s="1182" t="s">
        <v>28</v>
      </c>
      <c r="AG21" s="1182" t="s">
        <v>28</v>
      </c>
      <c r="AH21" s="116"/>
      <c r="AI21" s="116"/>
      <c r="AJ21" s="123"/>
      <c r="AK21" s="123"/>
      <c r="AL21" s="123"/>
      <c r="AM21" s="215"/>
      <c r="AN21" s="215"/>
    </row>
    <row r="22" spans="1:40" ht="18" customHeight="1" x14ac:dyDescent="0.2">
      <c r="A22" s="1191">
        <v>8546</v>
      </c>
      <c r="B22" s="1192" t="s">
        <v>59</v>
      </c>
      <c r="C22" s="1562" t="s">
        <v>24</v>
      </c>
      <c r="D22" s="1562" t="s">
        <v>24</v>
      </c>
      <c r="E22" s="1563" t="s">
        <v>24</v>
      </c>
      <c r="F22" s="1219" t="s">
        <v>24</v>
      </c>
      <c r="G22" s="1219" t="s">
        <v>24</v>
      </c>
      <c r="H22" s="1201"/>
      <c r="I22" s="1201"/>
      <c r="J22" s="1201" t="s">
        <v>28</v>
      </c>
      <c r="K22" s="1201" t="s">
        <v>28</v>
      </c>
      <c r="L22" s="1201" t="s">
        <v>28</v>
      </c>
      <c r="M22" s="1201" t="s">
        <v>28</v>
      </c>
      <c r="N22" s="1201" t="s">
        <v>28</v>
      </c>
      <c r="O22" s="1219"/>
      <c r="P22" s="1294"/>
      <c r="Q22" s="1564" t="s">
        <v>24</v>
      </c>
      <c r="R22" s="1564" t="s">
        <v>24</v>
      </c>
      <c r="S22" s="1564" t="s">
        <v>24</v>
      </c>
      <c r="T22" s="1564" t="s">
        <v>24</v>
      </c>
      <c r="U22" s="1564" t="s">
        <v>24</v>
      </c>
      <c r="V22" s="1564" t="s">
        <v>0</v>
      </c>
      <c r="W22" s="1564" t="s">
        <v>0</v>
      </c>
      <c r="X22" s="1564" t="s">
        <v>28</v>
      </c>
      <c r="Y22" s="1564" t="s">
        <v>28</v>
      </c>
      <c r="Z22" s="1564" t="s">
        <v>28</v>
      </c>
      <c r="AA22" s="1564" t="s">
        <v>28</v>
      </c>
      <c r="AB22" s="1564" t="s">
        <v>28</v>
      </c>
      <c r="AC22" s="1564"/>
      <c r="AD22" s="1564"/>
      <c r="AE22" s="1564" t="s">
        <v>24</v>
      </c>
      <c r="AF22" s="1564" t="s">
        <v>24</v>
      </c>
      <c r="AG22" s="1564" t="s">
        <v>24</v>
      </c>
      <c r="AH22" s="116"/>
      <c r="AI22" s="116"/>
      <c r="AJ22" s="123"/>
      <c r="AK22" s="123"/>
      <c r="AL22" s="123"/>
      <c r="AM22" s="215"/>
      <c r="AN22" s="215"/>
    </row>
    <row r="23" spans="1:40" ht="18" customHeight="1" thickBot="1" x14ac:dyDescent="0.25">
      <c r="A23" s="397" t="s">
        <v>60</v>
      </c>
      <c r="B23" s="398"/>
      <c r="C23" s="398"/>
      <c r="D23" s="398"/>
      <c r="E23" s="398"/>
      <c r="F23" s="398"/>
      <c r="G23" s="398"/>
      <c r="H23" s="398"/>
      <c r="I23" s="398"/>
      <c r="J23" s="398"/>
      <c r="K23" s="398"/>
      <c r="L23" s="398"/>
      <c r="M23" s="398"/>
      <c r="N23" s="398"/>
      <c r="O23" s="398"/>
      <c r="P23" s="398"/>
      <c r="Q23" s="398"/>
      <c r="R23" s="398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398"/>
      <c r="AE23" s="398"/>
      <c r="AF23" s="398"/>
      <c r="AG23" s="398"/>
      <c r="AJ23" s="123"/>
      <c r="AK23" s="123"/>
      <c r="AL23" s="123"/>
      <c r="AM23" s="215"/>
      <c r="AN23" s="215"/>
    </row>
    <row r="24" spans="1:40" ht="18" customHeight="1" x14ac:dyDescent="0.2">
      <c r="A24" s="626">
        <v>8500</v>
      </c>
      <c r="B24" s="1565" t="s">
        <v>61</v>
      </c>
      <c r="C24" s="1566" t="s">
        <v>46</v>
      </c>
      <c r="D24" s="1566" t="s">
        <v>46</v>
      </c>
      <c r="E24" s="1566" t="s">
        <v>46</v>
      </c>
      <c r="F24" s="1566" t="s">
        <v>46</v>
      </c>
      <c r="G24" s="1566" t="s">
        <v>46</v>
      </c>
      <c r="H24" s="1566"/>
      <c r="I24" s="1566" t="s">
        <v>405</v>
      </c>
      <c r="J24" s="1557" t="s">
        <v>46</v>
      </c>
      <c r="K24" s="1557" t="s">
        <v>46</v>
      </c>
      <c r="L24" s="1557" t="s">
        <v>46</v>
      </c>
      <c r="M24" s="1557" t="s">
        <v>46</v>
      </c>
      <c r="N24" s="1557" t="s">
        <v>46</v>
      </c>
      <c r="O24" s="1558"/>
      <c r="P24" s="1558"/>
      <c r="Q24" s="1557" t="s">
        <v>46</v>
      </c>
      <c r="R24" s="1557" t="s">
        <v>46</v>
      </c>
      <c r="S24" s="1557" t="s">
        <v>46</v>
      </c>
      <c r="T24" s="1557" t="s">
        <v>46</v>
      </c>
      <c r="U24" s="1557" t="s">
        <v>46</v>
      </c>
      <c r="V24" s="1558"/>
      <c r="W24" s="1558"/>
      <c r="X24" s="1557" t="s">
        <v>46</v>
      </c>
      <c r="Y24" s="1557" t="s">
        <v>46</v>
      </c>
      <c r="Z24" s="1557" t="s">
        <v>46</v>
      </c>
      <c r="AA24" s="1557" t="s">
        <v>46</v>
      </c>
      <c r="AB24" s="1557" t="s">
        <v>46</v>
      </c>
      <c r="AC24" s="1558"/>
      <c r="AD24" s="1558"/>
      <c r="AE24" s="1567" t="s">
        <v>46</v>
      </c>
      <c r="AF24" s="1557" t="s">
        <v>46</v>
      </c>
      <c r="AG24" s="1557" t="s">
        <v>46</v>
      </c>
      <c r="AJ24" s="1554" t="s">
        <v>41</v>
      </c>
      <c r="AK24" s="1554" t="s">
        <v>62</v>
      </c>
      <c r="AL24" s="1554" t="s">
        <v>63</v>
      </c>
      <c r="AM24" s="1554" t="s">
        <v>64</v>
      </c>
      <c r="AN24" s="1554" t="s">
        <v>65</v>
      </c>
    </row>
    <row r="25" spans="1:40" ht="18" customHeight="1" thickBot="1" x14ac:dyDescent="0.25">
      <c r="A25" s="626">
        <v>8500</v>
      </c>
      <c r="B25" s="1178" t="s">
        <v>67</v>
      </c>
      <c r="C25" s="1180" t="s">
        <v>49</v>
      </c>
      <c r="D25" s="1180" t="s">
        <v>49</v>
      </c>
      <c r="E25" s="1180" t="s">
        <v>49</v>
      </c>
      <c r="F25" s="1180" t="s">
        <v>49</v>
      </c>
      <c r="G25" s="1174" t="s">
        <v>49</v>
      </c>
      <c r="H25" s="1180"/>
      <c r="I25" s="1180"/>
      <c r="J25" s="1174" t="s">
        <v>51</v>
      </c>
      <c r="K25" s="1174" t="s">
        <v>51</v>
      </c>
      <c r="L25" s="1174" t="s">
        <v>51</v>
      </c>
      <c r="M25" s="1174" t="s">
        <v>51</v>
      </c>
      <c r="N25" s="1174" t="s">
        <v>51</v>
      </c>
      <c r="O25" s="1174" t="s">
        <v>52</v>
      </c>
      <c r="P25" s="1174" t="s">
        <v>52</v>
      </c>
      <c r="Q25" s="1179" t="s">
        <v>50</v>
      </c>
      <c r="R25" s="1179" t="s">
        <v>50</v>
      </c>
      <c r="S25" s="1180" t="s">
        <v>50</v>
      </c>
      <c r="T25" s="1180" t="s">
        <v>50</v>
      </c>
      <c r="U25" s="1180" t="s">
        <v>50</v>
      </c>
      <c r="V25" s="1174"/>
      <c r="W25" s="1174"/>
      <c r="X25" s="1174" t="s">
        <v>49</v>
      </c>
      <c r="Y25" s="1174" t="s">
        <v>49</v>
      </c>
      <c r="Z25" s="1174" t="s">
        <v>49</v>
      </c>
      <c r="AA25" s="1174" t="s">
        <v>50</v>
      </c>
      <c r="AB25" s="1174" t="s">
        <v>50</v>
      </c>
      <c r="AC25" s="1174" t="s">
        <v>53</v>
      </c>
      <c r="AD25" s="1174" t="s">
        <v>53</v>
      </c>
      <c r="AE25" s="1174" t="s">
        <v>49</v>
      </c>
      <c r="AF25" s="1174" t="s">
        <v>49</v>
      </c>
      <c r="AG25" s="1177" t="s">
        <v>49</v>
      </c>
      <c r="AH25" s="123"/>
      <c r="AJ25" s="1568">
        <v>186</v>
      </c>
      <c r="AK25" s="1568">
        <v>13.25</v>
      </c>
      <c r="AL25" s="1568">
        <f>IF(AJ25="","",SUM(AJ25:AK25))</f>
        <v>199.25</v>
      </c>
      <c r="AM25" s="1569">
        <f>IF(AJ25="","",AL25-_xlfn.SINGLE(NormTid))</f>
        <v>38.919999999999987</v>
      </c>
      <c r="AN25" s="1569">
        <f>IF(AM25="","",AM25+'Juni 2024'!AN25)</f>
        <v>-1.3100000000000378</v>
      </c>
    </row>
    <row r="26" spans="1:40" ht="18" customHeight="1" x14ac:dyDescent="0.2">
      <c r="A26" s="1213"/>
      <c r="B26" s="1134" t="s">
        <v>75</v>
      </c>
      <c r="C26" s="1214" t="s">
        <v>414</v>
      </c>
      <c r="D26" s="1214" t="s">
        <v>414</v>
      </c>
      <c r="E26" s="1214" t="s">
        <v>414</v>
      </c>
      <c r="F26" s="1214" t="s">
        <v>414</v>
      </c>
      <c r="G26" s="1214" t="s">
        <v>414</v>
      </c>
      <c r="H26" s="1174"/>
      <c r="I26" s="1174"/>
      <c r="J26" s="1570" t="s">
        <v>414</v>
      </c>
      <c r="K26" s="1570" t="s">
        <v>414</v>
      </c>
      <c r="L26" s="1570" t="s">
        <v>416</v>
      </c>
      <c r="M26" s="1571" t="s">
        <v>414</v>
      </c>
      <c r="N26" s="1571" t="s">
        <v>414</v>
      </c>
      <c r="O26" s="1174"/>
      <c r="P26" s="1174"/>
      <c r="Q26" s="1467" t="s">
        <v>414</v>
      </c>
      <c r="R26" s="1467" t="s">
        <v>414</v>
      </c>
      <c r="S26" s="1467" t="s">
        <v>414</v>
      </c>
      <c r="T26" s="1467" t="s">
        <v>414</v>
      </c>
      <c r="U26" s="1467" t="s">
        <v>414</v>
      </c>
      <c r="V26" s="1185"/>
      <c r="W26" s="1379"/>
      <c r="X26" s="1467" t="s">
        <v>414</v>
      </c>
      <c r="Y26" s="1467" t="s">
        <v>414</v>
      </c>
      <c r="Z26" s="1467" t="s">
        <v>414</v>
      </c>
      <c r="AA26" s="1467" t="s">
        <v>414</v>
      </c>
      <c r="AB26" s="1467" t="s">
        <v>414</v>
      </c>
      <c r="AC26" s="1174"/>
      <c r="AD26" s="1174"/>
      <c r="AE26" s="1174" t="s">
        <v>46</v>
      </c>
      <c r="AF26" s="1174" t="s">
        <v>414</v>
      </c>
      <c r="AG26" s="1216" t="s">
        <v>414</v>
      </c>
      <c r="AH26" s="123"/>
    </row>
    <row r="27" spans="1:40" ht="18" customHeight="1" thickBot="1" x14ac:dyDescent="0.25">
      <c r="A27" s="646"/>
      <c r="B27" s="1217" t="s">
        <v>78</v>
      </c>
      <c r="C27" s="1476" t="s">
        <v>46</v>
      </c>
      <c r="D27" s="1476" t="s">
        <v>46</v>
      </c>
      <c r="E27" s="1476" t="s">
        <v>46</v>
      </c>
      <c r="F27" s="1476" t="s">
        <v>46</v>
      </c>
      <c r="G27" s="1476" t="s">
        <v>46</v>
      </c>
      <c r="H27" s="1476"/>
      <c r="I27" s="1476"/>
      <c r="J27" s="1572" t="s">
        <v>46</v>
      </c>
      <c r="K27" s="1573" t="s">
        <v>46</v>
      </c>
      <c r="L27" s="1573" t="s">
        <v>46</v>
      </c>
      <c r="M27" s="1573" t="s">
        <v>46</v>
      </c>
      <c r="N27" s="1574" t="s">
        <v>46</v>
      </c>
      <c r="O27" s="1575"/>
      <c r="P27" s="1573"/>
      <c r="Q27" s="1572" t="s">
        <v>46</v>
      </c>
      <c r="R27" s="1573" t="s">
        <v>46</v>
      </c>
      <c r="S27" s="1573" t="s">
        <v>46</v>
      </c>
      <c r="T27" s="1573" t="s">
        <v>46</v>
      </c>
      <c r="U27" s="1575" t="s">
        <v>46</v>
      </c>
      <c r="V27" s="1575"/>
      <c r="W27" s="1573"/>
      <c r="X27" s="1269" t="s">
        <v>46</v>
      </c>
      <c r="Y27" s="1269" t="s">
        <v>46</v>
      </c>
      <c r="Z27" s="1269" t="s">
        <v>46</v>
      </c>
      <c r="AA27" s="1269" t="s">
        <v>46</v>
      </c>
      <c r="AB27" s="1269" t="s">
        <v>46</v>
      </c>
      <c r="AC27" s="1269"/>
      <c r="AD27" s="1269"/>
      <c r="AE27" s="1576" t="s">
        <v>46</v>
      </c>
      <c r="AF27" s="1577" t="s">
        <v>46</v>
      </c>
      <c r="AG27" s="1578" t="s">
        <v>46</v>
      </c>
      <c r="AH27" s="123"/>
    </row>
    <row r="28" spans="1:40" ht="18" customHeight="1" x14ac:dyDescent="0.2">
      <c r="A28" s="245"/>
      <c r="B28" s="257"/>
      <c r="C28" s="284" t="s">
        <v>0</v>
      </c>
      <c r="D28" s="284" t="s">
        <v>0</v>
      </c>
      <c r="E28" s="284" t="s">
        <v>0</v>
      </c>
      <c r="F28" s="284" t="s">
        <v>0</v>
      </c>
      <c r="G28" s="284" t="s">
        <v>0</v>
      </c>
      <c r="H28" s="257"/>
      <c r="I28" s="285"/>
      <c r="J28" s="284" t="s">
        <v>0</v>
      </c>
      <c r="K28" s="284" t="s">
        <v>0</v>
      </c>
      <c r="L28" s="284" t="s">
        <v>0</v>
      </c>
      <c r="M28" s="284" t="s">
        <v>0</v>
      </c>
      <c r="N28" s="284" t="s">
        <v>0</v>
      </c>
      <c r="O28" s="856"/>
      <c r="P28" s="856"/>
      <c r="Q28" s="284" t="s">
        <v>0</v>
      </c>
      <c r="R28" s="284" t="s">
        <v>0</v>
      </c>
      <c r="S28" s="284" t="s">
        <v>0</v>
      </c>
      <c r="T28" s="284" t="s">
        <v>0</v>
      </c>
      <c r="U28" s="284" t="s">
        <v>0</v>
      </c>
      <c r="V28" s="856"/>
      <c r="W28" s="856"/>
      <c r="X28" s="284" t="s">
        <v>0</v>
      </c>
      <c r="Y28" s="284" t="s">
        <v>0</v>
      </c>
      <c r="Z28" s="284" t="s">
        <v>0</v>
      </c>
      <c r="AA28" s="284" t="s">
        <v>0</v>
      </c>
      <c r="AB28" s="284" t="s">
        <v>0</v>
      </c>
      <c r="AC28" s="257"/>
      <c r="AD28" s="285"/>
      <c r="AE28" s="284" t="s">
        <v>0</v>
      </c>
      <c r="AF28" s="284" t="s">
        <v>0</v>
      </c>
      <c r="AG28" s="284" t="s">
        <v>0</v>
      </c>
      <c r="AH28" s="123"/>
    </row>
    <row r="29" spans="1:40" ht="18" customHeight="1" x14ac:dyDescent="0.2">
      <c r="A29" s="282"/>
      <c r="B29" s="636"/>
      <c r="C29" s="1579" t="s">
        <v>252</v>
      </c>
      <c r="D29" s="818" t="s">
        <v>252</v>
      </c>
      <c r="E29" s="818" t="s">
        <v>252</v>
      </c>
      <c r="F29" s="818" t="s">
        <v>252</v>
      </c>
      <c r="G29" s="636" t="s">
        <v>252</v>
      </c>
      <c r="H29" s="636"/>
      <c r="I29" s="636"/>
      <c r="J29" s="1579" t="s">
        <v>152</v>
      </c>
      <c r="K29" s="818"/>
      <c r="L29" s="636" t="s">
        <v>152</v>
      </c>
      <c r="M29" s="636"/>
      <c r="N29" s="636" t="s">
        <v>152</v>
      </c>
      <c r="O29" s="636"/>
      <c r="P29" s="818"/>
      <c r="Q29" s="1579">
        <v>69</v>
      </c>
      <c r="R29" s="1579">
        <v>69</v>
      </c>
      <c r="S29" s="1579">
        <v>69</v>
      </c>
      <c r="T29" s="1579">
        <v>69</v>
      </c>
      <c r="U29" s="1579">
        <v>69</v>
      </c>
      <c r="V29" s="636"/>
      <c r="W29" s="818"/>
      <c r="X29" s="818">
        <v>79</v>
      </c>
      <c r="Y29" s="818">
        <v>79</v>
      </c>
      <c r="Z29" s="818">
        <v>79</v>
      </c>
      <c r="AA29" s="799">
        <v>79</v>
      </c>
      <c r="AB29" s="818">
        <v>79</v>
      </c>
      <c r="AC29" s="636"/>
      <c r="AD29" s="818"/>
      <c r="AE29" s="1579" t="s">
        <v>414</v>
      </c>
      <c r="AF29" s="283"/>
      <c r="AG29" s="250"/>
      <c r="AH29" s="123"/>
    </row>
    <row r="30" spans="1:40" ht="18" customHeight="1" x14ac:dyDescent="0.2">
      <c r="A30" s="282"/>
      <c r="B30" s="636"/>
      <c r="C30" s="1579"/>
      <c r="D30" s="1579">
        <v>79</v>
      </c>
      <c r="E30" s="1579"/>
      <c r="F30" s="1579"/>
      <c r="G30" s="799">
        <v>79</v>
      </c>
      <c r="H30" s="636"/>
      <c r="I30" s="636"/>
      <c r="J30" s="799" t="s">
        <v>414</v>
      </c>
      <c r="K30" s="799" t="s">
        <v>414</v>
      </c>
      <c r="L30" s="799"/>
      <c r="M30" s="799"/>
      <c r="N30" s="799"/>
      <c r="O30" s="636"/>
      <c r="P30" s="818"/>
      <c r="Q30" s="799"/>
      <c r="R30" s="799"/>
      <c r="S30" s="799"/>
      <c r="T30" s="799">
        <v>26</v>
      </c>
      <c r="U30" s="799">
        <v>26</v>
      </c>
      <c r="V30" s="636"/>
      <c r="W30" s="636"/>
      <c r="X30" s="1579" t="s">
        <v>0</v>
      </c>
      <c r="Y30" s="1579" t="s">
        <v>0</v>
      </c>
      <c r="Z30" s="1579" t="s">
        <v>0</v>
      </c>
      <c r="AA30" s="1579" t="s">
        <v>0</v>
      </c>
      <c r="AB30" s="1579" t="s">
        <v>0</v>
      </c>
      <c r="AC30" s="636"/>
      <c r="AD30" s="818"/>
      <c r="AE30" s="1579"/>
      <c r="AF30" s="1579"/>
      <c r="AG30" s="1579"/>
      <c r="AH30" s="123"/>
    </row>
    <row r="31" spans="1:40" ht="18" customHeight="1" x14ac:dyDescent="0.2">
      <c r="A31" s="282"/>
      <c r="B31" s="636"/>
      <c r="C31" s="1579"/>
      <c r="D31" s="818"/>
      <c r="E31" s="818"/>
      <c r="F31" s="818"/>
      <c r="G31" s="636"/>
      <c r="H31" s="636"/>
      <c r="I31" s="818"/>
      <c r="J31" s="799" t="s">
        <v>168</v>
      </c>
      <c r="K31" s="799"/>
      <c r="L31" s="799"/>
      <c r="M31" s="638">
        <v>89</v>
      </c>
      <c r="N31" s="638">
        <v>89</v>
      </c>
      <c r="O31" s="636"/>
      <c r="P31" s="818"/>
      <c r="Q31" s="799"/>
      <c r="R31" s="635" t="s">
        <v>309</v>
      </c>
      <c r="S31" s="799"/>
      <c r="T31" s="799"/>
      <c r="U31" s="799"/>
      <c r="V31" s="636"/>
      <c r="W31" s="818"/>
      <c r="X31" s="1579"/>
      <c r="Y31" s="818"/>
      <c r="Z31" s="818"/>
      <c r="AA31" s="818"/>
      <c r="AB31" s="636"/>
      <c r="AC31" s="636"/>
      <c r="AD31" s="818"/>
      <c r="AE31" s="1579"/>
      <c r="AF31" s="283"/>
      <c r="AG31" s="250"/>
      <c r="AH31" s="123"/>
    </row>
    <row r="32" spans="1:40" ht="18" customHeight="1" x14ac:dyDescent="0.2">
      <c r="A32" s="249"/>
      <c r="B32" s="246"/>
      <c r="C32" s="247"/>
      <c r="D32" s="248"/>
      <c r="E32" s="248"/>
      <c r="F32" s="248"/>
      <c r="G32" s="246"/>
      <c r="H32" s="246"/>
      <c r="I32" s="248"/>
      <c r="J32" s="247"/>
      <c r="K32" s="248"/>
      <c r="L32" s="246"/>
      <c r="M32" s="246"/>
      <c r="N32" s="246"/>
      <c r="O32" s="246"/>
      <c r="P32" s="248"/>
      <c r="Q32" s="247"/>
      <c r="R32" s="248"/>
      <c r="S32" s="248"/>
      <c r="T32" s="248"/>
      <c r="U32" s="246"/>
      <c r="V32" s="246"/>
      <c r="W32" s="248"/>
      <c r="X32" s="247"/>
      <c r="Y32" s="248"/>
      <c r="Z32" s="248"/>
      <c r="AA32" s="248"/>
      <c r="AB32" s="246"/>
      <c r="AC32" s="246"/>
      <c r="AD32" s="248"/>
      <c r="AE32" s="247"/>
      <c r="AF32" s="252"/>
      <c r="AG32" s="250"/>
      <c r="AH32" s="123"/>
      <c r="AK32" s="120"/>
    </row>
    <row r="33" spans="1:40" ht="18" customHeight="1" x14ac:dyDescent="0.2">
      <c r="A33" s="249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  <c r="AB33" s="250"/>
      <c r="AC33" s="250"/>
      <c r="AD33" s="250"/>
      <c r="AE33" s="250"/>
      <c r="AF33" s="250"/>
      <c r="AG33" s="250"/>
    </row>
    <row r="34" spans="1:40" ht="18" customHeight="1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</row>
    <row r="35" spans="1:40" ht="18" customHeight="1" x14ac:dyDescent="0.2">
      <c r="A35" s="103" t="s">
        <v>82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83</v>
      </c>
      <c r="R35" s="48" t="s">
        <v>0</v>
      </c>
      <c r="S35" s="48" t="s">
        <v>84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K35" s="1"/>
    </row>
    <row r="36" spans="1:40" ht="18" customHeight="1" x14ac:dyDescent="0.2">
      <c r="A36" s="1580" t="s">
        <v>85</v>
      </c>
      <c r="B36" s="1580" t="s">
        <v>85</v>
      </c>
      <c r="C36" s="1581"/>
      <c r="D36" s="1582" t="s">
        <v>86</v>
      </c>
      <c r="E36" s="1583"/>
      <c r="F36" s="1583"/>
      <c r="G36" s="1583"/>
      <c r="H36" s="1583"/>
      <c r="I36" s="1583"/>
      <c r="J36" s="1583"/>
      <c r="K36" s="1583"/>
      <c r="L36" s="1583"/>
      <c r="M36" s="1584" t="s">
        <v>87</v>
      </c>
      <c r="N36" s="1583"/>
      <c r="O36" s="1583"/>
      <c r="P36" s="1583"/>
      <c r="Q36" s="1583"/>
      <c r="R36" s="1583"/>
      <c r="S36" s="1585"/>
      <c r="T36" s="4973"/>
      <c r="U36" s="4974"/>
      <c r="V36" s="4974"/>
      <c r="W36" s="4974"/>
      <c r="X36" s="4974"/>
      <c r="Y36" s="4974"/>
      <c r="Z36" s="4975"/>
      <c r="AA36" s="1586" t="s">
        <v>89</v>
      </c>
      <c r="AB36" s="1587"/>
      <c r="AC36" s="1587"/>
      <c r="AD36" s="1587"/>
      <c r="AE36" s="1587"/>
      <c r="AF36" s="1587"/>
      <c r="AG36" s="1588"/>
      <c r="AK36" s="1"/>
    </row>
    <row r="37" spans="1:40" ht="18" customHeight="1" x14ac:dyDescent="0.2">
      <c r="A37" s="1233" t="s">
        <v>90</v>
      </c>
      <c r="B37" s="1233" t="s">
        <v>90</v>
      </c>
      <c r="C37" s="1234"/>
      <c r="D37" s="1235" t="s">
        <v>91</v>
      </c>
      <c r="E37" s="1236"/>
      <c r="F37" s="1121"/>
      <c r="G37" s="1121"/>
      <c r="H37" s="1121"/>
      <c r="I37" s="1121"/>
      <c r="J37" s="1121"/>
      <c r="K37" s="1121"/>
      <c r="L37" s="1237"/>
      <c r="M37" s="1238" t="s">
        <v>92</v>
      </c>
      <c r="N37" s="1234"/>
      <c r="O37" s="1239"/>
      <c r="P37" s="1234"/>
      <c r="Q37" s="1234"/>
      <c r="R37" s="1234"/>
      <c r="S37" s="1240"/>
      <c r="T37" s="1235" t="s">
        <v>93</v>
      </c>
      <c r="U37" s="1121"/>
      <c r="V37" s="1236"/>
      <c r="W37" s="1121"/>
      <c r="X37" s="1121"/>
      <c r="Y37" s="1121"/>
      <c r="Z37" s="1237"/>
      <c r="AA37" s="104" t="s">
        <v>94</v>
      </c>
      <c r="AD37" s="60"/>
      <c r="AG37" s="63"/>
      <c r="AK37" s="1"/>
    </row>
    <row r="38" spans="1:40" ht="18" customHeight="1" x14ac:dyDescent="0.2">
      <c r="A38" s="1241" t="s">
        <v>95</v>
      </c>
      <c r="B38" s="1241" t="s">
        <v>95</v>
      </c>
      <c r="C38" s="1121"/>
      <c r="D38" s="1242"/>
      <c r="E38" s="1121"/>
      <c r="F38" s="1121"/>
      <c r="G38" s="1237"/>
      <c r="H38" s="1243" t="s">
        <v>96</v>
      </c>
      <c r="I38" s="1121"/>
      <c r="J38" s="1121"/>
      <c r="K38" s="1121"/>
      <c r="L38" s="1121"/>
      <c r="M38" s="1244"/>
      <c r="N38" s="1121"/>
      <c r="O38" s="1121"/>
      <c r="P38" s="1121"/>
      <c r="Q38" s="1121"/>
      <c r="R38" s="1121"/>
      <c r="S38" s="1121"/>
      <c r="T38" s="1242"/>
      <c r="U38" s="103" t="s">
        <v>97</v>
      </c>
      <c r="AA38" s="1239"/>
      <c r="AB38" s="1234"/>
      <c r="AC38" s="1234"/>
      <c r="AD38" s="1234"/>
      <c r="AE38" s="1234"/>
      <c r="AF38" s="1234"/>
      <c r="AG38" s="1245"/>
      <c r="AK38" s="42"/>
    </row>
    <row r="39" spans="1:40" ht="18" customHeight="1" x14ac:dyDescent="0.2">
      <c r="A39" s="1246" t="s">
        <v>98</v>
      </c>
      <c r="B39" s="1246" t="s">
        <v>98</v>
      </c>
      <c r="C39" s="1247"/>
      <c r="D39" s="1248"/>
      <c r="E39" s="1247"/>
      <c r="F39" s="1247"/>
      <c r="G39" s="1249"/>
      <c r="H39" s="1250" t="s">
        <v>99</v>
      </c>
      <c r="I39" s="1249"/>
      <c r="J39" s="1247"/>
      <c r="K39" s="1247"/>
      <c r="L39" s="1247"/>
      <c r="M39" s="1251"/>
      <c r="N39" s="1247"/>
      <c r="O39" s="1247"/>
      <c r="P39" s="1247"/>
      <c r="Q39" s="1252"/>
      <c r="R39" s="1252"/>
      <c r="S39" s="1252"/>
      <c r="T39" s="1248"/>
      <c r="U39" s="1253" t="s">
        <v>100</v>
      </c>
      <c r="V39" s="1247"/>
      <c r="W39" s="1247"/>
      <c r="X39" s="1247"/>
      <c r="Y39" s="1247"/>
      <c r="Z39" s="1247"/>
      <c r="AA39" s="1247"/>
      <c r="AB39" s="1247"/>
      <c r="AC39" s="1247"/>
      <c r="AD39" s="1247"/>
      <c r="AE39" s="1247"/>
      <c r="AF39" s="1247"/>
      <c r="AG39" s="1254"/>
      <c r="AK39" s="1"/>
      <c r="AN39" t="s">
        <v>0</v>
      </c>
    </row>
    <row r="40" spans="1:40" ht="18" customHeight="1" x14ac:dyDescent="0.2">
      <c r="B40" s="64" t="s">
        <v>42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</row>
    <row r="41" spans="1:40" ht="18" customHeight="1" x14ac:dyDescent="0.2">
      <c r="A41" s="1255" t="s">
        <v>43</v>
      </c>
      <c r="B41" s="1256" t="s">
        <v>44</v>
      </c>
      <c r="C41" s="395">
        <v>1</v>
      </c>
      <c r="D41" s="395">
        <v>2</v>
      </c>
      <c r="E41" s="395">
        <v>3</v>
      </c>
      <c r="F41" s="395">
        <v>4</v>
      </c>
      <c r="G41" s="395">
        <v>5</v>
      </c>
      <c r="H41" s="396">
        <v>6</v>
      </c>
      <c r="I41" s="396">
        <v>7</v>
      </c>
      <c r="J41" s="395">
        <v>8</v>
      </c>
      <c r="K41" s="395">
        <v>9</v>
      </c>
      <c r="L41" s="395">
        <v>10</v>
      </c>
      <c r="M41" s="395">
        <v>11</v>
      </c>
      <c r="N41" s="395">
        <v>12</v>
      </c>
      <c r="O41" s="396">
        <v>13</v>
      </c>
      <c r="P41" s="396">
        <v>14</v>
      </c>
      <c r="Q41" s="395">
        <v>15</v>
      </c>
      <c r="R41" s="395">
        <v>16</v>
      </c>
      <c r="S41" s="395">
        <v>17</v>
      </c>
      <c r="T41" s="395">
        <v>18</v>
      </c>
      <c r="U41" s="395">
        <v>19</v>
      </c>
      <c r="V41" s="396">
        <v>20</v>
      </c>
      <c r="W41" s="396">
        <v>21</v>
      </c>
      <c r="X41" s="395">
        <v>22</v>
      </c>
      <c r="Y41" s="395">
        <v>23</v>
      </c>
      <c r="Z41" s="395">
        <v>24</v>
      </c>
      <c r="AA41" s="395">
        <v>25</v>
      </c>
      <c r="AB41" s="395">
        <v>26</v>
      </c>
      <c r="AC41" s="396">
        <v>27</v>
      </c>
      <c r="AD41" s="396">
        <v>28</v>
      </c>
      <c r="AE41" s="395">
        <v>29</v>
      </c>
      <c r="AF41" s="395">
        <v>30</v>
      </c>
      <c r="AG41" s="395">
        <v>31</v>
      </c>
      <c r="AH41" s="110"/>
      <c r="AI41" s="111"/>
      <c r="AL41" t="s">
        <v>0</v>
      </c>
    </row>
    <row r="42" spans="1:40" ht="18" customHeight="1" x14ac:dyDescent="0.2">
      <c r="A42" s="1589">
        <v>1</v>
      </c>
      <c r="B42" s="1565"/>
      <c r="C42" s="1467">
        <v>4</v>
      </c>
      <c r="D42" s="1411">
        <v>4</v>
      </c>
      <c r="E42" s="1467">
        <v>4</v>
      </c>
      <c r="F42" s="1467">
        <v>4</v>
      </c>
      <c r="G42" s="1467">
        <v>4</v>
      </c>
      <c r="H42" s="1467"/>
      <c r="I42" s="1467"/>
      <c r="J42" s="1411">
        <v>3</v>
      </c>
      <c r="K42" s="1467">
        <v>3</v>
      </c>
      <c r="L42" s="1467">
        <v>3</v>
      </c>
      <c r="M42" s="1467">
        <v>3</v>
      </c>
      <c r="N42" s="1467">
        <v>3</v>
      </c>
      <c r="O42" s="1411"/>
      <c r="P42" s="1467"/>
      <c r="Q42" s="1470">
        <v>11</v>
      </c>
      <c r="R42" s="1411">
        <v>11</v>
      </c>
      <c r="S42" s="1467">
        <v>11</v>
      </c>
      <c r="T42" s="1467">
        <v>11</v>
      </c>
      <c r="U42" s="1467">
        <v>11</v>
      </c>
      <c r="V42" s="1467" t="s">
        <v>109</v>
      </c>
      <c r="W42" s="1467" t="s">
        <v>109</v>
      </c>
      <c r="X42" s="1470" t="s">
        <v>50</v>
      </c>
      <c r="Y42" s="1470" t="s">
        <v>50</v>
      </c>
      <c r="Z42" s="1467" t="s">
        <v>50</v>
      </c>
      <c r="AA42" s="1467" t="s">
        <v>50</v>
      </c>
      <c r="AB42" s="1470" t="s">
        <v>50</v>
      </c>
      <c r="AC42" s="1470" t="s">
        <v>104</v>
      </c>
      <c r="AD42" s="1470" t="s">
        <v>104</v>
      </c>
      <c r="AE42" s="1467">
        <v>8</v>
      </c>
      <c r="AF42" s="1467">
        <v>8</v>
      </c>
      <c r="AG42" s="1471">
        <v>8</v>
      </c>
      <c r="AH42" s="115"/>
      <c r="AI42" s="116"/>
    </row>
    <row r="43" spans="1:40" ht="18" customHeight="1" x14ac:dyDescent="0.2">
      <c r="A43" s="1261">
        <v>6</v>
      </c>
      <c r="B43" s="1178" t="s">
        <v>105</v>
      </c>
      <c r="C43" s="1176" t="s">
        <v>50</v>
      </c>
      <c r="D43" s="1176" t="s">
        <v>50</v>
      </c>
      <c r="E43" s="1176" t="s">
        <v>50</v>
      </c>
      <c r="F43" s="1176" t="s">
        <v>50</v>
      </c>
      <c r="G43" s="1176" t="s">
        <v>50</v>
      </c>
      <c r="H43" s="1214"/>
      <c r="I43" s="1214"/>
      <c r="J43" s="1214">
        <v>1</v>
      </c>
      <c r="K43" s="1214">
        <v>1</v>
      </c>
      <c r="L43" s="1214">
        <v>1</v>
      </c>
      <c r="M43" s="1214">
        <v>1</v>
      </c>
      <c r="N43" s="1214">
        <v>1</v>
      </c>
      <c r="O43" s="1214"/>
      <c r="P43" s="1214"/>
      <c r="Q43" s="1214">
        <v>9</v>
      </c>
      <c r="R43" s="1214">
        <v>9</v>
      </c>
      <c r="S43" s="1214">
        <v>9</v>
      </c>
      <c r="T43" s="1214">
        <v>9</v>
      </c>
      <c r="U43" s="1214">
        <v>9</v>
      </c>
      <c r="V43" s="1214" t="s">
        <v>70</v>
      </c>
      <c r="W43" s="1214" t="s">
        <v>70</v>
      </c>
      <c r="X43" s="1214" t="s">
        <v>50</v>
      </c>
      <c r="Y43" s="1214" t="s">
        <v>50</v>
      </c>
      <c r="Z43" s="1214" t="s">
        <v>50</v>
      </c>
      <c r="AA43" s="1214" t="s">
        <v>50</v>
      </c>
      <c r="AB43" s="1214" t="s">
        <v>50</v>
      </c>
      <c r="AC43" s="1214" t="s">
        <v>103</v>
      </c>
      <c r="AD43" s="1214" t="s">
        <v>104</v>
      </c>
      <c r="AE43" s="1214">
        <v>6</v>
      </c>
      <c r="AF43" s="1176">
        <v>6</v>
      </c>
      <c r="AG43" s="1590">
        <v>6</v>
      </c>
      <c r="AH43" s="115"/>
      <c r="AI43" s="116"/>
    </row>
    <row r="44" spans="1:40" ht="18" customHeight="1" x14ac:dyDescent="0.2">
      <c r="A44" s="1264">
        <v>11</v>
      </c>
      <c r="B44" s="1192" t="s">
        <v>108</v>
      </c>
      <c r="C44" s="1269" t="s">
        <v>50</v>
      </c>
      <c r="D44" s="1269" t="s">
        <v>50</v>
      </c>
      <c r="E44" s="1269" t="s">
        <v>50</v>
      </c>
      <c r="F44" s="1269" t="s">
        <v>50</v>
      </c>
      <c r="G44" s="1269" t="s">
        <v>50</v>
      </c>
      <c r="H44" s="1269"/>
      <c r="I44" s="1269"/>
      <c r="J44" s="1221">
        <v>5</v>
      </c>
      <c r="K44" s="1221">
        <v>5</v>
      </c>
      <c r="L44" s="1221">
        <v>5</v>
      </c>
      <c r="M44" s="1268">
        <v>5</v>
      </c>
      <c r="N44" s="1221">
        <v>5</v>
      </c>
      <c r="O44" s="1221"/>
      <c r="P44" s="1221"/>
      <c r="Q44" s="1221">
        <v>10</v>
      </c>
      <c r="R44" s="1221">
        <v>10</v>
      </c>
      <c r="S44" s="1221">
        <v>10</v>
      </c>
      <c r="T44" s="1219">
        <v>10</v>
      </c>
      <c r="U44" s="1221">
        <v>10</v>
      </c>
      <c r="V44" s="1221" t="s">
        <v>106</v>
      </c>
      <c r="W44" s="1221" t="s">
        <v>106</v>
      </c>
      <c r="X44" s="1221" t="s">
        <v>50</v>
      </c>
      <c r="Y44" s="1221" t="s">
        <v>50</v>
      </c>
      <c r="Z44" s="1221" t="s">
        <v>50</v>
      </c>
      <c r="AA44" s="1221" t="s">
        <v>50</v>
      </c>
      <c r="AB44" s="1221" t="s">
        <v>50</v>
      </c>
      <c r="AC44" s="1221" t="s">
        <v>107</v>
      </c>
      <c r="AD44" s="1221" t="s">
        <v>107</v>
      </c>
      <c r="AE44" s="1200">
        <v>7</v>
      </c>
      <c r="AF44" s="1278">
        <v>7</v>
      </c>
      <c r="AG44" s="1270">
        <v>7</v>
      </c>
      <c r="AH44" s="115"/>
      <c r="AI44" s="116"/>
    </row>
    <row r="45" spans="1:40" ht="18" customHeight="1" x14ac:dyDescent="0.2">
      <c r="A45" s="1589">
        <v>2</v>
      </c>
      <c r="B45" s="1565" t="s">
        <v>111</v>
      </c>
      <c r="C45" s="1591">
        <v>3</v>
      </c>
      <c r="D45" s="1591" t="s">
        <v>395</v>
      </c>
      <c r="E45" s="1500">
        <v>3</v>
      </c>
      <c r="F45" s="1412">
        <v>3</v>
      </c>
      <c r="G45" s="1412">
        <v>3</v>
      </c>
      <c r="H45" s="1467"/>
      <c r="I45" s="1467"/>
      <c r="J45" s="1411">
        <v>11</v>
      </c>
      <c r="K45" s="1411">
        <v>11</v>
      </c>
      <c r="L45" s="1467">
        <v>11</v>
      </c>
      <c r="M45" s="1467">
        <v>11</v>
      </c>
      <c r="N45" s="1467">
        <v>11</v>
      </c>
      <c r="O45" s="1592" t="s">
        <v>109</v>
      </c>
      <c r="P45" s="1570" t="s">
        <v>417</v>
      </c>
      <c r="Q45" s="1470" t="s">
        <v>50</v>
      </c>
      <c r="R45" s="1470" t="s">
        <v>50</v>
      </c>
      <c r="S45" s="1411" t="s">
        <v>50</v>
      </c>
      <c r="T45" s="1470" t="s">
        <v>50</v>
      </c>
      <c r="U45" s="1470" t="s">
        <v>50</v>
      </c>
      <c r="V45" s="1591" t="s">
        <v>104</v>
      </c>
      <c r="W45" s="1591" t="s">
        <v>104</v>
      </c>
      <c r="X45" s="1591">
        <v>8</v>
      </c>
      <c r="Y45" s="1591">
        <v>8</v>
      </c>
      <c r="Z45" s="1591">
        <v>8</v>
      </c>
      <c r="AA45" s="1591" t="s">
        <v>418</v>
      </c>
      <c r="AB45" s="1437">
        <v>8</v>
      </c>
      <c r="AC45" s="1470"/>
      <c r="AD45" s="1470"/>
      <c r="AE45" s="1437" t="s">
        <v>50</v>
      </c>
      <c r="AF45" s="1437" t="s">
        <v>50</v>
      </c>
      <c r="AG45" s="1593" t="s">
        <v>50</v>
      </c>
      <c r="AH45" s="115"/>
      <c r="AI45" s="116"/>
    </row>
    <row r="46" spans="1:40" ht="18" customHeight="1" x14ac:dyDescent="0.2">
      <c r="A46" s="1261">
        <v>7</v>
      </c>
      <c r="B46" s="1178" t="s">
        <v>114</v>
      </c>
      <c r="C46" s="1272">
        <v>1</v>
      </c>
      <c r="D46" s="1179">
        <v>1</v>
      </c>
      <c r="E46" s="1179">
        <v>1</v>
      </c>
      <c r="F46" s="1179">
        <v>1</v>
      </c>
      <c r="G46" s="1223">
        <v>1</v>
      </c>
      <c r="H46" s="1223"/>
      <c r="I46" s="1174"/>
      <c r="J46" s="1185">
        <v>9</v>
      </c>
      <c r="K46" s="1185">
        <v>9</v>
      </c>
      <c r="L46" s="1185">
        <v>9</v>
      </c>
      <c r="M46" s="1185">
        <v>9</v>
      </c>
      <c r="N46" s="1272">
        <v>9</v>
      </c>
      <c r="O46" s="1272" t="s">
        <v>70</v>
      </c>
      <c r="P46" s="1185" t="s">
        <v>70</v>
      </c>
      <c r="Q46" s="1185" t="s">
        <v>50</v>
      </c>
      <c r="R46" s="1185" t="s">
        <v>50</v>
      </c>
      <c r="S46" s="1185" t="s">
        <v>50</v>
      </c>
      <c r="T46" s="1185" t="s">
        <v>50</v>
      </c>
      <c r="U46" s="1272" t="s">
        <v>50</v>
      </c>
      <c r="V46" s="1272" t="s">
        <v>103</v>
      </c>
      <c r="W46" s="1273" t="s">
        <v>104</v>
      </c>
      <c r="X46" s="1223">
        <v>6</v>
      </c>
      <c r="Y46" s="1223">
        <v>6</v>
      </c>
      <c r="Z46" s="1223">
        <v>6</v>
      </c>
      <c r="AA46" s="1223">
        <v>6</v>
      </c>
      <c r="AB46" s="1223">
        <v>6</v>
      </c>
      <c r="AC46" s="1223"/>
      <c r="AD46" s="1223"/>
      <c r="AE46" s="1223" t="s">
        <v>50</v>
      </c>
      <c r="AF46" s="1223" t="s">
        <v>50</v>
      </c>
      <c r="AG46" s="1216" t="s">
        <v>50</v>
      </c>
      <c r="AH46" s="115"/>
      <c r="AI46" s="116"/>
    </row>
    <row r="47" spans="1:40" ht="18" customHeight="1" x14ac:dyDescent="0.2">
      <c r="A47" s="1264">
        <v>12</v>
      </c>
      <c r="B47" s="1274" t="s">
        <v>115</v>
      </c>
      <c r="C47" s="1200">
        <v>5</v>
      </c>
      <c r="D47" s="1200">
        <v>5</v>
      </c>
      <c r="E47" s="1276">
        <v>5</v>
      </c>
      <c r="F47" s="1268">
        <v>5</v>
      </c>
      <c r="G47" s="1268">
        <v>5</v>
      </c>
      <c r="H47" s="1268"/>
      <c r="I47" s="1268"/>
      <c r="J47" s="1269">
        <v>10</v>
      </c>
      <c r="K47" s="1269">
        <v>10</v>
      </c>
      <c r="L47" s="1269">
        <v>10</v>
      </c>
      <c r="M47" s="1269">
        <v>10</v>
      </c>
      <c r="N47" s="1269">
        <v>10</v>
      </c>
      <c r="O47" s="1269" t="s">
        <v>106</v>
      </c>
      <c r="P47" s="1269" t="s">
        <v>106</v>
      </c>
      <c r="Q47" s="1269" t="s">
        <v>50</v>
      </c>
      <c r="R47" s="1269" t="s">
        <v>50</v>
      </c>
      <c r="S47" s="1269" t="s">
        <v>50</v>
      </c>
      <c r="T47" s="1269" t="s">
        <v>50</v>
      </c>
      <c r="U47" s="1269" t="s">
        <v>50</v>
      </c>
      <c r="V47" s="1269" t="s">
        <v>107</v>
      </c>
      <c r="W47" s="1269" t="s">
        <v>107</v>
      </c>
      <c r="X47" s="1269">
        <v>7</v>
      </c>
      <c r="Y47" s="1269">
        <v>7</v>
      </c>
      <c r="Z47" s="1269">
        <v>7</v>
      </c>
      <c r="AA47" s="1269">
        <v>7</v>
      </c>
      <c r="AB47" s="1269">
        <v>7</v>
      </c>
      <c r="AC47" s="1269"/>
      <c r="AD47" s="1269"/>
      <c r="AE47" s="1268">
        <v>4</v>
      </c>
      <c r="AF47" s="1268">
        <v>4</v>
      </c>
      <c r="AG47" s="1280">
        <v>4</v>
      </c>
      <c r="AH47" s="115"/>
      <c r="AI47" s="116"/>
    </row>
    <row r="48" spans="1:40" ht="18" customHeight="1" x14ac:dyDescent="0.2">
      <c r="A48" s="1589">
        <v>3</v>
      </c>
      <c r="B48" s="1594" t="s">
        <v>116</v>
      </c>
      <c r="C48" s="1285">
        <v>11</v>
      </c>
      <c r="D48" s="1285">
        <v>11</v>
      </c>
      <c r="E48" s="1285">
        <v>11</v>
      </c>
      <c r="F48" s="1285">
        <v>11</v>
      </c>
      <c r="G48" s="1285">
        <v>11</v>
      </c>
      <c r="H48" s="1285" t="s">
        <v>109</v>
      </c>
      <c r="I48" s="1285" t="s">
        <v>109</v>
      </c>
      <c r="J48" s="597" t="s">
        <v>50</v>
      </c>
      <c r="K48" s="597" t="s">
        <v>50</v>
      </c>
      <c r="L48" s="597" t="s">
        <v>50</v>
      </c>
      <c r="M48" s="597" t="s">
        <v>50</v>
      </c>
      <c r="N48" s="597" t="s">
        <v>50</v>
      </c>
      <c r="O48" s="597" t="s">
        <v>104</v>
      </c>
      <c r="P48" s="597" t="s">
        <v>104</v>
      </c>
      <c r="Q48" s="597">
        <v>8</v>
      </c>
      <c r="R48" s="712">
        <v>8</v>
      </c>
      <c r="S48" s="712">
        <v>8</v>
      </c>
      <c r="T48" s="712">
        <v>8</v>
      </c>
      <c r="U48" s="712">
        <v>8</v>
      </c>
      <c r="V48" s="597"/>
      <c r="W48" s="597"/>
      <c r="X48" s="1595" t="s">
        <v>50</v>
      </c>
      <c r="Y48" s="1595" t="s">
        <v>50</v>
      </c>
      <c r="Z48" s="1595" t="s">
        <v>50</v>
      </c>
      <c r="AA48" s="1595" t="s">
        <v>50</v>
      </c>
      <c r="AB48" s="1595" t="s">
        <v>50</v>
      </c>
      <c r="AC48" s="596"/>
      <c r="AD48" s="712"/>
      <c r="AE48" s="712">
        <v>1</v>
      </c>
      <c r="AF48" s="712" t="s">
        <v>157</v>
      </c>
      <c r="AG48" s="1086">
        <v>1</v>
      </c>
      <c r="AH48" s="115"/>
      <c r="AI48" s="116"/>
    </row>
    <row r="49" spans="1:37" ht="18" customHeight="1" x14ac:dyDescent="0.2">
      <c r="A49" s="1261">
        <v>8</v>
      </c>
      <c r="B49" s="1178" t="s">
        <v>117</v>
      </c>
      <c r="C49" s="1185">
        <v>9</v>
      </c>
      <c r="D49" s="1185">
        <v>9</v>
      </c>
      <c r="E49" s="1185">
        <v>9</v>
      </c>
      <c r="F49" s="1185">
        <v>9</v>
      </c>
      <c r="G49" s="1185">
        <v>9</v>
      </c>
      <c r="H49" s="1185" t="s">
        <v>70</v>
      </c>
      <c r="I49" s="1182" t="s">
        <v>70</v>
      </c>
      <c r="J49" s="1185" t="s">
        <v>50</v>
      </c>
      <c r="K49" s="1185" t="s">
        <v>50</v>
      </c>
      <c r="L49" s="1185" t="s">
        <v>50</v>
      </c>
      <c r="M49" s="1185" t="s">
        <v>50</v>
      </c>
      <c r="N49" s="1179" t="s">
        <v>50</v>
      </c>
      <c r="O49" s="1185" t="s">
        <v>103</v>
      </c>
      <c r="P49" s="1185" t="s">
        <v>104</v>
      </c>
      <c r="Q49" s="1185">
        <v>6</v>
      </c>
      <c r="R49" s="1185">
        <v>6</v>
      </c>
      <c r="S49" s="1185">
        <v>6</v>
      </c>
      <c r="T49" s="1185">
        <v>6</v>
      </c>
      <c r="U49" s="1185">
        <v>6</v>
      </c>
      <c r="V49" s="1223"/>
      <c r="W49" s="1223"/>
      <c r="X49" s="1174" t="s">
        <v>50</v>
      </c>
      <c r="Y49" s="1223" t="s">
        <v>50</v>
      </c>
      <c r="Z49" s="1223" t="s">
        <v>50</v>
      </c>
      <c r="AA49" s="1223" t="s">
        <v>50</v>
      </c>
      <c r="AB49" s="1223" t="s">
        <v>50</v>
      </c>
      <c r="AC49" s="1223"/>
      <c r="AD49" s="1179"/>
      <c r="AE49" s="1179">
        <v>5</v>
      </c>
      <c r="AF49" s="1272">
        <v>5</v>
      </c>
      <c r="AG49" s="1216">
        <v>5</v>
      </c>
      <c r="AH49" s="115"/>
      <c r="AI49" s="116"/>
    </row>
    <row r="50" spans="1:37" ht="18" customHeight="1" x14ac:dyDescent="0.2">
      <c r="A50" s="1264">
        <v>13</v>
      </c>
      <c r="B50" s="1192" t="s">
        <v>118</v>
      </c>
      <c r="C50" s="1220">
        <v>10</v>
      </c>
      <c r="D50" s="1220">
        <v>10</v>
      </c>
      <c r="E50" s="1221">
        <v>10</v>
      </c>
      <c r="F50" s="1221">
        <v>10</v>
      </c>
      <c r="G50" s="1221">
        <v>10</v>
      </c>
      <c r="H50" s="1221" t="s">
        <v>106</v>
      </c>
      <c r="I50" s="1221" t="s">
        <v>106</v>
      </c>
      <c r="J50" s="1220" t="s">
        <v>50</v>
      </c>
      <c r="K50" s="1221" t="s">
        <v>50</v>
      </c>
      <c r="L50" s="1294" t="s">
        <v>50</v>
      </c>
      <c r="M50" s="1221" t="s">
        <v>50</v>
      </c>
      <c r="N50" s="1294" t="s">
        <v>50</v>
      </c>
      <c r="O50" s="1294" t="s">
        <v>107</v>
      </c>
      <c r="P50" s="1294" t="s">
        <v>107</v>
      </c>
      <c r="Q50" s="1221">
        <v>7</v>
      </c>
      <c r="R50" s="1221">
        <v>7</v>
      </c>
      <c r="S50" s="1221">
        <v>7</v>
      </c>
      <c r="T50" s="1221">
        <v>7</v>
      </c>
      <c r="U50" s="1221">
        <v>7</v>
      </c>
      <c r="V50" s="1221"/>
      <c r="W50" s="1221"/>
      <c r="X50" s="1221">
        <v>4</v>
      </c>
      <c r="Y50" s="1220">
        <v>4</v>
      </c>
      <c r="Z50" s="1221">
        <v>4</v>
      </c>
      <c r="AA50" s="1221">
        <v>4</v>
      </c>
      <c r="AB50" s="1221">
        <v>4</v>
      </c>
      <c r="AC50" s="1221"/>
      <c r="AD50" s="1221"/>
      <c r="AE50" s="1220">
        <v>3</v>
      </c>
      <c r="AF50" s="1220">
        <v>3</v>
      </c>
      <c r="AG50" s="1220">
        <v>3</v>
      </c>
      <c r="AH50" s="115"/>
      <c r="AI50" s="116"/>
    </row>
    <row r="51" spans="1:37" ht="18" customHeight="1" x14ac:dyDescent="0.2">
      <c r="A51" s="1589">
        <v>4</v>
      </c>
      <c r="B51" s="1565" t="s">
        <v>119</v>
      </c>
      <c r="C51" s="1467" t="s">
        <v>50</v>
      </c>
      <c r="D51" s="1470" t="s">
        <v>50</v>
      </c>
      <c r="E51" s="1467" t="s">
        <v>50</v>
      </c>
      <c r="F51" s="1411" t="s">
        <v>50</v>
      </c>
      <c r="G51" s="1411" t="s">
        <v>50</v>
      </c>
      <c r="H51" s="1411" t="s">
        <v>104</v>
      </c>
      <c r="I51" s="1411" t="s">
        <v>104</v>
      </c>
      <c r="J51" s="1411">
        <v>8</v>
      </c>
      <c r="K51" s="1411">
        <v>8</v>
      </c>
      <c r="L51" s="1411">
        <v>8</v>
      </c>
      <c r="M51" s="1411">
        <v>8</v>
      </c>
      <c r="N51" s="1467">
        <v>8</v>
      </c>
      <c r="O51" s="1470"/>
      <c r="P51" s="1470"/>
      <c r="Q51" s="1470" t="s">
        <v>50</v>
      </c>
      <c r="R51" s="1470" t="s">
        <v>50</v>
      </c>
      <c r="S51" s="1470" t="s">
        <v>50</v>
      </c>
      <c r="T51" s="1467" t="s">
        <v>50</v>
      </c>
      <c r="U51" s="1467" t="s">
        <v>50</v>
      </c>
      <c r="V51" s="1412"/>
      <c r="W51" s="1412"/>
      <c r="X51" s="1412">
        <v>1</v>
      </c>
      <c r="Y51" s="1412">
        <v>1</v>
      </c>
      <c r="Z51" s="1412">
        <v>1</v>
      </c>
      <c r="AA51" s="1223">
        <v>1</v>
      </c>
      <c r="AB51" s="1223">
        <v>1</v>
      </c>
      <c r="AC51" s="1467"/>
      <c r="AD51" s="1467"/>
      <c r="AE51" s="1596">
        <v>9</v>
      </c>
      <c r="AF51" s="1596">
        <v>9</v>
      </c>
      <c r="AG51" s="1597">
        <v>9</v>
      </c>
      <c r="AH51" s="115"/>
      <c r="AI51" s="116"/>
    </row>
    <row r="52" spans="1:37" ht="18" customHeight="1" x14ac:dyDescent="0.2">
      <c r="A52" s="1261">
        <v>9</v>
      </c>
      <c r="B52" s="1178" t="s">
        <v>120</v>
      </c>
      <c r="C52" s="1223" t="s">
        <v>50</v>
      </c>
      <c r="D52" s="1223" t="s">
        <v>50</v>
      </c>
      <c r="E52" s="1223" t="s">
        <v>50</v>
      </c>
      <c r="F52" s="1223" t="s">
        <v>50</v>
      </c>
      <c r="G52" s="1223" t="s">
        <v>50</v>
      </c>
      <c r="H52" s="1223" t="s">
        <v>103</v>
      </c>
      <c r="I52" s="1223" t="s">
        <v>104</v>
      </c>
      <c r="J52" s="1186">
        <v>6</v>
      </c>
      <c r="K52" s="1186">
        <v>6</v>
      </c>
      <c r="L52" s="1186">
        <v>6</v>
      </c>
      <c r="M52" s="1186">
        <v>6</v>
      </c>
      <c r="N52" s="1186">
        <v>6</v>
      </c>
      <c r="O52" s="1186"/>
      <c r="P52" s="1186"/>
      <c r="Q52" s="1186" t="s">
        <v>50</v>
      </c>
      <c r="R52" s="1186" t="s">
        <v>50</v>
      </c>
      <c r="S52" s="1186" t="s">
        <v>50</v>
      </c>
      <c r="T52" s="1186" t="s">
        <v>50</v>
      </c>
      <c r="U52" s="1186" t="s">
        <v>50</v>
      </c>
      <c r="V52" s="1186"/>
      <c r="W52" s="1186"/>
      <c r="X52" s="1186">
        <v>5</v>
      </c>
      <c r="Y52" s="1186">
        <v>5</v>
      </c>
      <c r="Z52" s="1186">
        <v>5</v>
      </c>
      <c r="AA52" s="1186">
        <v>5</v>
      </c>
      <c r="AB52" s="1186">
        <v>5</v>
      </c>
      <c r="AC52" s="1186"/>
      <c r="AD52" s="1186"/>
      <c r="AE52" s="1223">
        <v>10</v>
      </c>
      <c r="AF52" s="1223">
        <v>10</v>
      </c>
      <c r="AG52" s="1216">
        <v>10</v>
      </c>
      <c r="AH52" s="115"/>
      <c r="AI52" s="116"/>
    </row>
    <row r="53" spans="1:37" ht="18" customHeight="1" x14ac:dyDescent="0.2">
      <c r="A53" s="1264">
        <v>14</v>
      </c>
      <c r="B53" s="1192" t="s">
        <v>121</v>
      </c>
      <c r="C53" s="1220" t="s">
        <v>50</v>
      </c>
      <c r="D53" s="1221" t="s">
        <v>50</v>
      </c>
      <c r="E53" s="1221" t="s">
        <v>50</v>
      </c>
      <c r="F53" s="1221" t="s">
        <v>50</v>
      </c>
      <c r="G53" s="1294" t="s">
        <v>50</v>
      </c>
      <c r="H53" s="1542" t="s">
        <v>107</v>
      </c>
      <c r="I53" s="1542" t="s">
        <v>107</v>
      </c>
      <c r="J53" s="1598" t="s">
        <v>419</v>
      </c>
      <c r="K53" s="1599">
        <v>7</v>
      </c>
      <c r="L53" s="1599">
        <v>7</v>
      </c>
      <c r="M53" s="1599">
        <v>7</v>
      </c>
      <c r="N53" s="1599">
        <v>7</v>
      </c>
      <c r="O53" s="1599"/>
      <c r="P53" s="1599"/>
      <c r="Q53" s="1599">
        <v>4</v>
      </c>
      <c r="R53" s="1599">
        <v>4</v>
      </c>
      <c r="S53" s="1599">
        <v>4</v>
      </c>
      <c r="T53" s="1599">
        <v>4</v>
      </c>
      <c r="U53" s="1599">
        <v>4</v>
      </c>
      <c r="V53" s="1599"/>
      <c r="W53" s="1200" t="s">
        <v>104</v>
      </c>
      <c r="X53" s="1600">
        <v>3</v>
      </c>
      <c r="Y53" s="1600">
        <v>3</v>
      </c>
      <c r="Z53" s="1600">
        <v>3</v>
      </c>
      <c r="AA53" s="1600">
        <v>3</v>
      </c>
      <c r="AB53" s="1599">
        <v>3</v>
      </c>
      <c r="AC53" s="1599"/>
      <c r="AD53" s="1599"/>
      <c r="AE53" s="1269">
        <v>11</v>
      </c>
      <c r="AF53" s="1269">
        <v>11</v>
      </c>
      <c r="AG53" s="1601">
        <v>11</v>
      </c>
      <c r="AH53" s="115"/>
      <c r="AI53" s="116"/>
      <c r="AK53" t="s">
        <v>0</v>
      </c>
    </row>
    <row r="54" spans="1:37" ht="18" customHeight="1" x14ac:dyDescent="0.2">
      <c r="A54" s="1589">
        <v>5</v>
      </c>
      <c r="B54" s="1178" t="s">
        <v>122</v>
      </c>
      <c r="C54" s="1411">
        <v>8</v>
      </c>
      <c r="D54" s="1411">
        <v>8</v>
      </c>
      <c r="E54" s="1411">
        <v>8</v>
      </c>
      <c r="F54" s="1412">
        <v>8</v>
      </c>
      <c r="G54" s="1470">
        <v>8</v>
      </c>
      <c r="H54" s="1470"/>
      <c r="I54" s="1470"/>
      <c r="J54" s="1470" t="s">
        <v>50</v>
      </c>
      <c r="K54" s="1467" t="s">
        <v>50</v>
      </c>
      <c r="L54" s="1467" t="s">
        <v>50</v>
      </c>
      <c r="M54" s="1467" t="s">
        <v>50</v>
      </c>
      <c r="N54" s="1602" t="s">
        <v>50</v>
      </c>
      <c r="O54" s="1411"/>
      <c r="P54" s="1467"/>
      <c r="Q54" s="1467">
        <v>1</v>
      </c>
      <c r="R54" s="1411">
        <v>1</v>
      </c>
      <c r="S54" s="1467">
        <v>1</v>
      </c>
      <c r="T54" s="1467">
        <v>1</v>
      </c>
      <c r="U54" s="1470">
        <v>1</v>
      </c>
      <c r="V54" s="1470"/>
      <c r="W54" s="1470"/>
      <c r="X54" s="1470">
        <v>9</v>
      </c>
      <c r="Y54" s="1602">
        <v>9</v>
      </c>
      <c r="Z54" s="1470">
        <v>9</v>
      </c>
      <c r="AA54" s="1470">
        <v>9</v>
      </c>
      <c r="AB54" s="1470">
        <v>9</v>
      </c>
      <c r="AC54" s="1470" t="s">
        <v>70</v>
      </c>
      <c r="AD54" s="1214" t="s">
        <v>70</v>
      </c>
      <c r="AE54" s="1467" t="s">
        <v>50</v>
      </c>
      <c r="AF54" s="1411" t="s">
        <v>50</v>
      </c>
      <c r="AG54" s="1414" t="s">
        <v>50</v>
      </c>
      <c r="AH54" s="115"/>
      <c r="AI54" s="116"/>
    </row>
    <row r="55" spans="1:37" ht="18" customHeight="1" x14ac:dyDescent="0.2">
      <c r="A55" s="1261">
        <v>10</v>
      </c>
      <c r="B55" s="1178" t="s">
        <v>123</v>
      </c>
      <c r="C55" s="1179">
        <v>6</v>
      </c>
      <c r="D55" s="1179">
        <v>6</v>
      </c>
      <c r="E55" s="1179">
        <v>6</v>
      </c>
      <c r="F55" s="1179">
        <v>6</v>
      </c>
      <c r="G55" s="1182">
        <v>6</v>
      </c>
      <c r="H55" s="1182"/>
      <c r="I55" s="1182"/>
      <c r="J55" s="1182" t="s">
        <v>50</v>
      </c>
      <c r="K55" s="1176" t="s">
        <v>50</v>
      </c>
      <c r="L55" s="1176" t="s">
        <v>50</v>
      </c>
      <c r="M55" s="1182" t="s">
        <v>50</v>
      </c>
      <c r="N55" s="1182" t="s">
        <v>50</v>
      </c>
      <c r="O55" s="1179"/>
      <c r="P55" s="1179"/>
      <c r="Q55" s="1179">
        <v>5</v>
      </c>
      <c r="R55" s="1179">
        <v>5</v>
      </c>
      <c r="S55" s="1179">
        <v>5</v>
      </c>
      <c r="T55" s="1182">
        <v>26</v>
      </c>
      <c r="U55" s="1182">
        <v>26</v>
      </c>
      <c r="V55" s="1185"/>
      <c r="W55" s="1185"/>
      <c r="X55" s="1185">
        <v>10</v>
      </c>
      <c r="Y55" s="1185">
        <v>10</v>
      </c>
      <c r="Z55" s="1185">
        <v>10</v>
      </c>
      <c r="AA55" s="1185">
        <v>10</v>
      </c>
      <c r="AB55" s="1185">
        <v>10</v>
      </c>
      <c r="AC55" s="1223" t="s">
        <v>106</v>
      </c>
      <c r="AD55" s="1223" t="s">
        <v>106</v>
      </c>
      <c r="AE55" s="1223" t="s">
        <v>50</v>
      </c>
      <c r="AF55" s="1223" t="s">
        <v>50</v>
      </c>
      <c r="AG55" s="1216" t="s">
        <v>50</v>
      </c>
      <c r="AH55" s="115"/>
      <c r="AI55" s="116"/>
    </row>
    <row r="56" spans="1:37" ht="18" customHeight="1" x14ac:dyDescent="0.2">
      <c r="A56" s="1264">
        <v>15</v>
      </c>
      <c r="B56" s="1192" t="s">
        <v>124</v>
      </c>
      <c r="C56" s="1221">
        <v>7</v>
      </c>
      <c r="D56" s="1221">
        <v>7</v>
      </c>
      <c r="E56" s="1221">
        <v>7</v>
      </c>
      <c r="F56" s="1294">
        <v>7</v>
      </c>
      <c r="G56" s="1294">
        <v>7</v>
      </c>
      <c r="H56" s="1294"/>
      <c r="I56" s="1294"/>
      <c r="J56" s="1294">
        <v>4</v>
      </c>
      <c r="K56" s="1220">
        <v>4</v>
      </c>
      <c r="L56" s="1221">
        <v>4</v>
      </c>
      <c r="M56" s="1221">
        <v>4</v>
      </c>
      <c r="N56" s="1221">
        <v>4</v>
      </c>
      <c r="O56" s="1268"/>
      <c r="P56" s="1268"/>
      <c r="Q56" s="1268">
        <v>3</v>
      </c>
      <c r="R56" s="1268">
        <v>3</v>
      </c>
      <c r="S56" s="1268">
        <v>3</v>
      </c>
      <c r="T56" s="1268">
        <v>3</v>
      </c>
      <c r="U56" s="1268">
        <v>3</v>
      </c>
      <c r="V56" s="1221"/>
      <c r="W56" s="1221"/>
      <c r="X56" s="1221">
        <v>11</v>
      </c>
      <c r="Y56" s="1220">
        <v>11</v>
      </c>
      <c r="Z56" s="1221">
        <v>11</v>
      </c>
      <c r="AA56" s="1221">
        <v>11</v>
      </c>
      <c r="AB56" s="1221">
        <v>11</v>
      </c>
      <c r="AC56" s="1221" t="s">
        <v>109</v>
      </c>
      <c r="AD56" s="1221" t="s">
        <v>109</v>
      </c>
      <c r="AE56" s="1220" t="s">
        <v>50</v>
      </c>
      <c r="AF56" s="1220" t="s">
        <v>50</v>
      </c>
      <c r="AG56" s="1296" t="s">
        <v>50</v>
      </c>
      <c r="AH56" s="115"/>
      <c r="AI56" s="116"/>
    </row>
    <row r="57" spans="1:37" ht="18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37" ht="18" customHeight="1" x14ac:dyDescent="0.2">
      <c r="A58" s="69"/>
      <c r="B58" s="42" t="s">
        <v>125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37" ht="18" customHeight="1" x14ac:dyDescent="0.2">
      <c r="A59" s="1135" t="s">
        <v>43</v>
      </c>
      <c r="B59" s="1135"/>
      <c r="C59" s="1134"/>
      <c r="D59" s="1135" t="s">
        <v>17</v>
      </c>
      <c r="E59" s="1133"/>
      <c r="F59" s="1134"/>
      <c r="G59" s="1135" t="s">
        <v>18</v>
      </c>
      <c r="H59" s="1133"/>
      <c r="I59" s="1134"/>
      <c r="J59" s="1135" t="s">
        <v>19</v>
      </c>
      <c r="K59" s="1133"/>
      <c r="L59" s="1134"/>
      <c r="M59" s="1135" t="s">
        <v>20</v>
      </c>
      <c r="N59" s="1133"/>
      <c r="O59" s="1134"/>
      <c r="P59" s="1135" t="s">
        <v>21</v>
      </c>
      <c r="Q59" s="1133"/>
      <c r="R59" s="1130"/>
      <c r="S59" s="1131" t="s">
        <v>22</v>
      </c>
      <c r="T59" s="1133"/>
      <c r="U59" s="1134"/>
      <c r="V59" s="1135" t="s">
        <v>23</v>
      </c>
      <c r="W59" s="1133"/>
      <c r="X59" s="1297" t="s">
        <v>126</v>
      </c>
      <c r="Y59" s="1133"/>
      <c r="Z59" s="1133"/>
      <c r="AA59" s="1298"/>
      <c r="AB59" s="1124"/>
      <c r="AC59" s="1124"/>
      <c r="AD59" s="1124"/>
      <c r="AE59" s="1124"/>
      <c r="AF59" s="1124"/>
      <c r="AG59" s="1125"/>
      <c r="AH59" s="1"/>
    </row>
    <row r="60" spans="1:37" ht="18" customHeight="1" x14ac:dyDescent="0.2">
      <c r="A60" s="1299">
        <v>8517</v>
      </c>
      <c r="B60" s="1300" t="s">
        <v>127</v>
      </c>
      <c r="C60" s="1301" t="s">
        <v>128</v>
      </c>
      <c r="D60" s="1302"/>
      <c r="E60" s="1122"/>
      <c r="F60" s="1301" t="s">
        <v>128</v>
      </c>
      <c r="G60" s="1302"/>
      <c r="H60" s="1122"/>
      <c r="I60" s="1301" t="s">
        <v>128</v>
      </c>
      <c r="J60" s="1302"/>
      <c r="K60" s="1122"/>
      <c r="L60" s="1301" t="s">
        <v>128</v>
      </c>
      <c r="M60" s="1302"/>
      <c r="N60" s="1122"/>
      <c r="O60" s="1301" t="s">
        <v>129</v>
      </c>
      <c r="P60" s="1302"/>
      <c r="Q60" s="1122"/>
      <c r="R60" s="1301"/>
      <c r="S60" s="1302"/>
      <c r="T60" s="1122"/>
      <c r="U60" s="1301" t="s">
        <v>130</v>
      </c>
      <c r="V60" s="1302"/>
      <c r="W60" s="1122"/>
      <c r="X60" s="1120"/>
      <c r="Y60" s="1124"/>
      <c r="Z60" s="1124"/>
      <c r="AA60" s="1124"/>
      <c r="AB60" s="1124"/>
      <c r="AC60" s="1124"/>
      <c r="AD60" s="1124"/>
      <c r="AE60" s="1124"/>
      <c r="AF60" s="1124"/>
      <c r="AG60" s="1125"/>
      <c r="AH60" s="1"/>
    </row>
    <row r="61" spans="1:37" ht="18" customHeight="1" x14ac:dyDescent="0.2">
      <c r="B61" s="1172" t="s">
        <v>131</v>
      </c>
      <c r="C61" s="1303" t="s">
        <v>132</v>
      </c>
      <c r="D61" s="1304"/>
      <c r="E61" s="1305"/>
      <c r="F61" s="1303" t="s">
        <v>132</v>
      </c>
      <c r="G61" s="1306"/>
      <c r="H61" s="1305"/>
      <c r="I61" s="1301" t="s">
        <v>132</v>
      </c>
      <c r="J61" s="1302"/>
      <c r="K61" s="1307"/>
      <c r="L61" s="1301" t="s">
        <v>132</v>
      </c>
      <c r="M61" s="1302"/>
      <c r="N61" s="1307"/>
      <c r="O61" s="1301" t="s">
        <v>133</v>
      </c>
      <c r="P61" s="1302"/>
      <c r="Q61" s="1122"/>
      <c r="R61" s="1308" t="s">
        <v>0</v>
      </c>
      <c r="S61" s="1302"/>
      <c r="T61" s="1307"/>
      <c r="U61" s="1302" t="s">
        <v>0</v>
      </c>
      <c r="V61" s="1302"/>
      <c r="W61" s="1122"/>
      <c r="X61" s="1603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37" ht="18" customHeight="1" x14ac:dyDescent="0.2">
      <c r="A62" s="1309"/>
      <c r="B62" s="1300" t="s">
        <v>134</v>
      </c>
      <c r="C62" s="1303" t="s">
        <v>135</v>
      </c>
      <c r="D62" s="1304"/>
      <c r="E62" s="1306"/>
      <c r="F62" s="1303" t="s">
        <v>135</v>
      </c>
      <c r="G62" s="1304"/>
      <c r="H62" s="1306"/>
      <c r="I62" s="1303" t="s">
        <v>135</v>
      </c>
      <c r="J62" s="1304"/>
      <c r="K62" s="1306"/>
      <c r="L62" s="1303" t="s">
        <v>135</v>
      </c>
      <c r="M62" s="1304"/>
      <c r="N62" s="1306"/>
      <c r="O62" s="1303" t="s">
        <v>136</v>
      </c>
      <c r="P62" s="1304"/>
      <c r="Q62" s="1306"/>
      <c r="R62" s="1604"/>
      <c r="S62" s="208"/>
      <c r="T62" s="1305"/>
      <c r="U62" s="1304"/>
      <c r="V62" s="1304"/>
      <c r="W62" s="1306"/>
      <c r="X62" s="1120"/>
      <c r="Y62" s="1124"/>
      <c r="Z62" s="1124"/>
      <c r="AA62" s="1124"/>
      <c r="AB62" s="1124"/>
      <c r="AC62" s="1124"/>
      <c r="AD62" s="1124"/>
      <c r="AE62" s="1124"/>
      <c r="AF62" s="1124"/>
      <c r="AG62" s="1125"/>
      <c r="AH62" s="1"/>
    </row>
    <row r="63" spans="1:37" ht="18" customHeight="1" x14ac:dyDescent="0.2">
      <c r="A63" s="1135"/>
      <c r="B63" s="1300"/>
      <c r="C63" s="740"/>
      <c r="D63" s="1310"/>
      <c r="E63" s="1605"/>
      <c r="F63" s="740"/>
      <c r="G63" s="1310"/>
      <c r="H63" s="1605"/>
      <c r="I63" s="740"/>
      <c r="J63" s="1310"/>
      <c r="K63" s="1605"/>
      <c r="L63" s="740"/>
      <c r="M63" s="1310"/>
      <c r="N63" s="1605"/>
      <c r="O63" s="740"/>
      <c r="P63" s="1310"/>
      <c r="Q63" s="1605"/>
      <c r="R63" s="740"/>
      <c r="S63" s="1310"/>
      <c r="T63" s="1605"/>
      <c r="U63" s="740"/>
      <c r="V63" s="1310"/>
      <c r="W63" s="1605"/>
      <c r="X63" s="1122"/>
      <c r="Y63" s="1124"/>
      <c r="Z63" s="1124"/>
      <c r="AA63" s="1124"/>
      <c r="AB63" s="1124"/>
      <c r="AC63" s="1124"/>
      <c r="AD63" s="1124"/>
      <c r="AE63" s="1124"/>
      <c r="AF63" s="1124"/>
      <c r="AG63" s="1125"/>
      <c r="AH63" s="1"/>
      <c r="AJ63" t="s">
        <v>137</v>
      </c>
    </row>
    <row r="64" spans="1:37" ht="18" customHeight="1" x14ac:dyDescent="0.2">
      <c r="A64" s="37"/>
      <c r="B64" s="62"/>
      <c r="C64" s="46"/>
      <c r="D64" s="46"/>
      <c r="E64" s="6"/>
      <c r="F64" s="46"/>
      <c r="G64" s="46"/>
      <c r="H64" s="6"/>
      <c r="I64" s="46"/>
      <c r="J64" s="46"/>
      <c r="K64" s="6"/>
      <c r="L64" s="46"/>
      <c r="M64" s="46"/>
      <c r="N64" s="6"/>
      <c r="O64" s="46"/>
      <c r="P64" s="46"/>
      <c r="Q64" s="6"/>
      <c r="R64" s="46"/>
      <c r="S64" s="46"/>
      <c r="T64" s="6"/>
      <c r="U64" s="46"/>
      <c r="V64" s="46"/>
      <c r="W64" s="6"/>
      <c r="X64" s="6"/>
      <c r="Y64" s="48"/>
      <c r="Z64" s="48"/>
      <c r="AA64" s="48"/>
      <c r="AB64" s="48"/>
      <c r="AC64" s="48"/>
      <c r="AD64" s="48"/>
      <c r="AE64" s="48"/>
      <c r="AF64" s="48"/>
      <c r="AG64" s="48"/>
      <c r="AH64" s="1"/>
    </row>
    <row r="65" spans="1:40" ht="18" customHeight="1" thickBot="1" x14ac:dyDescent="0.25">
      <c r="A65" s="1311"/>
      <c r="B65" s="1312" t="s">
        <v>44</v>
      </c>
      <c r="C65" s="395">
        <v>1</v>
      </c>
      <c r="D65" s="395">
        <v>2</v>
      </c>
      <c r="E65" s="395">
        <v>3</v>
      </c>
      <c r="F65" s="395">
        <v>4</v>
      </c>
      <c r="G65" s="395">
        <v>5</v>
      </c>
      <c r="H65" s="396">
        <v>6</v>
      </c>
      <c r="I65" s="396">
        <v>7</v>
      </c>
      <c r="J65" s="395">
        <v>8</v>
      </c>
      <c r="K65" s="395">
        <v>9</v>
      </c>
      <c r="L65" s="395">
        <v>10</v>
      </c>
      <c r="M65" s="395">
        <v>11</v>
      </c>
      <c r="N65" s="395">
        <v>12</v>
      </c>
      <c r="O65" s="396">
        <v>13</v>
      </c>
      <c r="P65" s="396">
        <v>14</v>
      </c>
      <c r="Q65" s="395">
        <v>15</v>
      </c>
      <c r="R65" s="395">
        <v>16</v>
      </c>
      <c r="S65" s="395">
        <v>17</v>
      </c>
      <c r="T65" s="395">
        <v>18</v>
      </c>
      <c r="U65" s="395">
        <v>19</v>
      </c>
      <c r="V65" s="396">
        <v>20</v>
      </c>
      <c r="W65" s="396">
        <v>21</v>
      </c>
      <c r="X65" s="395">
        <v>22</v>
      </c>
      <c r="Y65" s="395">
        <v>23</v>
      </c>
      <c r="Z65" s="395">
        <v>24</v>
      </c>
      <c r="AA65" s="395">
        <v>25</v>
      </c>
      <c r="AB65" s="395">
        <v>26</v>
      </c>
      <c r="AC65" s="396">
        <v>27</v>
      </c>
      <c r="AD65" s="396">
        <v>28</v>
      </c>
      <c r="AE65" s="395">
        <v>29</v>
      </c>
      <c r="AF65" s="395">
        <v>30</v>
      </c>
      <c r="AG65" s="395">
        <v>31</v>
      </c>
      <c r="AH65" s="1"/>
      <c r="AJ65" s="1554" t="s">
        <v>41</v>
      </c>
      <c r="AK65" s="1554" t="s">
        <v>62</v>
      </c>
      <c r="AL65" s="1554" t="s">
        <v>63</v>
      </c>
      <c r="AM65" s="1554" t="s">
        <v>64</v>
      </c>
      <c r="AN65" s="1554" t="s">
        <v>65</v>
      </c>
    </row>
    <row r="66" spans="1:40" ht="18" customHeight="1" x14ac:dyDescent="0.2">
      <c r="A66" s="1606"/>
      <c r="B66" s="1607" t="s">
        <v>138</v>
      </c>
      <c r="C66" s="1437" t="s">
        <v>46</v>
      </c>
      <c r="D66" s="1437" t="s">
        <v>46</v>
      </c>
      <c r="E66" s="1437" t="s">
        <v>46</v>
      </c>
      <c r="F66" s="1437" t="s">
        <v>46</v>
      </c>
      <c r="G66" s="1437" t="s">
        <v>46</v>
      </c>
      <c r="H66" s="1437"/>
      <c r="I66" s="1437"/>
      <c r="J66" s="1467" t="s">
        <v>153</v>
      </c>
      <c r="K66" s="1467" t="s">
        <v>153</v>
      </c>
      <c r="L66" s="1608" t="s">
        <v>153</v>
      </c>
      <c r="M66" s="1608">
        <v>25</v>
      </c>
      <c r="N66" s="1608" t="s">
        <v>153</v>
      </c>
      <c r="O66" s="1467" t="s">
        <v>0</v>
      </c>
      <c r="P66" s="1467" t="s">
        <v>0</v>
      </c>
      <c r="Q66" s="1411" t="s">
        <v>142</v>
      </c>
      <c r="R66" s="1411" t="s">
        <v>142</v>
      </c>
      <c r="S66" s="1411" t="s">
        <v>142</v>
      </c>
      <c r="T66" s="1411" t="s">
        <v>142</v>
      </c>
      <c r="U66" s="1411" t="s">
        <v>142</v>
      </c>
      <c r="V66" s="1413" t="s">
        <v>143</v>
      </c>
      <c r="W66" s="1411" t="s">
        <v>143</v>
      </c>
      <c r="X66" s="1411" t="s">
        <v>50</v>
      </c>
      <c r="Y66" s="1411" t="s">
        <v>50</v>
      </c>
      <c r="Z66" s="1411" t="s">
        <v>50</v>
      </c>
      <c r="AA66" s="1412" t="s">
        <v>50</v>
      </c>
      <c r="AB66" s="1412" t="s">
        <v>50</v>
      </c>
      <c r="AC66" s="1411"/>
      <c r="AD66" s="1411"/>
      <c r="AE66" s="1411">
        <v>25</v>
      </c>
      <c r="AF66" s="1411">
        <v>25</v>
      </c>
      <c r="AG66" s="1471" t="s">
        <v>153</v>
      </c>
      <c r="AH66" s="1"/>
      <c r="AJ66" s="638">
        <v>181.5</v>
      </c>
      <c r="AK66" s="638">
        <v>11.75</v>
      </c>
      <c r="AL66" s="638">
        <f>IF(AJ66="","",SUM(AJ66:AK66))</f>
        <v>193.25</v>
      </c>
      <c r="AM66" s="639">
        <f t="shared" ref="AM66:AM93" si="0">IF(AJ66="","",AL66-_xlfn.SINGLE(NormTid))</f>
        <v>32.919999999999987</v>
      </c>
      <c r="AN66" s="639">
        <f>IF(AM66="","",AM66+'Juni 2024'!AN66)</f>
        <v>156.43999999999997</v>
      </c>
    </row>
    <row r="67" spans="1:40" ht="18" customHeight="1" x14ac:dyDescent="0.2">
      <c r="A67" s="748"/>
      <c r="B67" s="749" t="s">
        <v>144</v>
      </c>
      <c r="C67" s="1176" t="s">
        <v>142</v>
      </c>
      <c r="D67" s="1176" t="s">
        <v>142</v>
      </c>
      <c r="E67" s="1176" t="s">
        <v>142</v>
      </c>
      <c r="F67" s="1174" t="s">
        <v>142</v>
      </c>
      <c r="G67" s="1174" t="s">
        <v>142</v>
      </c>
      <c r="H67" s="1333" t="s">
        <v>143</v>
      </c>
      <c r="I67" s="1174" t="s">
        <v>143</v>
      </c>
      <c r="J67" s="1176" t="s">
        <v>50</v>
      </c>
      <c r="K67" s="1176" t="s">
        <v>50</v>
      </c>
      <c r="L67" s="1176" t="s">
        <v>50</v>
      </c>
      <c r="M67" s="1176" t="s">
        <v>50</v>
      </c>
      <c r="N67" s="1176" t="s">
        <v>50</v>
      </c>
      <c r="O67" s="1174"/>
      <c r="P67" s="1185">
        <v>26</v>
      </c>
      <c r="Q67" s="1185" t="s">
        <v>174</v>
      </c>
      <c r="R67" s="1185" t="s">
        <v>174</v>
      </c>
      <c r="S67" s="1609">
        <v>26</v>
      </c>
      <c r="T67" s="1609">
        <v>26</v>
      </c>
      <c r="U67" s="1609">
        <v>26</v>
      </c>
      <c r="V67" s="1610"/>
      <c r="W67" s="1610"/>
      <c r="X67" s="1610" t="s">
        <v>154</v>
      </c>
      <c r="Y67" s="1610" t="s">
        <v>154</v>
      </c>
      <c r="Z67" s="1610" t="s">
        <v>154</v>
      </c>
      <c r="AA67" s="1610" t="s">
        <v>154</v>
      </c>
      <c r="AB67" s="1610" t="s">
        <v>154</v>
      </c>
      <c r="AC67" s="1610"/>
      <c r="AD67" s="1610"/>
      <c r="AE67" s="1611" t="s">
        <v>46</v>
      </c>
      <c r="AF67" s="1611" t="s">
        <v>46</v>
      </c>
      <c r="AG67" s="1612" t="s">
        <v>46</v>
      </c>
      <c r="AH67" s="1"/>
      <c r="AJ67" s="638">
        <v>169</v>
      </c>
      <c r="AK67" s="638">
        <v>7.25</v>
      </c>
      <c r="AL67" s="638">
        <f t="shared" ref="AL67:AL93" si="1">IF(AJ67="","",SUM(AJ67:AK67))</f>
        <v>176.25</v>
      </c>
      <c r="AM67" s="639">
        <f t="shared" si="0"/>
        <v>15.919999999999987</v>
      </c>
      <c r="AN67" s="639">
        <f>IF(AM67="","",AM67+'Juni 2024'!AN67)</f>
        <v>-15.810000000000038</v>
      </c>
    </row>
    <row r="68" spans="1:40" ht="18" customHeight="1" x14ac:dyDescent="0.2">
      <c r="A68" s="748"/>
      <c r="B68" s="754" t="s">
        <v>146</v>
      </c>
      <c r="C68" s="1186" t="s">
        <v>46</v>
      </c>
      <c r="D68" s="1186" t="s">
        <v>46</v>
      </c>
      <c r="E68" s="1186" t="s">
        <v>46</v>
      </c>
      <c r="F68" s="1186" t="s">
        <v>46</v>
      </c>
      <c r="G68" s="1186" t="s">
        <v>46</v>
      </c>
      <c r="H68" s="1186"/>
      <c r="I68" s="1186"/>
      <c r="J68" s="1328">
        <v>26</v>
      </c>
      <c r="K68" s="1328">
        <v>26</v>
      </c>
      <c r="L68" s="1328">
        <v>26</v>
      </c>
      <c r="M68" s="1328">
        <v>26</v>
      </c>
      <c r="N68" s="1328">
        <v>26</v>
      </c>
      <c r="O68" s="1328"/>
      <c r="P68" s="1328"/>
      <c r="Q68" s="1174">
        <v>26</v>
      </c>
      <c r="R68" s="1174">
        <v>26</v>
      </c>
      <c r="S68" s="1175" t="s">
        <v>174</v>
      </c>
      <c r="T68" s="1174" t="s">
        <v>50</v>
      </c>
      <c r="U68" s="1174" t="s">
        <v>50</v>
      </c>
      <c r="V68" s="1223" t="s">
        <v>104</v>
      </c>
      <c r="W68" s="1174" t="s">
        <v>53</v>
      </c>
      <c r="X68" s="1174">
        <v>5</v>
      </c>
      <c r="Y68" s="1174">
        <v>5</v>
      </c>
      <c r="Z68" s="1174">
        <v>5</v>
      </c>
      <c r="AA68" s="1174">
        <v>5</v>
      </c>
      <c r="AB68" s="1174">
        <v>5</v>
      </c>
      <c r="AC68" s="1223"/>
      <c r="AD68" s="1223"/>
      <c r="AE68" s="1174">
        <v>22</v>
      </c>
      <c r="AF68" s="1174">
        <v>22</v>
      </c>
      <c r="AG68" s="1216" t="s">
        <v>401</v>
      </c>
      <c r="AH68" s="1"/>
      <c r="AJ68" s="638">
        <v>174.5</v>
      </c>
      <c r="AK68" s="638">
        <v>9</v>
      </c>
      <c r="AL68" s="638">
        <f t="shared" si="1"/>
        <v>183.5</v>
      </c>
      <c r="AM68" s="639">
        <f t="shared" si="0"/>
        <v>23.169999999999987</v>
      </c>
      <c r="AN68" s="639">
        <f>IF(AM68="","",AM68+'Juni 2024'!AN68)</f>
        <v>5.4399999999999622</v>
      </c>
    </row>
    <row r="69" spans="1:40" ht="18" customHeight="1" x14ac:dyDescent="0.2">
      <c r="A69" s="748"/>
      <c r="B69" s="754" t="s">
        <v>151</v>
      </c>
      <c r="C69" s="1214">
        <v>26</v>
      </c>
      <c r="D69" s="1214">
        <v>26</v>
      </c>
      <c r="E69" s="1214">
        <v>26</v>
      </c>
      <c r="F69" s="1185">
        <v>26</v>
      </c>
      <c r="G69" s="1185">
        <v>26</v>
      </c>
      <c r="H69" s="1174">
        <v>22</v>
      </c>
      <c r="I69" s="1174">
        <v>22</v>
      </c>
      <c r="J69" s="1185" t="s">
        <v>50</v>
      </c>
      <c r="K69" s="1185" t="s">
        <v>50</v>
      </c>
      <c r="L69" s="1174" t="s">
        <v>50</v>
      </c>
      <c r="M69" s="1174" t="s">
        <v>50</v>
      </c>
      <c r="N69" s="1223" t="s">
        <v>145</v>
      </c>
      <c r="O69" s="1223" t="s">
        <v>147</v>
      </c>
      <c r="P69" s="1174" t="s">
        <v>148</v>
      </c>
      <c r="Q69" s="1174" t="s">
        <v>50</v>
      </c>
      <c r="R69" s="1174" t="s">
        <v>50</v>
      </c>
      <c r="S69" s="1179" t="s">
        <v>154</v>
      </c>
      <c r="T69" s="1223" t="s">
        <v>154</v>
      </c>
      <c r="U69" s="1223" t="s">
        <v>154</v>
      </c>
      <c r="V69" s="1174"/>
      <c r="W69" s="1174"/>
      <c r="X69" s="1174">
        <v>25</v>
      </c>
      <c r="Y69" s="1185">
        <v>25</v>
      </c>
      <c r="Z69" s="1185" t="s">
        <v>50</v>
      </c>
      <c r="AA69" s="1174" t="s">
        <v>50</v>
      </c>
      <c r="AB69" s="1174" t="s">
        <v>149</v>
      </c>
      <c r="AC69" s="1174" t="s">
        <v>150</v>
      </c>
      <c r="AD69" s="1174" t="s">
        <v>71</v>
      </c>
      <c r="AE69" s="1174" t="s">
        <v>50</v>
      </c>
      <c r="AF69" s="1174" t="s">
        <v>50</v>
      </c>
      <c r="AG69" s="1177" t="s">
        <v>50</v>
      </c>
      <c r="AH69" s="1"/>
      <c r="AJ69" s="638">
        <v>155.5</v>
      </c>
      <c r="AK69" s="638">
        <v>11.25</v>
      </c>
      <c r="AL69" s="638">
        <f t="shared" si="1"/>
        <v>166.75</v>
      </c>
      <c r="AM69" s="639">
        <f t="shared" si="0"/>
        <v>6.4199999999999875</v>
      </c>
      <c r="AN69" s="639">
        <f>IF(AM69="","",AM69+'Juni 2024'!AN69)</f>
        <v>42.689999999999962</v>
      </c>
    </row>
    <row r="70" spans="1:40" ht="18" customHeight="1" x14ac:dyDescent="0.2">
      <c r="A70" s="748"/>
      <c r="B70" s="1145" t="s">
        <v>155</v>
      </c>
      <c r="C70" s="1174" t="s">
        <v>209</v>
      </c>
      <c r="D70" s="1174" t="s">
        <v>209</v>
      </c>
      <c r="E70" s="1174" t="s">
        <v>209</v>
      </c>
      <c r="F70" s="1174" t="s">
        <v>209</v>
      </c>
      <c r="G70" s="1174" t="s">
        <v>209</v>
      </c>
      <c r="H70" s="1223" t="s">
        <v>210</v>
      </c>
      <c r="I70" s="1223" t="s">
        <v>211</v>
      </c>
      <c r="J70" s="1174" t="s">
        <v>50</v>
      </c>
      <c r="K70" s="1174" t="s">
        <v>50</v>
      </c>
      <c r="L70" s="1174" t="s">
        <v>50</v>
      </c>
      <c r="M70" s="1174" t="s">
        <v>154</v>
      </c>
      <c r="N70" s="1174" t="s">
        <v>154</v>
      </c>
      <c r="O70" s="1174"/>
      <c r="P70" s="1174"/>
      <c r="Q70" s="1174" t="s">
        <v>154</v>
      </c>
      <c r="R70" s="1174" t="s">
        <v>154</v>
      </c>
      <c r="S70" s="1179" t="s">
        <v>50</v>
      </c>
      <c r="T70" s="1223" t="s">
        <v>50</v>
      </c>
      <c r="U70" s="1223" t="s">
        <v>145</v>
      </c>
      <c r="V70" s="1223" t="s">
        <v>147</v>
      </c>
      <c r="W70" s="1174" t="s">
        <v>148</v>
      </c>
      <c r="X70" s="1174" t="s">
        <v>50</v>
      </c>
      <c r="Y70" s="1174" t="s">
        <v>50</v>
      </c>
      <c r="Z70" s="1185">
        <v>25</v>
      </c>
      <c r="AA70" s="1613">
        <v>25</v>
      </c>
      <c r="AB70" s="1332">
        <v>25</v>
      </c>
      <c r="AC70" s="1174"/>
      <c r="AD70" s="1174"/>
      <c r="AE70" s="1186" t="s">
        <v>46</v>
      </c>
      <c r="AF70" s="1186" t="s">
        <v>46</v>
      </c>
      <c r="AG70" s="1340" t="s">
        <v>46</v>
      </c>
      <c r="AH70" s="1"/>
      <c r="AJ70" s="638">
        <v>174.25</v>
      </c>
      <c r="AK70" s="638">
        <v>9.75</v>
      </c>
      <c r="AL70" s="638">
        <f t="shared" si="1"/>
        <v>184</v>
      </c>
      <c r="AM70" s="639">
        <f t="shared" si="0"/>
        <v>23.669999999999987</v>
      </c>
      <c r="AN70" s="639">
        <f>IF(AM70="","",AM70+'Juni 2024'!AN70)</f>
        <v>-41.410000000000039</v>
      </c>
    </row>
    <row r="71" spans="1:40" ht="18" customHeight="1" x14ac:dyDescent="0.2">
      <c r="A71" s="1614"/>
      <c r="B71" s="749" t="s">
        <v>156</v>
      </c>
      <c r="C71" s="1214" t="s">
        <v>168</v>
      </c>
      <c r="D71" s="1214" t="s">
        <v>168</v>
      </c>
      <c r="E71" s="1176">
        <v>5</v>
      </c>
      <c r="F71" s="1176" t="s">
        <v>50</v>
      </c>
      <c r="G71" s="1339" t="s">
        <v>46</v>
      </c>
      <c r="H71" s="1174" t="s">
        <v>68</v>
      </c>
      <c r="I71" s="1174" t="s">
        <v>68</v>
      </c>
      <c r="J71" s="1186" t="s">
        <v>46</v>
      </c>
      <c r="K71" s="1186" t="s">
        <v>46</v>
      </c>
      <c r="L71" s="1186" t="s">
        <v>46</v>
      </c>
      <c r="M71" s="1186" t="s">
        <v>46</v>
      </c>
      <c r="N71" s="1186" t="s">
        <v>46</v>
      </c>
      <c r="O71" s="1186"/>
      <c r="P71" s="1186"/>
      <c r="Q71" s="1186" t="s">
        <v>46</v>
      </c>
      <c r="R71" s="1186" t="s">
        <v>46</v>
      </c>
      <c r="S71" s="1186" t="s">
        <v>46</v>
      </c>
      <c r="T71" s="1186" t="s">
        <v>46</v>
      </c>
      <c r="U71" s="1186" t="s">
        <v>46</v>
      </c>
      <c r="V71" s="1186"/>
      <c r="W71" s="1186"/>
      <c r="X71" s="1186" t="s">
        <v>46</v>
      </c>
      <c r="Y71" s="1186" t="s">
        <v>46</v>
      </c>
      <c r="Z71" s="1186" t="s">
        <v>46</v>
      </c>
      <c r="AA71" s="1186" t="s">
        <v>46</v>
      </c>
      <c r="AB71" s="1186" t="s">
        <v>46</v>
      </c>
      <c r="AC71" s="1186"/>
      <c r="AD71" s="1186"/>
      <c r="AE71" s="1174" t="s">
        <v>142</v>
      </c>
      <c r="AF71" s="1174" t="s">
        <v>142</v>
      </c>
      <c r="AG71" s="1216" t="s">
        <v>142</v>
      </c>
      <c r="AJ71" s="638">
        <v>163</v>
      </c>
      <c r="AK71" s="638">
        <v>3</v>
      </c>
      <c r="AL71" s="638">
        <f t="shared" si="1"/>
        <v>166</v>
      </c>
      <c r="AM71" s="639">
        <f t="shared" si="0"/>
        <v>5.6699999999999875</v>
      </c>
      <c r="AN71" s="639">
        <f>IF(AM71="","",AM71+'Juni 2024'!AN71)</f>
        <v>6.1899999999999622</v>
      </c>
    </row>
    <row r="72" spans="1:40" ht="18" customHeight="1" x14ac:dyDescent="0.2">
      <c r="A72" s="762"/>
      <c r="B72" s="749" t="s">
        <v>159</v>
      </c>
      <c r="C72" s="1214">
        <v>25</v>
      </c>
      <c r="D72" s="1214">
        <v>25</v>
      </c>
      <c r="E72" s="1214">
        <v>25</v>
      </c>
      <c r="F72" s="1185">
        <v>25</v>
      </c>
      <c r="G72" s="1185">
        <v>25</v>
      </c>
      <c r="H72" s="1174"/>
      <c r="I72" s="1174"/>
      <c r="J72" s="1223">
        <v>10</v>
      </c>
      <c r="K72" s="1223">
        <v>10</v>
      </c>
      <c r="L72" s="1223">
        <v>10</v>
      </c>
      <c r="M72" s="1182">
        <v>10</v>
      </c>
      <c r="N72" s="1223">
        <v>10</v>
      </c>
      <c r="O72" s="1223" t="s">
        <v>106</v>
      </c>
      <c r="P72" s="1223" t="s">
        <v>106</v>
      </c>
      <c r="Q72" s="1174" t="s">
        <v>50</v>
      </c>
      <c r="R72" s="1174" t="s">
        <v>50</v>
      </c>
      <c r="S72" s="1174" t="s">
        <v>50</v>
      </c>
      <c r="T72" s="1223" t="s">
        <v>174</v>
      </c>
      <c r="U72" s="1223" t="s">
        <v>174</v>
      </c>
      <c r="V72" s="1174"/>
      <c r="W72" s="1174" t="s">
        <v>0</v>
      </c>
      <c r="X72" s="1185" t="s">
        <v>174</v>
      </c>
      <c r="Y72" s="1185" t="s">
        <v>174</v>
      </c>
      <c r="Z72" s="1185" t="s">
        <v>174</v>
      </c>
      <c r="AA72" s="1185" t="s">
        <v>174</v>
      </c>
      <c r="AB72" s="1185" t="s">
        <v>174</v>
      </c>
      <c r="AC72" s="1174" t="s">
        <v>68</v>
      </c>
      <c r="AD72" s="1174" t="s">
        <v>68</v>
      </c>
      <c r="AE72" s="1185" t="s">
        <v>322</v>
      </c>
      <c r="AF72" s="1185" t="s">
        <v>322</v>
      </c>
      <c r="AG72" s="1321" t="s">
        <v>322</v>
      </c>
      <c r="AH72" s="1"/>
      <c r="AJ72" s="638">
        <v>177.5</v>
      </c>
      <c r="AK72" s="638">
        <v>9.25</v>
      </c>
      <c r="AL72" s="638">
        <f t="shared" si="1"/>
        <v>186.75</v>
      </c>
      <c r="AM72" s="639">
        <f t="shared" si="0"/>
        <v>26.419999999999987</v>
      </c>
      <c r="AN72" s="639">
        <f>IF(AM72="","",AM72+'Juni 2024'!AN72)</f>
        <v>113.43999999999997</v>
      </c>
    </row>
    <row r="73" spans="1:40" ht="18" customHeight="1" thickBot="1" x14ac:dyDescent="0.25">
      <c r="A73" s="764"/>
      <c r="B73" s="1145" t="s">
        <v>161</v>
      </c>
      <c r="C73" s="1223" t="s">
        <v>50</v>
      </c>
      <c r="D73" s="1223" t="s">
        <v>50</v>
      </c>
      <c r="E73" s="1223" t="s">
        <v>50</v>
      </c>
      <c r="F73" s="1174" t="s">
        <v>50</v>
      </c>
      <c r="G73" s="1176" t="s">
        <v>50</v>
      </c>
      <c r="H73" s="1174"/>
      <c r="I73" s="1615" t="s">
        <v>71</v>
      </c>
      <c r="J73" s="1174" t="s">
        <v>162</v>
      </c>
      <c r="K73" s="1174" t="s">
        <v>162</v>
      </c>
      <c r="L73" s="1174" t="s">
        <v>162</v>
      </c>
      <c r="M73" s="1174" t="s">
        <v>162</v>
      </c>
      <c r="N73" s="1174" t="s">
        <v>162</v>
      </c>
      <c r="O73" s="1223" t="s">
        <v>163</v>
      </c>
      <c r="P73" s="1176" t="s">
        <v>164</v>
      </c>
      <c r="Q73" s="1223" t="s">
        <v>50</v>
      </c>
      <c r="R73" s="1223" t="s">
        <v>50</v>
      </c>
      <c r="S73" s="1223" t="s">
        <v>50</v>
      </c>
      <c r="T73" s="1174" t="s">
        <v>50</v>
      </c>
      <c r="U73" s="1174" t="s">
        <v>50</v>
      </c>
      <c r="V73" s="1174"/>
      <c r="W73" s="1174"/>
      <c r="X73" s="1174" t="s">
        <v>162</v>
      </c>
      <c r="Y73" s="1174" t="s">
        <v>162</v>
      </c>
      <c r="Z73" s="1174" t="s">
        <v>162</v>
      </c>
      <c r="AA73" s="1174" t="s">
        <v>162</v>
      </c>
      <c r="AB73" s="1174" t="s">
        <v>162</v>
      </c>
      <c r="AC73" s="1223" t="s">
        <v>163</v>
      </c>
      <c r="AD73" s="1223" t="s">
        <v>164</v>
      </c>
      <c r="AE73" s="1223" t="s">
        <v>50</v>
      </c>
      <c r="AF73" s="1223" t="s">
        <v>50</v>
      </c>
      <c r="AG73" s="1177" t="s">
        <v>50</v>
      </c>
      <c r="AH73" s="1"/>
      <c r="AJ73" s="638">
        <v>142</v>
      </c>
      <c r="AK73" s="638">
        <v>11.25</v>
      </c>
      <c r="AL73" s="638">
        <f t="shared" si="1"/>
        <v>153.25</v>
      </c>
      <c r="AM73" s="639">
        <f t="shared" si="0"/>
        <v>-7.0800000000000125</v>
      </c>
      <c r="AN73" s="639">
        <f>IF(AM73="","",AM73+'Juni 2024'!AN73)</f>
        <v>-10.810000000000038</v>
      </c>
    </row>
    <row r="74" spans="1:40" ht="18" customHeight="1" x14ac:dyDescent="0.2">
      <c r="A74" s="764"/>
      <c r="B74" s="1145" t="s">
        <v>165</v>
      </c>
      <c r="C74" s="1214">
        <v>22</v>
      </c>
      <c r="D74" s="1214">
        <v>22</v>
      </c>
      <c r="E74" s="1174">
        <v>22</v>
      </c>
      <c r="F74" s="1174">
        <v>22</v>
      </c>
      <c r="G74" s="1223" t="s">
        <v>145</v>
      </c>
      <c r="H74" s="1223" t="s">
        <v>147</v>
      </c>
      <c r="I74" s="1174" t="s">
        <v>148</v>
      </c>
      <c r="J74" s="1174" t="s">
        <v>50</v>
      </c>
      <c r="K74" s="1174" t="s">
        <v>50</v>
      </c>
      <c r="L74" s="1616">
        <v>25</v>
      </c>
      <c r="M74" s="1616">
        <v>25</v>
      </c>
      <c r="N74" s="1616">
        <v>25</v>
      </c>
      <c r="O74" s="1174">
        <v>89</v>
      </c>
      <c r="P74" s="1174"/>
      <c r="Q74" s="1185">
        <v>25</v>
      </c>
      <c r="R74" s="1185">
        <v>25</v>
      </c>
      <c r="S74" s="1185">
        <v>25</v>
      </c>
      <c r="T74" s="1185">
        <v>25</v>
      </c>
      <c r="U74" s="1185">
        <v>25</v>
      </c>
      <c r="V74" s="1174"/>
      <c r="W74" s="1174"/>
      <c r="X74" s="1327">
        <v>7</v>
      </c>
      <c r="Y74" s="1327">
        <v>7</v>
      </c>
      <c r="Z74" s="1327">
        <v>7</v>
      </c>
      <c r="AA74" s="1327">
        <v>7</v>
      </c>
      <c r="AB74" s="1327">
        <v>7</v>
      </c>
      <c r="AC74" s="1174"/>
      <c r="AD74" s="1174">
        <v>26</v>
      </c>
      <c r="AE74" s="1174">
        <v>26</v>
      </c>
      <c r="AF74" s="1174">
        <v>26</v>
      </c>
      <c r="AG74" s="1216" t="s">
        <v>186</v>
      </c>
      <c r="AH74" s="1"/>
      <c r="AJ74" s="638">
        <v>216.25</v>
      </c>
      <c r="AK74" s="638">
        <v>16.5</v>
      </c>
      <c r="AL74" s="638">
        <f t="shared" si="1"/>
        <v>232.75</v>
      </c>
      <c r="AM74" s="639">
        <f t="shared" si="0"/>
        <v>72.419999999999987</v>
      </c>
      <c r="AN74" s="639">
        <f>IF(AM74="","",AM74+'Juni 2024'!AN74)</f>
        <v>-0.8100000000000307</v>
      </c>
    </row>
    <row r="75" spans="1:40" ht="18" customHeight="1" x14ac:dyDescent="0.2">
      <c r="A75" s="768"/>
      <c r="B75" s="1145" t="s">
        <v>166</v>
      </c>
      <c r="C75" s="1186" t="s">
        <v>46</v>
      </c>
      <c r="D75" s="1186" t="s">
        <v>46</v>
      </c>
      <c r="E75" s="1186" t="s">
        <v>46</v>
      </c>
      <c r="F75" s="1332" t="s">
        <v>160</v>
      </c>
      <c r="G75" s="1332" t="s">
        <v>160</v>
      </c>
      <c r="H75" s="1174"/>
      <c r="I75" s="1174"/>
      <c r="J75" s="1223" t="s">
        <v>160</v>
      </c>
      <c r="K75" s="1617" t="s">
        <v>46</v>
      </c>
      <c r="L75" s="1617" t="s">
        <v>46</v>
      </c>
      <c r="M75" s="1185" t="s">
        <v>160</v>
      </c>
      <c r="N75" s="1185" t="s">
        <v>160</v>
      </c>
      <c r="O75" s="1174" t="s">
        <v>68</v>
      </c>
      <c r="P75" s="1174" t="s">
        <v>68</v>
      </c>
      <c r="Q75" s="1339" t="s">
        <v>46</v>
      </c>
      <c r="R75" s="1339" t="s">
        <v>46</v>
      </c>
      <c r="S75" s="1339" t="s">
        <v>46</v>
      </c>
      <c r="T75" s="1339" t="s">
        <v>46</v>
      </c>
      <c r="U75" s="1339" t="s">
        <v>46</v>
      </c>
      <c r="V75" s="1174" t="s">
        <v>68</v>
      </c>
      <c r="W75" s="1174" t="s">
        <v>68</v>
      </c>
      <c r="X75" s="1185" t="s">
        <v>160</v>
      </c>
      <c r="Y75" s="1185" t="s">
        <v>160</v>
      </c>
      <c r="Z75" s="1185" t="s">
        <v>160</v>
      </c>
      <c r="AA75" s="1185" t="s">
        <v>160</v>
      </c>
      <c r="AB75" s="1185" t="s">
        <v>160</v>
      </c>
      <c r="AC75" s="1174"/>
      <c r="AD75" s="1174"/>
      <c r="AE75" s="1185" t="s">
        <v>160</v>
      </c>
      <c r="AF75" s="1185" t="s">
        <v>160</v>
      </c>
      <c r="AG75" s="1618" t="s">
        <v>160</v>
      </c>
      <c r="AH75" s="1"/>
      <c r="AJ75" s="638">
        <v>164</v>
      </c>
      <c r="AK75" s="638">
        <v>0</v>
      </c>
      <c r="AL75" s="638">
        <f t="shared" si="1"/>
        <v>164</v>
      </c>
      <c r="AM75" s="639">
        <f t="shared" si="0"/>
        <v>3.6699999999999875</v>
      </c>
      <c r="AN75" s="639">
        <f>IF(AM75="","",AM75+'Juni 2024'!AN75)</f>
        <v>-9.3100000000000378</v>
      </c>
    </row>
    <row r="76" spans="1:40" ht="17.45" customHeight="1" x14ac:dyDescent="0.2">
      <c r="A76" s="768"/>
      <c r="B76" s="769" t="s">
        <v>167</v>
      </c>
      <c r="C76" s="1619" t="s">
        <v>168</v>
      </c>
      <c r="D76" s="1619" t="s">
        <v>168</v>
      </c>
      <c r="E76" s="1619" t="s">
        <v>168</v>
      </c>
      <c r="F76" s="1262" t="s">
        <v>168</v>
      </c>
      <c r="G76" s="1262" t="s">
        <v>168</v>
      </c>
      <c r="H76" s="1262" t="s">
        <v>0</v>
      </c>
      <c r="I76" s="1262"/>
      <c r="J76" s="1262" t="s">
        <v>168</v>
      </c>
      <c r="K76" s="1262" t="s">
        <v>168</v>
      </c>
      <c r="L76" s="1262" t="s">
        <v>168</v>
      </c>
      <c r="M76" s="1262" t="s">
        <v>168</v>
      </c>
      <c r="N76" s="1262" t="s">
        <v>169</v>
      </c>
      <c r="O76" s="1214" t="s">
        <v>0</v>
      </c>
      <c r="P76" s="1214" t="s">
        <v>0</v>
      </c>
      <c r="Q76" s="1214" t="s">
        <v>168</v>
      </c>
      <c r="R76" s="1214" t="s">
        <v>168</v>
      </c>
      <c r="S76" s="1214" t="s">
        <v>168</v>
      </c>
      <c r="T76" s="1214" t="s">
        <v>168</v>
      </c>
      <c r="U76" s="1214" t="s">
        <v>168</v>
      </c>
      <c r="V76" s="1214"/>
      <c r="W76" s="1214"/>
      <c r="X76" s="1214" t="s">
        <v>168</v>
      </c>
      <c r="Y76" s="1214" t="s">
        <v>168</v>
      </c>
      <c r="Z76" s="1214" t="s">
        <v>168</v>
      </c>
      <c r="AA76" s="1263" t="s">
        <v>168</v>
      </c>
      <c r="AB76" s="1134" t="s">
        <v>168</v>
      </c>
      <c r="AC76" s="1214">
        <v>89</v>
      </c>
      <c r="AD76" s="1214" t="s">
        <v>0</v>
      </c>
      <c r="AE76" s="1214" t="s">
        <v>168</v>
      </c>
      <c r="AF76" s="1214" t="s">
        <v>168</v>
      </c>
      <c r="AG76" s="1620" t="s">
        <v>168</v>
      </c>
      <c r="AH76" s="1"/>
      <c r="AJ76" s="638">
        <v>162.5</v>
      </c>
      <c r="AK76" s="638">
        <v>0</v>
      </c>
      <c r="AL76" s="638">
        <f t="shared" si="1"/>
        <v>162.5</v>
      </c>
      <c r="AM76" s="639">
        <f t="shared" si="0"/>
        <v>2.1699999999999875</v>
      </c>
      <c r="AN76" s="639">
        <f>IF(AM76="","",AM76+'Juni 2024'!AN76)</f>
        <v>-43.060000000000038</v>
      </c>
    </row>
    <row r="77" spans="1:40" ht="18" customHeight="1" x14ac:dyDescent="0.2">
      <c r="A77" s="768"/>
      <c r="B77" s="769" t="s">
        <v>170</v>
      </c>
      <c r="C77" s="1214" t="s">
        <v>50</v>
      </c>
      <c r="D77" s="1214" t="s">
        <v>50</v>
      </c>
      <c r="E77" s="1214" t="s">
        <v>50</v>
      </c>
      <c r="F77" s="1214" t="s">
        <v>50</v>
      </c>
      <c r="G77" s="1214" t="s">
        <v>50</v>
      </c>
      <c r="H77" s="1174"/>
      <c r="I77" s="1174"/>
      <c r="J77" s="1186" t="s">
        <v>46</v>
      </c>
      <c r="K77" s="1186" t="s">
        <v>46</v>
      </c>
      <c r="L77" s="1186" t="s">
        <v>46</v>
      </c>
      <c r="M77" s="1186" t="s">
        <v>46</v>
      </c>
      <c r="N77" s="1186" t="s">
        <v>46</v>
      </c>
      <c r="O77" s="1186"/>
      <c r="P77" s="1186"/>
      <c r="Q77" s="1186" t="s">
        <v>46</v>
      </c>
      <c r="R77" s="1186" t="s">
        <v>46</v>
      </c>
      <c r="S77" s="1186" t="s">
        <v>46</v>
      </c>
      <c r="T77" s="1186" t="s">
        <v>46</v>
      </c>
      <c r="U77" s="1186" t="s">
        <v>46</v>
      </c>
      <c r="V77" s="1186"/>
      <c r="W77" s="1186"/>
      <c r="X77" s="1186" t="s">
        <v>142</v>
      </c>
      <c r="Y77" s="1186" t="s">
        <v>142</v>
      </c>
      <c r="Z77" s="1186" t="s">
        <v>142</v>
      </c>
      <c r="AA77" s="1186" t="s">
        <v>142</v>
      </c>
      <c r="AB77" s="1186" t="s">
        <v>142</v>
      </c>
      <c r="AC77" s="1186" t="s">
        <v>143</v>
      </c>
      <c r="AD77" s="1186" t="s">
        <v>143</v>
      </c>
      <c r="AE77" s="1174" t="s">
        <v>50</v>
      </c>
      <c r="AF77" s="1174" t="s">
        <v>50</v>
      </c>
      <c r="AG77" s="1216" t="s">
        <v>50</v>
      </c>
      <c r="AH77" s="1"/>
      <c r="AJ77" s="638">
        <v>141.5</v>
      </c>
      <c r="AK77" s="638">
        <v>5.5</v>
      </c>
      <c r="AL77" s="638">
        <f t="shared" si="1"/>
        <v>147</v>
      </c>
      <c r="AM77" s="639">
        <f t="shared" si="0"/>
        <v>-13.330000000000013</v>
      </c>
      <c r="AN77" s="639">
        <f>IF(AM77="","",AM77+'Juni 2024'!AN77)</f>
        <v>12.439999999999962</v>
      </c>
    </row>
    <row r="78" spans="1:40" ht="18" customHeight="1" x14ac:dyDescent="0.2">
      <c r="A78" s="768"/>
      <c r="B78" s="772" t="s">
        <v>173</v>
      </c>
      <c r="C78" s="1214" t="s">
        <v>50</v>
      </c>
      <c r="D78" s="1214" t="s">
        <v>50</v>
      </c>
      <c r="E78" s="1332" t="s">
        <v>50</v>
      </c>
      <c r="F78" s="1186" t="s">
        <v>168</v>
      </c>
      <c r="G78" s="1186" t="s">
        <v>168</v>
      </c>
      <c r="H78" s="1174" t="s">
        <v>68</v>
      </c>
      <c r="I78" s="1174" t="s">
        <v>68</v>
      </c>
      <c r="J78" s="1186" t="s">
        <v>46</v>
      </c>
      <c r="K78" s="1186" t="s">
        <v>46</v>
      </c>
      <c r="L78" s="1186" t="s">
        <v>46</v>
      </c>
      <c r="M78" s="1186" t="s">
        <v>46</v>
      </c>
      <c r="N78" s="1186" t="s">
        <v>46</v>
      </c>
      <c r="O78" s="1186"/>
      <c r="P78" s="1186"/>
      <c r="Q78" s="1186" t="s">
        <v>46</v>
      </c>
      <c r="R78" s="1186" t="s">
        <v>46</v>
      </c>
      <c r="S78" s="1186" t="s">
        <v>46</v>
      </c>
      <c r="T78" s="1186" t="s">
        <v>46</v>
      </c>
      <c r="U78" s="1186" t="s">
        <v>46</v>
      </c>
      <c r="V78" s="1186"/>
      <c r="W78" s="1186"/>
      <c r="X78" s="1186" t="s">
        <v>46</v>
      </c>
      <c r="Y78" s="1186" t="s">
        <v>46</v>
      </c>
      <c r="Z78" s="1186" t="s">
        <v>46</v>
      </c>
      <c r="AA78" s="1186" t="s">
        <v>46</v>
      </c>
      <c r="AB78" s="1186" t="s">
        <v>46</v>
      </c>
      <c r="AC78" s="1186"/>
      <c r="AD78" s="1186"/>
      <c r="AE78" s="1186" t="s">
        <v>46</v>
      </c>
      <c r="AF78" s="1186" t="s">
        <v>46</v>
      </c>
      <c r="AG78" s="1340" t="s">
        <v>46</v>
      </c>
      <c r="AH78" s="1"/>
      <c r="AJ78" s="638">
        <v>155.25</v>
      </c>
      <c r="AK78" s="638">
        <v>0</v>
      </c>
      <c r="AL78" s="638">
        <f t="shared" si="1"/>
        <v>155.25</v>
      </c>
      <c r="AM78" s="639">
        <f t="shared" si="0"/>
        <v>-5.0800000000000125</v>
      </c>
      <c r="AN78" s="639">
        <f>IF(AM78="","",AM78+'Juni 2024'!AN78)</f>
        <v>-2.230000000000036</v>
      </c>
    </row>
    <row r="79" spans="1:40" ht="18" customHeight="1" x14ac:dyDescent="0.2">
      <c r="A79" s="768"/>
      <c r="B79" s="772" t="s">
        <v>176</v>
      </c>
      <c r="C79" s="1185" t="s">
        <v>50</v>
      </c>
      <c r="D79" s="1262" t="s">
        <v>50</v>
      </c>
      <c r="E79" s="1621" t="s">
        <v>102</v>
      </c>
      <c r="F79" s="1332" t="s">
        <v>50</v>
      </c>
      <c r="G79" s="1332" t="s">
        <v>50</v>
      </c>
      <c r="H79" s="1134">
        <v>89</v>
      </c>
      <c r="I79" s="1174"/>
      <c r="J79" s="1185" t="s">
        <v>209</v>
      </c>
      <c r="K79" s="1185" t="s">
        <v>209</v>
      </c>
      <c r="L79" s="1185" t="s">
        <v>209</v>
      </c>
      <c r="M79" s="1185" t="s">
        <v>209</v>
      </c>
      <c r="N79" s="1185" t="s">
        <v>209</v>
      </c>
      <c r="O79" s="1185" t="s">
        <v>210</v>
      </c>
      <c r="P79" s="1185" t="s">
        <v>211</v>
      </c>
      <c r="Q79" s="1185" t="s">
        <v>50</v>
      </c>
      <c r="R79" s="1185" t="s">
        <v>50</v>
      </c>
      <c r="S79" s="1286" t="s">
        <v>50</v>
      </c>
      <c r="T79" s="1185">
        <v>21</v>
      </c>
      <c r="U79" s="1185">
        <v>21</v>
      </c>
      <c r="V79" s="1174"/>
      <c r="W79" s="1174"/>
      <c r="X79" s="1174" t="s">
        <v>209</v>
      </c>
      <c r="Y79" s="1174" t="s">
        <v>209</v>
      </c>
      <c r="Z79" s="1174" t="s">
        <v>209</v>
      </c>
      <c r="AA79" s="1134" t="s">
        <v>209</v>
      </c>
      <c r="AB79" s="1174" t="s">
        <v>209</v>
      </c>
      <c r="AC79" s="1223" t="s">
        <v>210</v>
      </c>
      <c r="AD79" s="1223" t="s">
        <v>211</v>
      </c>
      <c r="AE79" s="1185" t="s">
        <v>50</v>
      </c>
      <c r="AF79" s="1185" t="s">
        <v>50</v>
      </c>
      <c r="AG79" s="1321" t="s">
        <v>50</v>
      </c>
      <c r="AH79" s="1"/>
      <c r="AJ79" s="638">
        <v>175.5</v>
      </c>
      <c r="AK79" s="638">
        <v>12.75</v>
      </c>
      <c r="AL79" s="638">
        <f t="shared" si="1"/>
        <v>188.25</v>
      </c>
      <c r="AM79" s="639">
        <f t="shared" si="0"/>
        <v>27.919999999999987</v>
      </c>
      <c r="AN79" s="639">
        <f>IF(AM79="","",AM79+'Juni 2024'!AN79)</f>
        <v>47.139999999999958</v>
      </c>
    </row>
    <row r="80" spans="1:40" ht="18" customHeight="1" x14ac:dyDescent="0.2">
      <c r="A80" s="768"/>
      <c r="B80" s="1145" t="s">
        <v>177</v>
      </c>
      <c r="C80" s="1214" t="s">
        <v>50</v>
      </c>
      <c r="D80" s="1214" t="s">
        <v>50</v>
      </c>
      <c r="E80" s="1214" t="s">
        <v>168</v>
      </c>
      <c r="F80" s="1185" t="s">
        <v>168</v>
      </c>
      <c r="G80" s="1185" t="s">
        <v>168</v>
      </c>
      <c r="H80" s="1174"/>
      <c r="I80" s="1174">
        <v>26</v>
      </c>
      <c r="J80" s="1185" t="s">
        <v>154</v>
      </c>
      <c r="K80" s="1185" t="s">
        <v>160</v>
      </c>
      <c r="L80" s="1174" t="s">
        <v>160</v>
      </c>
      <c r="M80" s="1174" t="s">
        <v>50</v>
      </c>
      <c r="N80" s="1174" t="s">
        <v>139</v>
      </c>
      <c r="O80" s="1174" t="s">
        <v>140</v>
      </c>
      <c r="P80" s="1174" t="s">
        <v>141</v>
      </c>
      <c r="Q80" s="1174" t="s">
        <v>50</v>
      </c>
      <c r="R80" s="1174" t="s">
        <v>50</v>
      </c>
      <c r="S80" s="1179" t="s">
        <v>50</v>
      </c>
      <c r="T80" s="1223" t="s">
        <v>50</v>
      </c>
      <c r="U80" s="1223" t="s">
        <v>50</v>
      </c>
      <c r="V80" s="1174"/>
      <c r="W80" s="1174">
        <v>26</v>
      </c>
      <c r="X80" s="1174">
        <v>26</v>
      </c>
      <c r="Y80" s="1185">
        <v>26</v>
      </c>
      <c r="Z80" s="1185">
        <v>26</v>
      </c>
      <c r="AA80" s="1185">
        <v>26</v>
      </c>
      <c r="AB80" s="1185">
        <v>26</v>
      </c>
      <c r="AC80" s="1174"/>
      <c r="AD80" s="1174"/>
      <c r="AE80" s="251">
        <v>23</v>
      </c>
      <c r="AF80" s="252">
        <v>23</v>
      </c>
      <c r="AG80" s="250">
        <v>23</v>
      </c>
      <c r="AH80" s="1"/>
      <c r="AJ80" s="638">
        <v>157.25</v>
      </c>
      <c r="AK80" s="638"/>
      <c r="AL80" s="638">
        <f t="shared" si="1"/>
        <v>157.25</v>
      </c>
      <c r="AM80" s="639">
        <f t="shared" si="0"/>
        <v>-3.0800000000000125</v>
      </c>
      <c r="AN80" s="639">
        <f>IF(AM80="","",AM80+'Juni 2024'!AN80)</f>
        <v>-36.060000000000038</v>
      </c>
    </row>
    <row r="81" spans="1:40" ht="18" customHeight="1" x14ac:dyDescent="0.2">
      <c r="A81" s="768"/>
      <c r="B81" s="1145" t="s">
        <v>178</v>
      </c>
      <c r="C81" s="1214">
        <v>4</v>
      </c>
      <c r="D81" s="1214">
        <v>4</v>
      </c>
      <c r="E81" s="1214">
        <v>4</v>
      </c>
      <c r="F81" s="1185">
        <v>4</v>
      </c>
      <c r="G81" s="1185">
        <v>4</v>
      </c>
      <c r="H81" s="1174"/>
      <c r="I81" s="1176" t="s">
        <v>107</v>
      </c>
      <c r="J81" s="1176">
        <v>3</v>
      </c>
      <c r="K81" s="1223">
        <v>3</v>
      </c>
      <c r="L81" s="1223">
        <v>3</v>
      </c>
      <c r="M81" s="1223">
        <v>3</v>
      </c>
      <c r="N81" s="1223">
        <v>3</v>
      </c>
      <c r="O81" s="1174"/>
      <c r="P81" s="1622" t="s">
        <v>109</v>
      </c>
      <c r="Q81" s="1179">
        <v>11</v>
      </c>
      <c r="R81" s="1174">
        <v>11</v>
      </c>
      <c r="S81" s="1223">
        <v>11</v>
      </c>
      <c r="T81" s="1223">
        <v>11</v>
      </c>
      <c r="U81" s="1223">
        <v>11</v>
      </c>
      <c r="V81" s="1223" t="s">
        <v>109</v>
      </c>
      <c r="W81" s="1223" t="s">
        <v>109</v>
      </c>
      <c r="X81" s="1179" t="s">
        <v>50</v>
      </c>
      <c r="Y81" s="1179" t="s">
        <v>50</v>
      </c>
      <c r="Z81" s="1223" t="s">
        <v>50</v>
      </c>
      <c r="AA81" s="1223" t="s">
        <v>50</v>
      </c>
      <c r="AB81" s="1179" t="s">
        <v>50</v>
      </c>
      <c r="AC81" s="1179" t="s">
        <v>104</v>
      </c>
      <c r="AD81" s="1179" t="s">
        <v>104</v>
      </c>
      <c r="AE81" s="1223">
        <v>8</v>
      </c>
      <c r="AF81" s="1223">
        <v>8</v>
      </c>
      <c r="AG81" s="1216">
        <v>8</v>
      </c>
      <c r="AH81" s="1"/>
      <c r="AJ81" s="638">
        <v>189.75</v>
      </c>
      <c r="AK81" s="638">
        <v>7.25</v>
      </c>
      <c r="AL81" s="638">
        <f t="shared" si="1"/>
        <v>197</v>
      </c>
      <c r="AM81" s="639">
        <f t="shared" si="0"/>
        <v>36.669999999999987</v>
      </c>
      <c r="AN81" s="639">
        <f>IF(AM81="","",AM81+'Juni 2024'!AN81)</f>
        <v>27.01999999999996</v>
      </c>
    </row>
    <row r="82" spans="1:40" ht="18" customHeight="1" x14ac:dyDescent="0.2">
      <c r="A82" s="768"/>
      <c r="B82" s="749" t="s">
        <v>180</v>
      </c>
      <c r="C82" s="1186" t="s">
        <v>46</v>
      </c>
      <c r="D82" s="1186" t="s">
        <v>46</v>
      </c>
      <c r="E82" s="1186" t="s">
        <v>46</v>
      </c>
      <c r="F82" s="1186" t="s">
        <v>46</v>
      </c>
      <c r="G82" s="1186" t="s">
        <v>46</v>
      </c>
      <c r="H82" s="1186" t="s">
        <v>46</v>
      </c>
      <c r="I82" s="1186" t="s">
        <v>46</v>
      </c>
      <c r="J82" s="1339" t="s">
        <v>50</v>
      </c>
      <c r="K82" s="1339" t="s">
        <v>50</v>
      </c>
      <c r="L82" s="1339" t="s">
        <v>50</v>
      </c>
      <c r="M82" s="1339" t="s">
        <v>50</v>
      </c>
      <c r="N82" s="1339" t="s">
        <v>50</v>
      </c>
      <c r="O82" s="1339"/>
      <c r="P82" s="1339"/>
      <c r="Q82" s="1186" t="s">
        <v>46</v>
      </c>
      <c r="R82" s="1186" t="s">
        <v>46</v>
      </c>
      <c r="S82" s="1186" t="s">
        <v>46</v>
      </c>
      <c r="T82" s="1186" t="s">
        <v>46</v>
      </c>
      <c r="U82" s="1186" t="s">
        <v>46</v>
      </c>
      <c r="V82" s="1186" t="s">
        <v>46</v>
      </c>
      <c r="W82" s="1186" t="s">
        <v>46</v>
      </c>
      <c r="X82" s="1174" t="s">
        <v>50</v>
      </c>
      <c r="Y82" s="1174" t="s">
        <v>50</v>
      </c>
      <c r="Z82" s="1223" t="s">
        <v>50</v>
      </c>
      <c r="AA82" s="1174" t="s">
        <v>50</v>
      </c>
      <c r="AB82" s="1174" t="s">
        <v>50</v>
      </c>
      <c r="AC82" s="1174"/>
      <c r="AD82" s="1174"/>
      <c r="AE82" s="1185" t="s">
        <v>46</v>
      </c>
      <c r="AF82" s="1185" t="s">
        <v>46</v>
      </c>
      <c r="AG82" s="1321" t="s">
        <v>46</v>
      </c>
      <c r="AH82" s="1"/>
      <c r="AJ82" s="638">
        <v>167</v>
      </c>
      <c r="AK82" s="638">
        <v>13.5</v>
      </c>
      <c r="AL82" s="638">
        <f t="shared" si="1"/>
        <v>180.5</v>
      </c>
      <c r="AM82" s="639">
        <f t="shared" si="0"/>
        <v>20.169999999999987</v>
      </c>
      <c r="AN82" s="639">
        <f>IF(AM82="","",AM82+'Juni 2024'!AN82)</f>
        <v>-4.160000000000025</v>
      </c>
    </row>
    <row r="83" spans="1:40" ht="18" customHeight="1" thickBot="1" x14ac:dyDescent="0.25">
      <c r="A83" s="768"/>
      <c r="B83" s="749" t="s">
        <v>181</v>
      </c>
      <c r="C83" s="1339" t="s">
        <v>46</v>
      </c>
      <c r="D83" s="1339" t="s">
        <v>46</v>
      </c>
      <c r="E83" s="1339" t="s">
        <v>46</v>
      </c>
      <c r="F83" s="1339" t="s">
        <v>46</v>
      </c>
      <c r="G83" s="1339" t="s">
        <v>46</v>
      </c>
      <c r="H83" s="1339" t="s">
        <v>46</v>
      </c>
      <c r="I83" s="1339" t="s">
        <v>46</v>
      </c>
      <c r="J83" s="1134" t="s">
        <v>50</v>
      </c>
      <c r="K83" s="1134" t="s">
        <v>50</v>
      </c>
      <c r="L83" s="1134" t="s">
        <v>50</v>
      </c>
      <c r="M83" s="1134" t="s">
        <v>50</v>
      </c>
      <c r="N83" s="1134" t="s">
        <v>50</v>
      </c>
      <c r="O83" s="1134"/>
      <c r="P83" s="1134"/>
      <c r="Q83" s="1134" t="s">
        <v>46</v>
      </c>
      <c r="R83" s="1134" t="s">
        <v>46</v>
      </c>
      <c r="S83" s="1134" t="s">
        <v>46</v>
      </c>
      <c r="T83" s="1134" t="s">
        <v>46</v>
      </c>
      <c r="U83" s="856" t="s">
        <v>139</v>
      </c>
      <c r="V83" s="856" t="s">
        <v>140</v>
      </c>
      <c r="W83" s="856" t="s">
        <v>141</v>
      </c>
      <c r="X83" s="1134" t="s">
        <v>50</v>
      </c>
      <c r="Y83" s="1134" t="s">
        <v>50</v>
      </c>
      <c r="Z83" s="1134" t="s">
        <v>50</v>
      </c>
      <c r="AA83" s="1134" t="s">
        <v>50</v>
      </c>
      <c r="AB83" s="1134" t="s">
        <v>50</v>
      </c>
      <c r="AC83" s="1134"/>
      <c r="AD83" s="1134"/>
      <c r="AE83" s="1134" t="s">
        <v>162</v>
      </c>
      <c r="AF83" s="1134" t="s">
        <v>162</v>
      </c>
      <c r="AG83" s="1134" t="s">
        <v>162</v>
      </c>
      <c r="AH83" s="1"/>
      <c r="AJ83" s="638">
        <v>169.5</v>
      </c>
      <c r="AK83" s="638">
        <v>14</v>
      </c>
      <c r="AL83" s="638">
        <f t="shared" ref="AL83" si="2">IF(AJ83="","",SUM(AJ83:AK83))</f>
        <v>183.5</v>
      </c>
      <c r="AM83" s="639">
        <f t="shared" ref="AM83" si="3">IF(AJ83="","",AL83-_xlfn.SINGLE(NormTid))</f>
        <v>23.169999999999987</v>
      </c>
      <c r="AN83" s="639">
        <f>IF(AM83="","",AM83+'Juni 2024'!AN83)</f>
        <v>-1.160000000000025</v>
      </c>
    </row>
    <row r="84" spans="1:40" ht="18" customHeight="1" x14ac:dyDescent="0.2">
      <c r="A84" s="768"/>
      <c r="B84" s="1565" t="s">
        <v>101</v>
      </c>
      <c r="C84" s="1174" t="s">
        <v>46</v>
      </c>
      <c r="D84" s="1174" t="s">
        <v>46</v>
      </c>
      <c r="E84" s="1174" t="s">
        <v>50</v>
      </c>
      <c r="F84" s="1174" t="s">
        <v>46</v>
      </c>
      <c r="G84" s="1174" t="s">
        <v>46</v>
      </c>
      <c r="H84" s="1174"/>
      <c r="I84" s="1174"/>
      <c r="J84" s="1174" t="s">
        <v>46</v>
      </c>
      <c r="K84" s="1174" t="s">
        <v>46</v>
      </c>
      <c r="L84" s="1174" t="s">
        <v>50</v>
      </c>
      <c r="M84" s="1174" t="s">
        <v>46</v>
      </c>
      <c r="N84" s="1174" t="s">
        <v>46</v>
      </c>
      <c r="O84" s="1174"/>
      <c r="P84" s="1174"/>
      <c r="Q84" s="1174" t="s">
        <v>46</v>
      </c>
      <c r="R84" s="1174" t="s">
        <v>46</v>
      </c>
      <c r="S84" s="1174" t="s">
        <v>50</v>
      </c>
      <c r="T84" s="1174" t="s">
        <v>46</v>
      </c>
      <c r="U84" s="1174" t="s">
        <v>46</v>
      </c>
      <c r="V84" s="1174"/>
      <c r="W84" s="1174"/>
      <c r="X84" s="1174" t="s">
        <v>46</v>
      </c>
      <c r="Y84" s="1174" t="s">
        <v>46</v>
      </c>
      <c r="Z84" s="1174" t="s">
        <v>50</v>
      </c>
      <c r="AA84" s="1262" t="s">
        <v>46</v>
      </c>
      <c r="AB84" s="1262" t="s">
        <v>46</v>
      </c>
      <c r="AC84" s="1174"/>
      <c r="AD84" s="1174"/>
      <c r="AE84" s="1262" t="s">
        <v>46</v>
      </c>
      <c r="AF84" s="1262" t="s">
        <v>46</v>
      </c>
      <c r="AG84" s="1623" t="s">
        <v>50</v>
      </c>
      <c r="AH84" s="1"/>
      <c r="AJ84" s="638">
        <f t="shared" ref="AJ84:AJ93" si="4">$AJ$12</f>
        <v>160.33000000000001</v>
      </c>
      <c r="AK84" s="638"/>
      <c r="AL84" s="638">
        <f t="shared" si="1"/>
        <v>160.33000000000001</v>
      </c>
      <c r="AM84" s="639">
        <f t="shared" si="0"/>
        <v>0</v>
      </c>
      <c r="AN84" s="639">
        <f>IF(AM84="","",AM84+'Juni 2024'!AN84)</f>
        <v>-12.330000000000013</v>
      </c>
    </row>
    <row r="85" spans="1:40" ht="18" customHeight="1" x14ac:dyDescent="0.2">
      <c r="A85" s="768"/>
      <c r="B85" s="1011"/>
      <c r="C85" s="1328"/>
      <c r="D85" s="1328"/>
      <c r="E85" s="1328"/>
      <c r="F85" s="1328"/>
      <c r="G85" s="1328"/>
      <c r="H85" s="1328"/>
      <c r="I85" s="1328"/>
      <c r="J85" s="1185"/>
      <c r="K85" s="1185"/>
      <c r="L85" s="1185"/>
      <c r="M85" s="1185"/>
      <c r="N85" s="1185"/>
      <c r="O85" s="1174"/>
      <c r="P85" s="1174"/>
      <c r="Q85" s="1223"/>
      <c r="R85" s="1223"/>
      <c r="S85" s="1223"/>
      <c r="T85" s="1223"/>
      <c r="U85" s="1174"/>
      <c r="V85" s="1174"/>
      <c r="W85" s="1174"/>
      <c r="X85" s="1223"/>
      <c r="Y85" s="1223"/>
      <c r="Z85" s="1185"/>
      <c r="AA85" s="1185"/>
      <c r="AB85" s="1185"/>
      <c r="AC85" s="1174"/>
      <c r="AD85" s="1174"/>
      <c r="AE85" s="1174"/>
      <c r="AF85" s="1174"/>
      <c r="AG85" s="1216"/>
      <c r="AH85" s="1"/>
      <c r="AJ85" s="638">
        <f t="shared" si="4"/>
        <v>160.33000000000001</v>
      </c>
      <c r="AK85" s="638"/>
      <c r="AL85" s="638">
        <f t="shared" si="1"/>
        <v>160.33000000000001</v>
      </c>
      <c r="AM85" s="639">
        <f t="shared" si="0"/>
        <v>0</v>
      </c>
      <c r="AN85" s="639">
        <f>IF(AM85="","",AM85+'Juni 2024'!AN85)</f>
        <v>0</v>
      </c>
    </row>
    <row r="86" spans="1:40" ht="18" customHeight="1" thickBot="1" x14ac:dyDescent="0.25">
      <c r="A86" s="768"/>
      <c r="B86" s="754"/>
      <c r="C86" s="1624"/>
      <c r="D86" s="1624"/>
      <c r="E86" s="1624"/>
      <c r="F86" s="1343"/>
      <c r="G86" s="1343"/>
      <c r="H86" s="711"/>
      <c r="I86" s="711"/>
      <c r="J86" s="597"/>
      <c r="K86" s="597"/>
      <c r="L86" s="597"/>
      <c r="M86" s="597"/>
      <c r="N86" s="1625"/>
      <c r="O86" s="711"/>
      <c r="P86" s="711"/>
      <c r="Q86" s="1343"/>
      <c r="R86" s="1343"/>
      <c r="S86" s="1626"/>
      <c r="T86" s="1626"/>
      <c r="U86" s="1626"/>
      <c r="V86" s="269"/>
      <c r="W86" s="269"/>
      <c r="X86" s="1627"/>
      <c r="Y86" s="1627"/>
      <c r="Z86" s="1627"/>
      <c r="AA86" s="1627"/>
      <c r="AB86" s="1627"/>
      <c r="AC86" s="711"/>
      <c r="AD86" s="711"/>
      <c r="AE86" s="711"/>
      <c r="AF86" s="711"/>
      <c r="AG86" s="1086"/>
      <c r="AH86" s="1"/>
      <c r="AJ86" s="638">
        <f t="shared" si="4"/>
        <v>160.33000000000001</v>
      </c>
      <c r="AK86" s="638"/>
      <c r="AL86" s="638">
        <f t="shared" si="1"/>
        <v>160.33000000000001</v>
      </c>
      <c r="AM86" s="639">
        <f t="shared" si="0"/>
        <v>0</v>
      </c>
      <c r="AN86" s="639">
        <f>IF(AM86="","",AM86+'Juni 2024'!AN86)</f>
        <v>0</v>
      </c>
    </row>
    <row r="87" spans="1:40" ht="18" customHeight="1" thickBot="1" x14ac:dyDescent="0.25">
      <c r="A87" s="1346"/>
      <c r="B87" s="1347"/>
      <c r="C87" s="1214"/>
      <c r="D87" s="1214"/>
      <c r="E87" s="1214"/>
      <c r="F87" s="1214"/>
      <c r="G87" s="1363"/>
      <c r="H87" s="1363"/>
      <c r="I87" s="1363"/>
      <c r="J87" s="1214"/>
      <c r="K87" s="1214"/>
      <c r="L87" s="1185"/>
      <c r="M87" s="1185"/>
      <c r="N87" s="1185"/>
      <c r="O87" s="1174"/>
      <c r="P87" s="1174"/>
      <c r="Q87" s="1185"/>
      <c r="R87" s="1185"/>
      <c r="S87" s="1179"/>
      <c r="T87" s="1223"/>
      <c r="U87" s="1363"/>
      <c r="V87" s="1363"/>
      <c r="W87" s="1363"/>
      <c r="X87" s="1174"/>
      <c r="Y87" s="1185"/>
      <c r="Z87" s="1185"/>
      <c r="AA87" s="1185"/>
      <c r="AB87" s="1185"/>
      <c r="AC87" s="1174"/>
      <c r="AD87" s="1174"/>
      <c r="AE87" s="1174"/>
      <c r="AF87" s="1174"/>
      <c r="AG87" s="1216"/>
      <c r="AH87" s="1"/>
      <c r="AJ87" s="638">
        <f>$AJ$12</f>
        <v>160.33000000000001</v>
      </c>
      <c r="AK87" s="638"/>
      <c r="AL87" s="638">
        <f>IF(AJ87="","",SUM(AJ87:AK87))</f>
        <v>160.33000000000001</v>
      </c>
      <c r="AM87" s="639">
        <f t="shared" si="0"/>
        <v>0</v>
      </c>
      <c r="AN87" s="639">
        <f>IF(AM87="","",AM87+'Juni 2024'!AN87)</f>
        <v>0</v>
      </c>
    </row>
    <row r="88" spans="1:40" ht="18" customHeight="1" thickBot="1" x14ac:dyDescent="0.25">
      <c r="A88" s="242"/>
      <c r="B88" s="243" t="s">
        <v>182</v>
      </c>
      <c r="C88" s="399">
        <v>1</v>
      </c>
      <c r="D88" s="399">
        <v>2</v>
      </c>
      <c r="E88" s="399">
        <v>3</v>
      </c>
      <c r="F88" s="399">
        <v>4</v>
      </c>
      <c r="G88" s="399">
        <v>5</v>
      </c>
      <c r="H88" s="400">
        <v>6</v>
      </c>
      <c r="I88" s="400">
        <v>7</v>
      </c>
      <c r="J88" s="399">
        <v>8</v>
      </c>
      <c r="K88" s="399">
        <v>9</v>
      </c>
      <c r="L88" s="399">
        <v>10</v>
      </c>
      <c r="M88" s="399">
        <v>11</v>
      </c>
      <c r="N88" s="399">
        <v>12</v>
      </c>
      <c r="O88" s="400">
        <v>13</v>
      </c>
      <c r="P88" s="400">
        <v>14</v>
      </c>
      <c r="Q88" s="399">
        <v>15</v>
      </c>
      <c r="R88" s="399">
        <v>16</v>
      </c>
      <c r="S88" s="399">
        <v>17</v>
      </c>
      <c r="T88" s="399">
        <v>18</v>
      </c>
      <c r="U88" s="399">
        <v>19</v>
      </c>
      <c r="V88" s="400">
        <v>20</v>
      </c>
      <c r="W88" s="400">
        <v>21</v>
      </c>
      <c r="X88" s="399">
        <v>22</v>
      </c>
      <c r="Y88" s="399">
        <v>23</v>
      </c>
      <c r="Z88" s="399">
        <v>24</v>
      </c>
      <c r="AA88" s="399">
        <v>25</v>
      </c>
      <c r="AB88" s="399">
        <v>26</v>
      </c>
      <c r="AC88" s="400">
        <v>27</v>
      </c>
      <c r="AD88" s="400">
        <v>28</v>
      </c>
      <c r="AE88" s="399">
        <v>29</v>
      </c>
      <c r="AF88" s="399">
        <v>30</v>
      </c>
      <c r="AG88" s="399">
        <v>31</v>
      </c>
      <c r="AH88" s="1"/>
      <c r="AJ88" s="638"/>
      <c r="AK88" s="638"/>
      <c r="AL88" s="638"/>
      <c r="AM88" s="639"/>
      <c r="AN88" s="639"/>
    </row>
    <row r="89" spans="1:40" ht="18" customHeight="1" x14ac:dyDescent="0.2">
      <c r="A89" s="1628"/>
      <c r="B89" s="1145" t="s">
        <v>183</v>
      </c>
      <c r="C89" s="1629">
        <v>23</v>
      </c>
      <c r="D89" s="1629">
        <v>23</v>
      </c>
      <c r="E89" s="1629">
        <v>23</v>
      </c>
      <c r="F89" s="1629">
        <v>23</v>
      </c>
      <c r="G89" s="1629">
        <v>23</v>
      </c>
      <c r="H89" s="1629">
        <v>23</v>
      </c>
      <c r="I89" s="1629">
        <v>23</v>
      </c>
      <c r="J89" s="1629" t="s">
        <v>50</v>
      </c>
      <c r="K89" s="1629" t="s">
        <v>50</v>
      </c>
      <c r="L89" s="1629" t="s">
        <v>50</v>
      </c>
      <c r="M89" s="1629" t="s">
        <v>50</v>
      </c>
      <c r="N89" s="1629" t="s">
        <v>50</v>
      </c>
      <c r="O89" s="1630"/>
      <c r="P89" s="1630"/>
      <c r="Q89" s="1631" t="s">
        <v>160</v>
      </c>
      <c r="R89" s="1631" t="s">
        <v>160</v>
      </c>
      <c r="S89" s="1631" t="s">
        <v>160</v>
      </c>
      <c r="T89" s="1631" t="s">
        <v>160</v>
      </c>
      <c r="U89" s="1631" t="s">
        <v>160</v>
      </c>
      <c r="V89" s="1631" t="s">
        <v>0</v>
      </c>
      <c r="W89" s="1631" t="s">
        <v>0</v>
      </c>
      <c r="X89" s="1630" t="s">
        <v>142</v>
      </c>
      <c r="Y89" s="1630" t="s">
        <v>142</v>
      </c>
      <c r="Z89" s="1630" t="s">
        <v>142</v>
      </c>
      <c r="AA89" s="1630" t="s">
        <v>142</v>
      </c>
      <c r="AB89" s="1630" t="s">
        <v>142</v>
      </c>
      <c r="AC89" s="1632" t="s">
        <v>143</v>
      </c>
      <c r="AD89" s="1630" t="s">
        <v>143</v>
      </c>
      <c r="AE89" s="1630" t="s">
        <v>50</v>
      </c>
      <c r="AF89" s="1630" t="s">
        <v>50</v>
      </c>
      <c r="AG89" s="1357" t="s">
        <v>50</v>
      </c>
      <c r="AH89" s="1"/>
      <c r="AJ89" s="638">
        <v>165.5</v>
      </c>
      <c r="AK89" s="638">
        <v>11</v>
      </c>
      <c r="AL89" s="638">
        <f t="shared" si="1"/>
        <v>176.5</v>
      </c>
      <c r="AM89" s="639">
        <f t="shared" si="0"/>
        <v>16.169999999999987</v>
      </c>
      <c r="AN89" s="639">
        <f>IF(AM89="","",AM89+'Juni 2024'!AN89)</f>
        <v>40.349999999999966</v>
      </c>
    </row>
    <row r="90" spans="1:40" ht="18" customHeight="1" x14ac:dyDescent="0.2">
      <c r="A90" s="768"/>
      <c r="B90" s="1145" t="s">
        <v>184</v>
      </c>
      <c r="C90" s="1633">
        <v>21</v>
      </c>
      <c r="D90" s="1633">
        <v>21</v>
      </c>
      <c r="E90" s="1633">
        <v>21</v>
      </c>
      <c r="F90" s="1633">
        <v>21</v>
      </c>
      <c r="G90" s="1633">
        <v>21</v>
      </c>
      <c r="H90" s="1633">
        <v>21</v>
      </c>
      <c r="I90" s="1633">
        <v>21</v>
      </c>
      <c r="J90" s="1633" t="s">
        <v>50</v>
      </c>
      <c r="K90" s="1634" t="s">
        <v>50</v>
      </c>
      <c r="L90" s="1634" t="s">
        <v>50</v>
      </c>
      <c r="M90" s="1633" t="s">
        <v>50</v>
      </c>
      <c r="N90" s="1633" t="s">
        <v>50</v>
      </c>
      <c r="O90" s="636"/>
      <c r="P90" s="636"/>
      <c r="Q90" s="1633">
        <v>23</v>
      </c>
      <c r="R90" s="1633">
        <v>23</v>
      </c>
      <c r="S90" s="1633">
        <v>23</v>
      </c>
      <c r="T90" s="1633">
        <v>23</v>
      </c>
      <c r="U90" s="1633">
        <v>23</v>
      </c>
      <c r="V90" s="1633">
        <v>23</v>
      </c>
      <c r="W90" s="1633">
        <v>23</v>
      </c>
      <c r="X90" s="636" t="s">
        <v>50</v>
      </c>
      <c r="Y90" s="636" t="s">
        <v>50</v>
      </c>
      <c r="Z90" s="636" t="s">
        <v>50</v>
      </c>
      <c r="AA90" s="636" t="s">
        <v>50</v>
      </c>
      <c r="AB90" s="636" t="s">
        <v>50</v>
      </c>
      <c r="AC90" s="636"/>
      <c r="AD90" s="636"/>
      <c r="AE90" s="636">
        <v>21</v>
      </c>
      <c r="AF90" s="636">
        <v>21</v>
      </c>
      <c r="AG90" s="801" t="s">
        <v>110</v>
      </c>
      <c r="AH90" s="1"/>
      <c r="AJ90" s="638">
        <v>166</v>
      </c>
      <c r="AK90" s="638"/>
      <c r="AL90" s="638">
        <f t="shared" si="1"/>
        <v>166</v>
      </c>
      <c r="AM90" s="639">
        <f t="shared" si="0"/>
        <v>5.6699999999999875</v>
      </c>
      <c r="AN90" s="639">
        <f>IF(AM90="","",AM90+'Juni 2024'!AN90)</f>
        <v>-16.820000000000036</v>
      </c>
    </row>
    <row r="91" spans="1:40" ht="18" customHeight="1" thickBot="1" x14ac:dyDescent="0.25">
      <c r="A91" s="768"/>
      <c r="B91" s="749" t="s">
        <v>190</v>
      </c>
      <c r="C91" s="968" t="s">
        <v>46</v>
      </c>
      <c r="D91" s="968" t="s">
        <v>46</v>
      </c>
      <c r="E91" s="968" t="s">
        <v>46</v>
      </c>
      <c r="F91" s="968" t="s">
        <v>46</v>
      </c>
      <c r="G91" s="968" t="s">
        <v>46</v>
      </c>
      <c r="H91" s="968"/>
      <c r="I91" s="968"/>
      <c r="J91" s="636">
        <v>6</v>
      </c>
      <c r="K91" s="636">
        <v>6</v>
      </c>
      <c r="L91" s="636">
        <v>6</v>
      </c>
      <c r="M91" s="636">
        <v>6</v>
      </c>
      <c r="N91" s="636">
        <v>6</v>
      </c>
      <c r="O91" s="636"/>
      <c r="P91" s="636"/>
      <c r="Q91" s="636" t="s">
        <v>50</v>
      </c>
      <c r="R91" s="636" t="s">
        <v>50</v>
      </c>
      <c r="S91" s="636" t="s">
        <v>50</v>
      </c>
      <c r="T91" s="803" t="s">
        <v>162</v>
      </c>
      <c r="U91" s="1363" t="s">
        <v>149</v>
      </c>
      <c r="V91" s="1363" t="s">
        <v>150</v>
      </c>
      <c r="W91" s="1363" t="s">
        <v>71</v>
      </c>
      <c r="X91" s="636" t="s">
        <v>50</v>
      </c>
      <c r="Y91" s="636" t="s">
        <v>50</v>
      </c>
      <c r="Z91" s="636" t="s">
        <v>50</v>
      </c>
      <c r="AA91" s="276" t="s">
        <v>50</v>
      </c>
      <c r="AB91" s="1223" t="s">
        <v>145</v>
      </c>
      <c r="AC91" s="1223" t="s">
        <v>147</v>
      </c>
      <c r="AD91" s="1174" t="s">
        <v>148</v>
      </c>
      <c r="AE91" s="636" t="s">
        <v>50</v>
      </c>
      <c r="AF91" s="636" t="s">
        <v>50</v>
      </c>
      <c r="AG91" s="819" t="s">
        <v>50</v>
      </c>
      <c r="AH91" s="1"/>
      <c r="AJ91" s="638">
        <v>143</v>
      </c>
      <c r="AK91" s="638"/>
      <c r="AL91" s="638">
        <f t="shared" si="1"/>
        <v>143</v>
      </c>
      <c r="AM91" s="639">
        <f t="shared" si="0"/>
        <v>-17.330000000000013</v>
      </c>
      <c r="AN91" s="639">
        <f>IF(AM91="","",AM91+'Juni 2024'!AN92)</f>
        <v>-57.900000000000034</v>
      </c>
    </row>
    <row r="92" spans="1:40" ht="18" customHeight="1" x14ac:dyDescent="0.2">
      <c r="A92" s="768"/>
      <c r="B92" s="275" t="s">
        <v>409</v>
      </c>
      <c r="C92" s="636" t="s">
        <v>50</v>
      </c>
      <c r="D92" s="636" t="s">
        <v>50</v>
      </c>
      <c r="E92" s="636" t="s">
        <v>50</v>
      </c>
      <c r="F92" s="813" t="s">
        <v>50</v>
      </c>
      <c r="G92" s="636" t="s">
        <v>139</v>
      </c>
      <c r="H92" s="636" t="s">
        <v>140</v>
      </c>
      <c r="I92" s="636" t="s">
        <v>141</v>
      </c>
      <c r="J92" s="818" t="s">
        <v>50</v>
      </c>
      <c r="K92" s="818" t="s">
        <v>50</v>
      </c>
      <c r="L92" s="276" t="s">
        <v>168</v>
      </c>
      <c r="M92" s="818" t="s">
        <v>168</v>
      </c>
      <c r="N92" s="818" t="s">
        <v>168</v>
      </c>
      <c r="O92" s="818"/>
      <c r="P92" s="818"/>
      <c r="Q92" s="1185">
        <v>22</v>
      </c>
      <c r="R92" s="1185">
        <v>22</v>
      </c>
      <c r="S92" s="1185">
        <v>22</v>
      </c>
      <c r="T92" s="1185">
        <v>22</v>
      </c>
      <c r="U92" s="1185">
        <v>22</v>
      </c>
      <c r="V92" s="818">
        <v>22</v>
      </c>
      <c r="W92" s="818">
        <v>22</v>
      </c>
      <c r="X92" s="818" t="s">
        <v>50</v>
      </c>
      <c r="Y92" s="818" t="s">
        <v>50</v>
      </c>
      <c r="Z92" s="818" t="s">
        <v>50</v>
      </c>
      <c r="AA92" s="818" t="s">
        <v>50</v>
      </c>
      <c r="AB92" s="856" t="s">
        <v>139</v>
      </c>
      <c r="AC92" s="856" t="s">
        <v>140</v>
      </c>
      <c r="AD92" s="856" t="s">
        <v>141</v>
      </c>
      <c r="AE92" s="818" t="s">
        <v>50</v>
      </c>
      <c r="AF92" s="818" t="s">
        <v>50</v>
      </c>
      <c r="AG92" s="1635" t="s">
        <v>160</v>
      </c>
      <c r="AH92" s="1"/>
      <c r="AJ92" s="638">
        <f>$AJ$12</f>
        <v>160.33000000000001</v>
      </c>
      <c r="AK92" s="638">
        <v>10.5</v>
      </c>
      <c r="AL92" s="638">
        <f>IF(AJ92="","",SUM(AJ92:AK92))</f>
        <v>170.83</v>
      </c>
      <c r="AM92" s="639">
        <f>IF(AJ92="","",AL92-_xlfn.SINGLE(NormTid))</f>
        <v>10.5</v>
      </c>
      <c r="AN92" s="639">
        <f>IF(AM92="","",AM92+'Juni 2024'!AN93)</f>
        <v>10.5</v>
      </c>
    </row>
    <row r="93" spans="1:40" ht="18" customHeight="1" thickBot="1" x14ac:dyDescent="0.25">
      <c r="A93" s="768"/>
      <c r="B93" s="749" t="s">
        <v>0</v>
      </c>
      <c r="C93" s="636"/>
      <c r="D93" s="636"/>
      <c r="E93" s="636"/>
      <c r="F93" s="813"/>
      <c r="G93" s="813"/>
      <c r="H93" s="818"/>
      <c r="I93" s="818"/>
      <c r="J93" s="818"/>
      <c r="K93" s="818"/>
      <c r="L93" s="818"/>
      <c r="M93" s="636"/>
      <c r="N93" s="818"/>
      <c r="O93" s="818"/>
      <c r="P93" s="818"/>
      <c r="Q93" s="818"/>
      <c r="R93" s="818"/>
      <c r="S93" s="818"/>
      <c r="T93" s="818"/>
      <c r="U93" s="818"/>
      <c r="V93" s="818"/>
      <c r="W93" s="818"/>
      <c r="X93" s="818"/>
      <c r="Y93" s="818"/>
      <c r="Z93" s="818"/>
      <c r="AA93" s="818"/>
      <c r="AB93" s="818"/>
      <c r="AC93" s="818"/>
      <c r="AD93" s="818"/>
      <c r="AE93" s="818"/>
      <c r="AF93" s="818"/>
      <c r="AG93" s="819"/>
      <c r="AH93" s="1"/>
      <c r="AJ93" s="638">
        <f t="shared" si="4"/>
        <v>160.33000000000001</v>
      </c>
      <c r="AK93" s="638"/>
      <c r="AL93" s="638">
        <f t="shared" si="1"/>
        <v>160.33000000000001</v>
      </c>
      <c r="AM93" s="639">
        <f t="shared" si="0"/>
        <v>0</v>
      </c>
      <c r="AN93" s="639">
        <f>IF(AM93="","",AM93+'Juni 2024'!AN95)</f>
        <v>0</v>
      </c>
    </row>
    <row r="94" spans="1:40" ht="18" customHeight="1" thickBot="1" x14ac:dyDescent="0.25">
      <c r="A94" s="42"/>
      <c r="B94" s="1636" t="s">
        <v>191</v>
      </c>
      <c r="C94" s="636">
        <v>1</v>
      </c>
      <c r="D94" s="636">
        <v>2</v>
      </c>
      <c r="E94" s="636">
        <v>3</v>
      </c>
      <c r="F94" s="636">
        <v>4</v>
      </c>
      <c r="G94" s="636">
        <v>5</v>
      </c>
      <c r="H94" s="1637">
        <v>6</v>
      </c>
      <c r="I94" s="1637">
        <v>7</v>
      </c>
      <c r="J94" s="636">
        <v>8</v>
      </c>
      <c r="K94" s="636">
        <v>9</v>
      </c>
      <c r="L94" s="636">
        <v>10</v>
      </c>
      <c r="M94" s="636">
        <v>11</v>
      </c>
      <c r="N94" s="636">
        <v>12</v>
      </c>
      <c r="O94" s="1637">
        <v>13</v>
      </c>
      <c r="P94" s="1637">
        <v>14</v>
      </c>
      <c r="Q94" s="636">
        <v>15</v>
      </c>
      <c r="R94" s="636">
        <v>16</v>
      </c>
      <c r="S94" s="636">
        <v>17</v>
      </c>
      <c r="T94" s="636">
        <v>18</v>
      </c>
      <c r="U94" s="636">
        <v>19</v>
      </c>
      <c r="V94" s="1637">
        <v>20</v>
      </c>
      <c r="W94" s="1637">
        <v>21</v>
      </c>
      <c r="X94" s="636">
        <v>22</v>
      </c>
      <c r="Y94" s="636">
        <v>23</v>
      </c>
      <c r="Z94" s="636">
        <v>24</v>
      </c>
      <c r="AA94" s="636">
        <v>25</v>
      </c>
      <c r="AB94" s="636">
        <v>26</v>
      </c>
      <c r="AC94" s="1637">
        <v>27</v>
      </c>
      <c r="AD94" s="1637">
        <v>28</v>
      </c>
      <c r="AE94" s="636">
        <v>29</v>
      </c>
      <c r="AF94" s="636">
        <v>30</v>
      </c>
      <c r="AG94" s="819">
        <v>31</v>
      </c>
      <c r="AH94" s="1"/>
      <c r="AJ94" s="1638"/>
      <c r="AK94" s="1638"/>
      <c r="AL94" s="1638"/>
      <c r="AM94" s="1639"/>
      <c r="AN94" s="1639"/>
    </row>
    <row r="95" spans="1:40" ht="18" customHeight="1" thickBot="1" x14ac:dyDescent="0.25">
      <c r="A95" s="1640"/>
      <c r="B95" s="1641" t="s">
        <v>192</v>
      </c>
      <c r="C95" s="1363">
        <v>11</v>
      </c>
      <c r="D95" s="1363">
        <v>11</v>
      </c>
      <c r="E95" s="853" t="s">
        <v>420</v>
      </c>
      <c r="F95" s="853" t="s">
        <v>420</v>
      </c>
      <c r="G95" s="853">
        <v>11</v>
      </c>
      <c r="H95" s="854" t="s">
        <v>109</v>
      </c>
      <c r="I95" s="853" t="s">
        <v>109</v>
      </c>
      <c r="J95" s="963" t="s">
        <v>50</v>
      </c>
      <c r="K95" s="963" t="s">
        <v>50</v>
      </c>
      <c r="L95" s="963" t="s">
        <v>50</v>
      </c>
      <c r="M95" s="963" t="s">
        <v>50</v>
      </c>
      <c r="N95" s="963" t="s">
        <v>50</v>
      </c>
      <c r="O95" s="1363"/>
      <c r="P95" s="1363"/>
      <c r="Q95" s="833" t="s">
        <v>50</v>
      </c>
      <c r="R95" s="833" t="s">
        <v>50</v>
      </c>
      <c r="S95" s="833" t="s">
        <v>46</v>
      </c>
      <c r="T95" s="833" t="s">
        <v>46</v>
      </c>
      <c r="U95" s="833" t="s">
        <v>46</v>
      </c>
      <c r="V95" s="853" t="s">
        <v>107</v>
      </c>
      <c r="W95" s="853" t="s">
        <v>107</v>
      </c>
      <c r="X95" s="963" t="s">
        <v>50</v>
      </c>
      <c r="Y95" s="963" t="s">
        <v>50</v>
      </c>
      <c r="Z95" s="963" t="s">
        <v>50</v>
      </c>
      <c r="AA95" s="963">
        <v>6</v>
      </c>
      <c r="AB95" s="963">
        <v>6</v>
      </c>
      <c r="AC95" s="1363"/>
      <c r="AD95" s="1363"/>
      <c r="AE95" s="1363">
        <v>89</v>
      </c>
      <c r="AF95" s="1363">
        <v>89</v>
      </c>
      <c r="AG95" s="1384" t="s">
        <v>80</v>
      </c>
      <c r="AH95" s="1"/>
      <c r="AJ95" s="123"/>
      <c r="AK95" s="123"/>
      <c r="AL95" s="123"/>
      <c r="AM95" s="215"/>
      <c r="AN95" s="215"/>
    </row>
    <row r="96" spans="1:40" ht="18" customHeight="1" thickBot="1" x14ac:dyDescent="0.25">
      <c r="A96" s="1371"/>
      <c r="B96" s="1178" t="s">
        <v>193</v>
      </c>
      <c r="C96" s="1642" t="s">
        <v>46</v>
      </c>
      <c r="D96" s="1642" t="s">
        <v>46</v>
      </c>
      <c r="E96" s="1642" t="s">
        <v>46</v>
      </c>
      <c r="F96" s="1642" t="s">
        <v>46</v>
      </c>
      <c r="G96" s="1642" t="s">
        <v>46</v>
      </c>
      <c r="H96" s="1642"/>
      <c r="I96" s="1642"/>
      <c r="J96" s="1642" t="s">
        <v>46</v>
      </c>
      <c r="K96" s="1642" t="s">
        <v>46</v>
      </c>
      <c r="L96" s="1642" t="s">
        <v>46</v>
      </c>
      <c r="M96" s="1642" t="s">
        <v>46</v>
      </c>
      <c r="N96" s="1642" t="s">
        <v>46</v>
      </c>
      <c r="O96" s="1642"/>
      <c r="P96" s="1642"/>
      <c r="Q96" s="1642" t="s">
        <v>46</v>
      </c>
      <c r="R96" s="1642" t="s">
        <v>46</v>
      </c>
      <c r="S96" s="1642" t="s">
        <v>46</v>
      </c>
      <c r="T96" s="1642" t="s">
        <v>46</v>
      </c>
      <c r="U96" s="1642" t="s">
        <v>46</v>
      </c>
      <c r="V96" s="1642"/>
      <c r="W96" s="1642"/>
      <c r="X96" s="391" t="s">
        <v>46</v>
      </c>
      <c r="Y96" s="391" t="s">
        <v>46</v>
      </c>
      <c r="Z96" s="391" t="s">
        <v>46</v>
      </c>
      <c r="AA96" s="391" t="s">
        <v>46</v>
      </c>
      <c r="AB96" s="391" t="s">
        <v>46</v>
      </c>
      <c r="AC96" s="1643"/>
      <c r="AD96" s="1643"/>
      <c r="AE96" s="391">
        <v>69</v>
      </c>
      <c r="AF96" s="391">
        <v>69</v>
      </c>
      <c r="AG96" s="1384" t="s">
        <v>421</v>
      </c>
      <c r="AH96" s="1"/>
      <c r="AJ96" s="123"/>
      <c r="AK96" s="123"/>
      <c r="AL96" s="123"/>
      <c r="AM96" s="123"/>
      <c r="AN96" s="123"/>
    </row>
    <row r="97" spans="1:40" ht="18" customHeight="1" x14ac:dyDescent="0.2">
      <c r="A97" s="1371"/>
      <c r="B97" s="1373" t="s">
        <v>194</v>
      </c>
      <c r="C97" s="1631" t="s">
        <v>46</v>
      </c>
      <c r="D97" s="1631" t="s">
        <v>46</v>
      </c>
      <c r="E97" s="1631" t="s">
        <v>46</v>
      </c>
      <c r="F97" s="1644" t="s">
        <v>142</v>
      </c>
      <c r="G97" s="1645" t="s">
        <v>142</v>
      </c>
      <c r="H97" s="1646"/>
      <c r="I97" s="1646"/>
      <c r="J97" s="1646" t="s">
        <v>422</v>
      </c>
      <c r="K97" s="1647" t="s">
        <v>142</v>
      </c>
      <c r="L97" s="1648" t="s">
        <v>142</v>
      </c>
      <c r="M97" s="1630" t="s">
        <v>142</v>
      </c>
      <c r="N97" s="1648" t="s">
        <v>142</v>
      </c>
      <c r="O97" s="1630" t="s">
        <v>143</v>
      </c>
      <c r="P97" s="1630" t="s">
        <v>143</v>
      </c>
      <c r="Q97" s="1631" t="s">
        <v>50</v>
      </c>
      <c r="R97" s="1631" t="s">
        <v>50</v>
      </c>
      <c r="S97" s="1631" t="s">
        <v>50</v>
      </c>
      <c r="T97" s="1631" t="s">
        <v>50</v>
      </c>
      <c r="U97" s="1631" t="s">
        <v>50</v>
      </c>
      <c r="V97" s="1630"/>
      <c r="W97" s="1630"/>
      <c r="X97" s="1383" t="s">
        <v>46</v>
      </c>
      <c r="Y97" s="1383" t="s">
        <v>46</v>
      </c>
      <c r="Z97" s="1383" t="s">
        <v>46</v>
      </c>
      <c r="AA97" s="1383" t="s">
        <v>46</v>
      </c>
      <c r="AB97" s="1383" t="s">
        <v>46</v>
      </c>
      <c r="AC97" s="1383"/>
      <c r="AD97" s="1383"/>
      <c r="AE97" s="1383" t="s">
        <v>46</v>
      </c>
      <c r="AF97" s="1383" t="s">
        <v>46</v>
      </c>
      <c r="AG97" s="1649" t="s">
        <v>46</v>
      </c>
      <c r="AH97" s="1"/>
      <c r="AJ97" s="123"/>
      <c r="AK97" s="123"/>
      <c r="AL97" s="123"/>
      <c r="AM97" s="123"/>
      <c r="AN97" s="123"/>
    </row>
    <row r="98" spans="1:40" ht="18" customHeight="1" thickBot="1" x14ac:dyDescent="0.25">
      <c r="A98" s="1311"/>
      <c r="B98" s="1374"/>
      <c r="C98" s="799" t="s">
        <v>46</v>
      </c>
      <c r="D98" s="799" t="s">
        <v>46</v>
      </c>
      <c r="E98" s="799" t="s">
        <v>46</v>
      </c>
      <c r="F98" s="799" t="s">
        <v>46</v>
      </c>
      <c r="G98" s="799" t="s">
        <v>46</v>
      </c>
      <c r="H98" s="636"/>
      <c r="I98" s="636"/>
      <c r="J98" s="799" t="s">
        <v>46</v>
      </c>
      <c r="K98" s="799" t="s">
        <v>46</v>
      </c>
      <c r="L98" s="799" t="s">
        <v>46</v>
      </c>
      <c r="M98" s="799" t="s">
        <v>46</v>
      </c>
      <c r="N98" s="799" t="s">
        <v>46</v>
      </c>
      <c r="O98" s="636"/>
      <c r="P98" s="636"/>
      <c r="Q98" s="799" t="s">
        <v>46</v>
      </c>
      <c r="R98" s="799" t="s">
        <v>46</v>
      </c>
      <c r="S98" s="799" t="s">
        <v>46</v>
      </c>
      <c r="T98" s="799" t="s">
        <v>46</v>
      </c>
      <c r="U98" s="799" t="s">
        <v>46</v>
      </c>
      <c r="V98" s="636"/>
      <c r="W98" s="636"/>
      <c r="X98" s="799" t="s">
        <v>46</v>
      </c>
      <c r="Y98" s="799" t="s">
        <v>46</v>
      </c>
      <c r="Z98" s="799" t="s">
        <v>46</v>
      </c>
      <c r="AA98" s="799" t="s">
        <v>46</v>
      </c>
      <c r="AB98" s="799" t="s">
        <v>46</v>
      </c>
      <c r="AC98" s="636"/>
      <c r="AD98" s="636"/>
      <c r="AE98" s="799" t="s">
        <v>46</v>
      </c>
      <c r="AF98" s="799" t="s">
        <v>46</v>
      </c>
      <c r="AG98" s="801" t="s">
        <v>46</v>
      </c>
      <c r="AH98" s="1"/>
      <c r="AK98" s="123"/>
      <c r="AL98" s="123"/>
      <c r="AM98" s="123"/>
      <c r="AN98" s="123"/>
    </row>
    <row r="99" spans="1:40" ht="18" customHeight="1" x14ac:dyDescent="0.2">
      <c r="A99" s="841"/>
      <c r="B99" s="1650" t="s">
        <v>44</v>
      </c>
      <c r="C99" s="636">
        <v>1</v>
      </c>
      <c r="D99" s="636">
        <v>2</v>
      </c>
      <c r="E99" s="636">
        <v>3</v>
      </c>
      <c r="F99" s="636">
        <v>4</v>
      </c>
      <c r="G99" s="636">
        <v>5</v>
      </c>
      <c r="H99" s="1637">
        <v>6</v>
      </c>
      <c r="I99" s="1637">
        <v>7</v>
      </c>
      <c r="J99" s="636">
        <v>8</v>
      </c>
      <c r="K99" s="636">
        <v>9</v>
      </c>
      <c r="L99" s="636">
        <v>10</v>
      </c>
      <c r="M99" s="636">
        <v>11</v>
      </c>
      <c r="N99" s="636">
        <v>12</v>
      </c>
      <c r="O99" s="1637">
        <v>13</v>
      </c>
      <c r="P99" s="1637">
        <v>14</v>
      </c>
      <c r="Q99" s="636">
        <v>15</v>
      </c>
      <c r="R99" s="636">
        <v>16</v>
      </c>
      <c r="S99" s="636">
        <v>17</v>
      </c>
      <c r="T99" s="636">
        <v>18</v>
      </c>
      <c r="U99" s="636">
        <v>19</v>
      </c>
      <c r="V99" s="1637">
        <v>20</v>
      </c>
      <c r="W99" s="1637">
        <v>21</v>
      </c>
      <c r="X99" s="636">
        <v>22</v>
      </c>
      <c r="Y99" s="636">
        <v>23</v>
      </c>
      <c r="Z99" s="636">
        <v>24</v>
      </c>
      <c r="AA99" s="636">
        <v>25</v>
      </c>
      <c r="AB99" s="636">
        <v>26</v>
      </c>
      <c r="AC99" s="1637">
        <v>27</v>
      </c>
      <c r="AD99" s="1637">
        <v>28</v>
      </c>
      <c r="AE99" s="636">
        <v>29</v>
      </c>
      <c r="AF99" s="636">
        <v>30</v>
      </c>
      <c r="AG99" s="819">
        <v>31</v>
      </c>
      <c r="AH99" s="1"/>
    </row>
    <row r="100" spans="1:40" ht="18" customHeight="1" thickBot="1" x14ac:dyDescent="0.25">
      <c r="A100" s="1371"/>
      <c r="B100" s="1373" t="s">
        <v>195</v>
      </c>
      <c r="C100" s="1363"/>
      <c r="D100" s="1651"/>
      <c r="E100" s="1363"/>
      <c r="F100" s="1363"/>
      <c r="G100" s="1363"/>
      <c r="H100" s="1363"/>
      <c r="I100" s="1363"/>
      <c r="J100" s="1363"/>
      <c r="K100" s="1363"/>
      <c r="L100" s="1363"/>
      <c r="M100" s="1363"/>
      <c r="N100" s="1363"/>
      <c r="O100" s="1363"/>
      <c r="P100" s="1363"/>
      <c r="Q100" s="1363"/>
      <c r="R100" s="1363"/>
      <c r="S100" s="1363"/>
      <c r="T100" s="1363"/>
      <c r="U100" s="1363"/>
      <c r="V100" s="1363"/>
      <c r="W100" s="1363"/>
      <c r="X100" s="1363"/>
      <c r="Y100" s="1363"/>
      <c r="Z100" s="1363"/>
      <c r="AA100" s="1363"/>
      <c r="AB100" s="1363"/>
      <c r="AC100" s="1363"/>
      <c r="AD100" s="1363"/>
      <c r="AE100" s="1363"/>
      <c r="AF100" s="1363"/>
      <c r="AG100" s="1652"/>
      <c r="AH100" s="1"/>
    </row>
    <row r="101" spans="1:40" ht="18" customHeight="1" x14ac:dyDescent="0.2">
      <c r="A101" s="1371"/>
      <c r="B101" s="1178"/>
      <c r="C101" s="1653"/>
      <c r="D101" s="1653"/>
      <c r="E101" s="1653"/>
      <c r="F101" s="1625"/>
      <c r="G101" s="1625"/>
      <c r="H101" s="1653"/>
      <c r="I101" s="1653"/>
      <c r="J101" s="1653"/>
      <c r="K101" s="1653"/>
      <c r="L101" s="1653"/>
      <c r="M101" s="1653"/>
      <c r="N101" s="1653"/>
      <c r="O101" s="1653"/>
      <c r="P101" s="1653"/>
      <c r="Q101" s="1653"/>
      <c r="R101" s="1653"/>
      <c r="S101" s="1653"/>
      <c r="T101" s="711"/>
      <c r="U101" s="1653"/>
      <c r="V101" s="1653"/>
      <c r="W101" s="1653"/>
      <c r="X101" s="1653"/>
      <c r="Y101" s="1653"/>
      <c r="Z101" s="1653"/>
      <c r="AA101" s="1653"/>
      <c r="AB101" s="1653"/>
      <c r="AC101" s="1653"/>
      <c r="AD101" s="1653"/>
      <c r="AE101" s="1653"/>
      <c r="AF101" s="1653"/>
      <c r="AG101" s="1654"/>
      <c r="AH101" s="1"/>
    </row>
    <row r="102" spans="1:40" ht="18" customHeight="1" x14ac:dyDescent="0.2">
      <c r="A102" s="1371"/>
      <c r="B102" s="1178"/>
      <c r="C102" s="1174"/>
      <c r="D102" s="1174"/>
      <c r="E102" s="1174"/>
      <c r="F102" s="1174"/>
      <c r="G102" s="1174"/>
      <c r="H102" s="1174"/>
      <c r="I102" s="1174"/>
      <c r="J102" s="1174"/>
      <c r="K102" s="1174"/>
      <c r="L102" s="1174"/>
      <c r="M102" s="1174"/>
      <c r="N102" s="1174"/>
      <c r="O102" s="1174"/>
      <c r="P102" s="1174"/>
      <c r="Q102" s="1174"/>
      <c r="R102" s="1174"/>
      <c r="S102" s="1174"/>
      <c r="T102" s="1174"/>
      <c r="U102" s="1174"/>
      <c r="V102" s="1174"/>
      <c r="W102" s="1174"/>
      <c r="X102" s="1174"/>
      <c r="Y102" s="1174"/>
      <c r="Z102" s="1174"/>
      <c r="AA102" s="1174"/>
      <c r="AB102" s="1174"/>
      <c r="AC102" s="1174"/>
      <c r="AD102" s="1174"/>
      <c r="AE102" s="1174"/>
      <c r="AF102" s="1174"/>
      <c r="AG102" s="1177"/>
      <c r="AH102" s="1"/>
    </row>
    <row r="103" spans="1:40" ht="18" customHeight="1" x14ac:dyDescent="0.2">
      <c r="A103" s="126"/>
      <c r="B103" s="1192"/>
      <c r="C103" s="1381"/>
      <c r="D103" s="1381"/>
      <c r="E103" s="1381"/>
      <c r="F103" s="1381"/>
      <c r="G103" s="1381"/>
      <c r="H103" s="1381"/>
      <c r="I103" s="1381"/>
      <c r="J103" s="1381"/>
      <c r="K103" s="1381"/>
      <c r="L103" s="1381"/>
      <c r="M103" s="1381"/>
      <c r="N103" s="1381"/>
      <c r="O103" s="1381"/>
      <c r="P103" s="1381"/>
      <c r="Q103" s="1381"/>
      <c r="R103" s="1381"/>
      <c r="S103" s="1381"/>
      <c r="T103" s="1381"/>
      <c r="U103" s="1381"/>
      <c r="V103" s="1381"/>
      <c r="W103" s="1381"/>
      <c r="X103" s="1381"/>
      <c r="Y103" s="1381"/>
      <c r="Z103" s="1381"/>
      <c r="AA103" s="1381"/>
      <c r="AB103" s="1381"/>
      <c r="AC103" s="1381"/>
      <c r="AD103" s="1381"/>
      <c r="AE103" s="1381"/>
      <c r="AF103" s="1381"/>
      <c r="AG103" s="1222"/>
      <c r="AH103" s="1"/>
    </row>
    <row r="104" spans="1:40" ht="18" customHeight="1" x14ac:dyDescent="0.2">
      <c r="A104" s="126"/>
      <c r="B104" s="127"/>
      <c r="C104" s="142"/>
      <c r="D104" s="142"/>
      <c r="E104" s="142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28"/>
      <c r="AH104" s="1"/>
    </row>
    <row r="105" spans="1:40" ht="18" customHeight="1" x14ac:dyDescent="0.2">
      <c r="A105" s="216" t="s">
        <v>197</v>
      </c>
      <c r="B105" s="127"/>
      <c r="C105" s="142"/>
      <c r="D105" s="142"/>
      <c r="E105" s="142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237"/>
      <c r="S105" s="237"/>
      <c r="T105" s="237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28"/>
      <c r="AH105" s="1"/>
    </row>
    <row r="106" spans="1:40" ht="18" customHeight="1" x14ac:dyDescent="0.25">
      <c r="A106" s="126"/>
      <c r="B106" s="217"/>
      <c r="C106" s="218"/>
      <c r="D106" s="218"/>
      <c r="E106" s="221" t="s">
        <v>198</v>
      </c>
      <c r="F106" s="218"/>
      <c r="G106" s="218"/>
      <c r="H106" s="218"/>
      <c r="I106" s="218"/>
      <c r="J106" s="218"/>
      <c r="K106" s="226" t="s">
        <v>13</v>
      </c>
      <c r="L106" s="222"/>
      <c r="M106" s="222"/>
      <c r="N106" s="222"/>
      <c r="O106" s="222"/>
      <c r="P106" s="222"/>
      <c r="Q106" s="222"/>
      <c r="R106" s="222"/>
      <c r="S106" s="222"/>
      <c r="T106" s="223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"/>
    </row>
    <row r="107" spans="1:40" ht="18" customHeight="1" x14ac:dyDescent="0.25">
      <c r="A107" s="126"/>
      <c r="B107" s="217" t="s">
        <v>199</v>
      </c>
      <c r="C107" s="218"/>
      <c r="D107" s="218"/>
      <c r="E107" s="219" t="s">
        <v>200</v>
      </c>
      <c r="F107" s="218"/>
      <c r="G107" s="218"/>
      <c r="H107" s="218"/>
      <c r="I107" s="218"/>
      <c r="J107" s="218"/>
      <c r="K107" s="218" t="s">
        <v>201</v>
      </c>
      <c r="L107" s="218"/>
      <c r="M107" s="218"/>
      <c r="N107" s="218"/>
      <c r="O107" s="218"/>
      <c r="P107" s="218"/>
      <c r="Q107" s="218"/>
      <c r="R107" s="236" t="s">
        <v>202</v>
      </c>
      <c r="S107" s="236"/>
      <c r="T107" s="236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"/>
    </row>
    <row r="108" spans="1:40" ht="18" customHeight="1" x14ac:dyDescent="0.25">
      <c r="A108" s="126"/>
      <c r="B108" s="217" t="s">
        <v>22</v>
      </c>
      <c r="C108" s="218"/>
      <c r="D108" s="218"/>
      <c r="E108" s="221" t="s">
        <v>203</v>
      </c>
      <c r="F108" s="218"/>
      <c r="G108" s="218"/>
      <c r="H108" s="218"/>
      <c r="I108" s="218"/>
      <c r="J108" s="218"/>
      <c r="K108" s="218" t="s">
        <v>204</v>
      </c>
      <c r="L108" s="218"/>
      <c r="M108" s="218"/>
      <c r="N108" s="218"/>
      <c r="O108" s="218"/>
      <c r="P108" s="218"/>
      <c r="Q108" s="218"/>
      <c r="R108" s="218"/>
      <c r="S108" s="218"/>
      <c r="T108" s="220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"/>
    </row>
    <row r="109" spans="1:40" ht="18" customHeight="1" x14ac:dyDescent="0.25">
      <c r="A109" s="126"/>
      <c r="B109" s="217" t="s">
        <v>205</v>
      </c>
      <c r="C109" s="218"/>
      <c r="D109" s="218"/>
      <c r="E109" s="221" t="s">
        <v>206</v>
      </c>
      <c r="F109" s="218"/>
      <c r="G109" s="218"/>
      <c r="H109" s="218"/>
      <c r="I109" s="218"/>
      <c r="J109" s="218"/>
      <c r="K109" s="218" t="s">
        <v>207</v>
      </c>
      <c r="L109" s="229"/>
      <c r="M109" s="229"/>
      <c r="N109" s="229"/>
      <c r="O109" s="229"/>
      <c r="P109" s="229"/>
      <c r="Q109" s="229"/>
      <c r="R109" s="229"/>
      <c r="S109" s="229"/>
      <c r="T109" s="230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"/>
    </row>
    <row r="110" spans="1:40" ht="18" customHeight="1" x14ac:dyDescent="0.25">
      <c r="A110" s="126"/>
      <c r="B110" s="227"/>
      <c r="C110" s="227"/>
      <c r="D110" s="227"/>
      <c r="E110" s="228"/>
      <c r="F110" s="227"/>
      <c r="G110" s="227"/>
      <c r="H110" s="227"/>
      <c r="I110" s="227"/>
      <c r="J110" s="227"/>
      <c r="K110" s="227"/>
      <c r="L110" s="231"/>
      <c r="M110" s="231"/>
      <c r="N110" s="231"/>
      <c r="O110" s="231"/>
      <c r="P110" s="231"/>
      <c r="Q110" s="231"/>
      <c r="R110" s="231"/>
      <c r="S110" s="231"/>
      <c r="T110" s="231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"/>
    </row>
    <row r="111" spans="1:40" ht="18" customHeight="1" x14ac:dyDescent="0.25">
      <c r="A111" s="126"/>
      <c r="B111" s="1655" t="s">
        <v>44</v>
      </c>
      <c r="C111" s="395">
        <v>1</v>
      </c>
      <c r="D111" s="395">
        <v>2</v>
      </c>
      <c r="E111" s="395">
        <v>3</v>
      </c>
      <c r="F111" s="395">
        <v>4</v>
      </c>
      <c r="G111" s="395">
        <v>5</v>
      </c>
      <c r="H111" s="396">
        <v>6</v>
      </c>
      <c r="I111" s="396">
        <v>7</v>
      </c>
      <c r="J111" s="395">
        <v>8</v>
      </c>
      <c r="K111" s="395">
        <v>9</v>
      </c>
      <c r="L111" s="395">
        <v>10</v>
      </c>
      <c r="M111" s="395">
        <v>11</v>
      </c>
      <c r="N111" s="395">
        <v>12</v>
      </c>
      <c r="O111" s="396">
        <v>13</v>
      </c>
      <c r="P111" s="396">
        <v>14</v>
      </c>
      <c r="Q111" s="395">
        <v>15</v>
      </c>
      <c r="R111" s="395">
        <v>16</v>
      </c>
      <c r="S111" s="395">
        <v>17</v>
      </c>
      <c r="T111" s="395">
        <v>18</v>
      </c>
      <c r="U111" s="395">
        <v>19</v>
      </c>
      <c r="V111" s="396">
        <v>20</v>
      </c>
      <c r="W111" s="396">
        <v>21</v>
      </c>
      <c r="X111" s="395">
        <v>22</v>
      </c>
      <c r="Y111" s="395">
        <v>23</v>
      </c>
      <c r="Z111" s="395">
        <v>24</v>
      </c>
      <c r="AA111" s="395">
        <v>25</v>
      </c>
      <c r="AB111" s="395">
        <v>26</v>
      </c>
      <c r="AC111" s="396">
        <v>27</v>
      </c>
      <c r="AD111" s="396">
        <v>28</v>
      </c>
      <c r="AE111" s="395">
        <v>29</v>
      </c>
      <c r="AF111" s="395">
        <v>30</v>
      </c>
      <c r="AG111" s="395">
        <v>31</v>
      </c>
      <c r="AH111" s="1"/>
      <c r="AJ111" s="1554" t="s">
        <v>41</v>
      </c>
      <c r="AK111" s="1554" t="s">
        <v>62</v>
      </c>
      <c r="AL111" s="1554" t="s">
        <v>63</v>
      </c>
      <c r="AM111" s="1554" t="s">
        <v>64</v>
      </c>
      <c r="AN111" s="1554" t="s">
        <v>65</v>
      </c>
    </row>
    <row r="112" spans="1:40" ht="18" customHeight="1" x14ac:dyDescent="0.2">
      <c r="B112" s="1656" t="s">
        <v>208</v>
      </c>
      <c r="C112" s="1383" t="s">
        <v>209</v>
      </c>
      <c r="D112" s="1383" t="s">
        <v>209</v>
      </c>
      <c r="E112" s="1383" t="s">
        <v>209</v>
      </c>
      <c r="F112" s="1383" t="s">
        <v>209</v>
      </c>
      <c r="G112" s="1383" t="s">
        <v>209</v>
      </c>
      <c r="H112" s="1383" t="s">
        <v>210</v>
      </c>
      <c r="I112" s="1383" t="s">
        <v>211</v>
      </c>
      <c r="J112" s="1630" t="s">
        <v>50</v>
      </c>
      <c r="K112" s="1630" t="s">
        <v>50</v>
      </c>
      <c r="L112" s="1630" t="s">
        <v>50</v>
      </c>
      <c r="M112" s="1630" t="s">
        <v>50</v>
      </c>
      <c r="N112" s="1630" t="s">
        <v>50</v>
      </c>
      <c r="O112" s="1657" t="s">
        <v>50</v>
      </c>
      <c r="P112" s="1630" t="s">
        <v>50</v>
      </c>
      <c r="Q112" s="1630" t="s">
        <v>209</v>
      </c>
      <c r="R112" s="1630" t="s">
        <v>209</v>
      </c>
      <c r="S112" s="1630" t="s">
        <v>209</v>
      </c>
      <c r="T112" s="1630" t="s">
        <v>209</v>
      </c>
      <c r="U112" s="1630" t="s">
        <v>209</v>
      </c>
      <c r="V112" s="1657" t="s">
        <v>210</v>
      </c>
      <c r="W112" s="1657" t="s">
        <v>211</v>
      </c>
      <c r="X112" s="1382" t="s">
        <v>50</v>
      </c>
      <c r="Y112" s="1657" t="s">
        <v>50</v>
      </c>
      <c r="Z112" s="1657" t="s">
        <v>50</v>
      </c>
      <c r="AA112" s="1630" t="s">
        <v>50</v>
      </c>
      <c r="AB112" s="1657" t="s">
        <v>50</v>
      </c>
      <c r="AC112" s="1657" t="s">
        <v>50</v>
      </c>
      <c r="AD112" s="1657" t="s">
        <v>50</v>
      </c>
      <c r="AE112" s="1382" t="s">
        <v>209</v>
      </c>
      <c r="AF112" s="1657" t="s">
        <v>209</v>
      </c>
      <c r="AG112" s="1357" t="s">
        <v>209</v>
      </c>
      <c r="AH112" s="1"/>
      <c r="AJ112" s="638">
        <v>172</v>
      </c>
      <c r="AK112" s="638"/>
      <c r="AL112" s="638">
        <f>IF(AJ112="","",SUM(AJ112:AK112))</f>
        <v>172</v>
      </c>
      <c r="AM112" s="639">
        <f t="shared" ref="AM112:AM113" si="5">IF(AJ112="","",AL112-AJ112)</f>
        <v>0</v>
      </c>
      <c r="AN112" s="639">
        <f>IF(AM112="","",AM112+'Juni 2024'!AN114)</f>
        <v>-24.330000000000013</v>
      </c>
    </row>
    <row r="113" spans="1:40" ht="18" customHeight="1" x14ac:dyDescent="0.2">
      <c r="B113" s="851" t="s">
        <v>212</v>
      </c>
      <c r="C113" s="813" t="s">
        <v>50</v>
      </c>
      <c r="D113" s="635" t="s">
        <v>50</v>
      </c>
      <c r="E113" s="635" t="s">
        <v>50</v>
      </c>
      <c r="F113" s="636" t="s">
        <v>50</v>
      </c>
      <c r="G113" s="635" t="s">
        <v>50</v>
      </c>
      <c r="H113" s="635"/>
      <c r="I113" s="636"/>
      <c r="J113" s="968" t="s">
        <v>209</v>
      </c>
      <c r="K113" s="968" t="s">
        <v>209</v>
      </c>
      <c r="L113" s="968" t="s">
        <v>209</v>
      </c>
      <c r="M113" s="968" t="s">
        <v>209</v>
      </c>
      <c r="N113" s="968" t="s">
        <v>209</v>
      </c>
      <c r="O113" s="968" t="s">
        <v>210</v>
      </c>
      <c r="P113" s="968" t="s">
        <v>211</v>
      </c>
      <c r="Q113" s="968" t="s">
        <v>50</v>
      </c>
      <c r="R113" s="968" t="s">
        <v>50</v>
      </c>
      <c r="S113" s="968" t="s">
        <v>50</v>
      </c>
      <c r="T113" s="968" t="s">
        <v>50</v>
      </c>
      <c r="U113" s="968" t="s">
        <v>50</v>
      </c>
      <c r="V113" s="968"/>
      <c r="W113" s="968"/>
      <c r="X113" s="968" t="s">
        <v>209</v>
      </c>
      <c r="Y113" s="968" t="s">
        <v>209</v>
      </c>
      <c r="Z113" s="968" t="s">
        <v>209</v>
      </c>
      <c r="AA113" s="968" t="s">
        <v>209</v>
      </c>
      <c r="AB113" s="968" t="s">
        <v>209</v>
      </c>
      <c r="AC113" s="968" t="s">
        <v>210</v>
      </c>
      <c r="AD113" s="968" t="s">
        <v>211</v>
      </c>
      <c r="AE113" s="813" t="s">
        <v>50</v>
      </c>
      <c r="AF113" s="635" t="s">
        <v>50</v>
      </c>
      <c r="AG113" s="801" t="s">
        <v>50</v>
      </c>
      <c r="AH113" s="1"/>
      <c r="AJ113" s="1658">
        <v>137</v>
      </c>
      <c r="AK113" s="1658"/>
      <c r="AL113" s="1658">
        <f t="shared" ref="AL113" si="6">IF(AJ113="","",SUM(AJ113:AK113))</f>
        <v>137</v>
      </c>
      <c r="AM113" s="1659">
        <f t="shared" si="5"/>
        <v>0</v>
      </c>
      <c r="AN113" s="639">
        <f>IF(AM113="","",AM113+'Juni 2024'!AN115)</f>
        <v>-10.330000000000013</v>
      </c>
    </row>
    <row r="114" spans="1:40" ht="18" customHeight="1" x14ac:dyDescent="0.2">
      <c r="B114" s="1660" t="s">
        <v>0</v>
      </c>
      <c r="C114" s="853"/>
      <c r="D114" s="853" t="s">
        <v>0</v>
      </c>
      <c r="E114" s="854" t="s">
        <v>0</v>
      </c>
      <c r="F114" s="853" t="s">
        <v>0</v>
      </c>
      <c r="G114" s="853" t="s">
        <v>145</v>
      </c>
      <c r="H114" s="853" t="s">
        <v>147</v>
      </c>
      <c r="I114" s="1363" t="s">
        <v>148</v>
      </c>
      <c r="J114" s="1363" t="s">
        <v>0</v>
      </c>
      <c r="K114" s="1363" t="s">
        <v>0</v>
      </c>
      <c r="L114" s="1363" t="s">
        <v>0</v>
      </c>
      <c r="M114" s="1363" t="s">
        <v>0</v>
      </c>
      <c r="N114" s="1363" t="s">
        <v>145</v>
      </c>
      <c r="O114" s="853" t="s">
        <v>147</v>
      </c>
      <c r="P114" s="853" t="s">
        <v>148</v>
      </c>
      <c r="Q114" s="853"/>
      <c r="R114" s="853" t="s">
        <v>0</v>
      </c>
      <c r="S114" s="854" t="s">
        <v>0</v>
      </c>
      <c r="T114" s="853" t="s">
        <v>0</v>
      </c>
      <c r="U114" s="853" t="s">
        <v>145</v>
      </c>
      <c r="V114" s="853" t="s">
        <v>147</v>
      </c>
      <c r="W114" s="1363" t="s">
        <v>148</v>
      </c>
      <c r="X114" s="1363" t="s">
        <v>0</v>
      </c>
      <c r="Y114" s="1363" t="s">
        <v>0</v>
      </c>
      <c r="Z114" s="1363" t="s">
        <v>0</v>
      </c>
      <c r="AA114" s="1363" t="s">
        <v>0</v>
      </c>
      <c r="AB114" s="1363" t="s">
        <v>145</v>
      </c>
      <c r="AC114" s="853" t="s">
        <v>147</v>
      </c>
      <c r="AD114" s="853" t="s">
        <v>148</v>
      </c>
      <c r="AE114" s="853"/>
      <c r="AF114" s="853" t="s">
        <v>0</v>
      </c>
      <c r="AG114" s="1384" t="s">
        <v>0</v>
      </c>
      <c r="AH114" s="1"/>
      <c r="AJ114" s="1638"/>
      <c r="AK114" s="1638"/>
      <c r="AL114" s="1638"/>
      <c r="AM114" s="1639"/>
      <c r="AN114" s="1639"/>
    </row>
    <row r="115" spans="1:40" ht="18" customHeight="1" x14ac:dyDescent="0.2">
      <c r="B115" s="232"/>
      <c r="C115" s="233"/>
      <c r="D115" s="233"/>
      <c r="E115" s="234"/>
      <c r="F115" s="234"/>
      <c r="G115" s="234"/>
      <c r="H115" s="234"/>
      <c r="I115" s="234"/>
      <c r="J115" s="234"/>
      <c r="K115" s="234"/>
      <c r="L115" s="234"/>
      <c r="M115" s="234"/>
      <c r="N115" s="234"/>
      <c r="O115" s="234"/>
      <c r="P115" s="234"/>
      <c r="Q115" s="234"/>
      <c r="R115" s="234"/>
      <c r="S115" s="234"/>
      <c r="T115" s="234"/>
      <c r="U115" s="234"/>
      <c r="V115" s="234"/>
      <c r="W115" s="234"/>
      <c r="X115" s="234"/>
      <c r="Y115" s="234"/>
      <c r="Z115" s="234"/>
      <c r="AA115" s="234"/>
      <c r="AB115" s="234"/>
      <c r="AC115" s="234"/>
      <c r="AD115" s="234"/>
      <c r="AE115" s="234"/>
      <c r="AF115" s="234"/>
      <c r="AG115" s="234"/>
      <c r="AH115" s="1"/>
      <c r="AJ115" s="123"/>
      <c r="AK115" s="123"/>
      <c r="AL115" s="123"/>
      <c r="AM115" s="215"/>
      <c r="AN115" s="215"/>
    </row>
    <row r="116" spans="1:40" ht="18" customHeight="1" x14ac:dyDescent="0.2">
      <c r="A116" s="3" t="s">
        <v>213</v>
      </c>
      <c r="AH116" s="1"/>
      <c r="AJ116" s="123"/>
      <c r="AK116" s="123"/>
      <c r="AL116" s="123"/>
      <c r="AM116" s="215"/>
      <c r="AN116" s="215"/>
    </row>
    <row r="117" spans="1:40" ht="18" customHeight="1" x14ac:dyDescent="0.25">
      <c r="B117" s="217"/>
      <c r="C117" s="218"/>
      <c r="D117" s="218"/>
      <c r="E117" s="221" t="s">
        <v>198</v>
      </c>
      <c r="F117" s="218"/>
      <c r="G117" s="218"/>
      <c r="H117" s="218"/>
      <c r="I117" s="218"/>
      <c r="J117" s="218"/>
      <c r="K117" s="226" t="s">
        <v>13</v>
      </c>
      <c r="L117" s="222"/>
      <c r="M117" s="222"/>
      <c r="N117" s="222"/>
      <c r="O117" s="222"/>
      <c r="P117" s="222"/>
      <c r="Q117" s="222"/>
      <c r="R117" s="222"/>
      <c r="S117" s="222"/>
      <c r="T117" s="223"/>
      <c r="AH117" s="1"/>
      <c r="AJ117" s="123"/>
      <c r="AK117" s="123"/>
      <c r="AL117" s="123"/>
      <c r="AM117" s="215"/>
      <c r="AN117" s="215"/>
    </row>
    <row r="118" spans="1:40" ht="18" customHeight="1" x14ac:dyDescent="0.25">
      <c r="B118" s="217" t="s">
        <v>199</v>
      </c>
      <c r="C118" s="218"/>
      <c r="D118" s="218"/>
      <c r="E118" s="219" t="s">
        <v>214</v>
      </c>
      <c r="F118" s="218"/>
      <c r="G118" s="218"/>
      <c r="H118" s="218"/>
      <c r="I118" s="218"/>
      <c r="J118" s="218"/>
      <c r="K118" s="218" t="s">
        <v>215</v>
      </c>
      <c r="L118" s="218"/>
      <c r="M118" s="218"/>
      <c r="N118" s="218"/>
      <c r="O118" s="218"/>
      <c r="P118" s="218"/>
      <c r="Q118" s="218"/>
      <c r="R118" s="236" t="s">
        <v>216</v>
      </c>
      <c r="S118" s="236"/>
      <c r="T118" s="236"/>
      <c r="AH118" s="1"/>
      <c r="AJ118" s="123"/>
      <c r="AK118" s="123"/>
      <c r="AL118" s="123"/>
      <c r="AM118" s="215"/>
      <c r="AN118" s="215"/>
    </row>
    <row r="119" spans="1:40" ht="18" customHeight="1" x14ac:dyDescent="0.25">
      <c r="B119" s="217" t="s">
        <v>22</v>
      </c>
      <c r="C119" s="218"/>
      <c r="D119" s="218"/>
      <c r="E119" s="221" t="s">
        <v>217</v>
      </c>
      <c r="F119" s="218"/>
      <c r="G119" s="218"/>
      <c r="H119" s="218"/>
      <c r="I119" s="218"/>
      <c r="J119" s="218"/>
      <c r="K119" s="218" t="s">
        <v>218</v>
      </c>
      <c r="L119" s="218"/>
      <c r="M119" s="218"/>
      <c r="N119" s="218"/>
      <c r="O119" s="218"/>
      <c r="P119" s="218"/>
      <c r="Q119" s="218"/>
      <c r="R119" s="218"/>
      <c r="S119" s="218"/>
      <c r="T119" s="220"/>
      <c r="AH119" s="1"/>
      <c r="AJ119" s="123"/>
      <c r="AK119" s="123"/>
      <c r="AL119" s="123"/>
      <c r="AM119" s="215"/>
      <c r="AN119" s="215"/>
    </row>
    <row r="120" spans="1:40" ht="18" customHeight="1" x14ac:dyDescent="0.25">
      <c r="B120" s="217" t="s">
        <v>205</v>
      </c>
      <c r="C120" s="218"/>
      <c r="D120" s="218"/>
      <c r="E120" s="221" t="s">
        <v>219</v>
      </c>
      <c r="F120" s="218"/>
      <c r="G120" s="218"/>
      <c r="H120" s="218"/>
      <c r="I120" s="218"/>
      <c r="J120" s="218"/>
      <c r="K120" s="218" t="s">
        <v>220</v>
      </c>
      <c r="L120" s="229"/>
      <c r="M120" s="229"/>
      <c r="N120" s="229"/>
      <c r="O120" s="229"/>
      <c r="P120" s="229"/>
      <c r="Q120" s="229"/>
      <c r="R120" s="229"/>
      <c r="S120" s="229"/>
      <c r="T120" s="230"/>
      <c r="U120" s="108"/>
      <c r="V120" s="108"/>
      <c r="AH120" s="1"/>
      <c r="AJ120" s="123"/>
      <c r="AK120" s="123"/>
      <c r="AL120" s="123"/>
      <c r="AM120" s="215"/>
      <c r="AN120" s="215"/>
    </row>
    <row r="121" spans="1:40" ht="18" customHeight="1" x14ac:dyDescent="0.2">
      <c r="T121" s="108"/>
      <c r="U121" s="108"/>
      <c r="V121" s="108"/>
      <c r="AH121" s="1"/>
      <c r="AJ121" s="123"/>
      <c r="AK121" s="123"/>
      <c r="AL121" s="123"/>
      <c r="AM121" s="215"/>
      <c r="AN121" s="215"/>
    </row>
    <row r="122" spans="1:40" ht="18" customHeight="1" x14ac:dyDescent="0.2">
      <c r="B122" s="1385" t="s">
        <v>44</v>
      </c>
      <c r="C122" s="395">
        <v>1</v>
      </c>
      <c r="D122" s="395">
        <v>2</v>
      </c>
      <c r="E122" s="395">
        <v>3</v>
      </c>
      <c r="F122" s="395">
        <v>4</v>
      </c>
      <c r="G122" s="395">
        <v>5</v>
      </c>
      <c r="H122" s="396">
        <v>6</v>
      </c>
      <c r="I122" s="396">
        <v>7</v>
      </c>
      <c r="J122" s="395">
        <v>8</v>
      </c>
      <c r="K122" s="395">
        <v>9</v>
      </c>
      <c r="L122" s="395">
        <v>10</v>
      </c>
      <c r="M122" s="395">
        <v>11</v>
      </c>
      <c r="N122" s="395">
        <v>12</v>
      </c>
      <c r="O122" s="396">
        <v>13</v>
      </c>
      <c r="P122" s="396">
        <v>14</v>
      </c>
      <c r="Q122" s="395">
        <v>15</v>
      </c>
      <c r="R122" s="395">
        <v>16</v>
      </c>
      <c r="S122" s="395">
        <v>17</v>
      </c>
      <c r="T122" s="395">
        <v>18</v>
      </c>
      <c r="U122" s="395">
        <v>19</v>
      </c>
      <c r="V122" s="396">
        <v>20</v>
      </c>
      <c r="W122" s="396">
        <v>21</v>
      </c>
      <c r="X122" s="395">
        <v>22</v>
      </c>
      <c r="Y122" s="395">
        <v>23</v>
      </c>
      <c r="Z122" s="395">
        <v>24</v>
      </c>
      <c r="AA122" s="395">
        <v>25</v>
      </c>
      <c r="AB122" s="395">
        <v>26</v>
      </c>
      <c r="AC122" s="396">
        <v>27</v>
      </c>
      <c r="AD122" s="396">
        <v>28</v>
      </c>
      <c r="AE122" s="395">
        <v>29</v>
      </c>
      <c r="AF122" s="395">
        <v>30</v>
      </c>
      <c r="AG122" s="395">
        <v>31</v>
      </c>
      <c r="AH122" s="1"/>
      <c r="AJ122" s="1554" t="s">
        <v>41</v>
      </c>
      <c r="AK122" s="1554" t="s">
        <v>62</v>
      </c>
      <c r="AL122" s="1554" t="s">
        <v>63</v>
      </c>
      <c r="AM122" s="1554" t="s">
        <v>64</v>
      </c>
      <c r="AN122" s="1554" t="s">
        <v>65</v>
      </c>
    </row>
    <row r="123" spans="1:40" ht="18" customHeight="1" x14ac:dyDescent="0.2">
      <c r="B123" s="1386" t="s">
        <v>221</v>
      </c>
      <c r="C123" s="858" t="s">
        <v>72</v>
      </c>
      <c r="D123" s="858" t="s">
        <v>72</v>
      </c>
      <c r="E123" s="858" t="s">
        <v>72</v>
      </c>
      <c r="F123" s="858" t="s">
        <v>72</v>
      </c>
      <c r="G123" s="858" t="s">
        <v>72</v>
      </c>
      <c r="H123" s="1388" t="s">
        <v>73</v>
      </c>
      <c r="I123" s="1388" t="s">
        <v>74</v>
      </c>
      <c r="J123" s="1388" t="s">
        <v>50</v>
      </c>
      <c r="K123" s="1388" t="s">
        <v>50</v>
      </c>
      <c r="L123" s="1388" t="s">
        <v>50</v>
      </c>
      <c r="M123" s="858" t="s">
        <v>50</v>
      </c>
      <c r="N123" s="858" t="s">
        <v>50</v>
      </c>
      <c r="O123" s="858"/>
      <c r="P123" s="858"/>
      <c r="Q123" s="858" t="s">
        <v>72</v>
      </c>
      <c r="R123" s="858" t="s">
        <v>72</v>
      </c>
      <c r="S123" s="858" t="s">
        <v>72</v>
      </c>
      <c r="T123" s="858" t="s">
        <v>72</v>
      </c>
      <c r="U123" s="858" t="s">
        <v>72</v>
      </c>
      <c r="V123" s="1388" t="s">
        <v>73</v>
      </c>
      <c r="W123" s="1388" t="s">
        <v>74</v>
      </c>
      <c r="X123" s="1388" t="s">
        <v>50</v>
      </c>
      <c r="Y123" s="1388" t="s">
        <v>50</v>
      </c>
      <c r="Z123" s="1388" t="s">
        <v>50</v>
      </c>
      <c r="AA123" s="858" t="s">
        <v>50</v>
      </c>
      <c r="AB123" s="858" t="s">
        <v>50</v>
      </c>
      <c r="AC123" s="858"/>
      <c r="AD123" s="858"/>
      <c r="AE123" s="858" t="s">
        <v>72</v>
      </c>
      <c r="AF123" s="858" t="s">
        <v>72</v>
      </c>
      <c r="AG123" s="1630" t="s">
        <v>72</v>
      </c>
      <c r="AH123" s="1"/>
      <c r="AJ123" s="638">
        <v>172</v>
      </c>
      <c r="AK123" s="638"/>
      <c r="AL123" s="638">
        <f>IF(AJ123="","",SUM(AJ123:AK123))</f>
        <v>172</v>
      </c>
      <c r="AM123" s="639">
        <f>IF(AJ123="","",AL123-AJ123)</f>
        <v>0</v>
      </c>
      <c r="AN123" s="639">
        <f>IF(AM123="","",AM123+'Juni 2024'!AN125)</f>
        <v>-36.330000000000013</v>
      </c>
    </row>
    <row r="124" spans="1:40" ht="18" customHeight="1" x14ac:dyDescent="0.2">
      <c r="B124" s="1389" t="s">
        <v>222</v>
      </c>
      <c r="C124" s="635" t="s">
        <v>50</v>
      </c>
      <c r="D124" s="635" t="s">
        <v>50</v>
      </c>
      <c r="E124" s="635" t="s">
        <v>50</v>
      </c>
      <c r="F124" s="636" t="s">
        <v>50</v>
      </c>
      <c r="G124" s="636" t="s">
        <v>50</v>
      </c>
      <c r="H124" s="636"/>
      <c r="I124" s="636"/>
      <c r="J124" s="636" t="s">
        <v>72</v>
      </c>
      <c r="K124" s="636" t="s">
        <v>72</v>
      </c>
      <c r="L124" s="636" t="s">
        <v>72</v>
      </c>
      <c r="M124" s="636" t="s">
        <v>72</v>
      </c>
      <c r="N124" s="636" t="s">
        <v>72</v>
      </c>
      <c r="O124" s="635" t="s">
        <v>73</v>
      </c>
      <c r="P124" s="635" t="s">
        <v>74</v>
      </c>
      <c r="Q124" s="635" t="s">
        <v>50</v>
      </c>
      <c r="R124" s="635" t="s">
        <v>50</v>
      </c>
      <c r="S124" s="635" t="s">
        <v>50</v>
      </c>
      <c r="T124" s="636" t="s">
        <v>50</v>
      </c>
      <c r="U124" s="636" t="s">
        <v>50</v>
      </c>
      <c r="V124" s="636"/>
      <c r="W124" s="636"/>
      <c r="X124" s="636" t="s">
        <v>72</v>
      </c>
      <c r="Y124" s="636" t="s">
        <v>72</v>
      </c>
      <c r="Z124" s="636" t="s">
        <v>72</v>
      </c>
      <c r="AA124" s="636" t="s">
        <v>72</v>
      </c>
      <c r="AB124" s="636" t="s">
        <v>72</v>
      </c>
      <c r="AC124" s="635" t="s">
        <v>73</v>
      </c>
      <c r="AD124" s="635" t="s">
        <v>74</v>
      </c>
      <c r="AE124" s="635" t="s">
        <v>50</v>
      </c>
      <c r="AF124" s="635" t="s">
        <v>50</v>
      </c>
      <c r="AG124" s="636" t="s">
        <v>50</v>
      </c>
      <c r="AH124" s="1"/>
      <c r="AJ124" s="638">
        <v>136</v>
      </c>
      <c r="AK124" s="638"/>
      <c r="AL124" s="638">
        <f>IF(AJ124="","",SUM(AJ124:AK124))</f>
        <v>136</v>
      </c>
      <c r="AM124" s="639">
        <f>IF(AJ124="","",AL124-AJ124)</f>
        <v>0</v>
      </c>
      <c r="AN124" s="639">
        <f>IF(AM124="","",AM124+'Juni 2024'!AN126)</f>
        <v>-10.330000000000013</v>
      </c>
    </row>
    <row r="125" spans="1:40" ht="18" customHeight="1" x14ac:dyDescent="0.2">
      <c r="B125" s="1661" t="s">
        <v>0</v>
      </c>
      <c r="C125" s="856" t="s">
        <v>50</v>
      </c>
      <c r="D125" s="856" t="s">
        <v>50</v>
      </c>
      <c r="E125" s="856" t="s">
        <v>50</v>
      </c>
      <c r="F125" s="856" t="s">
        <v>50</v>
      </c>
      <c r="G125" s="856" t="s">
        <v>139</v>
      </c>
      <c r="H125" s="856" t="s">
        <v>140</v>
      </c>
      <c r="I125" s="856" t="s">
        <v>141</v>
      </c>
      <c r="J125" s="856" t="s">
        <v>50</v>
      </c>
      <c r="K125" s="856" t="s">
        <v>50</v>
      </c>
      <c r="L125" s="856" t="s">
        <v>50</v>
      </c>
      <c r="M125" s="856" t="s">
        <v>50</v>
      </c>
      <c r="N125" s="856" t="s">
        <v>139</v>
      </c>
      <c r="O125" s="856" t="s">
        <v>140</v>
      </c>
      <c r="P125" s="856" t="s">
        <v>141</v>
      </c>
      <c r="Q125" s="856" t="s">
        <v>50</v>
      </c>
      <c r="R125" s="856" t="s">
        <v>50</v>
      </c>
      <c r="S125" s="856" t="s">
        <v>50</v>
      </c>
      <c r="T125" s="856" t="s">
        <v>50</v>
      </c>
      <c r="U125" s="856" t="s">
        <v>139</v>
      </c>
      <c r="V125" s="856" t="s">
        <v>140</v>
      </c>
      <c r="W125" s="856" t="s">
        <v>141</v>
      </c>
      <c r="X125" s="856" t="s">
        <v>50</v>
      </c>
      <c r="Y125" s="856" t="s">
        <v>50</v>
      </c>
      <c r="Z125" s="856" t="s">
        <v>50</v>
      </c>
      <c r="AA125" s="856" t="s">
        <v>50</v>
      </c>
      <c r="AB125" s="856" t="s">
        <v>139</v>
      </c>
      <c r="AC125" s="856" t="s">
        <v>140</v>
      </c>
      <c r="AD125" s="856" t="s">
        <v>141</v>
      </c>
      <c r="AE125" s="856" t="s">
        <v>50</v>
      </c>
      <c r="AF125" s="856" t="s">
        <v>50</v>
      </c>
      <c r="AG125" s="856" t="s">
        <v>50</v>
      </c>
      <c r="AH125" s="1"/>
    </row>
    <row r="126" spans="1:40" ht="18" customHeight="1" x14ac:dyDescent="0.2">
      <c r="B126" s="235" t="s">
        <v>0</v>
      </c>
      <c r="C126" s="234" t="s">
        <v>0</v>
      </c>
      <c r="D126" s="234" t="s">
        <v>0</v>
      </c>
      <c r="E126" s="234" t="s">
        <v>0</v>
      </c>
      <c r="F126" s="234" t="s">
        <v>0</v>
      </c>
      <c r="G126" s="234" t="s">
        <v>0</v>
      </c>
      <c r="H126" s="234" t="s">
        <v>0</v>
      </c>
      <c r="I126" s="234" t="s">
        <v>0</v>
      </c>
      <c r="J126" s="234" t="s">
        <v>0</v>
      </c>
      <c r="K126" s="234" t="s">
        <v>0</v>
      </c>
      <c r="L126" s="234" t="s">
        <v>0</v>
      </c>
      <c r="M126" s="234" t="s">
        <v>0</v>
      </c>
      <c r="N126" s="234" t="s">
        <v>0</v>
      </c>
      <c r="O126" s="234" t="s">
        <v>0</v>
      </c>
      <c r="P126" s="234" t="s">
        <v>0</v>
      </c>
      <c r="Q126" s="234" t="s">
        <v>0</v>
      </c>
      <c r="R126" s="234" t="s">
        <v>0</v>
      </c>
      <c r="S126" s="234" t="s">
        <v>0</v>
      </c>
      <c r="T126" s="234" t="s">
        <v>0</v>
      </c>
      <c r="U126" s="234" t="s">
        <v>0</v>
      </c>
      <c r="V126" s="234" t="s">
        <v>0</v>
      </c>
      <c r="W126" s="234" t="s">
        <v>0</v>
      </c>
      <c r="X126" s="234" t="s">
        <v>0</v>
      </c>
      <c r="Y126" s="234" t="s">
        <v>0</v>
      </c>
      <c r="Z126" s="234" t="s">
        <v>0</v>
      </c>
      <c r="AA126" s="234" t="s">
        <v>0</v>
      </c>
      <c r="AB126" s="234" t="s">
        <v>0</v>
      </c>
      <c r="AC126" s="234" t="s">
        <v>0</v>
      </c>
      <c r="AD126" s="234" t="s">
        <v>0</v>
      </c>
      <c r="AE126" s="234" t="s">
        <v>0</v>
      </c>
      <c r="AF126" s="234" t="s">
        <v>0</v>
      </c>
      <c r="AG126" s="234" t="s">
        <v>0</v>
      </c>
      <c r="AH126" s="1"/>
      <c r="AJ126" s="123"/>
      <c r="AK126" s="123"/>
      <c r="AL126" s="123"/>
      <c r="AM126" s="215"/>
      <c r="AN126" s="215"/>
    </row>
    <row r="127" spans="1:40" ht="18" customHeight="1" x14ac:dyDescent="0.2">
      <c r="A127" s="3" t="s">
        <v>223</v>
      </c>
      <c r="AH127" s="1"/>
      <c r="AJ127" s="123"/>
      <c r="AK127" s="123"/>
      <c r="AL127" s="123"/>
      <c r="AM127" s="215"/>
      <c r="AN127" s="215"/>
    </row>
    <row r="128" spans="1:40" ht="18" customHeight="1" x14ac:dyDescent="0.25">
      <c r="B128" s="217"/>
      <c r="C128" s="218"/>
      <c r="D128" s="218"/>
      <c r="E128" s="221" t="s">
        <v>198</v>
      </c>
      <c r="F128" s="218"/>
      <c r="G128" s="218"/>
      <c r="H128" s="218"/>
      <c r="I128" s="218"/>
      <c r="J128" s="218"/>
      <c r="K128" s="226" t="s">
        <v>13</v>
      </c>
      <c r="L128" s="222"/>
      <c r="M128" s="222"/>
      <c r="N128" s="222"/>
      <c r="O128" s="222"/>
      <c r="P128" s="222"/>
      <c r="Q128" s="222"/>
      <c r="R128" s="222"/>
      <c r="S128" s="222"/>
      <c r="T128" s="223"/>
      <c r="AH128" s="1"/>
      <c r="AJ128" s="123"/>
      <c r="AK128" s="123"/>
      <c r="AL128" s="123"/>
      <c r="AM128" s="215"/>
      <c r="AN128" s="215"/>
    </row>
    <row r="129" spans="1:40" ht="18" customHeight="1" x14ac:dyDescent="0.25">
      <c r="B129" s="217" t="s">
        <v>199</v>
      </c>
      <c r="C129" s="218"/>
      <c r="D129" s="218"/>
      <c r="E129" s="219" t="s">
        <v>224</v>
      </c>
      <c r="F129" s="218"/>
      <c r="G129" s="218"/>
      <c r="H129" s="218"/>
      <c r="I129" s="218"/>
      <c r="J129" s="218"/>
      <c r="K129" s="218" t="s">
        <v>225</v>
      </c>
      <c r="L129" s="218"/>
      <c r="M129" s="218"/>
      <c r="N129" s="218"/>
      <c r="O129" s="218"/>
      <c r="P129" s="218"/>
      <c r="Q129" s="218"/>
      <c r="R129" s="236" t="s">
        <v>226</v>
      </c>
      <c r="S129" s="236"/>
      <c r="T129" s="236"/>
      <c r="AH129" s="1"/>
      <c r="AJ129" s="123"/>
      <c r="AK129" s="123"/>
      <c r="AL129" s="123"/>
      <c r="AM129" s="215"/>
      <c r="AN129" s="215"/>
    </row>
    <row r="130" spans="1:40" ht="18" customHeight="1" x14ac:dyDescent="0.25">
      <c r="B130" s="217" t="s">
        <v>22</v>
      </c>
      <c r="C130" s="218"/>
      <c r="D130" s="218"/>
      <c r="E130" s="221" t="s">
        <v>227</v>
      </c>
      <c r="F130" s="218"/>
      <c r="G130" s="218"/>
      <c r="H130" s="218"/>
      <c r="I130" s="218"/>
      <c r="J130" s="218"/>
      <c r="K130" s="218" t="s">
        <v>228</v>
      </c>
      <c r="L130" s="218"/>
      <c r="M130" s="218"/>
      <c r="N130" s="218"/>
      <c r="O130" s="218"/>
      <c r="P130" s="218"/>
      <c r="Q130" s="218"/>
      <c r="R130" s="218"/>
      <c r="S130" s="218"/>
      <c r="T130" s="220"/>
      <c r="AH130" s="1"/>
      <c r="AJ130" s="123"/>
      <c r="AK130" s="123"/>
      <c r="AL130" s="123"/>
      <c r="AM130" s="215"/>
      <c r="AN130" s="215"/>
    </row>
    <row r="131" spans="1:40" ht="18" customHeight="1" x14ac:dyDescent="0.25">
      <c r="B131" s="217" t="s">
        <v>205</v>
      </c>
      <c r="C131" s="218"/>
      <c r="D131" s="218"/>
      <c r="E131" s="221" t="s">
        <v>229</v>
      </c>
      <c r="F131" s="218"/>
      <c r="G131" s="218"/>
      <c r="H131" s="218"/>
      <c r="I131" s="218"/>
      <c r="J131" s="218"/>
      <c r="K131" s="218" t="s">
        <v>230</v>
      </c>
      <c r="L131" s="229"/>
      <c r="M131" s="229"/>
      <c r="N131" s="229"/>
      <c r="O131" s="229"/>
      <c r="P131" s="229"/>
      <c r="Q131" s="229"/>
      <c r="R131" s="229"/>
      <c r="S131" s="229"/>
      <c r="T131" s="230"/>
      <c r="U131" s="108"/>
      <c r="V131" s="108"/>
      <c r="AH131" s="1"/>
      <c r="AJ131" s="123"/>
      <c r="AK131" s="123"/>
      <c r="AL131" s="123"/>
      <c r="AM131" s="215"/>
      <c r="AN131" s="215"/>
    </row>
    <row r="132" spans="1:40" ht="18" customHeight="1" x14ac:dyDescent="0.2">
      <c r="T132" s="108"/>
      <c r="U132" s="108"/>
      <c r="V132" s="108"/>
      <c r="AH132" s="1"/>
      <c r="AJ132" s="123"/>
      <c r="AK132" s="123"/>
      <c r="AL132" s="123"/>
      <c r="AM132" s="215"/>
      <c r="AN132" s="215"/>
    </row>
    <row r="133" spans="1:40" ht="18" customHeight="1" x14ac:dyDescent="0.2">
      <c r="B133" s="1385" t="s">
        <v>44</v>
      </c>
      <c r="C133" s="395">
        <v>1</v>
      </c>
      <c r="D133" s="395">
        <v>2</v>
      </c>
      <c r="E133" s="395">
        <v>3</v>
      </c>
      <c r="F133" s="395">
        <v>4</v>
      </c>
      <c r="G133" s="395">
        <v>5</v>
      </c>
      <c r="H133" s="396">
        <v>6</v>
      </c>
      <c r="I133" s="396">
        <v>7</v>
      </c>
      <c r="J133" s="395">
        <v>8</v>
      </c>
      <c r="K133" s="395">
        <v>9</v>
      </c>
      <c r="L133" s="395">
        <v>10</v>
      </c>
      <c r="M133" s="395">
        <v>11</v>
      </c>
      <c r="N133" s="395">
        <v>12</v>
      </c>
      <c r="O133" s="396">
        <v>13</v>
      </c>
      <c r="P133" s="396">
        <v>14</v>
      </c>
      <c r="Q133" s="395">
        <v>15</v>
      </c>
      <c r="R133" s="395">
        <v>16</v>
      </c>
      <c r="S133" s="395">
        <v>17</v>
      </c>
      <c r="T133" s="395">
        <v>18</v>
      </c>
      <c r="U133" s="395">
        <v>19</v>
      </c>
      <c r="V133" s="396">
        <v>20</v>
      </c>
      <c r="W133" s="396">
        <v>21</v>
      </c>
      <c r="X133" s="395">
        <v>22</v>
      </c>
      <c r="Y133" s="395">
        <v>23</v>
      </c>
      <c r="Z133" s="395">
        <v>24</v>
      </c>
      <c r="AA133" s="395">
        <v>25</v>
      </c>
      <c r="AB133" s="395">
        <v>26</v>
      </c>
      <c r="AC133" s="396">
        <v>27</v>
      </c>
      <c r="AD133" s="396">
        <v>28</v>
      </c>
      <c r="AE133" s="395">
        <v>29</v>
      </c>
      <c r="AF133" s="395">
        <v>30</v>
      </c>
      <c r="AG133" s="395">
        <v>31</v>
      </c>
      <c r="AH133" s="1"/>
      <c r="AJ133" s="1554" t="s">
        <v>41</v>
      </c>
      <c r="AK133" s="1554" t="s">
        <v>62</v>
      </c>
      <c r="AL133" s="1554" t="s">
        <v>63</v>
      </c>
      <c r="AM133" s="1554" t="s">
        <v>64</v>
      </c>
      <c r="AN133" s="1554" t="s">
        <v>65</v>
      </c>
    </row>
    <row r="134" spans="1:40" ht="18" customHeight="1" x14ac:dyDescent="0.2">
      <c r="B134" s="1390" t="s">
        <v>231</v>
      </c>
      <c r="C134" s="1630" t="s">
        <v>162</v>
      </c>
      <c r="D134" s="1630" t="s">
        <v>162</v>
      </c>
      <c r="E134" s="1630" t="s">
        <v>162</v>
      </c>
      <c r="F134" s="1630" t="s">
        <v>162</v>
      </c>
      <c r="G134" s="1662" t="s">
        <v>162</v>
      </c>
      <c r="H134" s="1662" t="s">
        <v>163</v>
      </c>
      <c r="I134" s="1663" t="s">
        <v>164</v>
      </c>
      <c r="J134" s="1657" t="s">
        <v>50</v>
      </c>
      <c r="K134" s="1657" t="s">
        <v>50</v>
      </c>
      <c r="L134" s="1657" t="s">
        <v>50</v>
      </c>
      <c r="M134" s="1630" t="s">
        <v>50</v>
      </c>
      <c r="N134" s="1662" t="s">
        <v>50</v>
      </c>
      <c r="O134" s="1662" t="s">
        <v>423</v>
      </c>
      <c r="P134" s="1630"/>
      <c r="Q134" s="1630" t="s">
        <v>162</v>
      </c>
      <c r="R134" s="1630" t="s">
        <v>162</v>
      </c>
      <c r="S134" s="1630" t="s">
        <v>162</v>
      </c>
      <c r="T134" s="1664" t="s">
        <v>162</v>
      </c>
      <c r="U134" s="1630" t="s">
        <v>162</v>
      </c>
      <c r="V134" s="1665" t="s">
        <v>163</v>
      </c>
      <c r="W134" s="1657" t="s">
        <v>164</v>
      </c>
      <c r="X134" s="1657" t="s">
        <v>50</v>
      </c>
      <c r="Y134" s="1657" t="s">
        <v>50</v>
      </c>
      <c r="Z134" s="1657" t="s">
        <v>50</v>
      </c>
      <c r="AA134" s="1630" t="s">
        <v>50</v>
      </c>
      <c r="AB134" s="1630" t="s">
        <v>50</v>
      </c>
      <c r="AC134" s="1630"/>
      <c r="AD134" s="1630"/>
      <c r="AE134" s="1383" t="s">
        <v>162</v>
      </c>
      <c r="AF134" s="1383" t="s">
        <v>162</v>
      </c>
      <c r="AG134" s="1383" t="s">
        <v>162</v>
      </c>
      <c r="AH134" s="1"/>
      <c r="AJ134" s="638">
        <v>172</v>
      </c>
      <c r="AK134" s="638"/>
      <c r="AL134" s="638">
        <f>IF(AJ134="","",SUM(AJ134:AK134))</f>
        <v>172</v>
      </c>
      <c r="AM134" s="639">
        <f>IF(AJ134="","",AL134-AJ134)</f>
        <v>0</v>
      </c>
      <c r="AN134" s="639">
        <f>IF(AM134="","",AM134+'Juni 2024'!AN136)</f>
        <v>-24.330000000000013</v>
      </c>
    </row>
    <row r="135" spans="1:40" ht="18" customHeight="1" x14ac:dyDescent="0.2">
      <c r="B135" s="863" t="s">
        <v>0</v>
      </c>
      <c r="C135" s="635" t="s">
        <v>50</v>
      </c>
      <c r="D135" s="635" t="s">
        <v>50</v>
      </c>
      <c r="E135" s="635" t="s">
        <v>50</v>
      </c>
      <c r="F135" s="636" t="s">
        <v>50</v>
      </c>
      <c r="G135" s="636" t="s">
        <v>50</v>
      </c>
      <c r="H135" s="636"/>
      <c r="I135" s="636"/>
      <c r="J135" s="636" t="s">
        <v>162</v>
      </c>
      <c r="K135" s="636" t="s">
        <v>162</v>
      </c>
      <c r="L135" s="636" t="s">
        <v>162</v>
      </c>
      <c r="M135" s="636" t="s">
        <v>162</v>
      </c>
      <c r="N135" s="636" t="s">
        <v>162</v>
      </c>
      <c r="O135" s="635" t="s">
        <v>163</v>
      </c>
      <c r="P135" s="635" t="s">
        <v>164</v>
      </c>
      <c r="Q135" s="635" t="s">
        <v>50</v>
      </c>
      <c r="R135" s="635" t="s">
        <v>50</v>
      </c>
      <c r="S135" s="635" t="s">
        <v>50</v>
      </c>
      <c r="T135" s="636" t="s">
        <v>50</v>
      </c>
      <c r="U135" s="636" t="s">
        <v>50</v>
      </c>
      <c r="V135" s="636"/>
      <c r="W135" s="636"/>
      <c r="X135" s="636" t="s">
        <v>162</v>
      </c>
      <c r="Y135" s="636" t="s">
        <v>162</v>
      </c>
      <c r="Z135" s="636" t="s">
        <v>162</v>
      </c>
      <c r="AA135" s="636" t="s">
        <v>162</v>
      </c>
      <c r="AB135" s="636" t="s">
        <v>162</v>
      </c>
      <c r="AC135" s="635" t="s">
        <v>163</v>
      </c>
      <c r="AD135" s="635" t="s">
        <v>164</v>
      </c>
      <c r="AE135" s="635" t="s">
        <v>50</v>
      </c>
      <c r="AF135" s="635" t="s">
        <v>50</v>
      </c>
      <c r="AG135" s="636" t="s">
        <v>50</v>
      </c>
      <c r="AH135" s="1"/>
      <c r="AJ135" s="638">
        <f>$AJ$12</f>
        <v>160.33000000000001</v>
      </c>
      <c r="AK135" s="638"/>
      <c r="AL135" s="638">
        <f>IF(AJ135="","",SUM(AJ135:AK135))</f>
        <v>160.33000000000001</v>
      </c>
      <c r="AM135" s="639">
        <f>IF(AJ135="","",AL135-AJ135)</f>
        <v>0</v>
      </c>
      <c r="AN135" s="639">
        <f>IF(AM135="","",AM135+'Juni 2024'!AN137)</f>
        <v>0</v>
      </c>
    </row>
    <row r="136" spans="1:40" ht="18" customHeight="1" x14ac:dyDescent="0.2">
      <c r="B136" s="864" t="s">
        <v>0</v>
      </c>
      <c r="C136" s="1363" t="s">
        <v>50</v>
      </c>
      <c r="D136" s="1363" t="s">
        <v>50</v>
      </c>
      <c r="E136" s="1363" t="s">
        <v>50</v>
      </c>
      <c r="F136" s="1363" t="s">
        <v>50</v>
      </c>
      <c r="G136" s="1363" t="s">
        <v>149</v>
      </c>
      <c r="H136" s="1363" t="s">
        <v>150</v>
      </c>
      <c r="I136" s="1363" t="s">
        <v>71</v>
      </c>
      <c r="J136" s="1363" t="s">
        <v>50</v>
      </c>
      <c r="K136" s="1363" t="s">
        <v>50</v>
      </c>
      <c r="L136" s="1363" t="s">
        <v>50</v>
      </c>
      <c r="M136" s="1363" t="s">
        <v>50</v>
      </c>
      <c r="N136" s="1363" t="s">
        <v>149</v>
      </c>
      <c r="O136" s="1363" t="s">
        <v>150</v>
      </c>
      <c r="P136" s="1363" t="s">
        <v>71</v>
      </c>
      <c r="Q136" s="1363" t="s">
        <v>50</v>
      </c>
      <c r="R136" s="1363" t="s">
        <v>50</v>
      </c>
      <c r="S136" s="1363" t="s">
        <v>50</v>
      </c>
      <c r="T136" s="1363" t="s">
        <v>50</v>
      </c>
      <c r="U136" s="1363" t="s">
        <v>149</v>
      </c>
      <c r="V136" s="1363" t="s">
        <v>150</v>
      </c>
      <c r="W136" s="1363" t="s">
        <v>71</v>
      </c>
      <c r="X136" s="1363" t="s">
        <v>50</v>
      </c>
      <c r="Y136" s="1363" t="s">
        <v>50</v>
      </c>
      <c r="Z136" s="1363" t="s">
        <v>50</v>
      </c>
      <c r="AA136" s="1363" t="s">
        <v>50</v>
      </c>
      <c r="AB136" s="1363" t="s">
        <v>149</v>
      </c>
      <c r="AC136" s="1363" t="s">
        <v>150</v>
      </c>
      <c r="AD136" s="1363" t="s">
        <v>71</v>
      </c>
      <c r="AE136" s="1363" t="s">
        <v>50</v>
      </c>
      <c r="AF136" s="1363" t="s">
        <v>50</v>
      </c>
      <c r="AG136" s="1363" t="s">
        <v>50</v>
      </c>
      <c r="AH136" s="1"/>
      <c r="AJ136" s="123"/>
      <c r="AK136" s="123"/>
      <c r="AL136" s="123"/>
      <c r="AM136" s="215"/>
      <c r="AN136" s="215"/>
    </row>
    <row r="137" spans="1:40" ht="18" customHeight="1" x14ac:dyDescent="0.2">
      <c r="B137" s="127"/>
      <c r="C137" s="128"/>
      <c r="D137" s="128"/>
      <c r="E137" s="128"/>
      <c r="F137" s="128"/>
      <c r="G137" s="128"/>
      <c r="H137" s="128"/>
      <c r="I137" s="128"/>
      <c r="J137" s="128"/>
      <c r="K137" s="128"/>
      <c r="L137" s="128"/>
      <c r="M137" s="128"/>
      <c r="N137" s="128"/>
      <c r="O137" s="128"/>
      <c r="P137" s="128"/>
      <c r="Q137" s="128"/>
      <c r="R137" s="128"/>
      <c r="S137" s="128"/>
      <c r="T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"/>
    </row>
    <row r="138" spans="1:40" ht="18" customHeight="1" x14ac:dyDescent="0.2">
      <c r="A138" s="107" t="s">
        <v>232</v>
      </c>
    </row>
    <row r="139" spans="1:40" ht="18" customHeight="1" x14ac:dyDescent="0.2">
      <c r="B139" s="1392" t="s">
        <v>233</v>
      </c>
      <c r="C139" s="1393"/>
      <c r="D139" s="1583" t="s">
        <v>17</v>
      </c>
      <c r="E139" s="1583"/>
      <c r="F139" s="382"/>
      <c r="G139" s="1393"/>
      <c r="H139" s="1583" t="s">
        <v>18</v>
      </c>
      <c r="I139" s="1583"/>
      <c r="J139" s="382"/>
      <c r="K139" s="1393"/>
      <c r="L139" s="1583" t="s">
        <v>19</v>
      </c>
      <c r="M139" s="1583"/>
      <c r="N139" s="382"/>
      <c r="O139" s="1393"/>
      <c r="P139" s="1583" t="s">
        <v>20</v>
      </c>
      <c r="Q139" s="1583"/>
      <c r="R139" s="382"/>
      <c r="S139" s="1393"/>
      <c r="T139" s="1583" t="s">
        <v>21</v>
      </c>
      <c r="U139" s="1583"/>
      <c r="V139" s="382"/>
      <c r="W139" s="1393"/>
      <c r="X139" s="1583" t="s">
        <v>22</v>
      </c>
      <c r="Y139" s="1583"/>
      <c r="Z139" s="382"/>
      <c r="AA139" s="1393"/>
      <c r="AB139" s="1583" t="s">
        <v>23</v>
      </c>
      <c r="AC139" s="1583"/>
      <c r="AD139" s="1583"/>
      <c r="AE139" s="1583" t="s">
        <v>234</v>
      </c>
      <c r="AF139" s="1583"/>
      <c r="AG139" s="1583"/>
      <c r="AH139" s="1583"/>
      <c r="AI139" s="1394"/>
    </row>
    <row r="140" spans="1:40" ht="18" customHeight="1" x14ac:dyDescent="0.2">
      <c r="B140" s="1666" t="s">
        <v>235</v>
      </c>
      <c r="C140" s="1641" t="s">
        <v>10</v>
      </c>
      <c r="D140" s="1583"/>
      <c r="E140" s="1587"/>
      <c r="F140" s="1667"/>
      <c r="G140" s="1641" t="s">
        <v>10</v>
      </c>
      <c r="H140" s="1668"/>
      <c r="I140" s="1587"/>
      <c r="J140" s="1667"/>
      <c r="K140" s="406" t="s">
        <v>10</v>
      </c>
      <c r="L140" s="1583"/>
      <c r="M140" s="1583"/>
      <c r="N140" s="382"/>
      <c r="O140" s="406" t="s">
        <v>10</v>
      </c>
      <c r="P140" s="1396"/>
      <c r="Q140" s="1587"/>
      <c r="R140" s="1667"/>
      <c r="S140" s="1641" t="s">
        <v>10</v>
      </c>
      <c r="T140" s="1587"/>
      <c r="U140" s="1587"/>
      <c r="V140" s="1587"/>
      <c r="W140" s="1669"/>
      <c r="X140" s="1670"/>
      <c r="Y140" s="1670"/>
      <c r="Z140" s="1671"/>
      <c r="AA140" s="1587"/>
      <c r="AB140" s="1587"/>
      <c r="AC140" s="1587"/>
      <c r="AD140" s="1587"/>
      <c r="AE140" s="1672">
        <v>37</v>
      </c>
      <c r="AF140" s="1583"/>
      <c r="AG140" s="1587"/>
      <c r="AH140" s="1587"/>
      <c r="AI140" s="1588"/>
    </row>
    <row r="141" spans="1:40" ht="18" customHeight="1" x14ac:dyDescent="0.2">
      <c r="B141" s="1401" t="s">
        <v>236</v>
      </c>
      <c r="C141" s="1372" t="s">
        <v>237</v>
      </c>
      <c r="D141" s="1121"/>
      <c r="E141" s="1121"/>
      <c r="F141" s="1237"/>
      <c r="G141" s="1372" t="s">
        <v>238</v>
      </c>
      <c r="H141" s="1244"/>
      <c r="I141" s="1121"/>
      <c r="J141" s="1237"/>
      <c r="K141" s="1372" t="s">
        <v>239</v>
      </c>
      <c r="L141" s="1244" t="s">
        <v>240</v>
      </c>
      <c r="M141" s="1121"/>
      <c r="N141" s="1237"/>
      <c r="O141" s="1372" t="s">
        <v>239</v>
      </c>
      <c r="P141" s="1244" t="s">
        <v>240</v>
      </c>
      <c r="Q141" s="1121"/>
      <c r="R141" s="1237"/>
      <c r="S141" s="1372" t="s">
        <v>241</v>
      </c>
      <c r="T141" s="1121"/>
      <c r="U141" s="1121"/>
      <c r="V141" s="1237"/>
      <c r="W141" s="457" t="s">
        <v>143</v>
      </c>
      <c r="X141" s="875" t="s">
        <v>242</v>
      </c>
      <c r="Y141" s="467"/>
      <c r="Z141" s="467"/>
      <c r="AA141" s="1402" t="s">
        <v>143</v>
      </c>
      <c r="AB141" s="1244" t="s">
        <v>242</v>
      </c>
      <c r="AC141" s="1402"/>
      <c r="AD141" s="1402"/>
      <c r="AE141" s="1402">
        <v>68</v>
      </c>
      <c r="AF141" s="1121"/>
      <c r="AG141" s="1121"/>
      <c r="AH141" s="1121"/>
      <c r="AI141" s="1403"/>
    </row>
    <row r="142" spans="1:40" ht="18" customHeight="1" x14ac:dyDescent="0.2">
      <c r="B142" s="1401" t="s">
        <v>243</v>
      </c>
      <c r="C142" s="1404" t="s">
        <v>244</v>
      </c>
      <c r="D142" s="1121"/>
      <c r="E142" s="1121"/>
      <c r="F142" s="1237"/>
      <c r="G142" s="1244" t="s">
        <v>244</v>
      </c>
      <c r="H142" s="1244"/>
      <c r="I142" s="1121"/>
      <c r="J142" s="1237"/>
      <c r="K142" s="1244" t="s">
        <v>244</v>
      </c>
      <c r="L142" s="1121"/>
      <c r="M142" s="1121"/>
      <c r="N142" s="1237"/>
      <c r="O142" s="1244" t="s">
        <v>244</v>
      </c>
      <c r="P142" s="1244"/>
      <c r="Q142" s="1121"/>
      <c r="R142" s="1237"/>
      <c r="S142" s="1244" t="s">
        <v>244</v>
      </c>
      <c r="T142" s="1121"/>
      <c r="U142" s="1121"/>
      <c r="V142" s="1237"/>
      <c r="W142" s="1402"/>
      <c r="X142" s="1121"/>
      <c r="Y142" s="1121"/>
      <c r="Z142" s="1237"/>
      <c r="AA142" s="1402"/>
      <c r="AB142" s="1121"/>
      <c r="AC142" s="1121"/>
      <c r="AD142" s="1121"/>
      <c r="AE142" s="1402">
        <v>0</v>
      </c>
      <c r="AF142" s="1121"/>
      <c r="AG142" s="1121"/>
      <c r="AH142" s="1121"/>
      <c r="AI142" s="1403"/>
    </row>
    <row r="143" spans="1:40" ht="18" customHeight="1" x14ac:dyDescent="0.2">
      <c r="B143" s="1405" t="s">
        <v>245</v>
      </c>
      <c r="C143" s="1406" t="s">
        <v>10</v>
      </c>
      <c r="D143" s="199"/>
      <c r="E143" s="1247"/>
      <c r="F143" s="1249"/>
      <c r="G143" s="1406" t="s">
        <v>10</v>
      </c>
      <c r="H143" s="201"/>
      <c r="I143" s="1247"/>
      <c r="J143" s="1249"/>
      <c r="K143" s="1406" t="s">
        <v>10</v>
      </c>
      <c r="L143" s="199"/>
      <c r="M143" s="1247"/>
      <c r="N143" s="1249"/>
      <c r="O143" s="1406" t="s">
        <v>10</v>
      </c>
      <c r="P143" s="1251"/>
      <c r="Q143" s="1247"/>
      <c r="R143" s="1249"/>
      <c r="S143" s="1406" t="s">
        <v>10</v>
      </c>
      <c r="T143" s="1247"/>
      <c r="U143" s="1247"/>
      <c r="V143" s="1247"/>
      <c r="W143" s="1407"/>
      <c r="X143" s="1247"/>
      <c r="Y143" s="1247"/>
      <c r="Z143" s="1408"/>
      <c r="AA143" s="1247"/>
      <c r="AB143" s="1247"/>
      <c r="AC143" s="1247"/>
      <c r="AD143" s="1247"/>
      <c r="AE143" s="1374">
        <v>37</v>
      </c>
      <c r="AF143" s="1247"/>
      <c r="AG143" s="1247"/>
      <c r="AH143" s="1247"/>
      <c r="AI143" s="1254"/>
    </row>
    <row r="144" spans="1:40" ht="18" customHeight="1" x14ac:dyDescent="0.2">
      <c r="D144" s="467"/>
    </row>
    <row r="145" spans="1:35" ht="18" customHeight="1" x14ac:dyDescent="0.2">
      <c r="A145" s="1130"/>
      <c r="B145" s="1130" t="s">
        <v>44</v>
      </c>
      <c r="C145" s="395">
        <v>1</v>
      </c>
      <c r="D145" s="395">
        <v>2</v>
      </c>
      <c r="E145" s="395">
        <v>3</v>
      </c>
      <c r="F145" s="395">
        <v>4</v>
      </c>
      <c r="G145" s="395">
        <v>5</v>
      </c>
      <c r="H145" s="396">
        <v>6</v>
      </c>
      <c r="I145" s="396">
        <v>7</v>
      </c>
      <c r="J145" s="395">
        <v>8</v>
      </c>
      <c r="K145" s="395">
        <v>9</v>
      </c>
      <c r="L145" s="395">
        <v>10</v>
      </c>
      <c r="M145" s="395">
        <v>11</v>
      </c>
      <c r="N145" s="395">
        <v>12</v>
      </c>
      <c r="O145" s="396">
        <v>13</v>
      </c>
      <c r="P145" s="396">
        <v>14</v>
      </c>
      <c r="Q145" s="395">
        <v>15</v>
      </c>
      <c r="R145" s="395">
        <v>16</v>
      </c>
      <c r="S145" s="395">
        <v>17</v>
      </c>
      <c r="T145" s="395">
        <v>18</v>
      </c>
      <c r="U145" s="395">
        <v>19</v>
      </c>
      <c r="V145" s="396">
        <v>20</v>
      </c>
      <c r="W145" s="396">
        <v>21</v>
      </c>
      <c r="X145" s="395">
        <v>22</v>
      </c>
      <c r="Y145" s="395">
        <v>23</v>
      </c>
      <c r="Z145" s="395">
        <v>24</v>
      </c>
      <c r="AA145" s="395">
        <v>25</v>
      </c>
      <c r="AB145" s="395">
        <v>26</v>
      </c>
      <c r="AC145" s="396">
        <v>27</v>
      </c>
      <c r="AD145" s="396">
        <v>28</v>
      </c>
      <c r="AE145" s="395">
        <v>29</v>
      </c>
      <c r="AF145" s="395">
        <v>30</v>
      </c>
      <c r="AG145" s="395">
        <v>31</v>
      </c>
      <c r="AH145" s="110"/>
      <c r="AI145" s="111"/>
    </row>
    <row r="146" spans="1:35" ht="18" customHeight="1" x14ac:dyDescent="0.2">
      <c r="A146" s="1673">
        <v>1</v>
      </c>
      <c r="B146" s="1674" t="s">
        <v>246</v>
      </c>
      <c r="C146" s="1675" t="s">
        <v>172</v>
      </c>
      <c r="D146" s="1675" t="s">
        <v>172</v>
      </c>
      <c r="E146" s="1675" t="s">
        <v>172</v>
      </c>
      <c r="F146" s="1676" t="s">
        <v>172</v>
      </c>
      <c r="G146" s="1676" t="s">
        <v>172</v>
      </c>
      <c r="H146" s="1675"/>
      <c r="I146" s="1675"/>
      <c r="J146" s="1675" t="s">
        <v>172</v>
      </c>
      <c r="K146" s="1675" t="s">
        <v>172</v>
      </c>
      <c r="L146" s="1675" t="s">
        <v>172</v>
      </c>
      <c r="M146" s="1675" t="s">
        <v>172</v>
      </c>
      <c r="N146" s="1675" t="s">
        <v>172</v>
      </c>
      <c r="O146" s="1675"/>
      <c r="P146" s="1675"/>
      <c r="Q146" s="1675" t="s">
        <v>142</v>
      </c>
      <c r="R146" s="1675" t="s">
        <v>142</v>
      </c>
      <c r="S146" s="1675" t="s">
        <v>142</v>
      </c>
      <c r="T146" s="1675" t="s">
        <v>142</v>
      </c>
      <c r="U146" s="1675" t="s">
        <v>142</v>
      </c>
      <c r="V146" s="1675" t="s">
        <v>143</v>
      </c>
      <c r="W146" s="1675" t="s">
        <v>143</v>
      </c>
      <c r="X146" s="1677" t="s">
        <v>50</v>
      </c>
      <c r="Y146" s="1675" t="s">
        <v>50</v>
      </c>
      <c r="Z146" s="1675" t="s">
        <v>50</v>
      </c>
      <c r="AA146" s="1675" t="s">
        <v>50</v>
      </c>
      <c r="AB146" s="1675" t="s">
        <v>50</v>
      </c>
      <c r="AC146" s="1675"/>
      <c r="AD146" s="1675"/>
      <c r="AE146" s="1675" t="s">
        <v>172</v>
      </c>
      <c r="AF146" s="1675" t="s">
        <v>172</v>
      </c>
      <c r="AG146" s="1678" t="s">
        <v>172</v>
      </c>
      <c r="AH146" s="115"/>
      <c r="AI146" s="116"/>
    </row>
    <row r="147" spans="1:35" ht="18" customHeight="1" x14ac:dyDescent="0.2">
      <c r="A147" s="1415">
        <v>2</v>
      </c>
      <c r="B147" s="1416" t="s">
        <v>170</v>
      </c>
      <c r="C147" s="1223" t="s">
        <v>50</v>
      </c>
      <c r="D147" s="1223" t="s">
        <v>50</v>
      </c>
      <c r="E147" s="1223" t="s">
        <v>50</v>
      </c>
      <c r="F147" s="1185" t="s">
        <v>50</v>
      </c>
      <c r="G147" s="1185" t="s">
        <v>50</v>
      </c>
      <c r="H147" s="1174"/>
      <c r="I147" s="1174"/>
      <c r="J147" s="1174" t="s">
        <v>172</v>
      </c>
      <c r="K147" s="1333" t="s">
        <v>172</v>
      </c>
      <c r="L147" s="1333" t="s">
        <v>172</v>
      </c>
      <c r="M147" s="1174" t="s">
        <v>172</v>
      </c>
      <c r="N147" s="1174" t="s">
        <v>172</v>
      </c>
      <c r="O147" s="1174"/>
      <c r="P147" s="1174"/>
      <c r="Q147" s="1174" t="s">
        <v>172</v>
      </c>
      <c r="R147" s="1174" t="s">
        <v>172</v>
      </c>
      <c r="S147" s="1174" t="s">
        <v>172</v>
      </c>
      <c r="T147" s="1333" t="s">
        <v>172</v>
      </c>
      <c r="U147" s="1333" t="s">
        <v>172</v>
      </c>
      <c r="V147" s="1185"/>
      <c r="W147" s="1185"/>
      <c r="X147" s="1185" t="s">
        <v>142</v>
      </c>
      <c r="Y147" s="1185" t="s">
        <v>142</v>
      </c>
      <c r="Z147" s="1185" t="s">
        <v>142</v>
      </c>
      <c r="AA147" s="1185" t="s">
        <v>142</v>
      </c>
      <c r="AB147" s="1185" t="s">
        <v>142</v>
      </c>
      <c r="AC147" s="1181" t="s">
        <v>143</v>
      </c>
      <c r="AD147" s="1223" t="s">
        <v>143</v>
      </c>
      <c r="AE147" s="1223" t="s">
        <v>50</v>
      </c>
      <c r="AF147" s="1223" t="s">
        <v>50</v>
      </c>
      <c r="AG147" s="1177" t="s">
        <v>50</v>
      </c>
      <c r="AH147" s="115"/>
      <c r="AI147" s="116"/>
    </row>
    <row r="148" spans="1:35" ht="18" customHeight="1" x14ac:dyDescent="0.2">
      <c r="A148" s="1415">
        <v>3</v>
      </c>
      <c r="B148" s="1416" t="s">
        <v>167</v>
      </c>
      <c r="C148" s="1174" t="s">
        <v>142</v>
      </c>
      <c r="D148" s="1174" t="s">
        <v>142</v>
      </c>
      <c r="E148" s="1174" t="s">
        <v>142</v>
      </c>
      <c r="F148" s="1174" t="s">
        <v>142</v>
      </c>
      <c r="G148" s="1174" t="s">
        <v>142</v>
      </c>
      <c r="H148" s="1174" t="s">
        <v>143</v>
      </c>
      <c r="I148" s="1174" t="s">
        <v>143</v>
      </c>
      <c r="J148" s="1174" t="s">
        <v>50</v>
      </c>
      <c r="K148" s="1174" t="s">
        <v>50</v>
      </c>
      <c r="L148" s="1174" t="s">
        <v>50</v>
      </c>
      <c r="M148" s="1174" t="s">
        <v>50</v>
      </c>
      <c r="N148" s="1174" t="s">
        <v>50</v>
      </c>
      <c r="O148" s="1174"/>
      <c r="P148" s="1174"/>
      <c r="Q148" s="1174" t="s">
        <v>172</v>
      </c>
      <c r="R148" s="1174" t="s">
        <v>172</v>
      </c>
      <c r="S148" s="1174" t="s">
        <v>172</v>
      </c>
      <c r="T148" s="1174" t="s">
        <v>172</v>
      </c>
      <c r="U148" s="1174" t="s">
        <v>172</v>
      </c>
      <c r="V148" s="1174"/>
      <c r="W148" s="1174"/>
      <c r="X148" s="1174" t="s">
        <v>172</v>
      </c>
      <c r="Y148" s="1174" t="s">
        <v>172</v>
      </c>
      <c r="Z148" s="1174" t="s">
        <v>172</v>
      </c>
      <c r="AA148" s="1174" t="s">
        <v>172</v>
      </c>
      <c r="AB148" s="1174" t="s">
        <v>172</v>
      </c>
      <c r="AC148" s="1174"/>
      <c r="AD148" s="1174"/>
      <c r="AE148" s="1174" t="s">
        <v>142</v>
      </c>
      <c r="AF148" s="1174" t="s">
        <v>142</v>
      </c>
      <c r="AG148" s="1177" t="s">
        <v>142</v>
      </c>
      <c r="AH148" s="115"/>
      <c r="AI148" s="116"/>
    </row>
    <row r="149" spans="1:35" ht="18" customHeight="1" x14ac:dyDescent="0.2">
      <c r="A149" s="1417">
        <v>4</v>
      </c>
      <c r="B149" s="1217" t="s">
        <v>246</v>
      </c>
      <c r="C149" s="1418" t="s">
        <v>172</v>
      </c>
      <c r="D149" s="1418" t="s">
        <v>172</v>
      </c>
      <c r="E149" s="1418" t="s">
        <v>172</v>
      </c>
      <c r="F149" s="1418" t="s">
        <v>172</v>
      </c>
      <c r="G149" s="1220" t="s">
        <v>172</v>
      </c>
      <c r="H149" s="1220" t="s">
        <v>0</v>
      </c>
      <c r="I149" s="1220" t="s">
        <v>0</v>
      </c>
      <c r="J149" s="1220" t="s">
        <v>142</v>
      </c>
      <c r="K149" s="1418" t="s">
        <v>142</v>
      </c>
      <c r="L149" s="1418" t="s">
        <v>142</v>
      </c>
      <c r="M149" s="1220" t="s">
        <v>142</v>
      </c>
      <c r="N149" s="1418" t="s">
        <v>142</v>
      </c>
      <c r="O149" s="1220" t="s">
        <v>143</v>
      </c>
      <c r="P149" s="1220" t="s">
        <v>143</v>
      </c>
      <c r="Q149" s="1220" t="s">
        <v>50</v>
      </c>
      <c r="R149" s="1220" t="s">
        <v>50</v>
      </c>
      <c r="S149" s="1220" t="s">
        <v>50</v>
      </c>
      <c r="T149" s="1418" t="s">
        <v>50</v>
      </c>
      <c r="U149" s="1418" t="s">
        <v>50</v>
      </c>
      <c r="V149" s="1418"/>
      <c r="W149" s="1418"/>
      <c r="X149" s="1418" t="s">
        <v>172</v>
      </c>
      <c r="Y149" s="1418" t="s">
        <v>172</v>
      </c>
      <c r="Z149" s="1418" t="s">
        <v>172</v>
      </c>
      <c r="AA149" s="1418" t="s">
        <v>172</v>
      </c>
      <c r="AB149" s="1418" t="s">
        <v>172</v>
      </c>
      <c r="AC149" s="1418"/>
      <c r="AD149" s="1418"/>
      <c r="AE149" s="1418" t="s">
        <v>172</v>
      </c>
      <c r="AF149" s="1418" t="s">
        <v>172</v>
      </c>
      <c r="AG149" s="1222" t="s">
        <v>172</v>
      </c>
      <c r="AH149" s="115"/>
      <c r="AI149" s="116"/>
    </row>
    <row r="150" spans="1:35" ht="18" customHeight="1" x14ac:dyDescent="0.2">
      <c r="A150" s="129"/>
      <c r="B150" s="123"/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  <c r="P150" s="130"/>
      <c r="Q150" s="130"/>
      <c r="R150" s="130"/>
      <c r="S150" s="130"/>
      <c r="T150" s="130"/>
      <c r="U150" s="130"/>
      <c r="V150" s="130"/>
      <c r="W150" s="130"/>
      <c r="X150" s="130"/>
      <c r="Y150" s="130"/>
      <c r="Z150" s="130"/>
      <c r="AA150" s="130"/>
      <c r="AB150" s="130"/>
      <c r="AC150" s="130"/>
      <c r="AD150" s="130"/>
      <c r="AE150" s="130"/>
      <c r="AF150" s="130"/>
      <c r="AG150" s="131"/>
      <c r="AH150" s="132"/>
      <c r="AI150" s="116"/>
    </row>
    <row r="151" spans="1:35" ht="18" customHeight="1" x14ac:dyDescent="0.2">
      <c r="A151" s="48"/>
      <c r="B151" s="404" t="s">
        <v>247</v>
      </c>
      <c r="C151" s="1672"/>
      <c r="D151" s="1679" t="s">
        <v>17</v>
      </c>
      <c r="E151" s="1680"/>
      <c r="F151" s="1672"/>
      <c r="G151" s="1681" t="s">
        <v>18</v>
      </c>
      <c r="H151" s="1667"/>
      <c r="I151" s="1682"/>
      <c r="J151" s="1681" t="s">
        <v>19</v>
      </c>
      <c r="K151" s="1683"/>
      <c r="L151" s="1682"/>
      <c r="M151" s="1684" t="s">
        <v>20</v>
      </c>
      <c r="N151" s="1683"/>
      <c r="O151" s="1682"/>
      <c r="P151" s="1681" t="s">
        <v>21</v>
      </c>
      <c r="Q151" s="1685"/>
      <c r="R151" s="1682"/>
      <c r="S151" s="1681" t="s">
        <v>22</v>
      </c>
      <c r="T151" s="1686"/>
      <c r="U151" s="1682"/>
      <c r="V151" s="1681" t="s">
        <v>23</v>
      </c>
      <c r="W151" s="1685"/>
      <c r="X151" s="1687" t="s">
        <v>234</v>
      </c>
      <c r="Y151" s="1688"/>
      <c r="Z151" s="1688"/>
      <c r="AA151" s="1689"/>
      <c r="AB151" s="406" t="s">
        <v>126</v>
      </c>
      <c r="AC151" s="407"/>
      <c r="AD151" s="407"/>
      <c r="AE151" s="408"/>
      <c r="AF151" s="408"/>
      <c r="AG151" s="409"/>
      <c r="AH151" s="132"/>
      <c r="AI151" s="116"/>
    </row>
    <row r="152" spans="1:35" ht="18" customHeight="1" x14ac:dyDescent="0.2">
      <c r="A152" s="48"/>
      <c r="B152" s="1430" t="s">
        <v>248</v>
      </c>
      <c r="C152" s="1431" t="s">
        <v>249</v>
      </c>
      <c r="D152" s="1124"/>
      <c r="E152" s="1125"/>
      <c r="F152" s="1431" t="s">
        <v>249</v>
      </c>
      <c r="G152" s="1124"/>
      <c r="H152" s="1125"/>
      <c r="I152" s="1431" t="s">
        <v>249</v>
      </c>
      <c r="J152" s="1124"/>
      <c r="K152" s="1125"/>
      <c r="L152" s="1431" t="s">
        <v>249</v>
      </c>
      <c r="M152" s="1124"/>
      <c r="N152" s="1125"/>
      <c r="O152" s="1431" t="s">
        <v>250</v>
      </c>
      <c r="P152" s="1124"/>
      <c r="Q152" s="1125"/>
      <c r="R152" s="1431"/>
      <c r="S152" s="1124"/>
      <c r="T152" s="1125"/>
      <c r="U152" s="1431"/>
      <c r="V152" s="1124"/>
      <c r="W152" s="1125"/>
      <c r="X152" s="1431"/>
      <c r="Y152" s="1432"/>
      <c r="Z152" s="1432"/>
      <c r="AA152" s="1432"/>
      <c r="AB152" s="1120"/>
      <c r="AC152" s="1432"/>
      <c r="AD152" s="1432"/>
      <c r="AE152" s="1432"/>
      <c r="AF152" s="1432"/>
      <c r="AG152" s="1433"/>
      <c r="AH152" s="132"/>
      <c r="AI152" s="116"/>
    </row>
    <row r="153" spans="1:35" ht="18" customHeight="1" x14ac:dyDescent="0.2">
      <c r="A153" s="48"/>
      <c r="B153" s="4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132"/>
      <c r="AI153" s="116"/>
    </row>
    <row r="154" spans="1:35" ht="18" customHeight="1" x14ac:dyDescent="0.2">
      <c r="A154" s="1434" t="s">
        <v>43</v>
      </c>
      <c r="B154" s="1256" t="s">
        <v>44</v>
      </c>
      <c r="C154" s="395">
        <v>1</v>
      </c>
      <c r="D154" s="395">
        <v>2</v>
      </c>
      <c r="E154" s="395">
        <v>3</v>
      </c>
      <c r="F154" s="395">
        <v>4</v>
      </c>
      <c r="G154" s="395">
        <v>5</v>
      </c>
      <c r="H154" s="396">
        <v>6</v>
      </c>
      <c r="I154" s="396">
        <v>7</v>
      </c>
      <c r="J154" s="395">
        <v>8</v>
      </c>
      <c r="K154" s="395">
        <v>9</v>
      </c>
      <c r="L154" s="395">
        <v>10</v>
      </c>
      <c r="M154" s="395">
        <v>11</v>
      </c>
      <c r="N154" s="395">
        <v>12</v>
      </c>
      <c r="O154" s="396">
        <v>13</v>
      </c>
      <c r="P154" s="396">
        <v>14</v>
      </c>
      <c r="Q154" s="395">
        <v>15</v>
      </c>
      <c r="R154" s="395">
        <v>16</v>
      </c>
      <c r="S154" s="395">
        <v>17</v>
      </c>
      <c r="T154" s="395">
        <v>18</v>
      </c>
      <c r="U154" s="395">
        <v>19</v>
      </c>
      <c r="V154" s="396">
        <v>20</v>
      </c>
      <c r="W154" s="396">
        <v>21</v>
      </c>
      <c r="X154" s="395">
        <v>22</v>
      </c>
      <c r="Y154" s="395">
        <v>23</v>
      </c>
      <c r="Z154" s="395">
        <v>24</v>
      </c>
      <c r="AA154" s="395">
        <v>25</v>
      </c>
      <c r="AB154" s="395">
        <v>26</v>
      </c>
      <c r="AC154" s="396">
        <v>27</v>
      </c>
      <c r="AD154" s="396">
        <v>28</v>
      </c>
      <c r="AE154" s="395">
        <v>29</v>
      </c>
      <c r="AF154" s="395">
        <v>30</v>
      </c>
      <c r="AG154" s="395">
        <v>31</v>
      </c>
      <c r="AH154" s="132"/>
      <c r="AI154" s="116"/>
    </row>
    <row r="155" spans="1:35" ht="18" customHeight="1" x14ac:dyDescent="0.2">
      <c r="A155" s="1690">
        <v>8520</v>
      </c>
      <c r="B155" s="1691" t="s">
        <v>251</v>
      </c>
      <c r="C155" s="1692" t="s">
        <v>252</v>
      </c>
      <c r="D155" s="1692" t="s">
        <v>252</v>
      </c>
      <c r="E155" s="1692" t="s">
        <v>252</v>
      </c>
      <c r="F155" s="1692" t="s">
        <v>252</v>
      </c>
      <c r="G155" s="1692" t="s">
        <v>252</v>
      </c>
      <c r="H155" s="1692"/>
      <c r="I155" s="1692"/>
      <c r="J155" s="1411" t="s">
        <v>252</v>
      </c>
      <c r="K155" s="1411" t="s">
        <v>252</v>
      </c>
      <c r="L155" s="1411" t="s">
        <v>252</v>
      </c>
      <c r="M155" s="1411" t="s">
        <v>252</v>
      </c>
      <c r="N155" s="1411" t="s">
        <v>252</v>
      </c>
      <c r="O155" s="1411"/>
      <c r="P155" s="1411"/>
      <c r="Q155" s="1411" t="s">
        <v>252</v>
      </c>
      <c r="R155" s="1411" t="s">
        <v>252</v>
      </c>
      <c r="S155" s="1411" t="s">
        <v>252</v>
      </c>
      <c r="T155" s="1411" t="s">
        <v>252</v>
      </c>
      <c r="U155" s="1411" t="s">
        <v>252</v>
      </c>
      <c r="V155" s="1411"/>
      <c r="W155" s="1411"/>
      <c r="X155" s="1411" t="s">
        <v>252</v>
      </c>
      <c r="Y155" s="1411" t="s">
        <v>252</v>
      </c>
      <c r="Z155" s="1411" t="s">
        <v>252</v>
      </c>
      <c r="AA155" s="1411" t="s">
        <v>252</v>
      </c>
      <c r="AB155" s="1411" t="s">
        <v>252</v>
      </c>
      <c r="AC155" s="1411"/>
      <c r="AD155" s="1411"/>
      <c r="AE155" s="1411" t="s">
        <v>252</v>
      </c>
      <c r="AF155" s="1411" t="s">
        <v>252</v>
      </c>
      <c r="AG155" s="1414" t="s">
        <v>252</v>
      </c>
      <c r="AH155" s="132"/>
      <c r="AI155" s="116"/>
    </row>
    <row r="156" spans="1:35" ht="18" customHeight="1" x14ac:dyDescent="0.2">
      <c r="A156" s="136"/>
      <c r="B156" s="135"/>
      <c r="C156" s="128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32"/>
      <c r="AI156" s="116"/>
    </row>
    <row r="157" spans="1:35" ht="18" customHeight="1" x14ac:dyDescent="0.2">
      <c r="AH157" s="67"/>
      <c r="AI157" s="67"/>
    </row>
    <row r="158" spans="1:35" ht="18" customHeight="1" x14ac:dyDescent="0.2">
      <c r="A158" s="107" t="s">
        <v>254</v>
      </c>
      <c r="B158" s="108"/>
      <c r="C158" s="108"/>
      <c r="D158" s="109"/>
      <c r="E158" s="109"/>
      <c r="F158" s="109"/>
      <c r="G158" s="65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8"/>
      <c r="AI158" s="108"/>
    </row>
    <row r="159" spans="1:35" ht="18" customHeight="1" x14ac:dyDescent="0.2">
      <c r="A159" s="107"/>
      <c r="B159" s="404" t="s">
        <v>255</v>
      </c>
      <c r="C159" s="1693"/>
      <c r="D159" s="1694" t="s">
        <v>17</v>
      </c>
      <c r="E159" s="1695"/>
      <c r="F159" s="1696"/>
      <c r="G159" s="1693"/>
      <c r="H159" s="1694" t="s">
        <v>18</v>
      </c>
      <c r="I159" s="1695"/>
      <c r="J159" s="1696"/>
      <c r="K159" s="1693"/>
      <c r="L159" s="1694" t="s">
        <v>19</v>
      </c>
      <c r="M159" s="1695"/>
      <c r="N159" s="1696"/>
      <c r="O159" s="1693"/>
      <c r="P159" s="1694" t="s">
        <v>20</v>
      </c>
      <c r="Q159" s="1695"/>
      <c r="R159" s="1696"/>
      <c r="S159" s="1693"/>
      <c r="T159" s="1694" t="s">
        <v>21</v>
      </c>
      <c r="U159" s="1695"/>
      <c r="V159" s="1696"/>
      <c r="W159" s="1693"/>
      <c r="X159" s="1694" t="s">
        <v>22</v>
      </c>
      <c r="Y159" s="1695"/>
      <c r="Z159" s="1696"/>
      <c r="AA159" s="1693"/>
      <c r="AB159" s="1694" t="s">
        <v>23</v>
      </c>
      <c r="AC159" s="1695"/>
      <c r="AD159" s="1695"/>
      <c r="AE159" s="1697" t="s">
        <v>126</v>
      </c>
      <c r="AF159" s="1695"/>
      <c r="AG159" s="1695"/>
      <c r="AH159" s="1695"/>
      <c r="AI159" s="1698"/>
    </row>
    <row r="160" spans="1:35" ht="18" customHeight="1" x14ac:dyDescent="0.2">
      <c r="A160" s="107"/>
      <c r="B160" s="1444" t="s">
        <v>235</v>
      </c>
      <c r="C160" s="1445">
        <v>69</v>
      </c>
      <c r="D160" s="1446" t="s">
        <v>256</v>
      </c>
      <c r="E160" s="1446"/>
      <c r="F160" s="1447"/>
      <c r="G160" s="1445">
        <v>69</v>
      </c>
      <c r="H160" s="1446" t="s">
        <v>256</v>
      </c>
      <c r="I160" s="1446"/>
      <c r="J160" s="1447"/>
      <c r="K160" s="1445">
        <v>69</v>
      </c>
      <c r="L160" s="1446" t="s">
        <v>256</v>
      </c>
      <c r="M160" s="1446"/>
      <c r="N160" s="1447"/>
      <c r="O160" s="1445">
        <v>69</v>
      </c>
      <c r="P160" s="1446" t="s">
        <v>256</v>
      </c>
      <c r="Q160" s="1446"/>
      <c r="R160" s="1447"/>
      <c r="S160" s="1445">
        <v>69</v>
      </c>
      <c r="T160" s="1446" t="s">
        <v>256</v>
      </c>
      <c r="U160" s="1446"/>
      <c r="V160" s="1447"/>
      <c r="W160" s="1445"/>
      <c r="X160" s="1448"/>
      <c r="Y160" s="1448"/>
      <c r="Z160" s="1449"/>
      <c r="AA160" s="1445"/>
      <c r="AB160" s="1446"/>
      <c r="AC160" s="1446"/>
      <c r="AD160" s="1302"/>
      <c r="AE160" s="1450">
        <v>35</v>
      </c>
      <c r="AF160" s="1446"/>
      <c r="AG160" s="1446"/>
      <c r="AH160" s="1302"/>
      <c r="AI160" s="1451"/>
    </row>
    <row r="161" spans="1:35" ht="18" customHeight="1" x14ac:dyDescent="0.2">
      <c r="A161" s="107"/>
      <c r="B161" s="1444" t="s">
        <v>236</v>
      </c>
      <c r="C161" s="1445">
        <v>79</v>
      </c>
      <c r="D161" s="1446" t="s">
        <v>257</v>
      </c>
      <c r="E161" s="1446"/>
      <c r="F161" s="1447"/>
      <c r="G161" s="1445">
        <v>79</v>
      </c>
      <c r="H161" s="1446" t="s">
        <v>257</v>
      </c>
      <c r="I161" s="1446"/>
      <c r="J161" s="1447"/>
      <c r="K161" s="1445">
        <v>79</v>
      </c>
      <c r="L161" s="1446" t="s">
        <v>257</v>
      </c>
      <c r="M161" s="1446"/>
      <c r="N161" s="1447"/>
      <c r="O161" s="1445">
        <v>79</v>
      </c>
      <c r="P161" s="1446" t="s">
        <v>257</v>
      </c>
      <c r="Q161" s="1446"/>
      <c r="R161" s="1447"/>
      <c r="S161" s="1445">
        <v>79</v>
      </c>
      <c r="T161" s="1446" t="s">
        <v>257</v>
      </c>
      <c r="U161" s="1446"/>
      <c r="V161" s="1447"/>
      <c r="W161" s="1445"/>
      <c r="X161" s="1446"/>
      <c r="Y161" s="1446"/>
      <c r="Z161" s="1447"/>
      <c r="AA161" s="1446"/>
      <c r="AB161" s="1446"/>
      <c r="AC161" s="1446"/>
      <c r="AD161" s="1302"/>
      <c r="AE161" s="1450">
        <v>40</v>
      </c>
      <c r="AF161" s="1446"/>
      <c r="AG161" s="1446"/>
      <c r="AH161" s="1302"/>
      <c r="AI161" s="1451"/>
    </row>
    <row r="162" spans="1:35" ht="18" customHeight="1" x14ac:dyDescent="0.2">
      <c r="A162" s="107"/>
      <c r="B162" s="1444" t="s">
        <v>243</v>
      </c>
      <c r="C162" s="1445">
        <v>89</v>
      </c>
      <c r="D162" s="1446" t="s">
        <v>258</v>
      </c>
      <c r="E162" s="1446"/>
      <c r="F162" s="1447"/>
      <c r="G162" s="1445">
        <v>89</v>
      </c>
      <c r="H162" s="1446" t="s">
        <v>258</v>
      </c>
      <c r="I162" s="1446"/>
      <c r="J162" s="1447"/>
      <c r="K162" s="1445">
        <v>89</v>
      </c>
      <c r="L162" s="1446" t="s">
        <v>258</v>
      </c>
      <c r="M162" s="1446"/>
      <c r="N162" s="1447"/>
      <c r="O162" s="1445">
        <v>89</v>
      </c>
      <c r="P162" s="1446" t="s">
        <v>258</v>
      </c>
      <c r="Q162" s="1446"/>
      <c r="R162" s="1447"/>
      <c r="S162" s="1445">
        <v>89</v>
      </c>
      <c r="T162" s="1446" t="s">
        <v>259</v>
      </c>
      <c r="U162" s="1446"/>
      <c r="V162" s="1447"/>
      <c r="W162" s="1452"/>
      <c r="X162" s="1453" t="s">
        <v>260</v>
      </c>
      <c r="Y162" s="1453"/>
      <c r="Z162" s="1454"/>
      <c r="AA162" s="1452"/>
      <c r="AB162" s="1453"/>
      <c r="AC162" s="1453"/>
      <c r="AD162" s="1304"/>
      <c r="AE162" s="1450">
        <v>44</v>
      </c>
      <c r="AF162" s="1446"/>
      <c r="AG162" s="1446"/>
      <c r="AH162" s="1302"/>
      <c r="AI162" s="1451"/>
    </row>
    <row r="163" spans="1:35" ht="18" customHeight="1" x14ac:dyDescent="0.2">
      <c r="A163" s="107"/>
      <c r="B163" s="19" t="s">
        <v>245</v>
      </c>
      <c r="C163" s="1452">
        <v>99</v>
      </c>
      <c r="D163" s="1453" t="s">
        <v>261</v>
      </c>
      <c r="E163" s="1453"/>
      <c r="F163" s="1454"/>
      <c r="G163" s="1452">
        <v>99</v>
      </c>
      <c r="H163" s="1453" t="s">
        <v>261</v>
      </c>
      <c r="I163" s="1453"/>
      <c r="J163" s="1454"/>
      <c r="K163" s="1452">
        <v>99</v>
      </c>
      <c r="L163" s="1453" t="s">
        <v>261</v>
      </c>
      <c r="M163" s="1453"/>
      <c r="N163" s="1454"/>
      <c r="O163" s="1452">
        <v>99</v>
      </c>
      <c r="P163" s="1453" t="s">
        <v>261</v>
      </c>
      <c r="Q163" s="1453"/>
      <c r="R163" s="1454"/>
      <c r="S163" s="1452">
        <v>99</v>
      </c>
      <c r="T163" s="1453" t="s">
        <v>244</v>
      </c>
      <c r="U163" s="1453"/>
      <c r="V163" s="1304"/>
      <c r="W163" s="1303"/>
      <c r="X163" s="1304"/>
      <c r="Y163" s="1453"/>
      <c r="Z163" s="1454"/>
      <c r="AA163" s="1303"/>
      <c r="AB163" s="1304"/>
      <c r="AC163" s="1453"/>
      <c r="AD163" s="1454"/>
      <c r="AE163" s="1455">
        <v>28</v>
      </c>
      <c r="AF163" s="1453"/>
      <c r="AG163" s="1453"/>
      <c r="AH163" s="1304"/>
      <c r="AI163" s="1456"/>
    </row>
    <row r="164" spans="1:35" ht="18" customHeight="1" x14ac:dyDescent="0.2">
      <c r="A164" s="107"/>
      <c r="B164" s="1457" t="s">
        <v>262</v>
      </c>
      <c r="C164" s="1458" t="s">
        <v>77</v>
      </c>
      <c r="D164" s="1459" t="s">
        <v>263</v>
      </c>
      <c r="E164" s="1460"/>
      <c r="F164" s="1249"/>
      <c r="G164" s="1458" t="s">
        <v>77</v>
      </c>
      <c r="H164" s="1459" t="s">
        <v>263</v>
      </c>
      <c r="I164" s="1247"/>
      <c r="J164" s="1460"/>
      <c r="K164" s="1458" t="s">
        <v>77</v>
      </c>
      <c r="L164" s="1459" t="s">
        <v>263</v>
      </c>
      <c r="M164" s="1460"/>
      <c r="N164" s="1461"/>
      <c r="O164" s="1458" t="s">
        <v>77</v>
      </c>
      <c r="P164" s="1459" t="s">
        <v>263</v>
      </c>
      <c r="Q164" s="1460"/>
      <c r="R164" s="1459"/>
      <c r="S164" s="1458" t="s">
        <v>77</v>
      </c>
      <c r="T164" s="1251" t="s">
        <v>264</v>
      </c>
      <c r="U164" s="1459"/>
      <c r="V164" s="1461"/>
      <c r="W164" s="1460"/>
      <c r="X164" s="1459"/>
      <c r="Y164" s="1459"/>
      <c r="Z164" s="1459"/>
      <c r="AA164" s="1462"/>
      <c r="AB164" s="1463"/>
      <c r="AC164" s="1459"/>
      <c r="AD164" s="1464"/>
      <c r="AE164" s="1459"/>
      <c r="AF164" s="1459"/>
      <c r="AG164" s="1459"/>
      <c r="AH164" s="1465"/>
      <c r="AI164" s="1483"/>
    </row>
    <row r="165" spans="1:35" ht="18" customHeight="1" x14ac:dyDescent="0.2">
      <c r="A165" s="68"/>
      <c r="B165" s="107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8"/>
      <c r="AI165" s="108"/>
    </row>
    <row r="166" spans="1:35" ht="18" customHeight="1" x14ac:dyDescent="0.2">
      <c r="A166" s="1434"/>
      <c r="B166" s="1256" t="s">
        <v>44</v>
      </c>
      <c r="C166" s="395">
        <v>1</v>
      </c>
      <c r="D166" s="395">
        <v>2</v>
      </c>
      <c r="E166" s="395">
        <v>3</v>
      </c>
      <c r="F166" s="395">
        <v>4</v>
      </c>
      <c r="G166" s="395">
        <v>5</v>
      </c>
      <c r="H166" s="396">
        <v>6</v>
      </c>
      <c r="I166" s="396">
        <v>7</v>
      </c>
      <c r="J166" s="395">
        <v>8</v>
      </c>
      <c r="K166" s="395">
        <v>9</v>
      </c>
      <c r="L166" s="395">
        <v>10</v>
      </c>
      <c r="M166" s="395">
        <v>11</v>
      </c>
      <c r="N166" s="395">
        <v>12</v>
      </c>
      <c r="O166" s="396">
        <v>13</v>
      </c>
      <c r="P166" s="396">
        <v>14</v>
      </c>
      <c r="Q166" s="395">
        <v>15</v>
      </c>
      <c r="R166" s="395">
        <v>16</v>
      </c>
      <c r="S166" s="395">
        <v>17</v>
      </c>
      <c r="T166" s="395">
        <v>18</v>
      </c>
      <c r="U166" s="395">
        <v>19</v>
      </c>
      <c r="V166" s="396">
        <v>20</v>
      </c>
      <c r="W166" s="396">
        <v>21</v>
      </c>
      <c r="X166" s="395">
        <v>22</v>
      </c>
      <c r="Y166" s="395">
        <v>23</v>
      </c>
      <c r="Z166" s="395">
        <v>24</v>
      </c>
      <c r="AA166" s="395">
        <v>25</v>
      </c>
      <c r="AB166" s="395">
        <v>26</v>
      </c>
      <c r="AC166" s="396">
        <v>27</v>
      </c>
      <c r="AD166" s="396">
        <v>28</v>
      </c>
      <c r="AE166" s="395">
        <v>29</v>
      </c>
      <c r="AF166" s="395">
        <v>30</v>
      </c>
      <c r="AG166" s="395">
        <v>31</v>
      </c>
      <c r="AH166" s="110"/>
      <c r="AI166" s="111"/>
    </row>
    <row r="167" spans="1:35" ht="18" customHeight="1" x14ac:dyDescent="0.2">
      <c r="A167" s="1673">
        <v>1</v>
      </c>
      <c r="B167" s="1699" t="s">
        <v>265</v>
      </c>
      <c r="C167" s="1467">
        <v>89</v>
      </c>
      <c r="D167" s="1467">
        <v>89</v>
      </c>
      <c r="E167" s="1675">
        <v>89</v>
      </c>
      <c r="F167" s="1675">
        <v>89</v>
      </c>
      <c r="G167" s="1700">
        <v>89</v>
      </c>
      <c r="H167" s="1467">
        <v>89</v>
      </c>
      <c r="I167" s="1700"/>
      <c r="J167" s="1700">
        <v>99</v>
      </c>
      <c r="K167" s="1467">
        <v>99</v>
      </c>
      <c r="L167" s="1700">
        <v>99</v>
      </c>
      <c r="M167" s="1675">
        <v>99</v>
      </c>
      <c r="N167" s="1467" t="s">
        <v>50</v>
      </c>
      <c r="O167" s="1467"/>
      <c r="P167" s="1467"/>
      <c r="Q167" s="1467" t="s">
        <v>77</v>
      </c>
      <c r="R167" s="1467" t="s">
        <v>77</v>
      </c>
      <c r="S167" s="1675" t="s">
        <v>77</v>
      </c>
      <c r="T167" s="1675" t="s">
        <v>77</v>
      </c>
      <c r="U167" s="1467" t="s">
        <v>77</v>
      </c>
      <c r="V167" s="1467"/>
      <c r="W167" s="1467"/>
      <c r="X167" s="1467">
        <v>69</v>
      </c>
      <c r="Y167" s="1467">
        <v>69</v>
      </c>
      <c r="Z167" s="1467">
        <v>69</v>
      </c>
      <c r="AA167" s="1700">
        <v>69</v>
      </c>
      <c r="AB167" s="1467">
        <v>69</v>
      </c>
      <c r="AC167" s="1467"/>
      <c r="AD167" s="1467"/>
      <c r="AE167" s="1467">
        <v>79</v>
      </c>
      <c r="AF167" s="1700">
        <v>79</v>
      </c>
      <c r="AG167" s="1701">
        <v>79</v>
      </c>
      <c r="AH167" s="124"/>
      <c r="AI167" s="67"/>
    </row>
    <row r="168" spans="1:35" ht="18" customHeight="1" x14ac:dyDescent="0.2">
      <c r="A168" s="1415">
        <v>2</v>
      </c>
      <c r="B168" s="1472" t="s">
        <v>266</v>
      </c>
      <c r="C168" s="1182">
        <v>99</v>
      </c>
      <c r="D168" s="1174">
        <v>99</v>
      </c>
      <c r="E168" s="1182">
        <v>99</v>
      </c>
      <c r="F168" s="1182">
        <v>99</v>
      </c>
      <c r="G168" s="1182" t="s">
        <v>50</v>
      </c>
      <c r="H168" s="1223"/>
      <c r="I168" s="1179"/>
      <c r="J168" s="1186" t="s">
        <v>77</v>
      </c>
      <c r="K168" s="1186" t="s">
        <v>77</v>
      </c>
      <c r="L168" s="1186" t="s">
        <v>77</v>
      </c>
      <c r="M168" s="1186" t="s">
        <v>77</v>
      </c>
      <c r="N168" s="1186" t="s">
        <v>77</v>
      </c>
      <c r="O168" s="1186"/>
      <c r="P168" s="1186"/>
      <c r="Q168" s="1186">
        <v>69</v>
      </c>
      <c r="R168" s="1186">
        <v>69</v>
      </c>
      <c r="S168" s="1186">
        <v>69</v>
      </c>
      <c r="T168" s="1186">
        <v>69</v>
      </c>
      <c r="U168" s="1186">
        <v>69</v>
      </c>
      <c r="V168" s="1186"/>
      <c r="W168" s="1186"/>
      <c r="X168" s="1186">
        <v>79</v>
      </c>
      <c r="Y168" s="1186">
        <v>79</v>
      </c>
      <c r="Z168" s="1186">
        <v>79</v>
      </c>
      <c r="AA168" s="1186">
        <v>79</v>
      </c>
      <c r="AB168" s="1186">
        <v>79</v>
      </c>
      <c r="AC168" s="1185"/>
      <c r="AD168" s="1185"/>
      <c r="AE168" s="1702">
        <v>89</v>
      </c>
      <c r="AF168" s="1702">
        <v>89</v>
      </c>
      <c r="AG168" s="1612">
        <v>89</v>
      </c>
      <c r="AH168" s="125"/>
      <c r="AI168" s="106"/>
    </row>
    <row r="169" spans="1:35" ht="18" customHeight="1" x14ac:dyDescent="0.2">
      <c r="A169" s="1415">
        <v>3</v>
      </c>
      <c r="B169" s="1472" t="s">
        <v>267</v>
      </c>
      <c r="C169" s="1473" t="s">
        <v>77</v>
      </c>
      <c r="D169" s="1174" t="s">
        <v>77</v>
      </c>
      <c r="E169" s="1174" t="s">
        <v>77</v>
      </c>
      <c r="F169" s="1473" t="s">
        <v>77</v>
      </c>
      <c r="G169" s="1179" t="s">
        <v>77</v>
      </c>
      <c r="H169" s="1473"/>
      <c r="I169" s="1179"/>
      <c r="J169" s="1176">
        <v>69</v>
      </c>
      <c r="K169" s="1473">
        <v>69</v>
      </c>
      <c r="L169" s="1473">
        <v>69</v>
      </c>
      <c r="M169" s="1473">
        <v>69</v>
      </c>
      <c r="N169" s="1223">
        <v>69</v>
      </c>
      <c r="O169" s="1176" t="s">
        <v>290</v>
      </c>
      <c r="P169" s="1379"/>
      <c r="Q169" s="1185">
        <v>79</v>
      </c>
      <c r="R169" s="1185">
        <v>79</v>
      </c>
      <c r="S169" s="1185">
        <v>79</v>
      </c>
      <c r="T169" s="1185">
        <v>79</v>
      </c>
      <c r="U169" s="1185">
        <v>79</v>
      </c>
      <c r="V169" s="1214"/>
      <c r="W169" s="1214"/>
      <c r="X169" s="1214">
        <v>89</v>
      </c>
      <c r="Y169" s="1473">
        <v>89</v>
      </c>
      <c r="Z169" s="1473">
        <v>89</v>
      </c>
      <c r="AA169" s="1473">
        <v>89</v>
      </c>
      <c r="AB169" s="1473">
        <v>89</v>
      </c>
      <c r="AC169" s="1473">
        <v>89</v>
      </c>
      <c r="AD169" s="1473"/>
      <c r="AE169" s="1473">
        <v>99</v>
      </c>
      <c r="AF169" s="1473">
        <v>99</v>
      </c>
      <c r="AG169" s="1475">
        <v>99</v>
      </c>
      <c r="AH169" s="124"/>
      <c r="AI169" s="67"/>
    </row>
    <row r="170" spans="1:35" ht="18" customHeight="1" x14ac:dyDescent="0.2">
      <c r="A170" s="1415">
        <v>4</v>
      </c>
      <c r="B170" s="1472" t="s">
        <v>269</v>
      </c>
      <c r="C170" s="1174">
        <v>69</v>
      </c>
      <c r="D170" s="1174">
        <v>69</v>
      </c>
      <c r="E170" s="1174">
        <v>69</v>
      </c>
      <c r="F170" s="1174">
        <v>69</v>
      </c>
      <c r="G170" s="1174">
        <v>69</v>
      </c>
      <c r="H170" s="1174"/>
      <c r="I170" s="1179"/>
      <c r="J170" s="1174">
        <v>79</v>
      </c>
      <c r="K170" s="1174">
        <v>79</v>
      </c>
      <c r="L170" s="1174">
        <v>79</v>
      </c>
      <c r="M170" s="1174">
        <v>79</v>
      </c>
      <c r="N170" s="1223">
        <v>79</v>
      </c>
      <c r="O170" s="1175" t="s">
        <v>109</v>
      </c>
      <c r="P170" s="1174"/>
      <c r="Q170" s="1379">
        <v>89</v>
      </c>
      <c r="R170" s="1379">
        <v>89</v>
      </c>
      <c r="S170" s="1174">
        <v>89</v>
      </c>
      <c r="T170" s="1174">
        <v>89</v>
      </c>
      <c r="U170" s="1174">
        <v>89</v>
      </c>
      <c r="V170" s="1174">
        <v>89</v>
      </c>
      <c r="W170" s="1174"/>
      <c r="X170" s="1174">
        <v>99</v>
      </c>
      <c r="Y170" s="1379">
        <v>99</v>
      </c>
      <c r="Z170" s="1379">
        <v>99</v>
      </c>
      <c r="AA170" s="1174">
        <v>99</v>
      </c>
      <c r="AB170" s="1174" t="s">
        <v>50</v>
      </c>
      <c r="AC170" s="1174"/>
      <c r="AD170" s="1174"/>
      <c r="AE170" s="1174" t="s">
        <v>77</v>
      </c>
      <c r="AF170" s="1379" t="s">
        <v>77</v>
      </c>
      <c r="AG170" s="1321" t="s">
        <v>77</v>
      </c>
      <c r="AH170" s="124"/>
      <c r="AI170" s="67"/>
    </row>
    <row r="171" spans="1:35" ht="18" customHeight="1" x14ac:dyDescent="0.2">
      <c r="A171" s="1417">
        <v>5</v>
      </c>
      <c r="B171" s="1274" t="s">
        <v>270</v>
      </c>
      <c r="C171" s="1279">
        <v>79</v>
      </c>
      <c r="D171" s="1542">
        <v>79</v>
      </c>
      <c r="E171" s="1542">
        <v>79</v>
      </c>
      <c r="F171" s="1542">
        <v>79</v>
      </c>
      <c r="G171" s="1542">
        <v>79</v>
      </c>
      <c r="H171" s="1542"/>
      <c r="I171" s="1542"/>
      <c r="J171" s="1542">
        <v>89</v>
      </c>
      <c r="K171" s="1542">
        <v>89</v>
      </c>
      <c r="L171" s="1542">
        <v>89</v>
      </c>
      <c r="M171" s="1542">
        <v>89</v>
      </c>
      <c r="N171" s="1542">
        <v>89</v>
      </c>
      <c r="O171" s="1542" t="s">
        <v>268</v>
      </c>
      <c r="P171" s="1381"/>
      <c r="Q171" s="1381">
        <v>99</v>
      </c>
      <c r="R171" s="1381">
        <v>99</v>
      </c>
      <c r="S171" s="1381">
        <v>99</v>
      </c>
      <c r="T171" s="1381">
        <v>99</v>
      </c>
      <c r="U171" s="1381" t="s">
        <v>50</v>
      </c>
      <c r="V171" s="1381"/>
      <c r="W171" s="1381"/>
      <c r="X171" s="1381" t="s">
        <v>77</v>
      </c>
      <c r="Y171" s="1381" t="s">
        <v>77</v>
      </c>
      <c r="Z171" s="1381" t="s">
        <v>77</v>
      </c>
      <c r="AA171" s="1268" t="s">
        <v>77</v>
      </c>
      <c r="AB171" s="1381" t="s">
        <v>77</v>
      </c>
      <c r="AC171" s="1220"/>
      <c r="AD171" s="1220"/>
      <c r="AE171" s="1269">
        <v>69</v>
      </c>
      <c r="AF171" s="1269">
        <v>69</v>
      </c>
      <c r="AG171" s="1601">
        <v>69</v>
      </c>
      <c r="AH171" s="124"/>
      <c r="AI171" s="67"/>
    </row>
    <row r="172" spans="1:35" ht="18" customHeight="1" x14ac:dyDescent="0.2">
      <c r="A172" s="129"/>
      <c r="B172" s="141"/>
      <c r="C172" s="142"/>
      <c r="D172" s="142"/>
      <c r="E172" s="142"/>
      <c r="F172" s="128"/>
      <c r="G172" s="140"/>
      <c r="H172" s="140"/>
      <c r="I172" s="140"/>
      <c r="J172" s="140"/>
      <c r="K172" s="140"/>
      <c r="L172" s="128"/>
      <c r="M172" s="128"/>
      <c r="N172" s="142"/>
      <c r="O172" s="142"/>
      <c r="P172" s="142"/>
      <c r="Q172" s="142"/>
      <c r="R172" s="142"/>
      <c r="S172" s="128"/>
      <c r="T172" s="143"/>
      <c r="U172" s="142"/>
      <c r="V172" s="142"/>
      <c r="W172" s="142"/>
      <c r="X172" s="142"/>
      <c r="Y172" s="142"/>
      <c r="Z172" s="144"/>
      <c r="AA172" s="144"/>
      <c r="AB172" s="142"/>
      <c r="AC172" s="142"/>
      <c r="AD172" s="142"/>
      <c r="AE172" s="142"/>
      <c r="AF172" s="142"/>
      <c r="AG172" s="144"/>
      <c r="AH172" s="124"/>
      <c r="AI172" s="358"/>
    </row>
    <row r="173" spans="1:35" ht="18" customHeight="1" x14ac:dyDescent="0.2">
      <c r="A173" s="69"/>
      <c r="B173" s="70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7"/>
      <c r="AI173" s="67"/>
    </row>
    <row r="174" spans="1:35" ht="18" customHeight="1" x14ac:dyDescent="0.2">
      <c r="A174" s="107" t="s">
        <v>271</v>
      </c>
      <c r="B174" s="108"/>
      <c r="C174" s="108"/>
      <c r="D174" s="109"/>
      <c r="E174" s="109"/>
      <c r="F174" s="109"/>
      <c r="G174" s="65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8"/>
      <c r="AI174" s="108"/>
    </row>
    <row r="175" spans="1:35" ht="18" customHeight="1" x14ac:dyDescent="0.2">
      <c r="A175" s="107"/>
      <c r="B175" s="404" t="s">
        <v>255</v>
      </c>
      <c r="C175" s="1693"/>
      <c r="D175" s="1694" t="s">
        <v>17</v>
      </c>
      <c r="E175" s="1695"/>
      <c r="F175" s="1696"/>
      <c r="G175" s="1693"/>
      <c r="H175" s="1694" t="s">
        <v>18</v>
      </c>
      <c r="I175" s="1695"/>
      <c r="J175" s="1696"/>
      <c r="K175" s="1693"/>
      <c r="L175" s="1694" t="s">
        <v>19</v>
      </c>
      <c r="M175" s="1695"/>
      <c r="N175" s="1696"/>
      <c r="O175" s="1693"/>
      <c r="P175" s="1694" t="s">
        <v>20</v>
      </c>
      <c r="Q175" s="1695"/>
      <c r="R175" s="1696"/>
      <c r="S175" s="1693"/>
      <c r="T175" s="1694" t="s">
        <v>21</v>
      </c>
      <c r="U175" s="1695"/>
      <c r="V175" s="1696"/>
      <c r="W175" s="1693"/>
      <c r="X175" s="1694" t="s">
        <v>22</v>
      </c>
      <c r="Y175" s="1695"/>
      <c r="Z175" s="1696"/>
      <c r="AA175" s="1693"/>
      <c r="AB175" s="1694" t="s">
        <v>23</v>
      </c>
      <c r="AC175" s="1695"/>
      <c r="AD175" s="1695"/>
      <c r="AE175" s="1697" t="s">
        <v>126</v>
      </c>
      <c r="AF175" s="1695"/>
      <c r="AG175" s="1695"/>
      <c r="AH175" s="1695"/>
      <c r="AI175" s="1698"/>
    </row>
    <row r="176" spans="1:35" ht="18" customHeight="1" x14ac:dyDescent="0.2">
      <c r="A176" s="107"/>
      <c r="B176" s="1444" t="s">
        <v>272</v>
      </c>
      <c r="C176" s="1301" t="s">
        <v>273</v>
      </c>
      <c r="D176" s="1446"/>
      <c r="E176" s="1446"/>
      <c r="F176" s="1447"/>
      <c r="G176" s="1301" t="s">
        <v>273</v>
      </c>
      <c r="H176" s="1446"/>
      <c r="I176" s="1446"/>
      <c r="J176" s="1447"/>
      <c r="K176" s="1301" t="s">
        <v>273</v>
      </c>
      <c r="L176" s="1446"/>
      <c r="M176" s="1446"/>
      <c r="N176" s="1447"/>
      <c r="O176" s="1301" t="s">
        <v>274</v>
      </c>
      <c r="P176" s="1446"/>
      <c r="Q176" s="1446"/>
      <c r="R176" s="1447"/>
      <c r="S176" s="1301" t="s">
        <v>275</v>
      </c>
      <c r="T176" s="1446"/>
      <c r="U176" s="1446"/>
      <c r="V176" s="1447"/>
      <c r="W176" s="1301" t="s">
        <v>276</v>
      </c>
      <c r="X176" s="1448"/>
      <c r="Y176" s="1448"/>
      <c r="Z176" s="1449"/>
      <c r="AA176" s="1301" t="s">
        <v>276</v>
      </c>
      <c r="AB176" s="1446"/>
      <c r="AC176" s="1446"/>
      <c r="AD176" s="1302"/>
      <c r="AE176" s="1450">
        <v>68</v>
      </c>
      <c r="AF176" s="948"/>
      <c r="AG176" s="948"/>
      <c r="AH176" s="948"/>
      <c r="AI176" s="949"/>
    </row>
    <row r="177" spans="1:35" ht="18" customHeight="1" x14ac:dyDescent="0.2">
      <c r="A177" s="107"/>
      <c r="B177" s="1444"/>
      <c r="C177" s="1301" t="s">
        <v>244</v>
      </c>
      <c r="D177" s="1446"/>
      <c r="E177" s="1446"/>
      <c r="F177" s="1447"/>
      <c r="G177" s="1301" t="s">
        <v>244</v>
      </c>
      <c r="H177" s="1446"/>
      <c r="I177" s="1446"/>
      <c r="J177" s="1447"/>
      <c r="K177" s="1301" t="s">
        <v>244</v>
      </c>
      <c r="L177" s="1446"/>
      <c r="M177" s="1446"/>
      <c r="N177" s="1447"/>
      <c r="O177" s="1301" t="s">
        <v>244</v>
      </c>
      <c r="P177" s="1446"/>
      <c r="Q177" s="1446"/>
      <c r="R177" s="1447"/>
      <c r="S177" s="1301" t="s">
        <v>244</v>
      </c>
      <c r="T177" s="1446"/>
      <c r="U177" s="1446"/>
      <c r="V177" s="1447"/>
      <c r="W177" s="1301" t="s">
        <v>244</v>
      </c>
      <c r="X177" s="1446"/>
      <c r="Y177" s="1446"/>
      <c r="Z177" s="1447"/>
      <c r="AA177" s="1446" t="s">
        <v>244</v>
      </c>
      <c r="AB177" s="1446"/>
      <c r="AC177" s="1446"/>
      <c r="AD177" s="1302"/>
      <c r="AE177" s="1450">
        <v>0</v>
      </c>
      <c r="AF177" s="948"/>
      <c r="AG177" s="948"/>
      <c r="AH177" s="948"/>
      <c r="AI177" s="949"/>
    </row>
    <row r="178" spans="1:35" ht="18" customHeight="1" x14ac:dyDescent="0.2">
      <c r="A178" s="107"/>
      <c r="B178" s="1444" t="s">
        <v>277</v>
      </c>
      <c r="C178" s="1301" t="s">
        <v>274</v>
      </c>
      <c r="D178" s="1446"/>
      <c r="E178" s="1446"/>
      <c r="F178" s="1447"/>
      <c r="G178" s="1301" t="s">
        <v>274</v>
      </c>
      <c r="H178" s="1446"/>
      <c r="I178" s="1446"/>
      <c r="J178" s="1447"/>
      <c r="K178" s="1301" t="s">
        <v>274</v>
      </c>
      <c r="L178" s="1446"/>
      <c r="M178" s="1446"/>
      <c r="N178" s="1447"/>
      <c r="O178" s="1301" t="s">
        <v>273</v>
      </c>
      <c r="P178" s="1446"/>
      <c r="Q178" s="1446"/>
      <c r="R178" s="1447"/>
      <c r="S178" s="1301" t="s">
        <v>273</v>
      </c>
      <c r="T178" s="1446"/>
      <c r="U178" s="1446"/>
      <c r="V178" s="1447"/>
      <c r="W178" s="1301" t="s">
        <v>275</v>
      </c>
      <c r="X178" s="1448"/>
      <c r="Y178" s="1448"/>
      <c r="Z178" s="1449"/>
      <c r="AA178" s="1301" t="s">
        <v>275</v>
      </c>
      <c r="AB178" s="1446"/>
      <c r="AC178" s="1446"/>
      <c r="AD178" s="1302"/>
      <c r="AE178" s="1450">
        <v>68</v>
      </c>
      <c r="AF178" s="1446"/>
      <c r="AG178" s="1446" t="s">
        <v>0</v>
      </c>
      <c r="AH178" s="1302"/>
      <c r="AI178" s="1451"/>
    </row>
    <row r="179" spans="1:35" ht="18" customHeight="1" x14ac:dyDescent="0.2">
      <c r="A179" s="107"/>
      <c r="B179" s="1444"/>
      <c r="C179" s="1301" t="s">
        <v>244</v>
      </c>
      <c r="D179" s="1446"/>
      <c r="E179" s="1446"/>
      <c r="F179" s="1447"/>
      <c r="G179" s="1301" t="s">
        <v>244</v>
      </c>
      <c r="H179" s="1446"/>
      <c r="I179" s="1446"/>
      <c r="J179" s="1447"/>
      <c r="K179" s="1301" t="s">
        <v>244</v>
      </c>
      <c r="L179" s="1446"/>
      <c r="M179" s="1446"/>
      <c r="N179" s="1447"/>
      <c r="O179" s="1301" t="s">
        <v>244</v>
      </c>
      <c r="P179" s="1446"/>
      <c r="Q179" s="1446"/>
      <c r="R179" s="1447"/>
      <c r="S179" s="1301" t="s">
        <v>244</v>
      </c>
      <c r="T179" s="1446"/>
      <c r="U179" s="1446"/>
      <c r="V179" s="1447"/>
      <c r="W179" s="1301" t="s">
        <v>244</v>
      </c>
      <c r="X179" s="1446"/>
      <c r="Y179" s="1446"/>
      <c r="Z179" s="1447"/>
      <c r="AA179" s="1446" t="s">
        <v>244</v>
      </c>
      <c r="AB179" s="1446"/>
      <c r="AC179" s="1446"/>
      <c r="AD179" s="1302"/>
      <c r="AE179" s="1450">
        <v>0</v>
      </c>
      <c r="AF179" s="1446"/>
      <c r="AG179" s="1446"/>
      <c r="AH179" s="1302"/>
      <c r="AI179" s="1451"/>
    </row>
    <row r="180" spans="1:35" ht="18" customHeight="1" x14ac:dyDescent="0.2">
      <c r="A180" s="107"/>
      <c r="B180" s="1444" t="s">
        <v>278</v>
      </c>
      <c r="C180" s="1301" t="s">
        <v>273</v>
      </c>
      <c r="D180" s="1446"/>
      <c r="E180" s="1446"/>
      <c r="F180" s="1447"/>
      <c r="G180" s="1301" t="s">
        <v>273</v>
      </c>
      <c r="H180" s="1446"/>
      <c r="I180" s="1446"/>
      <c r="J180" s="1447"/>
      <c r="K180" s="1301" t="s">
        <v>273</v>
      </c>
      <c r="L180" s="1446"/>
      <c r="M180" s="1446"/>
      <c r="N180" s="1447"/>
      <c r="O180" s="1301" t="s">
        <v>273</v>
      </c>
      <c r="P180" s="1446"/>
      <c r="Q180" s="1446"/>
      <c r="R180" s="1447"/>
      <c r="S180" s="1301" t="s">
        <v>273</v>
      </c>
      <c r="T180" s="1446"/>
      <c r="U180" s="1446"/>
      <c r="V180" s="1447"/>
      <c r="W180" s="1301" t="s">
        <v>279</v>
      </c>
      <c r="X180" s="1453"/>
      <c r="Y180" s="1453"/>
      <c r="Z180" s="1454"/>
      <c r="AA180" s="1301" t="s">
        <v>279</v>
      </c>
      <c r="AB180" s="1453"/>
      <c r="AC180" s="1453"/>
      <c r="AD180" s="1304"/>
      <c r="AE180" s="1450">
        <v>68</v>
      </c>
      <c r="AF180" s="1446"/>
      <c r="AG180" s="1446"/>
      <c r="AH180" s="1302"/>
      <c r="AI180" s="1451"/>
    </row>
    <row r="181" spans="1:35" ht="18" customHeight="1" x14ac:dyDescent="0.2">
      <c r="A181" s="107"/>
      <c r="B181" s="1444"/>
      <c r="C181" s="1479" t="s">
        <v>244</v>
      </c>
      <c r="D181" s="1480"/>
      <c r="E181" s="1480"/>
      <c r="F181" s="1481"/>
      <c r="G181" s="1479" t="s">
        <v>244</v>
      </c>
      <c r="H181" s="1480"/>
      <c r="I181" s="1480"/>
      <c r="J181" s="1481"/>
      <c r="K181" s="1479" t="s">
        <v>244</v>
      </c>
      <c r="L181" s="1480"/>
      <c r="M181" s="1480"/>
      <c r="N181" s="1481"/>
      <c r="O181" s="1479" t="s">
        <v>244</v>
      </c>
      <c r="P181" s="1480"/>
      <c r="Q181" s="1480"/>
      <c r="R181" s="1481"/>
      <c r="S181" s="1479" t="s">
        <v>244</v>
      </c>
      <c r="T181" s="1480"/>
      <c r="U181" s="1480"/>
      <c r="V181" s="1465"/>
      <c r="W181" s="1479" t="s">
        <v>244</v>
      </c>
      <c r="X181" s="1465"/>
      <c r="Y181" s="1480"/>
      <c r="Z181" s="1481"/>
      <c r="AA181" s="1479" t="s">
        <v>244</v>
      </c>
      <c r="AB181" s="1465"/>
      <c r="AC181" s="1480"/>
      <c r="AD181" s="1481"/>
      <c r="AE181" s="1482" t="s">
        <v>280</v>
      </c>
      <c r="AF181" s="1480"/>
      <c r="AG181" s="1480"/>
      <c r="AH181" s="1465"/>
      <c r="AI181" s="1483"/>
    </row>
    <row r="182" spans="1:35" ht="18" customHeight="1" x14ac:dyDescent="0.2">
      <c r="A182" s="68"/>
      <c r="B182" s="107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8"/>
      <c r="AI182" s="108"/>
    </row>
    <row r="183" spans="1:35" ht="18" customHeight="1" x14ac:dyDescent="0.2">
      <c r="A183" s="1434"/>
      <c r="B183" s="1256" t="s">
        <v>44</v>
      </c>
      <c r="C183" s="395">
        <v>1</v>
      </c>
      <c r="D183" s="395">
        <v>2</v>
      </c>
      <c r="E183" s="395">
        <v>3</v>
      </c>
      <c r="F183" s="395">
        <v>4</v>
      </c>
      <c r="G183" s="395">
        <v>5</v>
      </c>
      <c r="H183" s="396">
        <v>6</v>
      </c>
      <c r="I183" s="396">
        <v>7</v>
      </c>
      <c r="J183" s="395">
        <v>8</v>
      </c>
      <c r="K183" s="395">
        <v>9</v>
      </c>
      <c r="L183" s="395">
        <v>10</v>
      </c>
      <c r="M183" s="395">
        <v>11</v>
      </c>
      <c r="N183" s="395">
        <v>12</v>
      </c>
      <c r="O183" s="396">
        <v>13</v>
      </c>
      <c r="P183" s="396">
        <v>14</v>
      </c>
      <c r="Q183" s="395">
        <v>15</v>
      </c>
      <c r="R183" s="395">
        <v>16</v>
      </c>
      <c r="S183" s="395">
        <v>17</v>
      </c>
      <c r="T183" s="395">
        <v>18</v>
      </c>
      <c r="U183" s="395">
        <v>19</v>
      </c>
      <c r="V183" s="396">
        <v>20</v>
      </c>
      <c r="W183" s="396">
        <v>21</v>
      </c>
      <c r="X183" s="395">
        <v>22</v>
      </c>
      <c r="Y183" s="395">
        <v>23</v>
      </c>
      <c r="Z183" s="395">
        <v>24</v>
      </c>
      <c r="AA183" s="395">
        <v>25</v>
      </c>
      <c r="AB183" s="395">
        <v>26</v>
      </c>
      <c r="AC183" s="396">
        <v>27</v>
      </c>
      <c r="AD183" s="396">
        <v>28</v>
      </c>
      <c r="AE183" s="395">
        <v>29</v>
      </c>
      <c r="AF183" s="395">
        <v>30</v>
      </c>
      <c r="AG183" s="395">
        <v>31</v>
      </c>
      <c r="AH183" s="110"/>
      <c r="AI183" s="111"/>
    </row>
    <row r="184" spans="1:35" ht="18" customHeight="1" x14ac:dyDescent="0.2">
      <c r="A184" s="1484">
        <v>1</v>
      </c>
      <c r="B184" s="1485"/>
      <c r="C184" s="1630">
        <v>22</v>
      </c>
      <c r="D184" s="1630">
        <v>22</v>
      </c>
      <c r="E184" s="1630">
        <v>22</v>
      </c>
      <c r="F184" s="1630">
        <v>22</v>
      </c>
      <c r="G184" s="1703">
        <v>22</v>
      </c>
      <c r="H184" s="1631">
        <v>22</v>
      </c>
      <c r="I184" s="1631">
        <v>22</v>
      </c>
      <c r="J184" s="1631" t="s">
        <v>50</v>
      </c>
      <c r="K184" s="1631" t="s">
        <v>50</v>
      </c>
      <c r="L184" s="1631" t="s">
        <v>50</v>
      </c>
      <c r="M184" s="1631" t="s">
        <v>50</v>
      </c>
      <c r="N184" s="1631" t="s">
        <v>50</v>
      </c>
      <c r="O184" s="1630"/>
      <c r="P184" s="1630"/>
      <c r="Q184" s="1631">
        <v>23</v>
      </c>
      <c r="R184" s="1631">
        <v>23</v>
      </c>
      <c r="S184" s="1631">
        <v>23</v>
      </c>
      <c r="T184" s="1631">
        <v>23</v>
      </c>
      <c r="U184" s="1631">
        <v>23</v>
      </c>
      <c r="V184" s="1630">
        <v>23</v>
      </c>
      <c r="W184" s="1630">
        <v>23</v>
      </c>
      <c r="X184" s="1631" t="s">
        <v>50</v>
      </c>
      <c r="Y184" s="1631" t="s">
        <v>50</v>
      </c>
      <c r="Z184" s="1631" t="s">
        <v>50</v>
      </c>
      <c r="AA184" s="1631" t="s">
        <v>50</v>
      </c>
      <c r="AB184" s="1631" t="s">
        <v>50</v>
      </c>
      <c r="AC184" s="1630"/>
      <c r="AD184" s="1630"/>
      <c r="AE184" s="1630">
        <v>21</v>
      </c>
      <c r="AF184" s="1630">
        <v>21</v>
      </c>
      <c r="AG184" s="411">
        <v>21</v>
      </c>
      <c r="AH184" s="67"/>
      <c r="AI184" s="67"/>
    </row>
    <row r="185" spans="1:35" ht="18" customHeight="1" x14ac:dyDescent="0.2">
      <c r="A185" s="956">
        <v>2</v>
      </c>
      <c r="B185" s="748"/>
      <c r="C185" s="968">
        <v>23</v>
      </c>
      <c r="D185" s="968">
        <v>23</v>
      </c>
      <c r="E185" s="968">
        <v>23</v>
      </c>
      <c r="F185" s="968">
        <v>23</v>
      </c>
      <c r="G185" s="968">
        <v>23</v>
      </c>
      <c r="H185" s="968">
        <v>23</v>
      </c>
      <c r="I185" s="968">
        <v>23</v>
      </c>
      <c r="J185" s="636" t="s">
        <v>50</v>
      </c>
      <c r="K185" s="636" t="s">
        <v>50</v>
      </c>
      <c r="L185" s="635" t="s">
        <v>50</v>
      </c>
      <c r="M185" s="800" t="s">
        <v>50</v>
      </c>
      <c r="N185" s="800" t="s">
        <v>50</v>
      </c>
      <c r="O185" s="800"/>
      <c r="P185" s="800"/>
      <c r="Q185" s="636">
        <v>21</v>
      </c>
      <c r="R185" s="636">
        <v>21</v>
      </c>
      <c r="S185" s="635">
        <v>21</v>
      </c>
      <c r="T185" s="800">
        <v>21</v>
      </c>
      <c r="U185" s="800">
        <v>21</v>
      </c>
      <c r="V185" s="800">
        <v>21</v>
      </c>
      <c r="W185" s="800">
        <v>21</v>
      </c>
      <c r="X185" s="1631" t="s">
        <v>50</v>
      </c>
      <c r="Y185" s="1631" t="s">
        <v>50</v>
      </c>
      <c r="Z185" s="1631" t="s">
        <v>50</v>
      </c>
      <c r="AA185" s="1631" t="s">
        <v>50</v>
      </c>
      <c r="AB185" s="1631" t="s">
        <v>50</v>
      </c>
      <c r="AC185" s="800"/>
      <c r="AD185" s="800"/>
      <c r="AE185" s="800">
        <v>22</v>
      </c>
      <c r="AF185" s="800">
        <v>22</v>
      </c>
      <c r="AG185" s="819">
        <v>22</v>
      </c>
      <c r="AH185" s="67"/>
      <c r="AI185" s="67"/>
    </row>
    <row r="186" spans="1:35" ht="18" customHeight="1" x14ac:dyDescent="0.2">
      <c r="A186" s="956">
        <v>3</v>
      </c>
      <c r="B186" s="748"/>
      <c r="C186" s="968">
        <v>21</v>
      </c>
      <c r="D186" s="968">
        <v>21</v>
      </c>
      <c r="E186" s="968">
        <v>21</v>
      </c>
      <c r="F186" s="968">
        <v>21</v>
      </c>
      <c r="G186" s="964">
        <v>21</v>
      </c>
      <c r="H186" s="964">
        <v>21</v>
      </c>
      <c r="I186" s="968">
        <v>21</v>
      </c>
      <c r="J186" s="968" t="s">
        <v>50</v>
      </c>
      <c r="K186" s="968" t="s">
        <v>50</v>
      </c>
      <c r="L186" s="968" t="s">
        <v>50</v>
      </c>
      <c r="M186" s="968" t="s">
        <v>50</v>
      </c>
      <c r="N186" s="968" t="s">
        <v>50</v>
      </c>
      <c r="O186" s="968"/>
      <c r="P186" s="968"/>
      <c r="Q186" s="968">
        <v>22</v>
      </c>
      <c r="R186" s="968">
        <v>22</v>
      </c>
      <c r="S186" s="968">
        <v>22</v>
      </c>
      <c r="T186" s="968">
        <v>22</v>
      </c>
      <c r="U186" s="968">
        <v>22</v>
      </c>
      <c r="V186" s="968">
        <v>22</v>
      </c>
      <c r="W186" s="968">
        <v>22</v>
      </c>
      <c r="X186" s="636" t="s">
        <v>50</v>
      </c>
      <c r="Y186" s="636" t="s">
        <v>50</v>
      </c>
      <c r="Z186" s="635" t="s">
        <v>50</v>
      </c>
      <c r="AA186" s="636" t="s">
        <v>50</v>
      </c>
      <c r="AB186" s="636" t="s">
        <v>50</v>
      </c>
      <c r="AC186" s="636"/>
      <c r="AD186" s="636"/>
      <c r="AE186" s="636">
        <v>23</v>
      </c>
      <c r="AF186" s="636">
        <v>23</v>
      </c>
      <c r="AG186" s="819">
        <v>23</v>
      </c>
      <c r="AH186" s="67"/>
      <c r="AI186" s="67"/>
    </row>
    <row r="187" spans="1:35" ht="18" customHeight="1" x14ac:dyDescent="0.2">
      <c r="A187" s="956">
        <v>4</v>
      </c>
      <c r="B187" s="958" t="s">
        <v>281</v>
      </c>
      <c r="C187" s="636" t="s">
        <v>50</v>
      </c>
      <c r="D187" s="636" t="s">
        <v>50</v>
      </c>
      <c r="E187" s="635" t="s">
        <v>50</v>
      </c>
      <c r="F187" s="636" t="s">
        <v>50</v>
      </c>
      <c r="G187" s="636" t="s">
        <v>50</v>
      </c>
      <c r="H187" s="636"/>
      <c r="I187" s="636"/>
      <c r="J187" s="799">
        <v>22</v>
      </c>
      <c r="K187" s="799">
        <v>22</v>
      </c>
      <c r="L187" s="799">
        <v>22</v>
      </c>
      <c r="M187" s="799">
        <v>22</v>
      </c>
      <c r="N187" s="799">
        <v>22</v>
      </c>
      <c r="O187" s="799">
        <v>22</v>
      </c>
      <c r="P187" s="636">
        <v>22</v>
      </c>
      <c r="Q187" s="799" t="s">
        <v>50</v>
      </c>
      <c r="R187" s="799" t="s">
        <v>50</v>
      </c>
      <c r="S187" s="799" t="s">
        <v>50</v>
      </c>
      <c r="T187" s="799" t="s">
        <v>50</v>
      </c>
      <c r="U187" s="799" t="s">
        <v>50</v>
      </c>
      <c r="V187" s="799"/>
      <c r="W187" s="636"/>
      <c r="X187" s="636">
        <v>23</v>
      </c>
      <c r="Y187" s="636">
        <v>23</v>
      </c>
      <c r="Z187" s="636">
        <v>23</v>
      </c>
      <c r="AA187" s="636">
        <v>23</v>
      </c>
      <c r="AB187" s="636">
        <v>23</v>
      </c>
      <c r="AC187" s="636">
        <v>23</v>
      </c>
      <c r="AD187" s="635" t="s">
        <v>179</v>
      </c>
      <c r="AE187" s="636" t="s">
        <v>50</v>
      </c>
      <c r="AF187" s="636" t="s">
        <v>50</v>
      </c>
      <c r="AG187" s="801" t="s">
        <v>50</v>
      </c>
      <c r="AH187" s="67"/>
      <c r="AI187" s="67"/>
    </row>
    <row r="188" spans="1:35" ht="18" customHeight="1" x14ac:dyDescent="0.2">
      <c r="A188" s="956">
        <v>5</v>
      </c>
      <c r="B188" s="1386" t="s">
        <v>282</v>
      </c>
      <c r="C188" s="636" t="s">
        <v>50</v>
      </c>
      <c r="D188" s="636" t="s">
        <v>50</v>
      </c>
      <c r="E188" s="635" t="s">
        <v>50</v>
      </c>
      <c r="F188" s="800" t="s">
        <v>50</v>
      </c>
      <c r="G188" s="636" t="s">
        <v>50</v>
      </c>
      <c r="H188" s="1634" t="s">
        <v>107</v>
      </c>
      <c r="I188" s="636"/>
      <c r="J188" s="636">
        <v>23</v>
      </c>
      <c r="K188" s="636">
        <v>23</v>
      </c>
      <c r="L188" s="635">
        <v>23</v>
      </c>
      <c r="M188" s="636">
        <v>23</v>
      </c>
      <c r="N188" s="636">
        <v>23</v>
      </c>
      <c r="O188" s="636">
        <v>23</v>
      </c>
      <c r="P188" s="636">
        <v>23</v>
      </c>
      <c r="Q188" s="1568" t="s">
        <v>50</v>
      </c>
      <c r="R188" s="1568" t="s">
        <v>50</v>
      </c>
      <c r="S188" s="635" t="s">
        <v>50</v>
      </c>
      <c r="T188" s="800" t="s">
        <v>50</v>
      </c>
      <c r="U188" s="636" t="s">
        <v>50</v>
      </c>
      <c r="V188" s="1634">
        <v>21</v>
      </c>
      <c r="W188" s="1634">
        <v>21</v>
      </c>
      <c r="X188" s="636">
        <v>21</v>
      </c>
      <c r="Y188" s="636">
        <v>21</v>
      </c>
      <c r="Z188" s="636">
        <v>21</v>
      </c>
      <c r="AA188" s="636">
        <v>21</v>
      </c>
      <c r="AB188" s="636">
        <v>21</v>
      </c>
      <c r="AC188" s="800">
        <v>21</v>
      </c>
      <c r="AD188" s="800">
        <v>21</v>
      </c>
      <c r="AE188" s="800" t="s">
        <v>50</v>
      </c>
      <c r="AF188" s="636" t="s">
        <v>50</v>
      </c>
      <c r="AG188" s="801" t="s">
        <v>50</v>
      </c>
      <c r="AH188" s="67"/>
      <c r="AI188" s="67"/>
    </row>
    <row r="189" spans="1:35" ht="18" customHeight="1" x14ac:dyDescent="0.2">
      <c r="A189" s="962">
        <v>6</v>
      </c>
      <c r="B189" s="754" t="s">
        <v>283</v>
      </c>
      <c r="C189" s="1363" t="s">
        <v>50</v>
      </c>
      <c r="D189" s="1363" t="s">
        <v>50</v>
      </c>
      <c r="E189" s="853" t="s">
        <v>50</v>
      </c>
      <c r="F189" s="1363" t="s">
        <v>50</v>
      </c>
      <c r="G189" s="1363" t="s">
        <v>50</v>
      </c>
      <c r="H189" s="655"/>
      <c r="I189" s="655"/>
      <c r="J189" s="963">
        <v>21</v>
      </c>
      <c r="K189" s="963">
        <v>21</v>
      </c>
      <c r="L189" s="963">
        <v>21</v>
      </c>
      <c r="M189" s="963">
        <v>21</v>
      </c>
      <c r="N189" s="1363">
        <v>21</v>
      </c>
      <c r="O189" s="1363">
        <v>21</v>
      </c>
      <c r="P189" s="1363">
        <v>21</v>
      </c>
      <c r="Q189" s="1615" t="s">
        <v>50</v>
      </c>
      <c r="R189" s="1615" t="s">
        <v>50</v>
      </c>
      <c r="S189" s="963" t="s">
        <v>50</v>
      </c>
      <c r="T189" s="963" t="s">
        <v>50</v>
      </c>
      <c r="U189" s="1363" t="s">
        <v>50</v>
      </c>
      <c r="V189" s="1363"/>
      <c r="W189" s="1363"/>
      <c r="X189" s="1363">
        <v>22</v>
      </c>
      <c r="Y189" s="1363">
        <v>22</v>
      </c>
      <c r="Z189" s="1363">
        <v>22</v>
      </c>
      <c r="AA189" s="1363">
        <v>22</v>
      </c>
      <c r="AB189" s="854">
        <v>22</v>
      </c>
      <c r="AC189" s="854">
        <v>22</v>
      </c>
      <c r="AD189" s="853" t="s">
        <v>401</v>
      </c>
      <c r="AE189" s="1363" t="s">
        <v>50</v>
      </c>
      <c r="AF189" s="1363" t="s">
        <v>50</v>
      </c>
      <c r="AG189" s="1384" t="s">
        <v>50</v>
      </c>
      <c r="AH189" s="67"/>
      <c r="AI189" s="67"/>
    </row>
    <row r="190" spans="1:35" ht="18" customHeight="1" x14ac:dyDescent="0.2">
      <c r="A190" s="129"/>
      <c r="B190" s="127"/>
      <c r="C190" s="128"/>
      <c r="D190" s="128"/>
      <c r="E190" s="140"/>
      <c r="F190" s="128"/>
      <c r="G190" s="128"/>
      <c r="H190" s="145"/>
      <c r="I190" s="145"/>
      <c r="J190" s="145"/>
      <c r="K190" s="145"/>
      <c r="L190" s="145"/>
      <c r="M190" s="145"/>
      <c r="N190" s="125"/>
      <c r="O190" s="125"/>
      <c r="P190" s="140"/>
      <c r="Q190" s="128"/>
      <c r="R190" s="128"/>
      <c r="S190" s="140"/>
      <c r="T190" s="128"/>
      <c r="U190" s="128"/>
      <c r="V190" s="128"/>
      <c r="W190" s="128"/>
      <c r="X190" s="128"/>
      <c r="Y190" s="128"/>
      <c r="Z190" s="128"/>
      <c r="AA190" s="128"/>
      <c r="AB190" s="125"/>
      <c r="AC190" s="125"/>
      <c r="AD190" s="140"/>
      <c r="AE190" s="128"/>
      <c r="AF190" s="128"/>
      <c r="AG190" s="140"/>
      <c r="AH190" s="67"/>
      <c r="AI190" s="67"/>
    </row>
    <row r="191" spans="1:35" ht="18" customHeight="1" x14ac:dyDescent="0.2">
      <c r="A191" s="69"/>
      <c r="B191" s="70"/>
      <c r="C191" s="120"/>
      <c r="D191" s="120"/>
      <c r="E191" s="106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106"/>
      <c r="Q191" s="120"/>
      <c r="R191" s="120"/>
      <c r="S191" s="106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1"/>
      <c r="AD191" s="121"/>
      <c r="AE191" s="121"/>
      <c r="AF191" s="120"/>
      <c r="AG191" s="106"/>
      <c r="AH191" s="67"/>
      <c r="AI191" s="67"/>
    </row>
    <row r="192" spans="1:35" ht="18" customHeight="1" x14ac:dyDescent="0.2">
      <c r="A192" s="103" t="s">
        <v>284</v>
      </c>
      <c r="D192" s="48"/>
      <c r="E192" s="48"/>
      <c r="F192" s="48"/>
      <c r="G192" s="65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</row>
    <row r="193" spans="1:35" ht="18" customHeight="1" x14ac:dyDescent="0.2">
      <c r="A193" s="1"/>
      <c r="B193" s="404" t="s">
        <v>255</v>
      </c>
      <c r="C193" s="1672"/>
      <c r="D193" s="1694" t="s">
        <v>17</v>
      </c>
      <c r="E193" s="1587"/>
      <c r="F193" s="1667"/>
      <c r="G193" s="1672"/>
      <c r="H193" s="1694" t="s">
        <v>18</v>
      </c>
      <c r="I193" s="1587"/>
      <c r="J193" s="1667"/>
      <c r="K193" s="1672"/>
      <c r="L193" s="1694" t="s">
        <v>19</v>
      </c>
      <c r="M193" s="1587"/>
      <c r="N193" s="1667"/>
      <c r="O193" s="1672"/>
      <c r="P193" s="1694" t="s">
        <v>20</v>
      </c>
      <c r="Q193" s="1587"/>
      <c r="R193" s="1667"/>
      <c r="S193" s="1672"/>
      <c r="T193" s="1694" t="s">
        <v>21</v>
      </c>
      <c r="U193" s="1587"/>
      <c r="V193" s="1667"/>
      <c r="W193" s="1672"/>
      <c r="X193" s="1694" t="s">
        <v>22</v>
      </c>
      <c r="Y193" s="1587"/>
      <c r="Z193" s="1667"/>
      <c r="AA193" s="1672"/>
      <c r="AB193" s="1694" t="s">
        <v>23</v>
      </c>
      <c r="AC193" s="1587"/>
      <c r="AD193" s="1587"/>
      <c r="AE193" s="1697" t="s">
        <v>126</v>
      </c>
      <c r="AF193" s="1587"/>
      <c r="AG193" s="1587"/>
      <c r="AH193" s="1587"/>
      <c r="AI193" s="1588"/>
    </row>
    <row r="194" spans="1:35" ht="18" customHeight="1" x14ac:dyDescent="0.2">
      <c r="A194" s="1"/>
      <c r="B194" s="1444" t="s">
        <v>235</v>
      </c>
      <c r="C194" s="1301" t="s">
        <v>256</v>
      </c>
      <c r="D194" s="1121"/>
      <c r="E194" s="1121"/>
      <c r="F194" s="1447"/>
      <c r="G194" s="1301" t="s">
        <v>256</v>
      </c>
      <c r="H194" s="1121"/>
      <c r="I194" s="1121"/>
      <c r="J194" s="1447"/>
      <c r="K194" s="1301" t="s">
        <v>256</v>
      </c>
      <c r="L194" s="1121"/>
      <c r="M194" s="1121"/>
      <c r="N194" s="1447"/>
      <c r="O194" s="1301" t="s">
        <v>285</v>
      </c>
      <c r="P194" s="1121"/>
      <c r="Q194" s="1121"/>
      <c r="R194" s="1447"/>
      <c r="S194" s="1301" t="s">
        <v>244</v>
      </c>
      <c r="T194" s="1121"/>
      <c r="U194" s="1121"/>
      <c r="V194" s="1447"/>
      <c r="W194" s="1495"/>
      <c r="X194" s="1496"/>
      <c r="Y194" s="1496"/>
      <c r="Z194" s="1449"/>
      <c r="AA194" s="1445"/>
      <c r="AB194" s="1121"/>
      <c r="AC194" s="1121"/>
      <c r="AD194" s="1302"/>
      <c r="AE194" s="1450">
        <v>27</v>
      </c>
      <c r="AF194" s="1121"/>
      <c r="AG194" s="1121"/>
      <c r="AH194" s="1302"/>
      <c r="AI194" s="1403"/>
    </row>
    <row r="195" spans="1:35" ht="18" customHeight="1" x14ac:dyDescent="0.2">
      <c r="A195" s="1"/>
      <c r="B195" s="1444" t="s">
        <v>236</v>
      </c>
      <c r="C195" s="1301" t="s">
        <v>286</v>
      </c>
      <c r="D195" s="1121"/>
      <c r="E195" s="1121"/>
      <c r="F195" s="1447"/>
      <c r="G195" s="1301" t="s">
        <v>286</v>
      </c>
      <c r="H195" s="1121"/>
      <c r="I195" s="1121"/>
      <c r="J195" s="1447"/>
      <c r="K195" s="1301" t="s">
        <v>286</v>
      </c>
      <c r="L195" s="1121"/>
      <c r="M195" s="1121"/>
      <c r="N195" s="1447"/>
      <c r="O195" s="1301" t="s">
        <v>286</v>
      </c>
      <c r="P195" s="1121"/>
      <c r="Q195" s="1121"/>
      <c r="R195" s="1447"/>
      <c r="S195" s="1301" t="s">
        <v>256</v>
      </c>
      <c r="T195" s="1121"/>
      <c r="U195" s="1121"/>
      <c r="V195" s="1447"/>
      <c r="W195" s="1301"/>
      <c r="X195" s="1121"/>
      <c r="Y195" s="1121"/>
      <c r="Z195" s="1447"/>
      <c r="AA195" s="1121"/>
      <c r="AB195" s="1121"/>
      <c r="AC195" s="1121"/>
      <c r="AD195" s="1302"/>
      <c r="AE195" s="1450">
        <v>39</v>
      </c>
      <c r="AF195" s="1121"/>
      <c r="AG195" s="1121"/>
      <c r="AH195" s="1302"/>
      <c r="AI195" s="1403"/>
    </row>
    <row r="196" spans="1:35" ht="18" customHeight="1" x14ac:dyDescent="0.2">
      <c r="A196" s="1"/>
      <c r="B196" s="1444" t="s">
        <v>243</v>
      </c>
      <c r="C196" s="1301" t="s">
        <v>286</v>
      </c>
      <c r="D196" s="1121"/>
      <c r="E196" s="1121"/>
      <c r="F196" s="1447"/>
      <c r="G196" s="1301" t="s">
        <v>286</v>
      </c>
      <c r="H196" s="1121"/>
      <c r="I196" s="1121"/>
      <c r="J196" s="1447"/>
      <c r="K196" s="1301" t="s">
        <v>286</v>
      </c>
      <c r="L196" s="1121"/>
      <c r="M196" s="1121"/>
      <c r="N196" s="1447"/>
      <c r="O196" s="1301" t="s">
        <v>286</v>
      </c>
      <c r="P196" s="1121"/>
      <c r="Q196" s="1121"/>
      <c r="R196" s="1447"/>
      <c r="S196" s="1301" t="s">
        <v>286</v>
      </c>
      <c r="T196" s="1121"/>
      <c r="U196" s="1121"/>
      <c r="V196" s="1447"/>
      <c r="W196" s="1303" t="s">
        <v>260</v>
      </c>
      <c r="X196" s="1234"/>
      <c r="Y196" s="1234"/>
      <c r="Z196" s="1454"/>
      <c r="AA196" s="1452"/>
      <c r="AB196" s="1234"/>
      <c r="AC196" s="1234"/>
      <c r="AD196" s="1304"/>
      <c r="AE196" s="1450">
        <v>45</v>
      </c>
      <c r="AF196" s="1121"/>
      <c r="AG196" s="1121"/>
      <c r="AH196" s="1302"/>
      <c r="AI196" s="1403"/>
    </row>
    <row r="197" spans="1:35" ht="18" customHeight="1" x14ac:dyDescent="0.2">
      <c r="A197" s="1"/>
      <c r="B197" s="147" t="s">
        <v>245</v>
      </c>
      <c r="C197" s="1479"/>
      <c r="D197" s="1247"/>
      <c r="E197" s="1247"/>
      <c r="F197" s="1481"/>
      <c r="G197" s="1479"/>
      <c r="H197" s="1247"/>
      <c r="I197" s="1247"/>
      <c r="J197" s="1481"/>
      <c r="K197" s="1479"/>
      <c r="L197" s="1247"/>
      <c r="M197" s="1247"/>
      <c r="N197" s="1481"/>
      <c r="O197" s="1479"/>
      <c r="P197" s="1247"/>
      <c r="Q197" s="1247"/>
      <c r="R197" s="1481"/>
      <c r="S197" s="1479"/>
      <c r="T197" s="1247"/>
      <c r="U197" s="1247"/>
      <c r="V197" s="1465"/>
      <c r="W197" s="1479"/>
      <c r="X197" s="1465"/>
      <c r="Y197" s="1247"/>
      <c r="Z197" s="1481"/>
      <c r="AA197" s="1479"/>
      <c r="AB197" s="1465"/>
      <c r="AC197" s="1247"/>
      <c r="AD197" s="1481"/>
      <c r="AE197" s="1497"/>
      <c r="AF197" s="1247"/>
      <c r="AG197" s="1247"/>
      <c r="AH197" s="1465"/>
      <c r="AI197" s="1254"/>
    </row>
    <row r="198" spans="1:35" ht="18" customHeight="1" x14ac:dyDescent="0.2">
      <c r="A198" s="68"/>
      <c r="B198" s="1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</row>
    <row r="199" spans="1:35" ht="18" customHeight="1" x14ac:dyDescent="0.2">
      <c r="A199" s="1434"/>
      <c r="B199" s="1256" t="s">
        <v>44</v>
      </c>
      <c r="C199" s="395">
        <v>1</v>
      </c>
      <c r="D199" s="395">
        <v>2</v>
      </c>
      <c r="E199" s="395">
        <v>3</v>
      </c>
      <c r="F199" s="395">
        <v>4</v>
      </c>
      <c r="G199" s="395">
        <v>5</v>
      </c>
      <c r="H199" s="396">
        <v>6</v>
      </c>
      <c r="I199" s="396">
        <v>7</v>
      </c>
      <c r="J199" s="395">
        <v>8</v>
      </c>
      <c r="K199" s="395">
        <v>9</v>
      </c>
      <c r="L199" s="395">
        <v>10</v>
      </c>
      <c r="M199" s="395">
        <v>11</v>
      </c>
      <c r="N199" s="395">
        <v>12</v>
      </c>
      <c r="O199" s="396">
        <v>13</v>
      </c>
      <c r="P199" s="396">
        <v>14</v>
      </c>
      <c r="Q199" s="395">
        <v>15</v>
      </c>
      <c r="R199" s="395">
        <v>16</v>
      </c>
      <c r="S199" s="395">
        <v>17</v>
      </c>
      <c r="T199" s="395">
        <v>18</v>
      </c>
      <c r="U199" s="395">
        <v>19</v>
      </c>
      <c r="V199" s="396">
        <v>20</v>
      </c>
      <c r="W199" s="396">
        <v>21</v>
      </c>
      <c r="X199" s="395">
        <v>22</v>
      </c>
      <c r="Y199" s="395">
        <v>23</v>
      </c>
      <c r="Z199" s="395">
        <v>24</v>
      </c>
      <c r="AA199" s="395">
        <v>25</v>
      </c>
      <c r="AB199" s="395">
        <v>26</v>
      </c>
      <c r="AC199" s="396">
        <v>27</v>
      </c>
      <c r="AD199" s="396">
        <v>28</v>
      </c>
      <c r="AE199" s="395">
        <v>29</v>
      </c>
      <c r="AF199" s="395">
        <v>30</v>
      </c>
      <c r="AG199" s="395">
        <v>31</v>
      </c>
      <c r="AH199" s="110"/>
      <c r="AI199" s="111"/>
    </row>
    <row r="200" spans="1:35" ht="18" customHeight="1" x14ac:dyDescent="0.2">
      <c r="A200" s="1673">
        <v>1</v>
      </c>
      <c r="B200" s="1704"/>
      <c r="C200" s="1675" t="s">
        <v>46</v>
      </c>
      <c r="D200" s="1675" t="s">
        <v>46</v>
      </c>
      <c r="E200" s="1705" t="s">
        <v>46</v>
      </c>
      <c r="F200" s="1675" t="s">
        <v>46</v>
      </c>
      <c r="G200" s="1675" t="s">
        <v>46</v>
      </c>
      <c r="H200" s="1675"/>
      <c r="I200" s="1675"/>
      <c r="J200" s="1675" t="s">
        <v>46</v>
      </c>
      <c r="K200" s="1675" t="s">
        <v>46</v>
      </c>
      <c r="L200" s="1675" t="s">
        <v>46</v>
      </c>
      <c r="M200" s="1675" t="s">
        <v>46</v>
      </c>
      <c r="N200" s="1675" t="s">
        <v>46</v>
      </c>
      <c r="O200" s="1675"/>
      <c r="P200" s="1700"/>
      <c r="Q200" s="1675" t="s">
        <v>46</v>
      </c>
      <c r="R200" s="1700" t="s">
        <v>46</v>
      </c>
      <c r="S200" s="1700" t="s">
        <v>46</v>
      </c>
      <c r="T200" s="1700" t="s">
        <v>46</v>
      </c>
      <c r="U200" s="1675" t="s">
        <v>46</v>
      </c>
      <c r="V200" s="1675"/>
      <c r="W200" s="1675"/>
      <c r="X200" s="1675" t="s">
        <v>46</v>
      </c>
      <c r="Y200" s="1675" t="s">
        <v>46</v>
      </c>
      <c r="Z200" s="1705" t="s">
        <v>46</v>
      </c>
      <c r="AA200" s="1675" t="s">
        <v>46</v>
      </c>
      <c r="AB200" s="1675" t="s">
        <v>46</v>
      </c>
      <c r="AC200" s="1675"/>
      <c r="AD200" s="1675"/>
      <c r="AE200" s="1675" t="s">
        <v>46</v>
      </c>
      <c r="AF200" s="1675" t="s">
        <v>46</v>
      </c>
      <c r="AG200" s="1678" t="s">
        <v>46</v>
      </c>
      <c r="AH200" s="132"/>
      <c r="AI200" s="116"/>
    </row>
    <row r="201" spans="1:35" ht="18" customHeight="1" x14ac:dyDescent="0.2">
      <c r="A201" s="1415">
        <v>2</v>
      </c>
      <c r="B201" s="1501" t="s">
        <v>287</v>
      </c>
      <c r="C201" s="1174" t="s">
        <v>288</v>
      </c>
      <c r="D201" s="1174" t="s">
        <v>288</v>
      </c>
      <c r="E201" s="1174" t="s">
        <v>288</v>
      </c>
      <c r="F201" s="1174" t="s">
        <v>288</v>
      </c>
      <c r="G201" s="1176" t="s">
        <v>50</v>
      </c>
      <c r="H201" s="1174"/>
      <c r="I201" s="1174"/>
      <c r="J201" s="1174" t="s">
        <v>289</v>
      </c>
      <c r="K201" s="1174" t="s">
        <v>289</v>
      </c>
      <c r="L201" s="1174" t="s">
        <v>289</v>
      </c>
      <c r="M201" s="1174" t="s">
        <v>289</v>
      </c>
      <c r="N201" s="1174" t="s">
        <v>289</v>
      </c>
      <c r="O201" s="1174"/>
      <c r="P201" s="1185"/>
      <c r="Q201" s="1174" t="s">
        <v>290</v>
      </c>
      <c r="R201" s="1174" t="s">
        <v>290</v>
      </c>
      <c r="S201" s="1174" t="s">
        <v>290</v>
      </c>
      <c r="T201" s="1174" t="s">
        <v>290</v>
      </c>
      <c r="U201" s="1174" t="s">
        <v>290</v>
      </c>
      <c r="V201" s="1174" t="s">
        <v>290</v>
      </c>
      <c r="W201" s="1174"/>
      <c r="X201" s="1186" t="s">
        <v>288</v>
      </c>
      <c r="Y201" s="1186" t="s">
        <v>288</v>
      </c>
      <c r="Z201" s="1186" t="s">
        <v>288</v>
      </c>
      <c r="AA201" s="1186" t="s">
        <v>288</v>
      </c>
      <c r="AB201" s="1186" t="s">
        <v>50</v>
      </c>
      <c r="AC201" s="1186"/>
      <c r="AD201" s="1186"/>
      <c r="AE201" s="1186" t="s">
        <v>289</v>
      </c>
      <c r="AF201" s="1186" t="s">
        <v>289</v>
      </c>
      <c r="AG201" s="1340" t="s">
        <v>289</v>
      </c>
      <c r="AH201" s="132"/>
      <c r="AI201" s="116"/>
    </row>
    <row r="202" spans="1:35" ht="18" customHeight="1" x14ac:dyDescent="0.2">
      <c r="A202" s="1415">
        <v>3</v>
      </c>
      <c r="B202" s="1503" t="s">
        <v>291</v>
      </c>
      <c r="C202" s="1186" t="s">
        <v>289</v>
      </c>
      <c r="D202" s="1186" t="s">
        <v>289</v>
      </c>
      <c r="E202" s="1186" t="s">
        <v>289</v>
      </c>
      <c r="F202" s="1186" t="s">
        <v>289</v>
      </c>
      <c r="G202" s="1186" t="s">
        <v>289</v>
      </c>
      <c r="H202" s="1186"/>
      <c r="I202" s="1186"/>
      <c r="J202" s="1186" t="s">
        <v>290</v>
      </c>
      <c r="K202" s="1186" t="s">
        <v>290</v>
      </c>
      <c r="L202" s="1186" t="s">
        <v>290</v>
      </c>
      <c r="M202" s="1186" t="s">
        <v>290</v>
      </c>
      <c r="N202" s="1186" t="s">
        <v>290</v>
      </c>
      <c r="O202" s="1186" t="s">
        <v>290</v>
      </c>
      <c r="P202" s="1186"/>
      <c r="Q202" s="1186" t="s">
        <v>288</v>
      </c>
      <c r="R202" s="1186" t="s">
        <v>288</v>
      </c>
      <c r="S202" s="1186" t="s">
        <v>288</v>
      </c>
      <c r="T202" s="1186" t="s">
        <v>288</v>
      </c>
      <c r="U202" s="1186" t="s">
        <v>50</v>
      </c>
      <c r="V202" s="1186"/>
      <c r="W202" s="1186"/>
      <c r="X202" s="1174" t="s">
        <v>289</v>
      </c>
      <c r="Y202" s="1174" t="s">
        <v>289</v>
      </c>
      <c r="Z202" s="1174" t="s">
        <v>289</v>
      </c>
      <c r="AA202" s="1174" t="s">
        <v>289</v>
      </c>
      <c r="AB202" s="1174" t="s">
        <v>289</v>
      </c>
      <c r="AC202" s="1174"/>
      <c r="AD202" s="1185"/>
      <c r="AE202" s="1174" t="s">
        <v>290</v>
      </c>
      <c r="AF202" s="1174" t="s">
        <v>290</v>
      </c>
      <c r="AG202" s="1177" t="s">
        <v>290</v>
      </c>
      <c r="AH202" s="132"/>
      <c r="AI202" s="116"/>
    </row>
    <row r="203" spans="1:35" ht="18" customHeight="1" x14ac:dyDescent="0.2">
      <c r="A203" s="1415">
        <v>4</v>
      </c>
      <c r="B203" s="1503"/>
      <c r="C203" s="1174"/>
      <c r="D203" s="1174"/>
      <c r="E203" s="1174"/>
      <c r="F203" s="1174"/>
      <c r="G203" s="1174"/>
      <c r="H203" s="1174"/>
      <c r="I203" s="1174"/>
      <c r="J203" s="1174"/>
      <c r="K203" s="1174"/>
      <c r="L203" s="1182"/>
      <c r="M203" s="1182"/>
      <c r="N203" s="1174"/>
      <c r="O203" s="1174"/>
      <c r="P203" s="1174"/>
      <c r="Q203" s="1174"/>
      <c r="R203" s="1174"/>
      <c r="S203" s="1174"/>
      <c r="T203" s="1174"/>
      <c r="U203" s="1174"/>
      <c r="V203" s="1174"/>
      <c r="W203" s="1174"/>
      <c r="X203" s="1174"/>
      <c r="Y203" s="1174"/>
      <c r="Z203" s="1174"/>
      <c r="AA203" s="1174"/>
      <c r="AB203" s="1174"/>
      <c r="AC203" s="1174"/>
      <c r="AD203" s="1174"/>
      <c r="AE203" s="1174"/>
      <c r="AF203" s="1174"/>
      <c r="AG203" s="1504"/>
      <c r="AH203" s="132"/>
      <c r="AI203" s="116"/>
    </row>
    <row r="204" spans="1:35" ht="18" customHeight="1" x14ac:dyDescent="0.2">
      <c r="A204" s="1415">
        <v>5</v>
      </c>
      <c r="B204" s="1503" t="s">
        <v>292</v>
      </c>
      <c r="C204" s="1186"/>
      <c r="D204" s="1186"/>
      <c r="E204" s="1186"/>
      <c r="F204" s="1186"/>
      <c r="G204" s="1186"/>
      <c r="H204" s="1186"/>
      <c r="I204" s="1186"/>
      <c r="J204" s="1186"/>
      <c r="K204" s="1186"/>
      <c r="L204" s="1186"/>
      <c r="M204" s="1186"/>
      <c r="N204" s="1186"/>
      <c r="O204" s="1186"/>
      <c r="P204" s="1186"/>
      <c r="Q204" s="1174"/>
      <c r="R204" s="1174"/>
      <c r="S204" s="1174"/>
      <c r="T204" s="1174"/>
      <c r="U204" s="1174"/>
      <c r="V204" s="1174"/>
      <c r="W204" s="1174"/>
      <c r="X204" s="1174"/>
      <c r="Y204" s="1174"/>
      <c r="Z204" s="1174"/>
      <c r="AA204" s="1174"/>
      <c r="AB204" s="1174"/>
      <c r="AC204" s="1174"/>
      <c r="AD204" s="1174"/>
      <c r="AE204" s="1174"/>
      <c r="AF204" s="1182"/>
      <c r="AG204" s="1177"/>
      <c r="AH204" s="132"/>
      <c r="AI204" s="116"/>
    </row>
    <row r="205" spans="1:35" ht="18" customHeight="1" x14ac:dyDescent="0.2">
      <c r="A205" s="1415">
        <v>6</v>
      </c>
      <c r="B205" s="1178" t="s">
        <v>293</v>
      </c>
      <c r="C205" s="1174" t="s">
        <v>46</v>
      </c>
      <c r="D205" s="1174" t="s">
        <v>46</v>
      </c>
      <c r="E205" s="1174" t="s">
        <v>46</v>
      </c>
      <c r="F205" s="1179" t="s">
        <v>46</v>
      </c>
      <c r="G205" s="1174" t="s">
        <v>46</v>
      </c>
      <c r="H205" s="1174"/>
      <c r="I205" s="1174"/>
      <c r="J205" s="1174" t="s">
        <v>46</v>
      </c>
      <c r="K205" s="1174" t="s">
        <v>46</v>
      </c>
      <c r="L205" s="1174" t="s">
        <v>46</v>
      </c>
      <c r="M205" s="1174" t="s">
        <v>46</v>
      </c>
      <c r="N205" s="1223" t="s">
        <v>46</v>
      </c>
      <c r="O205" s="1174"/>
      <c r="P205" s="1182"/>
      <c r="Q205" s="1182" t="s">
        <v>46</v>
      </c>
      <c r="R205" s="1182" t="s">
        <v>46</v>
      </c>
      <c r="S205" s="1332" t="s">
        <v>46</v>
      </c>
      <c r="T205" s="1186" t="s">
        <v>46</v>
      </c>
      <c r="U205" s="1186" t="s">
        <v>46</v>
      </c>
      <c r="V205" s="1186"/>
      <c r="W205" s="1186"/>
      <c r="X205" s="1186" t="s">
        <v>46</v>
      </c>
      <c r="Y205" s="1186" t="s">
        <v>46</v>
      </c>
      <c r="Z205" s="1186" t="s">
        <v>46</v>
      </c>
      <c r="AA205" s="1186" t="s">
        <v>46</v>
      </c>
      <c r="AB205" s="1186" t="s">
        <v>46</v>
      </c>
      <c r="AC205" s="1186"/>
      <c r="AD205" s="1186"/>
      <c r="AE205" s="1186" t="s">
        <v>46</v>
      </c>
      <c r="AF205" s="1186" t="s">
        <v>46</v>
      </c>
      <c r="AG205" s="1340" t="s">
        <v>46</v>
      </c>
      <c r="AH205" s="124"/>
      <c r="AI205" s="67"/>
    </row>
    <row r="206" spans="1:35" ht="18" customHeight="1" x14ac:dyDescent="0.2">
      <c r="A206" s="1505">
        <v>7</v>
      </c>
      <c r="B206" s="1378" t="s">
        <v>412</v>
      </c>
      <c r="C206" s="1174" t="s">
        <v>46</v>
      </c>
      <c r="D206" s="1174" t="s">
        <v>46</v>
      </c>
      <c r="E206" s="1174" t="s">
        <v>46</v>
      </c>
      <c r="F206" s="1179" t="s">
        <v>46</v>
      </c>
      <c r="G206" s="1174" t="s">
        <v>46</v>
      </c>
      <c r="H206" s="1174"/>
      <c r="I206" s="1174"/>
      <c r="J206" s="1174" t="s">
        <v>46</v>
      </c>
      <c r="K206" s="1174" t="s">
        <v>46</v>
      </c>
      <c r="L206" s="1186" t="s">
        <v>46</v>
      </c>
      <c r="M206" s="1337" t="s">
        <v>46</v>
      </c>
      <c r="N206" s="1337" t="s">
        <v>46</v>
      </c>
      <c r="O206" s="1174"/>
      <c r="P206" s="1182"/>
      <c r="Q206" s="1182" t="s">
        <v>46</v>
      </c>
      <c r="R206" s="1182" t="s">
        <v>46</v>
      </c>
      <c r="S206" s="1332" t="s">
        <v>46</v>
      </c>
      <c r="T206" s="1332" t="s">
        <v>46</v>
      </c>
      <c r="U206" s="1332" t="s">
        <v>46</v>
      </c>
      <c r="V206" s="1332"/>
      <c r="W206" s="1332"/>
      <c r="X206" s="1332" t="s">
        <v>46</v>
      </c>
      <c r="Y206" s="1332" t="s">
        <v>46</v>
      </c>
      <c r="Z206" s="1332" t="s">
        <v>46</v>
      </c>
      <c r="AA206" s="1332" t="s">
        <v>46</v>
      </c>
      <c r="AB206" s="1332" t="s">
        <v>46</v>
      </c>
      <c r="AC206" s="1332"/>
      <c r="AD206" s="1332"/>
      <c r="AE206" s="1332" t="s">
        <v>46</v>
      </c>
      <c r="AF206" s="1332" t="s">
        <v>46</v>
      </c>
      <c r="AG206" s="1342" t="s">
        <v>46</v>
      </c>
      <c r="AH206" s="124"/>
      <c r="AI206" s="67"/>
    </row>
    <row r="207" spans="1:35" ht="18" customHeight="1" thickBot="1" x14ac:dyDescent="0.25">
      <c r="A207" s="1417">
        <v>8</v>
      </c>
      <c r="B207" s="1192" t="s">
        <v>413</v>
      </c>
      <c r="C207" s="1220" t="s">
        <v>46</v>
      </c>
      <c r="D207" s="1220" t="s">
        <v>46</v>
      </c>
      <c r="E207" s="1220"/>
      <c r="F207" s="1220" t="s">
        <v>46</v>
      </c>
      <c r="G207" s="1220" t="s">
        <v>50</v>
      </c>
      <c r="H207" s="1220"/>
      <c r="I207" s="1220"/>
      <c r="J207" s="1220" t="s">
        <v>46</v>
      </c>
      <c r="K207" s="1220" t="s">
        <v>46</v>
      </c>
      <c r="L207" s="1220"/>
      <c r="M207" s="1220" t="s">
        <v>46</v>
      </c>
      <c r="N207" s="1220" t="s">
        <v>50</v>
      </c>
      <c r="O207" s="1220"/>
      <c r="P207" s="1220"/>
      <c r="Q207" s="1220" t="s">
        <v>46</v>
      </c>
      <c r="R207" s="1220" t="s">
        <v>46</v>
      </c>
      <c r="S207" s="1220"/>
      <c r="T207" s="1220" t="s">
        <v>46</v>
      </c>
      <c r="U207" s="1220" t="s">
        <v>50</v>
      </c>
      <c r="V207" s="1220"/>
      <c r="W207" s="1220"/>
      <c r="X207" s="1220" t="s">
        <v>46</v>
      </c>
      <c r="Y207" s="1220" t="s">
        <v>46</v>
      </c>
      <c r="Z207" s="1220"/>
      <c r="AA207" s="1220" t="s">
        <v>46</v>
      </c>
      <c r="AB207" s="1220" t="s">
        <v>50</v>
      </c>
      <c r="AC207" s="1220"/>
      <c r="AD207" s="1220"/>
      <c r="AE207" s="1269" t="s">
        <v>46</v>
      </c>
      <c r="AF207" s="1269" t="s">
        <v>46</v>
      </c>
      <c r="AG207" s="1601"/>
      <c r="AH207" s="67"/>
      <c r="AI207" s="67"/>
    </row>
    <row r="208" spans="1:35" ht="18" customHeight="1" x14ac:dyDescent="0.2">
      <c r="A208" s="129"/>
      <c r="B208" s="127"/>
      <c r="C208" s="128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28"/>
      <c r="AH208" s="67"/>
      <c r="AI208" s="67"/>
    </row>
    <row r="209" spans="1:36" ht="18" customHeight="1" x14ac:dyDescent="0.2">
      <c r="A209" s="129"/>
      <c r="B209" s="127"/>
      <c r="C209" s="128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28"/>
      <c r="AH209" s="67"/>
      <c r="AI209" s="67"/>
    </row>
    <row r="210" spans="1:36" ht="18" customHeight="1" x14ac:dyDescent="0.2">
      <c r="A210" s="97" t="s">
        <v>294</v>
      </c>
      <c r="B210" s="48"/>
      <c r="C210" s="66"/>
      <c r="D210" s="48"/>
      <c r="E210" s="48"/>
      <c r="F210" s="66"/>
      <c r="G210" s="48"/>
      <c r="H210" s="48"/>
      <c r="I210" s="66"/>
      <c r="J210" s="66"/>
      <c r="K210" s="48"/>
      <c r="L210" s="66"/>
      <c r="M210" s="48"/>
      <c r="N210" s="48"/>
      <c r="O210" s="66"/>
      <c r="P210" s="48"/>
      <c r="Q210" s="66"/>
      <c r="R210" s="66"/>
      <c r="S210" s="48"/>
      <c r="T210" s="48"/>
      <c r="U210" s="66"/>
      <c r="V210" s="48"/>
      <c r="W210" s="66"/>
      <c r="X210" s="66"/>
      <c r="Y210" s="48"/>
      <c r="Z210" s="48"/>
      <c r="AA210" s="48"/>
      <c r="AB210" s="48"/>
      <c r="AC210" s="48"/>
      <c r="AD210" s="48"/>
      <c r="AE210" s="66"/>
      <c r="AF210" s="48"/>
      <c r="AG210" s="48"/>
      <c r="AH210" s="67"/>
      <c r="AI210" s="67"/>
    </row>
    <row r="211" spans="1:36" ht="18" customHeight="1" x14ac:dyDescent="0.2">
      <c r="A211" s="69"/>
      <c r="B211" s="1509" t="s">
        <v>295</v>
      </c>
      <c r="C211" s="1706"/>
      <c r="D211" s="224" t="s">
        <v>17</v>
      </c>
      <c r="E211" s="225"/>
      <c r="F211" s="1707"/>
      <c r="G211" s="1511"/>
      <c r="H211" s="224" t="s">
        <v>18</v>
      </c>
      <c r="I211" s="225"/>
      <c r="J211" s="1707"/>
      <c r="K211" s="1511"/>
      <c r="L211" s="224" t="s">
        <v>19</v>
      </c>
      <c r="M211" s="225"/>
      <c r="N211" s="1707"/>
      <c r="O211" s="1511"/>
      <c r="P211" s="224" t="s">
        <v>20</v>
      </c>
      <c r="Q211" s="225"/>
      <c r="R211" s="1707"/>
      <c r="S211" s="1511"/>
      <c r="T211" s="224" t="s">
        <v>21</v>
      </c>
      <c r="U211" s="225"/>
      <c r="V211" s="1707"/>
      <c r="W211" s="1511"/>
      <c r="X211" s="224" t="s">
        <v>22</v>
      </c>
      <c r="Y211" s="225"/>
      <c r="Z211" s="1707"/>
      <c r="AA211" s="1511"/>
      <c r="AB211" s="224" t="s">
        <v>23</v>
      </c>
      <c r="AC211" s="225"/>
      <c r="AD211" s="225"/>
      <c r="AE211" s="1512" t="s">
        <v>126</v>
      </c>
      <c r="AF211" s="225"/>
      <c r="AG211" s="225"/>
      <c r="AH211" s="225"/>
      <c r="AI211" s="1708"/>
    </row>
    <row r="212" spans="1:36" ht="18" customHeight="1" x14ac:dyDescent="0.2">
      <c r="A212" s="69"/>
      <c r="B212" s="1137" t="s">
        <v>296</v>
      </c>
      <c r="C212" s="983" t="s">
        <v>297</v>
      </c>
      <c r="D212" s="984" t="s">
        <v>298</v>
      </c>
      <c r="E212" s="985"/>
      <c r="F212" s="986"/>
      <c r="G212" s="987"/>
      <c r="H212" s="988" t="s">
        <v>298</v>
      </c>
      <c r="I212" s="989"/>
      <c r="J212" s="986"/>
      <c r="K212" s="987"/>
      <c r="L212" s="988" t="s">
        <v>298</v>
      </c>
      <c r="M212" s="989"/>
      <c r="N212" s="986"/>
      <c r="O212" s="987"/>
      <c r="P212" s="988" t="s">
        <v>299</v>
      </c>
      <c r="Q212" s="989"/>
      <c r="R212" s="986"/>
      <c r="S212" s="987"/>
      <c r="T212" s="988" t="s">
        <v>300</v>
      </c>
      <c r="U212" s="989"/>
      <c r="V212" s="986"/>
      <c r="W212" s="990"/>
      <c r="X212" s="991"/>
      <c r="Y212" s="991"/>
      <c r="Z212" s="992"/>
      <c r="AA212" s="990"/>
      <c r="AB212" s="991"/>
      <c r="AC212" s="991"/>
      <c r="AD212" s="991"/>
      <c r="AE212" s="990"/>
      <c r="AF212" s="991"/>
      <c r="AG212" s="991"/>
      <c r="AH212" s="993"/>
      <c r="AI212" s="994"/>
    </row>
    <row r="213" spans="1:36" ht="18" customHeight="1" x14ac:dyDescent="0.2">
      <c r="A213" s="69"/>
      <c r="B213" s="1137" t="s">
        <v>301</v>
      </c>
      <c r="C213" s="983" t="s">
        <v>174</v>
      </c>
      <c r="D213" s="984" t="s">
        <v>298</v>
      </c>
      <c r="E213" s="985"/>
      <c r="F213" s="986"/>
      <c r="G213" s="987"/>
      <c r="H213" s="988" t="s">
        <v>298</v>
      </c>
      <c r="I213" s="989"/>
      <c r="J213" s="986"/>
      <c r="K213" s="987"/>
      <c r="L213" s="988" t="s">
        <v>302</v>
      </c>
      <c r="M213" s="989"/>
      <c r="N213" s="986"/>
      <c r="O213" s="987"/>
      <c r="P213" s="988" t="s">
        <v>303</v>
      </c>
      <c r="Q213" s="989"/>
      <c r="R213" s="986"/>
      <c r="S213" s="987"/>
      <c r="T213" s="988" t="s">
        <v>304</v>
      </c>
      <c r="U213" s="989"/>
      <c r="V213" s="986"/>
      <c r="W213" s="990"/>
      <c r="X213" s="991"/>
      <c r="Y213" s="991"/>
      <c r="Z213" s="992"/>
      <c r="AA213" s="990"/>
      <c r="AB213" s="991"/>
      <c r="AC213" s="991"/>
      <c r="AD213" s="991"/>
      <c r="AE213" s="990"/>
      <c r="AF213" s="991"/>
      <c r="AG213" s="991"/>
      <c r="AH213" s="993"/>
      <c r="AI213" s="994"/>
    </row>
    <row r="214" spans="1:36" ht="18" customHeight="1" x14ac:dyDescent="0.2">
      <c r="A214" s="69"/>
      <c r="B214" s="1137" t="s">
        <v>305</v>
      </c>
      <c r="C214" s="983" t="s">
        <v>154</v>
      </c>
      <c r="D214" s="984" t="s">
        <v>306</v>
      </c>
      <c r="E214" s="985"/>
      <c r="F214" s="986"/>
      <c r="G214" s="987"/>
      <c r="H214" s="984" t="s">
        <v>306</v>
      </c>
      <c r="I214" s="989"/>
      <c r="J214" s="986"/>
      <c r="K214" s="987"/>
      <c r="L214" s="984" t="s">
        <v>306</v>
      </c>
      <c r="M214" s="989"/>
      <c r="N214" s="986"/>
      <c r="O214" s="987"/>
      <c r="P214" s="988" t="s">
        <v>307</v>
      </c>
      <c r="Q214" s="989"/>
      <c r="R214" s="986"/>
      <c r="S214" s="987"/>
      <c r="T214" s="988" t="s">
        <v>304</v>
      </c>
      <c r="U214" s="989"/>
      <c r="V214" s="986"/>
      <c r="W214" s="990"/>
      <c r="X214" s="991"/>
      <c r="Y214" s="991"/>
      <c r="Z214" s="992"/>
      <c r="AA214" s="990"/>
      <c r="AB214" s="991"/>
      <c r="AC214" s="991"/>
      <c r="AD214" s="991"/>
      <c r="AE214" s="990"/>
      <c r="AF214" s="991"/>
      <c r="AG214" s="991"/>
      <c r="AH214" s="993"/>
      <c r="AI214" s="994"/>
    </row>
    <row r="215" spans="1:36" ht="18" customHeight="1" x14ac:dyDescent="0.2">
      <c r="A215" s="69"/>
      <c r="B215" s="1137" t="s">
        <v>308</v>
      </c>
      <c r="C215" s="983" t="s">
        <v>309</v>
      </c>
      <c r="D215" s="984" t="s">
        <v>310</v>
      </c>
      <c r="E215" s="985"/>
      <c r="F215" s="986"/>
      <c r="G215" s="987"/>
      <c r="H215" s="988" t="s">
        <v>298</v>
      </c>
      <c r="I215" s="989"/>
      <c r="J215" s="986"/>
      <c r="K215" s="987"/>
      <c r="L215" s="988" t="s">
        <v>298</v>
      </c>
      <c r="M215" s="989"/>
      <c r="N215" s="986"/>
      <c r="O215" s="987"/>
      <c r="P215" s="988" t="s">
        <v>311</v>
      </c>
      <c r="Q215" s="989"/>
      <c r="R215" s="986"/>
      <c r="S215" s="987"/>
      <c r="T215" s="988" t="s">
        <v>312</v>
      </c>
      <c r="U215" s="989"/>
      <c r="V215" s="986"/>
      <c r="W215" s="990"/>
      <c r="X215" s="991"/>
      <c r="Y215" s="991"/>
      <c r="Z215" s="992"/>
      <c r="AA215" s="990"/>
      <c r="AB215" s="991"/>
      <c r="AC215" s="991"/>
      <c r="AD215" s="991"/>
      <c r="AE215" s="990"/>
      <c r="AF215" s="991"/>
      <c r="AG215" s="991"/>
      <c r="AH215" s="993"/>
      <c r="AI215" s="994"/>
    </row>
    <row r="216" spans="1:36" ht="18" customHeight="1" x14ac:dyDescent="0.2">
      <c r="A216" s="69"/>
      <c r="B216" s="1520" t="s">
        <v>313</v>
      </c>
      <c r="C216" s="983" t="s">
        <v>160</v>
      </c>
      <c r="D216" s="984" t="s">
        <v>314</v>
      </c>
      <c r="E216" s="985"/>
      <c r="F216" s="995"/>
      <c r="G216" s="996"/>
      <c r="H216" s="984" t="s">
        <v>314</v>
      </c>
      <c r="I216" s="997"/>
      <c r="J216" s="995"/>
      <c r="K216" s="996"/>
      <c r="L216" s="984" t="s">
        <v>314</v>
      </c>
      <c r="M216" s="997"/>
      <c r="N216" s="995"/>
      <c r="O216" s="996"/>
      <c r="P216" s="988" t="s">
        <v>315</v>
      </c>
      <c r="Q216" s="997"/>
      <c r="R216" s="995"/>
      <c r="S216" s="996"/>
      <c r="T216" s="988" t="s">
        <v>304</v>
      </c>
      <c r="U216" s="997"/>
      <c r="V216" s="1140"/>
      <c r="W216" s="1523"/>
      <c r="X216" s="1638"/>
      <c r="Y216" s="1638"/>
      <c r="Z216" s="1008"/>
      <c r="AA216" s="1523"/>
      <c r="AB216" s="1638"/>
      <c r="AC216" s="1638"/>
      <c r="AD216" s="1638"/>
      <c r="AE216" s="1523"/>
      <c r="AF216" s="1638"/>
      <c r="AG216" s="1638"/>
      <c r="AH216" s="1524"/>
      <c r="AI216" s="1002"/>
    </row>
    <row r="217" spans="1:36" ht="18" customHeight="1" x14ac:dyDescent="0.2">
      <c r="A217" s="69"/>
      <c r="B217" s="1137" t="s">
        <v>316</v>
      </c>
      <c r="C217" s="983" t="s">
        <v>168</v>
      </c>
      <c r="D217" s="984" t="s">
        <v>317</v>
      </c>
      <c r="E217" s="985"/>
      <c r="F217" s="986"/>
      <c r="G217" s="987"/>
      <c r="H217" s="984" t="s">
        <v>317</v>
      </c>
      <c r="I217" s="989"/>
      <c r="J217" s="986"/>
      <c r="K217" s="987"/>
      <c r="L217" s="984" t="s">
        <v>317</v>
      </c>
      <c r="M217" s="989"/>
      <c r="N217" s="986"/>
      <c r="O217" s="987"/>
      <c r="P217" s="988" t="s">
        <v>318</v>
      </c>
      <c r="Q217" s="989"/>
      <c r="R217" s="986"/>
      <c r="S217" s="987"/>
      <c r="T217" s="988" t="s">
        <v>304</v>
      </c>
      <c r="U217" s="989"/>
      <c r="V217" s="986"/>
      <c r="W217" s="990"/>
      <c r="X217" s="991"/>
      <c r="Y217" s="991"/>
      <c r="Z217" s="1142"/>
      <c r="AA217" s="990"/>
      <c r="AB217" s="991"/>
      <c r="AC217" s="991"/>
      <c r="AD217" s="991"/>
      <c r="AE217" s="990"/>
      <c r="AF217" s="991"/>
      <c r="AG217" s="991"/>
      <c r="AH217" s="993"/>
      <c r="AI217" s="994"/>
    </row>
    <row r="218" spans="1:36" ht="18" customHeight="1" x14ac:dyDescent="0.2">
      <c r="A218" s="69"/>
      <c r="B218" s="1137" t="s">
        <v>319</v>
      </c>
      <c r="C218" s="983" t="s">
        <v>158</v>
      </c>
      <c r="D218" s="984" t="s">
        <v>320</v>
      </c>
      <c r="E218" s="985"/>
      <c r="F218" s="986"/>
      <c r="G218" s="987"/>
      <c r="H218" s="988" t="s">
        <v>320</v>
      </c>
      <c r="I218" s="989"/>
      <c r="J218" s="986"/>
      <c r="K218" s="987"/>
      <c r="L218" s="988" t="s">
        <v>320</v>
      </c>
      <c r="M218" s="989"/>
      <c r="N218" s="989"/>
      <c r="O218" s="987"/>
      <c r="P218" s="988" t="s">
        <v>320</v>
      </c>
      <c r="Q218" s="989"/>
      <c r="R218" s="989"/>
      <c r="S218" s="987"/>
      <c r="T218" s="988" t="s">
        <v>304</v>
      </c>
      <c r="U218" s="989"/>
      <c r="V218" s="986"/>
      <c r="W218" s="1137"/>
      <c r="X218" s="991"/>
      <c r="Y218" s="991"/>
      <c r="Z218" s="1142"/>
      <c r="AA218" s="990"/>
      <c r="AB218" s="991"/>
      <c r="AC218" s="991"/>
      <c r="AD218" s="991"/>
      <c r="AE218" s="990"/>
      <c r="AF218" s="991"/>
      <c r="AG218" s="991"/>
      <c r="AH218" s="993"/>
      <c r="AI218" s="994"/>
    </row>
    <row r="219" spans="1:36" ht="18" customHeight="1" x14ac:dyDescent="0.2">
      <c r="A219" s="69"/>
      <c r="B219" s="1137" t="s">
        <v>321</v>
      </c>
      <c r="C219" s="983" t="s">
        <v>322</v>
      </c>
      <c r="D219" s="984" t="s">
        <v>320</v>
      </c>
      <c r="E219" s="985"/>
      <c r="F219" s="986"/>
      <c r="G219" s="987"/>
      <c r="H219" s="988" t="s">
        <v>320</v>
      </c>
      <c r="I219" s="989"/>
      <c r="J219" s="986"/>
      <c r="K219" s="987"/>
      <c r="L219" s="988" t="s">
        <v>320</v>
      </c>
      <c r="M219" s="989"/>
      <c r="N219" s="989"/>
      <c r="O219" s="987"/>
      <c r="P219" s="988" t="s">
        <v>320</v>
      </c>
      <c r="Q219" s="989"/>
      <c r="R219" s="989"/>
      <c r="S219" s="987"/>
      <c r="T219" s="988" t="s">
        <v>304</v>
      </c>
      <c r="U219" s="989"/>
      <c r="V219" s="986"/>
      <c r="W219" s="1137"/>
      <c r="X219" s="991"/>
      <c r="Y219" s="991"/>
      <c r="Z219" s="992"/>
      <c r="AA219" s="1009"/>
      <c r="AB219" s="991"/>
      <c r="AC219" s="991"/>
      <c r="AD219" s="991"/>
      <c r="AE219" s="990"/>
      <c r="AF219" s="991"/>
      <c r="AG219" s="991"/>
      <c r="AH219" s="993"/>
      <c r="AI219" s="994"/>
    </row>
    <row r="220" spans="1:36" ht="18" customHeight="1" x14ac:dyDescent="0.2">
      <c r="A220" s="69"/>
      <c r="C220" s="260"/>
      <c r="D220" s="261"/>
      <c r="E220" s="261"/>
      <c r="F220" s="260"/>
      <c r="G220" s="262"/>
      <c r="H220" s="261"/>
      <c r="I220" s="260"/>
      <c r="J220" s="260"/>
      <c r="K220" s="262"/>
      <c r="L220" s="261"/>
      <c r="M220" s="260"/>
      <c r="N220" s="260"/>
      <c r="O220" s="262"/>
      <c r="P220" s="261"/>
      <c r="Q220" s="260"/>
      <c r="R220" s="260"/>
      <c r="S220" s="262"/>
      <c r="T220" s="261"/>
      <c r="U220" s="260"/>
      <c r="V220" s="260"/>
      <c r="AA220" s="122"/>
      <c r="AE220" s="122"/>
      <c r="AH220" s="67"/>
      <c r="AI220" s="67"/>
    </row>
    <row r="221" spans="1:36" ht="18" customHeight="1" x14ac:dyDescent="0.2">
      <c r="A221" s="69"/>
      <c r="B221" t="s">
        <v>323</v>
      </c>
      <c r="C221" s="122"/>
      <c r="F221" s="122"/>
      <c r="I221" s="122"/>
      <c r="J221" s="122"/>
      <c r="L221" s="122"/>
      <c r="O221" s="122"/>
      <c r="Q221" s="122"/>
      <c r="R221" s="122"/>
      <c r="U221" s="122"/>
      <c r="W221" s="122"/>
      <c r="X221" s="122"/>
      <c r="AE221" s="122"/>
      <c r="AH221" s="67"/>
      <c r="AI221" s="67"/>
      <c r="AJ221" s="123"/>
    </row>
    <row r="222" spans="1:36" ht="18" customHeight="1" x14ac:dyDescent="0.2">
      <c r="A222" s="69"/>
      <c r="B222" s="1509" t="s">
        <v>295</v>
      </c>
      <c r="C222" s="1709"/>
      <c r="D222" s="224" t="s">
        <v>17</v>
      </c>
      <c r="E222" s="225"/>
      <c r="F222" s="1707"/>
      <c r="G222" s="1511"/>
      <c r="H222" s="224" t="s">
        <v>18</v>
      </c>
      <c r="I222" s="225"/>
      <c r="J222" s="1707"/>
      <c r="K222" s="1511"/>
      <c r="L222" s="224" t="s">
        <v>19</v>
      </c>
      <c r="M222" s="225"/>
      <c r="N222" s="1707"/>
      <c r="O222" s="1511"/>
      <c r="P222" s="224" t="s">
        <v>20</v>
      </c>
      <c r="Q222" s="225"/>
      <c r="R222" s="1707"/>
      <c r="S222" s="1511"/>
      <c r="T222" s="224" t="s">
        <v>21</v>
      </c>
      <c r="U222" s="225"/>
      <c r="V222" s="1707"/>
      <c r="W222" s="1511"/>
      <c r="X222" s="224" t="s">
        <v>22</v>
      </c>
      <c r="Y222" s="225"/>
      <c r="Z222" s="1707"/>
      <c r="AA222" s="1511"/>
      <c r="AB222" s="224" t="s">
        <v>23</v>
      </c>
      <c r="AC222" s="225"/>
      <c r="AD222" s="225"/>
      <c r="AE222" s="1512" t="s">
        <v>126</v>
      </c>
      <c r="AF222" s="225"/>
      <c r="AG222" s="225"/>
      <c r="AH222" s="225"/>
      <c r="AI222" s="1708"/>
      <c r="AJ222" s="123"/>
    </row>
    <row r="223" spans="1:36" ht="18" customHeight="1" x14ac:dyDescent="0.2">
      <c r="A223" s="69"/>
      <c r="B223" s="1137" t="s">
        <v>296</v>
      </c>
      <c r="C223" s="983" t="s">
        <v>297</v>
      </c>
      <c r="D223" s="984" t="s">
        <v>324</v>
      </c>
      <c r="E223" s="985"/>
      <c r="F223" s="986"/>
      <c r="G223" s="987"/>
      <c r="H223" s="984" t="s">
        <v>324</v>
      </c>
      <c r="I223" s="989"/>
      <c r="J223" s="986"/>
      <c r="K223" s="987"/>
      <c r="L223" s="984" t="s">
        <v>324</v>
      </c>
      <c r="M223" s="989"/>
      <c r="N223" s="986"/>
      <c r="O223" s="987"/>
      <c r="P223" s="988" t="s">
        <v>325</v>
      </c>
      <c r="Q223" s="989"/>
      <c r="R223" s="986"/>
      <c r="S223" s="987"/>
      <c r="T223" s="988" t="s">
        <v>326</v>
      </c>
      <c r="U223" s="989"/>
      <c r="V223" s="986"/>
      <c r="W223" s="1006"/>
      <c r="X223" s="1142"/>
      <c r="Y223" s="1142"/>
      <c r="Z223" s="1140"/>
      <c r="AA223" s="1006"/>
      <c r="AB223" s="1142"/>
      <c r="AC223" s="1142"/>
      <c r="AD223" s="1142"/>
      <c r="AE223" s="1006"/>
      <c r="AF223" s="1142"/>
      <c r="AG223" s="1142"/>
      <c r="AH223" s="993"/>
      <c r="AI223" s="994"/>
      <c r="AJ223" s="123"/>
    </row>
    <row r="224" spans="1:36" ht="18" customHeight="1" x14ac:dyDescent="0.2">
      <c r="A224" s="69"/>
      <c r="B224" s="1137" t="s">
        <v>301</v>
      </c>
      <c r="C224" s="983" t="s">
        <v>174</v>
      </c>
      <c r="D224" s="984" t="s">
        <v>324</v>
      </c>
      <c r="E224" s="985"/>
      <c r="F224" s="986"/>
      <c r="G224" s="987"/>
      <c r="H224" s="984" t="s">
        <v>324</v>
      </c>
      <c r="I224" s="989"/>
      <c r="J224" s="986"/>
      <c r="K224" s="987"/>
      <c r="L224" s="988" t="s">
        <v>302</v>
      </c>
      <c r="M224" s="989"/>
      <c r="N224" s="986"/>
      <c r="O224" s="987"/>
      <c r="P224" s="988" t="s">
        <v>327</v>
      </c>
      <c r="Q224" s="989"/>
      <c r="R224" s="986"/>
      <c r="S224" s="987"/>
      <c r="T224" s="988" t="s">
        <v>328</v>
      </c>
      <c r="U224" s="989"/>
      <c r="V224" s="986"/>
      <c r="W224" s="1006"/>
      <c r="X224" s="1142"/>
      <c r="Y224" s="1142"/>
      <c r="Z224" s="1140"/>
      <c r="AA224" s="1006"/>
      <c r="AB224" s="1142"/>
      <c r="AC224" s="1142"/>
      <c r="AD224" s="1142"/>
      <c r="AE224" s="1006"/>
      <c r="AF224" s="1142"/>
      <c r="AG224" s="1142"/>
      <c r="AH224" s="993"/>
      <c r="AI224" s="994"/>
      <c r="AJ224" s="123"/>
    </row>
    <row r="225" spans="1:37" ht="18" customHeight="1" x14ac:dyDescent="0.2">
      <c r="A225" s="69"/>
      <c r="B225" s="1137" t="s">
        <v>305</v>
      </c>
      <c r="C225" s="983" t="s">
        <v>154</v>
      </c>
      <c r="D225" s="984" t="s">
        <v>324</v>
      </c>
      <c r="E225" s="985"/>
      <c r="F225" s="986"/>
      <c r="G225" s="987"/>
      <c r="H225" s="984" t="s">
        <v>324</v>
      </c>
      <c r="I225" s="989"/>
      <c r="J225" s="986"/>
      <c r="K225" s="987"/>
      <c r="L225" s="984" t="s">
        <v>324</v>
      </c>
      <c r="M225" s="989"/>
      <c r="N225" s="986"/>
      <c r="O225" s="987"/>
      <c r="P225" s="988" t="s">
        <v>329</v>
      </c>
      <c r="Q225" s="989"/>
      <c r="R225" s="986"/>
      <c r="S225" s="987"/>
      <c r="T225" s="988" t="s">
        <v>328</v>
      </c>
      <c r="U225" s="989"/>
      <c r="V225" s="986"/>
      <c r="W225" s="1006"/>
      <c r="X225" s="1142"/>
      <c r="Y225" s="1142"/>
      <c r="Z225" s="1140"/>
      <c r="AA225" s="1006"/>
      <c r="AB225" s="1142"/>
      <c r="AC225" s="1142"/>
      <c r="AD225" s="1142"/>
      <c r="AE225" s="1006"/>
      <c r="AF225" s="1142"/>
      <c r="AG225" s="1142"/>
      <c r="AH225" s="993"/>
      <c r="AI225" s="994"/>
      <c r="AJ225" s="123"/>
    </row>
    <row r="226" spans="1:37" ht="18" customHeight="1" x14ac:dyDescent="0.2">
      <c r="A226" s="69"/>
      <c r="B226" s="1137" t="s">
        <v>308</v>
      </c>
      <c r="C226" s="983" t="s">
        <v>309</v>
      </c>
      <c r="D226" s="984" t="s">
        <v>330</v>
      </c>
      <c r="E226" s="985"/>
      <c r="F226" s="986"/>
      <c r="G226" s="987"/>
      <c r="H226" s="984" t="s">
        <v>330</v>
      </c>
      <c r="I226" s="989"/>
      <c r="J226" s="986"/>
      <c r="K226" s="987"/>
      <c r="L226" s="984" t="s">
        <v>314</v>
      </c>
      <c r="M226" s="989"/>
      <c r="N226" s="986"/>
      <c r="O226" s="987"/>
      <c r="P226" s="988" t="s">
        <v>331</v>
      </c>
      <c r="Q226" s="989"/>
      <c r="R226" s="986"/>
      <c r="S226" s="987"/>
      <c r="T226" s="988" t="s">
        <v>326</v>
      </c>
      <c r="U226" s="989"/>
      <c r="V226" s="986"/>
      <c r="W226" s="1006"/>
      <c r="X226" s="1142"/>
      <c r="Y226" s="1142"/>
      <c r="Z226" s="1140"/>
      <c r="AA226" s="1006"/>
      <c r="AB226" s="1142"/>
      <c r="AC226" s="1142"/>
      <c r="AD226" s="1142"/>
      <c r="AE226" s="1006"/>
      <c r="AF226" s="1142"/>
      <c r="AG226" s="1142"/>
      <c r="AH226" s="993"/>
      <c r="AI226" s="994"/>
      <c r="AJ226" s="123"/>
    </row>
    <row r="227" spans="1:37" ht="18" customHeight="1" x14ac:dyDescent="0.2">
      <c r="A227" s="69"/>
      <c r="B227" s="1520" t="s">
        <v>313</v>
      </c>
      <c r="C227" s="983" t="s">
        <v>160</v>
      </c>
      <c r="D227" s="984" t="s">
        <v>324</v>
      </c>
      <c r="E227" s="985"/>
      <c r="F227" s="986"/>
      <c r="G227" s="987"/>
      <c r="H227" s="984" t="s">
        <v>324</v>
      </c>
      <c r="I227" s="989"/>
      <c r="J227" s="986"/>
      <c r="K227" s="987"/>
      <c r="L227" s="984" t="s">
        <v>324</v>
      </c>
      <c r="M227" s="989"/>
      <c r="N227" s="986"/>
      <c r="O227" s="987"/>
      <c r="P227" s="988" t="s">
        <v>329</v>
      </c>
      <c r="Q227" s="989"/>
      <c r="R227" s="986"/>
      <c r="S227" s="987"/>
      <c r="T227" s="988" t="s">
        <v>328</v>
      </c>
      <c r="U227" s="989"/>
      <c r="V227" s="986"/>
      <c r="W227" s="1523"/>
      <c r="X227" s="1638"/>
      <c r="Y227" s="1638"/>
      <c r="Z227" s="1008"/>
      <c r="AA227" s="1523"/>
      <c r="AB227" s="1638"/>
      <c r="AC227" s="1638"/>
      <c r="AD227" s="1638"/>
      <c r="AE227" s="1523"/>
      <c r="AF227" s="1638"/>
      <c r="AG227" s="1638"/>
      <c r="AH227" s="1524"/>
      <c r="AI227" s="1002"/>
      <c r="AJ227" s="123"/>
    </row>
    <row r="228" spans="1:37" ht="18" customHeight="1" x14ac:dyDescent="0.2">
      <c r="A228" s="69"/>
      <c r="B228" s="1137" t="s">
        <v>316</v>
      </c>
      <c r="C228" s="983" t="s">
        <v>168</v>
      </c>
      <c r="D228" s="984" t="s">
        <v>324</v>
      </c>
      <c r="E228" s="985"/>
      <c r="F228" s="986"/>
      <c r="G228" s="987"/>
      <c r="H228" s="984" t="s">
        <v>324</v>
      </c>
      <c r="I228" s="989"/>
      <c r="J228" s="986"/>
      <c r="K228" s="987"/>
      <c r="L228" s="984" t="s">
        <v>324</v>
      </c>
      <c r="M228" s="989"/>
      <c r="N228" s="986"/>
      <c r="O228" s="987"/>
      <c r="P228" s="988" t="s">
        <v>325</v>
      </c>
      <c r="Q228" s="989"/>
      <c r="R228" s="986"/>
      <c r="S228" s="987"/>
      <c r="T228" s="988" t="s">
        <v>326</v>
      </c>
      <c r="U228" s="989"/>
      <c r="V228" s="986"/>
      <c r="W228" s="1006"/>
      <c r="X228" s="1142"/>
      <c r="Y228" s="1142"/>
      <c r="Z228" s="1142"/>
      <c r="AA228" s="1006"/>
      <c r="AB228" s="1142"/>
      <c r="AC228" s="1142"/>
      <c r="AD228" s="1142"/>
      <c r="AE228" s="1006"/>
      <c r="AF228" s="1142"/>
      <c r="AG228" s="1142"/>
      <c r="AH228" s="993"/>
      <c r="AI228" s="994"/>
      <c r="AJ228" s="123"/>
    </row>
    <row r="229" spans="1:37" ht="18" customHeight="1" x14ac:dyDescent="0.2">
      <c r="A229" s="69"/>
      <c r="B229" s="1137" t="s">
        <v>321</v>
      </c>
      <c r="C229" s="983" t="s">
        <v>322</v>
      </c>
      <c r="D229" s="984" t="s">
        <v>320</v>
      </c>
      <c r="E229" s="985"/>
      <c r="F229" s="986"/>
      <c r="G229" s="987"/>
      <c r="H229" s="988" t="s">
        <v>320</v>
      </c>
      <c r="I229" s="989"/>
      <c r="J229" s="986"/>
      <c r="K229" s="987"/>
      <c r="L229" s="988" t="s">
        <v>320</v>
      </c>
      <c r="M229" s="989"/>
      <c r="N229" s="989"/>
      <c r="O229" s="987"/>
      <c r="P229" s="988" t="s">
        <v>320</v>
      </c>
      <c r="Q229" s="989"/>
      <c r="R229" s="989"/>
      <c r="S229" s="987"/>
      <c r="T229" s="988" t="s">
        <v>304</v>
      </c>
      <c r="U229" s="989"/>
      <c r="V229" s="986"/>
      <c r="W229" s="1137"/>
      <c r="X229" s="1142"/>
      <c r="Y229" s="1142"/>
      <c r="Z229" s="1140"/>
      <c r="AA229" s="1009"/>
      <c r="AB229" s="1142"/>
      <c r="AC229" s="1142"/>
      <c r="AD229" s="1142"/>
      <c r="AE229" s="1006"/>
      <c r="AF229" s="1142"/>
      <c r="AG229" s="1142"/>
      <c r="AH229" s="993"/>
      <c r="AI229" s="994"/>
      <c r="AJ229" s="123"/>
    </row>
    <row r="230" spans="1:37" ht="18" customHeight="1" x14ac:dyDescent="0.2">
      <c r="A230" s="69"/>
      <c r="B230" s="123"/>
      <c r="C230" s="253"/>
      <c r="D230" s="254"/>
      <c r="E230" s="254"/>
      <c r="F230" s="253"/>
      <c r="G230" s="255"/>
      <c r="H230" s="254"/>
      <c r="I230" s="253"/>
      <c r="J230" s="253"/>
      <c r="K230" s="255"/>
      <c r="L230" s="254"/>
      <c r="M230" s="253"/>
      <c r="N230" s="253"/>
      <c r="O230" s="255"/>
      <c r="P230" s="254"/>
      <c r="Q230" s="253"/>
      <c r="R230" s="253"/>
      <c r="S230" s="255"/>
      <c r="T230" s="254"/>
      <c r="U230" s="253"/>
      <c r="V230" s="253"/>
      <c r="W230" s="136"/>
      <c r="X230" s="136"/>
      <c r="Y230" s="136"/>
      <c r="Z230" s="136"/>
      <c r="AA230" s="137"/>
      <c r="AB230" s="136"/>
      <c r="AC230" s="136"/>
      <c r="AD230" s="136"/>
      <c r="AE230" s="137"/>
      <c r="AF230" s="136"/>
      <c r="AG230" s="136"/>
      <c r="AH230" s="124"/>
      <c r="AI230" s="124"/>
      <c r="AJ230" s="123"/>
    </row>
    <row r="231" spans="1:37" ht="18" customHeight="1" x14ac:dyDescent="0.2">
      <c r="A231" s="69"/>
      <c r="B231" s="133"/>
      <c r="C231" s="134"/>
      <c r="D231" s="135"/>
      <c r="E231" s="136"/>
      <c r="F231" s="136"/>
      <c r="G231" s="137"/>
      <c r="H231" s="135"/>
      <c r="I231" s="136"/>
      <c r="J231" s="136"/>
      <c r="K231" s="137"/>
      <c r="L231" s="135"/>
      <c r="M231" s="136"/>
      <c r="N231" s="136"/>
      <c r="O231" s="137"/>
      <c r="P231" s="127"/>
      <c r="Q231" s="136"/>
      <c r="R231" s="136"/>
      <c r="S231" s="137"/>
      <c r="T231" s="127"/>
      <c r="U231" s="136"/>
      <c r="V231" s="136"/>
      <c r="W231" s="136"/>
      <c r="X231" s="136"/>
      <c r="Y231" s="136"/>
      <c r="Z231" s="136"/>
      <c r="AA231" s="137"/>
      <c r="AB231" s="136"/>
      <c r="AC231" s="136"/>
      <c r="AD231" s="136"/>
      <c r="AE231" s="137"/>
      <c r="AF231" s="136"/>
      <c r="AG231" s="136"/>
      <c r="AH231" s="124"/>
      <c r="AI231" s="124"/>
      <c r="AJ231" s="123"/>
    </row>
    <row r="232" spans="1:37" ht="18" customHeight="1" x14ac:dyDescent="0.2">
      <c r="A232" s="96"/>
      <c r="B232" s="1010" t="s">
        <v>44</v>
      </c>
      <c r="C232" s="395">
        <v>1</v>
      </c>
      <c r="D232" s="395">
        <v>2</v>
      </c>
      <c r="E232" s="395">
        <v>3</v>
      </c>
      <c r="F232" s="395">
        <v>4</v>
      </c>
      <c r="G232" s="395">
        <v>5</v>
      </c>
      <c r="H232" s="396">
        <v>6</v>
      </c>
      <c r="I232" s="396">
        <v>7</v>
      </c>
      <c r="J232" s="395">
        <v>8</v>
      </c>
      <c r="K232" s="395">
        <v>9</v>
      </c>
      <c r="L232" s="395">
        <v>10</v>
      </c>
      <c r="M232" s="395">
        <v>11</v>
      </c>
      <c r="N232" s="395">
        <v>12</v>
      </c>
      <c r="O232" s="396">
        <v>13</v>
      </c>
      <c r="P232" s="396">
        <v>14</v>
      </c>
      <c r="Q232" s="395">
        <v>15</v>
      </c>
      <c r="R232" s="395">
        <v>16</v>
      </c>
      <c r="S232" s="395">
        <v>17</v>
      </c>
      <c r="T232" s="395">
        <v>18</v>
      </c>
      <c r="U232" s="395">
        <v>19</v>
      </c>
      <c r="V232" s="396">
        <v>20</v>
      </c>
      <c r="W232" s="396">
        <v>21</v>
      </c>
      <c r="X232" s="395">
        <v>22</v>
      </c>
      <c r="Y232" s="395">
        <v>23</v>
      </c>
      <c r="Z232" s="395">
        <v>24</v>
      </c>
      <c r="AA232" s="395">
        <v>25</v>
      </c>
      <c r="AB232" s="395">
        <v>26</v>
      </c>
      <c r="AC232" s="396">
        <v>27</v>
      </c>
      <c r="AD232" s="396">
        <v>28</v>
      </c>
      <c r="AE232" s="395">
        <v>29</v>
      </c>
      <c r="AF232" s="395">
        <v>30</v>
      </c>
      <c r="AG232" s="395">
        <v>31</v>
      </c>
      <c r="AH232" s="117"/>
      <c r="AI232" s="111"/>
    </row>
    <row r="233" spans="1:37" ht="18" customHeight="1" x14ac:dyDescent="0.2">
      <c r="A233" s="69"/>
      <c r="B233" s="1011" t="s">
        <v>332</v>
      </c>
      <c r="C233" s="1528" t="s">
        <v>414</v>
      </c>
      <c r="D233" s="1528" t="s">
        <v>414</v>
      </c>
      <c r="E233" s="1528" t="s">
        <v>297</v>
      </c>
      <c r="F233" s="1528" t="s">
        <v>414</v>
      </c>
      <c r="G233" s="638">
        <v>79</v>
      </c>
      <c r="H233" s="638"/>
      <c r="I233" s="638"/>
      <c r="J233" s="635" t="s">
        <v>80</v>
      </c>
      <c r="K233" s="635" t="s">
        <v>80</v>
      </c>
      <c r="L233" s="635" t="s">
        <v>80</v>
      </c>
      <c r="M233" s="635" t="s">
        <v>80</v>
      </c>
      <c r="N233" s="635" t="s">
        <v>80</v>
      </c>
      <c r="O233" s="635"/>
      <c r="P233" s="635"/>
      <c r="Q233" s="635" t="s">
        <v>309</v>
      </c>
      <c r="R233" s="635" t="s">
        <v>309</v>
      </c>
      <c r="S233" s="635" t="s">
        <v>309</v>
      </c>
      <c r="T233" s="635" t="s">
        <v>309</v>
      </c>
      <c r="U233" s="635" t="s">
        <v>309</v>
      </c>
      <c r="V233" s="635"/>
      <c r="W233" s="635"/>
      <c r="X233" s="635" t="s">
        <v>309</v>
      </c>
      <c r="Y233" s="635" t="s">
        <v>309</v>
      </c>
      <c r="Z233" s="635" t="s">
        <v>309</v>
      </c>
      <c r="AA233" s="635" t="s">
        <v>309</v>
      </c>
      <c r="AB233" s="635" t="s">
        <v>309</v>
      </c>
      <c r="AC233" s="635"/>
      <c r="AD233" s="635"/>
      <c r="AE233" s="635" t="s">
        <v>309</v>
      </c>
      <c r="AF233" s="635" t="s">
        <v>309</v>
      </c>
      <c r="AG233" s="635" t="s">
        <v>309</v>
      </c>
      <c r="AH233" s="116"/>
      <c r="AI233" s="116"/>
    </row>
    <row r="234" spans="1:37" ht="18" customHeight="1" x14ac:dyDescent="0.2">
      <c r="A234" s="69"/>
      <c r="B234" s="1011" t="s">
        <v>333</v>
      </c>
      <c r="C234" s="635" t="s">
        <v>174</v>
      </c>
      <c r="D234" s="635" t="s">
        <v>174</v>
      </c>
      <c r="E234" s="635" t="s">
        <v>174</v>
      </c>
      <c r="F234" s="635" t="s">
        <v>174</v>
      </c>
      <c r="G234" s="635" t="s">
        <v>174</v>
      </c>
      <c r="H234" s="635"/>
      <c r="I234" s="635"/>
      <c r="J234" s="968" t="s">
        <v>174</v>
      </c>
      <c r="K234" s="968" t="s">
        <v>174</v>
      </c>
      <c r="L234" s="968" t="s">
        <v>174</v>
      </c>
      <c r="M234" s="968" t="s">
        <v>174</v>
      </c>
      <c r="N234" s="968" t="s">
        <v>174</v>
      </c>
      <c r="O234" s="968"/>
      <c r="P234" s="968"/>
      <c r="Q234" s="968" t="s">
        <v>174</v>
      </c>
      <c r="R234" s="968" t="s">
        <v>174</v>
      </c>
      <c r="S234" s="968" t="s">
        <v>174</v>
      </c>
      <c r="T234" s="968" t="s">
        <v>174</v>
      </c>
      <c r="U234" s="968" t="s">
        <v>174</v>
      </c>
      <c r="V234" s="968"/>
      <c r="W234" s="968"/>
      <c r="X234" s="968" t="s">
        <v>174</v>
      </c>
      <c r="Y234" s="968" t="s">
        <v>174</v>
      </c>
      <c r="Z234" s="968" t="s">
        <v>174</v>
      </c>
      <c r="AA234" s="968" t="s">
        <v>174</v>
      </c>
      <c r="AB234" s="968" t="s">
        <v>174</v>
      </c>
      <c r="AC234" s="968"/>
      <c r="AD234" s="968"/>
      <c r="AE234" s="635" t="s">
        <v>174</v>
      </c>
      <c r="AF234" s="635" t="s">
        <v>174</v>
      </c>
      <c r="AG234" s="635" t="s">
        <v>174</v>
      </c>
      <c r="AH234" s="116"/>
      <c r="AI234" s="116"/>
    </row>
    <row r="235" spans="1:37" ht="18" customHeight="1" x14ac:dyDescent="0.2">
      <c r="A235" s="69"/>
      <c r="B235" s="1012" t="s">
        <v>334</v>
      </c>
      <c r="C235" s="805" t="s">
        <v>154</v>
      </c>
      <c r="D235" s="805" t="s">
        <v>154</v>
      </c>
      <c r="E235" s="805" t="s">
        <v>154</v>
      </c>
      <c r="F235" s="805" t="s">
        <v>154</v>
      </c>
      <c r="G235" s="805" t="s">
        <v>154</v>
      </c>
      <c r="H235" s="805"/>
      <c r="I235" s="805"/>
      <c r="J235" s="968" t="s">
        <v>154</v>
      </c>
      <c r="K235" s="968" t="s">
        <v>154</v>
      </c>
      <c r="L235" s="968" t="s">
        <v>154</v>
      </c>
      <c r="M235" s="968" t="s">
        <v>154</v>
      </c>
      <c r="N235" s="968" t="s">
        <v>154</v>
      </c>
      <c r="O235" s="968"/>
      <c r="P235" s="968"/>
      <c r="Q235" s="968" t="s">
        <v>154</v>
      </c>
      <c r="R235" s="968" t="s">
        <v>154</v>
      </c>
      <c r="S235" s="968" t="s">
        <v>154</v>
      </c>
      <c r="T235" s="968" t="s">
        <v>154</v>
      </c>
      <c r="U235" s="968" t="s">
        <v>154</v>
      </c>
      <c r="V235" s="968"/>
      <c r="W235" s="968"/>
      <c r="X235" s="968" t="s">
        <v>154</v>
      </c>
      <c r="Y235" s="968" t="s">
        <v>154</v>
      </c>
      <c r="Z235" s="968" t="s">
        <v>154</v>
      </c>
      <c r="AA235" s="968" t="s">
        <v>154</v>
      </c>
      <c r="AB235" s="968" t="s">
        <v>154</v>
      </c>
      <c r="AC235" s="968"/>
      <c r="AD235" s="968"/>
      <c r="AE235" s="635" t="s">
        <v>154</v>
      </c>
      <c r="AF235" s="799" t="s">
        <v>154</v>
      </c>
      <c r="AG235" s="635" t="s">
        <v>154</v>
      </c>
      <c r="AH235" s="116"/>
      <c r="AI235" s="116"/>
      <c r="AK235" t="s">
        <v>0</v>
      </c>
    </row>
    <row r="236" spans="1:37" ht="18" customHeight="1" x14ac:dyDescent="0.2">
      <c r="A236" s="69"/>
      <c r="B236" s="1011" t="s">
        <v>335</v>
      </c>
      <c r="C236" s="635" t="s">
        <v>309</v>
      </c>
      <c r="D236" s="635" t="s">
        <v>309</v>
      </c>
      <c r="E236" s="635" t="s">
        <v>309</v>
      </c>
      <c r="F236" s="635" t="s">
        <v>309</v>
      </c>
      <c r="G236" s="635" t="s">
        <v>309</v>
      </c>
      <c r="H236" s="635"/>
      <c r="I236" s="635"/>
      <c r="J236" s="635" t="s">
        <v>309</v>
      </c>
      <c r="K236" s="635" t="s">
        <v>309</v>
      </c>
      <c r="L236" s="635" t="s">
        <v>309</v>
      </c>
      <c r="M236" s="635" t="s">
        <v>309</v>
      </c>
      <c r="N236" s="635" t="s">
        <v>309</v>
      </c>
      <c r="O236" s="635"/>
      <c r="P236" s="635"/>
      <c r="Q236" s="968" t="s">
        <v>309</v>
      </c>
      <c r="R236" s="968" t="s">
        <v>309</v>
      </c>
      <c r="S236" s="968" t="s">
        <v>309</v>
      </c>
      <c r="T236" s="968" t="s">
        <v>309</v>
      </c>
      <c r="U236" s="968" t="s">
        <v>309</v>
      </c>
      <c r="V236" s="968"/>
      <c r="W236" s="968"/>
      <c r="X236" s="968" t="s">
        <v>309</v>
      </c>
      <c r="Y236" s="968" t="s">
        <v>309</v>
      </c>
      <c r="Z236" s="968" t="s">
        <v>309</v>
      </c>
      <c r="AA236" s="968" t="s">
        <v>309</v>
      </c>
      <c r="AB236" s="968" t="s">
        <v>309</v>
      </c>
      <c r="AC236" s="968"/>
      <c r="AD236" s="968"/>
      <c r="AE236" s="968" t="s">
        <v>309</v>
      </c>
      <c r="AF236" s="968" t="s">
        <v>309</v>
      </c>
      <c r="AG236" s="968" t="s">
        <v>309</v>
      </c>
      <c r="AH236" s="116"/>
      <c r="AI236" s="116"/>
    </row>
    <row r="237" spans="1:37" ht="18" customHeight="1" x14ac:dyDescent="0.2">
      <c r="A237" s="69"/>
      <c r="B237" s="764"/>
      <c r="C237" s="635" t="s">
        <v>160</v>
      </c>
      <c r="D237" s="635" t="s">
        <v>160</v>
      </c>
      <c r="E237" s="635" t="s">
        <v>160</v>
      </c>
      <c r="F237" s="635" t="s">
        <v>160</v>
      </c>
      <c r="G237" s="635" t="s">
        <v>160</v>
      </c>
      <c r="H237" s="635"/>
      <c r="I237" s="635"/>
      <c r="J237" s="635" t="s">
        <v>160</v>
      </c>
      <c r="K237" s="635" t="s">
        <v>160</v>
      </c>
      <c r="L237" s="635" t="s">
        <v>160</v>
      </c>
      <c r="M237" s="635" t="s">
        <v>160</v>
      </c>
      <c r="N237" s="635" t="s">
        <v>160</v>
      </c>
      <c r="O237" s="635"/>
      <c r="P237" s="635"/>
      <c r="Q237" s="635" t="s">
        <v>160</v>
      </c>
      <c r="R237" s="635" t="s">
        <v>160</v>
      </c>
      <c r="S237" s="635" t="s">
        <v>160</v>
      </c>
      <c r="T237" s="635" t="s">
        <v>160</v>
      </c>
      <c r="U237" s="635" t="s">
        <v>160</v>
      </c>
      <c r="V237" s="635"/>
      <c r="W237" s="635"/>
      <c r="X237" s="635" t="s">
        <v>160</v>
      </c>
      <c r="Y237" s="635" t="s">
        <v>160</v>
      </c>
      <c r="Z237" s="635" t="s">
        <v>160</v>
      </c>
      <c r="AA237" s="635" t="s">
        <v>160</v>
      </c>
      <c r="AB237" s="635" t="s">
        <v>160</v>
      </c>
      <c r="AC237" s="635"/>
      <c r="AD237" s="635"/>
      <c r="AE237" s="635" t="s">
        <v>160</v>
      </c>
      <c r="AF237" s="635" t="s">
        <v>160</v>
      </c>
      <c r="AG237" s="635" t="s">
        <v>160</v>
      </c>
      <c r="AH237" s="116"/>
      <c r="AI237" s="116"/>
    </row>
    <row r="238" spans="1:37" ht="18" customHeight="1" x14ac:dyDescent="0.2">
      <c r="A238" s="69"/>
      <c r="B238" s="1011"/>
      <c r="C238" s="635" t="s">
        <v>168</v>
      </c>
      <c r="D238" s="635" t="s">
        <v>168</v>
      </c>
      <c r="E238" s="635" t="s">
        <v>168</v>
      </c>
      <c r="F238" s="635" t="s">
        <v>168</v>
      </c>
      <c r="G238" s="635" t="s">
        <v>168</v>
      </c>
      <c r="H238" s="635"/>
      <c r="I238" s="635"/>
      <c r="J238" s="635" t="s">
        <v>168</v>
      </c>
      <c r="K238" s="635" t="s">
        <v>168</v>
      </c>
      <c r="L238" s="635" t="s">
        <v>168</v>
      </c>
      <c r="M238" s="635" t="s">
        <v>168</v>
      </c>
      <c r="N238" s="635" t="s">
        <v>168</v>
      </c>
      <c r="O238" s="635"/>
      <c r="P238" s="635"/>
      <c r="Q238" s="635" t="s">
        <v>168</v>
      </c>
      <c r="R238" s="635" t="s">
        <v>168</v>
      </c>
      <c r="S238" s="635" t="s">
        <v>168</v>
      </c>
      <c r="T238" s="635" t="s">
        <v>168</v>
      </c>
      <c r="U238" s="635" t="s">
        <v>168</v>
      </c>
      <c r="V238" s="635"/>
      <c r="W238" s="635"/>
      <c r="X238" s="635" t="s">
        <v>168</v>
      </c>
      <c r="Y238" s="635" t="s">
        <v>168</v>
      </c>
      <c r="Z238" s="635" t="s">
        <v>168</v>
      </c>
      <c r="AA238" s="635" t="s">
        <v>168</v>
      </c>
      <c r="AB238" s="635" t="s">
        <v>168</v>
      </c>
      <c r="AC238" s="635"/>
      <c r="AD238" s="635"/>
      <c r="AE238" s="635" t="s">
        <v>168</v>
      </c>
      <c r="AF238" s="635" t="s">
        <v>168</v>
      </c>
      <c r="AG238" s="635" t="s">
        <v>168</v>
      </c>
      <c r="AH238" s="116"/>
      <c r="AI238" s="116"/>
    </row>
    <row r="239" spans="1:37" ht="18" customHeight="1" x14ac:dyDescent="0.2">
      <c r="A239" s="69"/>
      <c r="B239" s="748" t="s">
        <v>336</v>
      </c>
      <c r="C239" s="635" t="s">
        <v>158</v>
      </c>
      <c r="D239" s="635" t="s">
        <v>158</v>
      </c>
      <c r="E239" s="635" t="s">
        <v>158</v>
      </c>
      <c r="F239" s="635" t="s">
        <v>158</v>
      </c>
      <c r="G239" s="635" t="s">
        <v>158</v>
      </c>
      <c r="H239" s="635"/>
      <c r="I239" s="635"/>
      <c r="J239" s="635" t="s">
        <v>158</v>
      </c>
      <c r="K239" s="635" t="s">
        <v>158</v>
      </c>
      <c r="L239" s="635" t="s">
        <v>158</v>
      </c>
      <c r="M239" s="635" t="s">
        <v>158</v>
      </c>
      <c r="N239" s="635" t="s">
        <v>158</v>
      </c>
      <c r="O239" s="635"/>
      <c r="P239" s="635"/>
      <c r="Q239" s="635" t="s">
        <v>158</v>
      </c>
      <c r="R239" s="635" t="s">
        <v>158</v>
      </c>
      <c r="S239" s="635" t="s">
        <v>158</v>
      </c>
      <c r="T239" s="635" t="s">
        <v>158</v>
      </c>
      <c r="U239" s="635" t="s">
        <v>158</v>
      </c>
      <c r="V239" s="635"/>
      <c r="W239" s="635"/>
      <c r="X239" s="635" t="s">
        <v>158</v>
      </c>
      <c r="Y239" s="635" t="s">
        <v>158</v>
      </c>
      <c r="Z239" s="635" t="s">
        <v>158</v>
      </c>
      <c r="AA239" s="635" t="s">
        <v>158</v>
      </c>
      <c r="AB239" s="635" t="s">
        <v>158</v>
      </c>
      <c r="AC239" s="635"/>
      <c r="AD239" s="635"/>
      <c r="AE239" s="635" t="s">
        <v>158</v>
      </c>
      <c r="AF239" s="635" t="s">
        <v>158</v>
      </c>
      <c r="AG239" s="635" t="s">
        <v>158</v>
      </c>
      <c r="AH239" s="116"/>
      <c r="AI239" s="116"/>
    </row>
    <row r="240" spans="1:37" ht="18" customHeight="1" x14ac:dyDescent="0.2">
      <c r="A240" s="69"/>
      <c r="B240" s="764" t="s">
        <v>337</v>
      </c>
      <c r="C240" s="635" t="s">
        <v>322</v>
      </c>
      <c r="D240" s="635" t="s">
        <v>322</v>
      </c>
      <c r="E240" s="635" t="s">
        <v>322</v>
      </c>
      <c r="F240" s="635" t="s">
        <v>322</v>
      </c>
      <c r="G240" s="635" t="s">
        <v>322</v>
      </c>
      <c r="H240" s="635"/>
      <c r="I240" s="635"/>
      <c r="J240" s="635" t="s">
        <v>322</v>
      </c>
      <c r="K240" s="635" t="s">
        <v>322</v>
      </c>
      <c r="L240" s="635" t="s">
        <v>322</v>
      </c>
      <c r="M240" s="635" t="s">
        <v>322</v>
      </c>
      <c r="N240" s="635" t="s">
        <v>322</v>
      </c>
      <c r="O240" s="635"/>
      <c r="P240" s="635"/>
      <c r="Q240" s="635" t="s">
        <v>322</v>
      </c>
      <c r="R240" s="635" t="s">
        <v>322</v>
      </c>
      <c r="S240" s="635" t="s">
        <v>322</v>
      </c>
      <c r="T240" s="635" t="s">
        <v>322</v>
      </c>
      <c r="U240" s="635" t="s">
        <v>322</v>
      </c>
      <c r="V240" s="635"/>
      <c r="W240" s="635"/>
      <c r="X240" s="635" t="s">
        <v>322</v>
      </c>
      <c r="Y240" s="635" t="s">
        <v>322</v>
      </c>
      <c r="Z240" s="635" t="s">
        <v>322</v>
      </c>
      <c r="AA240" s="635" t="s">
        <v>322</v>
      </c>
      <c r="AB240" s="635" t="s">
        <v>322</v>
      </c>
      <c r="AC240" s="635"/>
      <c r="AD240" s="635"/>
      <c r="AE240" s="968" t="s">
        <v>322</v>
      </c>
      <c r="AF240" s="968" t="s">
        <v>322</v>
      </c>
      <c r="AG240" s="968" t="s">
        <v>322</v>
      </c>
      <c r="AH240" s="67"/>
      <c r="AI240" s="67"/>
    </row>
    <row r="241" spans="1:35" ht="18" customHeight="1" x14ac:dyDescent="0.2">
      <c r="A241" s="96"/>
      <c r="B241" s="141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40"/>
      <c r="AF241" s="140"/>
      <c r="AG241" s="140"/>
      <c r="AH241" s="73"/>
    </row>
    <row r="242" spans="1:35" ht="18" customHeight="1" x14ac:dyDescent="0.2"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</row>
    <row r="243" spans="1:35" ht="18" customHeight="1" x14ac:dyDescent="0.2">
      <c r="A243" s="1" t="s">
        <v>339</v>
      </c>
      <c r="B243" s="37"/>
    </row>
    <row r="244" spans="1:35" ht="18" customHeight="1" x14ac:dyDescent="0.2">
      <c r="A244" s="1"/>
      <c r="B244" s="1014" t="s">
        <v>340</v>
      </c>
      <c r="C244" s="1710" t="s">
        <v>17</v>
      </c>
      <c r="D244" s="1668"/>
      <c r="E244" s="1668"/>
      <c r="F244" s="1668"/>
      <c r="G244" s="1710" t="s">
        <v>18</v>
      </c>
      <c r="H244" s="1668"/>
      <c r="I244" s="1668"/>
      <c r="J244" s="1668"/>
      <c r="K244" s="1710" t="s">
        <v>19</v>
      </c>
      <c r="L244" s="1668"/>
      <c r="M244" s="1668"/>
      <c r="N244" s="1668"/>
      <c r="O244" s="1710" t="s">
        <v>20</v>
      </c>
      <c r="P244" s="1668"/>
      <c r="Q244" s="1668"/>
      <c r="R244" s="1668"/>
      <c r="S244" s="1710" t="s">
        <v>21</v>
      </c>
      <c r="T244" s="1668"/>
      <c r="U244" s="1668"/>
      <c r="V244" s="1668"/>
      <c r="W244" s="1710" t="s">
        <v>22</v>
      </c>
      <c r="X244" s="1587"/>
      <c r="Y244" s="1668"/>
      <c r="Z244" s="1711"/>
      <c r="AA244" s="1710" t="s">
        <v>23</v>
      </c>
      <c r="AB244" s="1587"/>
      <c r="AC244" s="1668"/>
      <c r="AD244" s="1711"/>
      <c r="AE244" s="1712" t="s">
        <v>126</v>
      </c>
      <c r="AF244" s="1668"/>
      <c r="AG244" s="1668"/>
      <c r="AH244" s="1668"/>
      <c r="AI244" s="1588"/>
    </row>
    <row r="245" spans="1:35" ht="18" customHeight="1" x14ac:dyDescent="0.2">
      <c r="A245" s="1"/>
      <c r="B245" s="1018">
        <v>3701</v>
      </c>
      <c r="C245" s="70" t="s">
        <v>341</v>
      </c>
      <c r="D245" s="70"/>
      <c r="E245" s="70"/>
      <c r="F245" s="70"/>
      <c r="G245" s="1535" t="s">
        <v>342</v>
      </c>
      <c r="H245" s="70"/>
      <c r="I245" s="70"/>
      <c r="J245" s="70"/>
      <c r="K245" s="1535" t="s">
        <v>342</v>
      </c>
      <c r="L245" s="70"/>
      <c r="M245" s="70"/>
      <c r="N245" s="70"/>
      <c r="O245" s="1535" t="s">
        <v>342</v>
      </c>
      <c r="P245" s="70"/>
      <c r="Q245" s="70"/>
      <c r="R245" s="70"/>
      <c r="S245" s="1535" t="s">
        <v>343</v>
      </c>
      <c r="T245" s="70"/>
      <c r="U245" s="70"/>
      <c r="V245" s="70"/>
      <c r="W245" s="1372"/>
      <c r="X245" s="1019"/>
      <c r="Y245" s="1244"/>
      <c r="Z245" s="1020"/>
      <c r="AA245" s="1372"/>
      <c r="AB245" s="1019"/>
      <c r="AC245" s="1244"/>
      <c r="AD245" s="1020"/>
      <c r="AE245" s="1445"/>
      <c r="AF245" s="1244"/>
      <c r="AG245" s="1244"/>
      <c r="AH245" s="1244"/>
      <c r="AI245" s="1403"/>
    </row>
    <row r="246" spans="1:35" ht="18" customHeight="1" x14ac:dyDescent="0.2">
      <c r="B246" s="1014">
        <v>3700</v>
      </c>
      <c r="C246" s="1244" t="s">
        <v>249</v>
      </c>
      <c r="D246" s="1244"/>
      <c r="E246" s="1244"/>
      <c r="F246" s="1244"/>
      <c r="G246" s="1404" t="s">
        <v>249</v>
      </c>
      <c r="H246" s="1244"/>
      <c r="I246" s="1244"/>
      <c r="J246" s="1244"/>
      <c r="K246" s="1404" t="s">
        <v>249</v>
      </c>
      <c r="L246" s="1244"/>
      <c r="M246" s="1244"/>
      <c r="N246" s="1244"/>
      <c r="O246" s="1404" t="s">
        <v>249</v>
      </c>
      <c r="P246" s="1244"/>
      <c r="Q246" s="1244"/>
      <c r="R246" s="1244"/>
      <c r="S246" s="1404" t="s">
        <v>250</v>
      </c>
      <c r="T246" s="1244"/>
      <c r="U246" s="1244"/>
      <c r="V246" s="1244"/>
      <c r="W246" s="1372"/>
      <c r="X246" s="1244"/>
      <c r="Y246" s="1244"/>
      <c r="Z246" s="1447"/>
      <c r="AA246" s="1445"/>
      <c r="AB246" s="1244"/>
      <c r="AC246" s="1244"/>
      <c r="AD246" s="1302"/>
      <c r="AE246" s="1021"/>
      <c r="AF246" s="1244"/>
      <c r="AG246" s="1244"/>
      <c r="AH246" s="1302"/>
      <c r="AI246" s="1403"/>
    </row>
    <row r="247" spans="1:35" ht="18" customHeight="1" x14ac:dyDescent="0.2">
      <c r="A247" s="1"/>
      <c r="B247" s="1014">
        <v>8514</v>
      </c>
      <c r="C247" s="1244" t="s">
        <v>342</v>
      </c>
      <c r="D247" s="1244"/>
      <c r="E247" s="1244"/>
      <c r="F247" s="1244"/>
      <c r="G247" s="1404" t="s">
        <v>342</v>
      </c>
      <c r="H247" s="1244"/>
      <c r="I247" s="1244"/>
      <c r="J247" s="1244"/>
      <c r="K247" s="1404" t="s">
        <v>342</v>
      </c>
      <c r="L247" s="1244"/>
      <c r="M247" s="1244"/>
      <c r="N247" s="1244"/>
      <c r="O247" s="1404" t="s">
        <v>342</v>
      </c>
      <c r="P247" s="1244"/>
      <c r="Q247" s="1244"/>
      <c r="R247" s="1244"/>
      <c r="S247" s="1404" t="s">
        <v>344</v>
      </c>
      <c r="T247" s="1244"/>
      <c r="U247" s="1244"/>
      <c r="V247" s="1244"/>
      <c r="W247" s="1372"/>
      <c r="X247" s="1244"/>
      <c r="Y247" s="1244"/>
      <c r="Z247" s="1447"/>
      <c r="AA247" s="1301"/>
      <c r="AB247" s="1244"/>
      <c r="AC247" s="1244"/>
      <c r="AD247" s="1302"/>
      <c r="AE247" s="1301"/>
      <c r="AF247" s="1244"/>
      <c r="AG247" s="1244"/>
      <c r="AH247" s="1302"/>
      <c r="AI247" s="1403"/>
    </row>
    <row r="248" spans="1:35" ht="18" customHeight="1" x14ac:dyDescent="0.2">
      <c r="A248" s="1"/>
      <c r="B248" s="1014">
        <v>8500</v>
      </c>
      <c r="C248" s="875" t="s">
        <v>345</v>
      </c>
      <c r="D248" s="875"/>
      <c r="E248" s="875"/>
      <c r="F248" s="875"/>
      <c r="G248" s="1022" t="s">
        <v>345</v>
      </c>
      <c r="H248" s="875"/>
      <c r="I248" s="875"/>
      <c r="J248" s="875"/>
      <c r="K248" s="1022" t="s">
        <v>345</v>
      </c>
      <c r="L248" s="875"/>
      <c r="M248" s="875"/>
      <c r="N248" s="875"/>
      <c r="O248" s="1022" t="s">
        <v>345</v>
      </c>
      <c r="P248" s="875"/>
      <c r="Q248" s="875"/>
      <c r="R248" s="875"/>
      <c r="S248" s="1022" t="s">
        <v>346</v>
      </c>
      <c r="T248" s="875"/>
      <c r="U248" s="875"/>
      <c r="V248" s="875"/>
      <c r="W248" s="1372"/>
      <c r="X248" s="875"/>
      <c r="Y248" s="875"/>
      <c r="Z248" s="1023"/>
      <c r="AA248" s="1024"/>
      <c r="AB248" s="875"/>
      <c r="AC248" s="875"/>
      <c r="AD248" s="1023"/>
      <c r="AE248" s="1024"/>
      <c r="AF248" s="875"/>
      <c r="AG248" s="875"/>
      <c r="AH248" s="1025"/>
      <c r="AI248" s="1026"/>
    </row>
    <row r="249" spans="1:35" ht="18" customHeight="1" x14ac:dyDescent="0.2">
      <c r="A249" s="1"/>
      <c r="B249" s="1014">
        <v>8514</v>
      </c>
      <c r="C249" s="1027" t="s">
        <v>342</v>
      </c>
      <c r="D249" s="1027"/>
      <c r="E249" s="1027"/>
      <c r="F249" s="1027"/>
      <c r="G249" s="1028" t="s">
        <v>342</v>
      </c>
      <c r="H249" s="1027"/>
      <c r="I249" s="1027"/>
      <c r="J249" s="1027"/>
      <c r="K249" s="1028" t="s">
        <v>342</v>
      </c>
      <c r="L249" s="1027"/>
      <c r="M249" s="1027"/>
      <c r="N249" s="1027"/>
      <c r="O249" s="1028" t="s">
        <v>342</v>
      </c>
      <c r="P249" s="1027"/>
      <c r="Q249" s="1027"/>
      <c r="R249" s="1027"/>
      <c r="S249" s="1028" t="s">
        <v>344</v>
      </c>
      <c r="T249" s="1027"/>
      <c r="U249" s="1027"/>
      <c r="V249" s="1027"/>
      <c r="W249" s="1029"/>
      <c r="X249" s="1030"/>
      <c r="Y249" s="875"/>
      <c r="Z249" s="1031"/>
      <c r="AA249" s="1032"/>
      <c r="AB249" s="1030"/>
      <c r="AC249" s="875"/>
      <c r="AD249" s="875"/>
      <c r="AE249" s="1033"/>
      <c r="AF249" s="875"/>
      <c r="AG249" s="875"/>
      <c r="AH249" s="875"/>
      <c r="AI249" s="1026"/>
    </row>
    <row r="250" spans="1:35" ht="18" customHeight="1" x14ac:dyDescent="0.2">
      <c r="A250" s="1"/>
      <c r="B250" s="1034" t="s">
        <v>347</v>
      </c>
      <c r="C250" s="1251" t="s">
        <v>10</v>
      </c>
      <c r="D250" s="1251"/>
      <c r="E250" s="1251"/>
      <c r="F250" s="1251"/>
      <c r="G250" s="1035" t="s">
        <v>10</v>
      </c>
      <c r="H250" s="1251"/>
      <c r="I250" s="1251"/>
      <c r="J250" s="1251"/>
      <c r="K250" s="1406" t="s">
        <v>10</v>
      </c>
      <c r="L250" s="1251"/>
      <c r="M250" s="1251"/>
      <c r="N250" s="1251"/>
      <c r="O250" s="1035" t="s">
        <v>10</v>
      </c>
      <c r="P250" s="1251"/>
      <c r="Q250" s="1251"/>
      <c r="R250" s="1251"/>
      <c r="S250" s="1035" t="s">
        <v>10</v>
      </c>
      <c r="T250" s="1251"/>
      <c r="U250" s="1251"/>
      <c r="V250" s="1251"/>
      <c r="W250" s="1406"/>
      <c r="X250" s="1251"/>
      <c r="Y250" s="1251"/>
      <c r="Z250" s="1481"/>
      <c r="AA250" s="1458"/>
      <c r="AB250" s="1251"/>
      <c r="AC250" s="1251"/>
      <c r="AD250" s="1465"/>
      <c r="AE250" s="1036"/>
      <c r="AF250" s="1251"/>
      <c r="AG250" s="1251"/>
      <c r="AH250" s="1465"/>
      <c r="AI250" s="1254"/>
    </row>
    <row r="251" spans="1:35" ht="18" customHeight="1" x14ac:dyDescent="0.2">
      <c r="A251" s="1"/>
      <c r="B251" s="5"/>
      <c r="C251" s="42"/>
      <c r="D251" s="70"/>
      <c r="E251" s="70"/>
      <c r="F251" s="46"/>
      <c r="G251" s="42"/>
      <c r="H251" s="70"/>
      <c r="I251" s="70"/>
      <c r="J251" s="46"/>
      <c r="K251" s="42"/>
      <c r="L251" s="70"/>
      <c r="M251" s="70"/>
      <c r="N251" s="46"/>
      <c r="O251" s="42"/>
      <c r="P251" s="70"/>
      <c r="Q251" s="70"/>
      <c r="R251" s="46"/>
      <c r="S251" s="42"/>
      <c r="T251" s="70"/>
      <c r="U251" s="70"/>
      <c r="V251" s="46"/>
      <c r="W251" s="46"/>
      <c r="Z251" s="46"/>
      <c r="AA251" s="46"/>
      <c r="AD251" s="46"/>
      <c r="AE251" s="46"/>
      <c r="AH251" s="46"/>
    </row>
    <row r="252" spans="1:35" ht="18" customHeight="1" x14ac:dyDescent="0.2">
      <c r="A252" s="1" t="s">
        <v>348</v>
      </c>
      <c r="B252" s="5"/>
      <c r="C252" s="42"/>
      <c r="D252" s="70"/>
      <c r="E252" s="70"/>
      <c r="F252" s="46"/>
      <c r="G252" s="42"/>
      <c r="H252" s="70"/>
      <c r="I252" s="70"/>
      <c r="J252" s="46"/>
      <c r="K252" s="42"/>
      <c r="L252" s="70"/>
      <c r="M252" s="70"/>
      <c r="N252" s="46"/>
      <c r="O252" s="42"/>
      <c r="P252" s="70"/>
      <c r="Q252" s="70"/>
      <c r="R252" s="46"/>
      <c r="S252" s="42"/>
      <c r="T252" s="70"/>
      <c r="U252" s="70"/>
      <c r="V252" s="46"/>
      <c r="W252" s="46"/>
      <c r="Z252" s="46"/>
      <c r="AA252" s="46"/>
      <c r="AD252" s="46"/>
      <c r="AE252" s="46"/>
      <c r="AH252" s="46"/>
    </row>
    <row r="253" spans="1:35" ht="18" customHeight="1" x14ac:dyDescent="0.2">
      <c r="A253" s="1434"/>
      <c r="B253" s="1256" t="s">
        <v>44</v>
      </c>
      <c r="C253" s="395">
        <v>1</v>
      </c>
      <c r="D253" s="395">
        <v>2</v>
      </c>
      <c r="E253" s="395">
        <v>3</v>
      </c>
      <c r="F253" s="395">
        <v>4</v>
      </c>
      <c r="G253" s="395">
        <v>5</v>
      </c>
      <c r="H253" s="396">
        <v>6</v>
      </c>
      <c r="I253" s="396">
        <v>7</v>
      </c>
      <c r="J253" s="395">
        <v>8</v>
      </c>
      <c r="K253" s="395">
        <v>9</v>
      </c>
      <c r="L253" s="395">
        <v>10</v>
      </c>
      <c r="M253" s="395">
        <v>11</v>
      </c>
      <c r="N253" s="395">
        <v>12</v>
      </c>
      <c r="O253" s="396">
        <v>13</v>
      </c>
      <c r="P253" s="396">
        <v>14</v>
      </c>
      <c r="Q253" s="395">
        <v>15</v>
      </c>
      <c r="R253" s="395">
        <v>16</v>
      </c>
      <c r="S253" s="395">
        <v>17</v>
      </c>
      <c r="T253" s="395">
        <v>18</v>
      </c>
      <c r="U253" s="395">
        <v>19</v>
      </c>
      <c r="V253" s="396">
        <v>20</v>
      </c>
      <c r="W253" s="396">
        <v>21</v>
      </c>
      <c r="X253" s="395">
        <v>22</v>
      </c>
      <c r="Y253" s="395">
        <v>23</v>
      </c>
      <c r="Z253" s="395">
        <v>24</v>
      </c>
      <c r="AA253" s="395">
        <v>25</v>
      </c>
      <c r="AB253" s="395">
        <v>26</v>
      </c>
      <c r="AC253" s="396">
        <v>27</v>
      </c>
      <c r="AD253" s="396">
        <v>28</v>
      </c>
      <c r="AE253" s="395">
        <v>29</v>
      </c>
      <c r="AF253" s="395">
        <v>30</v>
      </c>
      <c r="AG253" s="395">
        <v>31</v>
      </c>
      <c r="AH253" s="110"/>
      <c r="AI253" s="111"/>
    </row>
    <row r="254" spans="1:35" ht="18" customHeight="1" x14ac:dyDescent="0.2">
      <c r="A254" s="1713"/>
      <c r="B254" s="1714" t="s">
        <v>349</v>
      </c>
      <c r="C254" s="1715" t="s">
        <v>46</v>
      </c>
      <c r="D254" s="1715" t="s">
        <v>46</v>
      </c>
      <c r="E254" s="1715" t="s">
        <v>46</v>
      </c>
      <c r="F254" s="1715" t="s">
        <v>46</v>
      </c>
      <c r="G254" s="1716" t="s">
        <v>46</v>
      </c>
      <c r="H254" s="1716"/>
      <c r="I254" s="1716"/>
      <c r="J254" s="1715" t="s">
        <v>46</v>
      </c>
      <c r="K254" s="1715" t="s">
        <v>46</v>
      </c>
      <c r="L254" s="1715" t="s">
        <v>46</v>
      </c>
      <c r="M254" s="1715" t="s">
        <v>46</v>
      </c>
      <c r="N254" s="1716" t="s">
        <v>46</v>
      </c>
      <c r="O254" s="1716"/>
      <c r="P254" s="1716"/>
      <c r="Q254" s="1715" t="s">
        <v>46</v>
      </c>
      <c r="R254" s="1715" t="s">
        <v>46</v>
      </c>
      <c r="S254" s="1715" t="s">
        <v>46</v>
      </c>
      <c r="T254" s="1715" t="s">
        <v>46</v>
      </c>
      <c r="U254" s="1716" t="s">
        <v>46</v>
      </c>
      <c r="V254" s="1716"/>
      <c r="W254" s="1716"/>
      <c r="X254" s="1715" t="s">
        <v>46</v>
      </c>
      <c r="Y254" s="1715" t="s">
        <v>46</v>
      </c>
      <c r="Z254" s="1715" t="s">
        <v>46</v>
      </c>
      <c r="AA254" s="1715" t="s">
        <v>46</v>
      </c>
      <c r="AB254" s="1716" t="s">
        <v>46</v>
      </c>
      <c r="AC254" s="1716"/>
      <c r="AD254" s="1716"/>
      <c r="AE254" s="1715" t="s">
        <v>46</v>
      </c>
      <c r="AF254" s="1715" t="s">
        <v>46</v>
      </c>
      <c r="AG254" s="1717" t="s">
        <v>46</v>
      </c>
      <c r="AH254" s="110"/>
      <c r="AI254" s="111"/>
    </row>
    <row r="255" spans="1:35" ht="18" customHeight="1" x14ac:dyDescent="0.2">
      <c r="A255" s="1039"/>
      <c r="B255" s="1040" t="s">
        <v>350</v>
      </c>
      <c r="C255" s="818"/>
      <c r="D255" s="818"/>
      <c r="E255" s="818"/>
      <c r="F255" s="818"/>
      <c r="G255" s="636"/>
      <c r="H255" s="636"/>
      <c r="I255" s="636"/>
      <c r="J255" s="818"/>
      <c r="K255" s="818"/>
      <c r="L255" s="818"/>
      <c r="M255" s="818"/>
      <c r="N255" s="636"/>
      <c r="O255" s="636"/>
      <c r="P255" s="636"/>
      <c r="Q255" s="818"/>
      <c r="R255" s="818"/>
      <c r="S255" s="818"/>
      <c r="T255" s="818"/>
      <c r="U255" s="636"/>
      <c r="V255" s="636"/>
      <c r="W255" s="636"/>
      <c r="X255" s="818"/>
      <c r="Y255" s="818"/>
      <c r="Z255" s="818"/>
      <c r="AA255" s="818"/>
      <c r="AB255" s="636"/>
      <c r="AC255" s="636"/>
      <c r="AD255" s="636"/>
      <c r="AE255" s="818"/>
      <c r="AF255" s="818"/>
      <c r="AG255" s="1041"/>
      <c r="AH255" s="110"/>
      <c r="AI255" s="111"/>
    </row>
    <row r="256" spans="1:35" ht="18" customHeight="1" x14ac:dyDescent="0.2">
      <c r="A256" s="1042">
        <v>8514</v>
      </c>
      <c r="B256" s="1043" t="s">
        <v>351</v>
      </c>
      <c r="C256" s="1047" t="s">
        <v>46</v>
      </c>
      <c r="D256" s="1047" t="s">
        <v>46</v>
      </c>
      <c r="E256" s="818" t="s">
        <v>46</v>
      </c>
      <c r="F256" s="818" t="s">
        <v>46</v>
      </c>
      <c r="G256" s="636" t="s">
        <v>46</v>
      </c>
      <c r="H256" s="636"/>
      <c r="I256" s="636"/>
      <c r="J256" s="968" t="s">
        <v>46</v>
      </c>
      <c r="K256" s="968" t="s">
        <v>46</v>
      </c>
      <c r="L256" s="968" t="s">
        <v>46</v>
      </c>
      <c r="M256" s="968" t="s">
        <v>46</v>
      </c>
      <c r="N256" s="968" t="s">
        <v>46</v>
      </c>
      <c r="O256" s="968"/>
      <c r="P256" s="968"/>
      <c r="Q256" s="968" t="s">
        <v>46</v>
      </c>
      <c r="R256" s="968" t="s">
        <v>46</v>
      </c>
      <c r="S256" s="968" t="s">
        <v>46</v>
      </c>
      <c r="T256" s="968" t="s">
        <v>46</v>
      </c>
      <c r="U256" s="968" t="s">
        <v>46</v>
      </c>
      <c r="V256" s="968"/>
      <c r="W256" s="968"/>
      <c r="X256" s="968" t="s">
        <v>46</v>
      </c>
      <c r="Y256" s="968" t="s">
        <v>46</v>
      </c>
      <c r="Z256" s="968" t="s">
        <v>46</v>
      </c>
      <c r="AA256" s="968" t="s">
        <v>46</v>
      </c>
      <c r="AB256" s="968" t="s">
        <v>46</v>
      </c>
      <c r="AC256" s="636"/>
      <c r="AD256" s="636"/>
      <c r="AE256" s="818" t="s">
        <v>46</v>
      </c>
      <c r="AF256" s="818" t="s">
        <v>46</v>
      </c>
      <c r="AG256" s="1041" t="s">
        <v>46</v>
      </c>
      <c r="AH256" s="115"/>
      <c r="AI256" s="116"/>
    </row>
    <row r="257" spans="1:35" ht="18" customHeight="1" x14ac:dyDescent="0.2">
      <c r="A257" s="1042">
        <v>3701</v>
      </c>
      <c r="B257" s="1044" t="s">
        <v>352</v>
      </c>
      <c r="C257" s="818"/>
      <c r="D257" s="818"/>
      <c r="E257" s="818"/>
      <c r="F257" s="818"/>
      <c r="G257" s="636"/>
      <c r="H257" s="636"/>
      <c r="I257" s="636"/>
      <c r="J257" s="818"/>
      <c r="K257" s="818"/>
      <c r="L257" s="818"/>
      <c r="M257" s="818"/>
      <c r="N257" s="636"/>
      <c r="O257" s="636"/>
      <c r="P257" s="636"/>
      <c r="Q257" s="818"/>
      <c r="R257" s="818"/>
      <c r="S257" s="818"/>
      <c r="T257" s="818"/>
      <c r="U257" s="636"/>
      <c r="V257" s="636"/>
      <c r="W257" s="636"/>
      <c r="X257" s="818"/>
      <c r="Y257" s="818"/>
      <c r="Z257" s="818"/>
      <c r="AA257" s="818"/>
      <c r="AB257" s="636"/>
      <c r="AC257" s="636"/>
      <c r="AD257" s="636"/>
      <c r="AE257" s="818"/>
      <c r="AF257" s="818"/>
      <c r="AG257" s="1041"/>
      <c r="AH257" s="115"/>
      <c r="AI257" s="116"/>
    </row>
    <row r="258" spans="1:35" ht="18" customHeight="1" x14ac:dyDescent="0.2">
      <c r="A258" s="1042">
        <v>3701</v>
      </c>
      <c r="B258" s="1012" t="s">
        <v>353</v>
      </c>
      <c r="C258" s="818" t="s">
        <v>46</v>
      </c>
      <c r="D258" s="818" t="s">
        <v>46</v>
      </c>
      <c r="E258" s="818" t="s">
        <v>46</v>
      </c>
      <c r="F258" s="1718" t="s">
        <v>46</v>
      </c>
      <c r="G258" s="810" t="s">
        <v>79</v>
      </c>
      <c r="H258" s="636"/>
      <c r="I258" s="636"/>
      <c r="J258" s="1047" t="s">
        <v>46</v>
      </c>
      <c r="K258" s="1047" t="s">
        <v>46</v>
      </c>
      <c r="L258" s="1047" t="s">
        <v>46</v>
      </c>
      <c r="M258" s="1047" t="s">
        <v>46</v>
      </c>
      <c r="N258" s="1047" t="s">
        <v>46</v>
      </c>
      <c r="O258" s="636"/>
      <c r="P258" s="636"/>
      <c r="Q258" s="968" t="s">
        <v>46</v>
      </c>
      <c r="R258" s="968" t="s">
        <v>46</v>
      </c>
      <c r="S258" s="968" t="s">
        <v>46</v>
      </c>
      <c r="T258" s="968" t="s">
        <v>46</v>
      </c>
      <c r="U258" s="968" t="s">
        <v>46</v>
      </c>
      <c r="V258" s="968"/>
      <c r="W258" s="968"/>
      <c r="X258" s="968" t="s">
        <v>46</v>
      </c>
      <c r="Y258" s="968" t="s">
        <v>46</v>
      </c>
      <c r="Z258" s="968" t="s">
        <v>46</v>
      </c>
      <c r="AA258" s="968" t="s">
        <v>46</v>
      </c>
      <c r="AB258" s="968" t="s">
        <v>46</v>
      </c>
      <c r="AC258" s="968"/>
      <c r="AD258" s="968"/>
      <c r="AE258" s="968" t="s">
        <v>46</v>
      </c>
      <c r="AF258" s="968" t="s">
        <v>46</v>
      </c>
      <c r="AG258" s="1719" t="s">
        <v>46</v>
      </c>
      <c r="AH258" s="115"/>
      <c r="AI258" s="116"/>
    </row>
    <row r="259" spans="1:35" ht="18" customHeight="1" x14ac:dyDescent="0.2">
      <c r="A259" s="1042">
        <v>3701</v>
      </c>
      <c r="B259" s="1012" t="s">
        <v>354</v>
      </c>
      <c r="C259" s="1047" t="s">
        <v>46</v>
      </c>
      <c r="D259" s="818" t="s">
        <v>46</v>
      </c>
      <c r="E259" s="818" t="s">
        <v>46</v>
      </c>
      <c r="F259" s="818" t="s">
        <v>46</v>
      </c>
      <c r="G259" s="636" t="s">
        <v>46</v>
      </c>
      <c r="H259" s="636"/>
      <c r="I259" s="636"/>
      <c r="J259" s="1047" t="s">
        <v>46</v>
      </c>
      <c r="K259" s="1047" t="s">
        <v>46</v>
      </c>
      <c r="L259" s="1047" t="s">
        <v>46</v>
      </c>
      <c r="M259" s="1047" t="s">
        <v>46</v>
      </c>
      <c r="N259" s="1047" t="s">
        <v>46</v>
      </c>
      <c r="O259" s="636"/>
      <c r="P259" s="636"/>
      <c r="Q259" s="968" t="s">
        <v>46</v>
      </c>
      <c r="R259" s="968" t="s">
        <v>46</v>
      </c>
      <c r="S259" s="968" t="s">
        <v>46</v>
      </c>
      <c r="T259" s="968" t="s">
        <v>46</v>
      </c>
      <c r="U259" s="968" t="s">
        <v>46</v>
      </c>
      <c r="V259" s="968"/>
      <c r="W259" s="968"/>
      <c r="X259" s="968" t="s">
        <v>46</v>
      </c>
      <c r="Y259" s="968" t="s">
        <v>46</v>
      </c>
      <c r="Z259" s="968" t="s">
        <v>46</v>
      </c>
      <c r="AA259" s="968" t="s">
        <v>46</v>
      </c>
      <c r="AB259" s="968" t="s">
        <v>46</v>
      </c>
      <c r="AC259" s="968"/>
      <c r="AD259" s="968"/>
      <c r="AE259" s="968" t="s">
        <v>46</v>
      </c>
      <c r="AF259" s="968" t="s">
        <v>46</v>
      </c>
      <c r="AG259" s="1719" t="s">
        <v>46</v>
      </c>
      <c r="AH259" s="115"/>
      <c r="AI259" s="116"/>
    </row>
    <row r="260" spans="1:35" ht="18" customHeight="1" x14ac:dyDescent="0.2">
      <c r="A260" s="1042">
        <v>3701</v>
      </c>
      <c r="B260" s="1012" t="s">
        <v>355</v>
      </c>
      <c r="C260" s="805" t="s">
        <v>46</v>
      </c>
      <c r="D260" s="805" t="s">
        <v>46</v>
      </c>
      <c r="E260" s="805" t="s">
        <v>46</v>
      </c>
      <c r="F260" s="805" t="s">
        <v>46</v>
      </c>
      <c r="G260" s="805" t="s">
        <v>46</v>
      </c>
      <c r="H260" s="805"/>
      <c r="I260" s="805"/>
      <c r="J260" s="968" t="s">
        <v>46</v>
      </c>
      <c r="K260" s="968" t="s">
        <v>46</v>
      </c>
      <c r="L260" s="968" t="s">
        <v>46</v>
      </c>
      <c r="M260" s="968" t="s">
        <v>46</v>
      </c>
      <c r="N260" s="968" t="s">
        <v>46</v>
      </c>
      <c r="O260" s="968"/>
      <c r="P260" s="968"/>
      <c r="Q260" s="968" t="s">
        <v>46</v>
      </c>
      <c r="R260" s="968" t="s">
        <v>46</v>
      </c>
      <c r="S260" s="968" t="s">
        <v>46</v>
      </c>
      <c r="T260" s="968" t="s">
        <v>46</v>
      </c>
      <c r="U260" s="968" t="s">
        <v>46</v>
      </c>
      <c r="V260" s="968"/>
      <c r="W260" s="968"/>
      <c r="X260" s="968" t="s">
        <v>46</v>
      </c>
      <c r="Y260" s="968" t="s">
        <v>46</v>
      </c>
      <c r="Z260" s="968" t="s">
        <v>46</v>
      </c>
      <c r="AA260" s="968" t="s">
        <v>46</v>
      </c>
      <c r="AB260" s="968" t="s">
        <v>46</v>
      </c>
      <c r="AC260" s="636"/>
      <c r="AD260" s="636"/>
      <c r="AE260" s="818" t="s">
        <v>46</v>
      </c>
      <c r="AF260" s="818" t="s">
        <v>46</v>
      </c>
      <c r="AG260" s="1041" t="s">
        <v>46</v>
      </c>
      <c r="AH260" s="115"/>
      <c r="AI260" s="116"/>
    </row>
    <row r="261" spans="1:35" ht="18" customHeight="1" x14ac:dyDescent="0.2">
      <c r="A261" s="1042">
        <v>3701</v>
      </c>
      <c r="B261" s="1044" t="s">
        <v>357</v>
      </c>
      <c r="C261" s="818"/>
      <c r="D261" s="818"/>
      <c r="E261" s="818"/>
      <c r="F261" s="818"/>
      <c r="G261" s="636"/>
      <c r="H261" s="636"/>
      <c r="I261" s="636"/>
      <c r="J261" s="818"/>
      <c r="K261" s="818"/>
      <c r="L261" s="818"/>
      <c r="M261" s="818"/>
      <c r="N261" s="636"/>
      <c r="O261" s="636"/>
      <c r="P261" s="636"/>
      <c r="Q261" s="818"/>
      <c r="R261" s="818"/>
      <c r="S261" s="818"/>
      <c r="T261" s="818"/>
      <c r="U261" s="636"/>
      <c r="V261" s="636"/>
      <c r="W261" s="636"/>
      <c r="X261" s="818"/>
      <c r="Y261" s="818"/>
      <c r="Z261" s="818"/>
      <c r="AA261" s="818"/>
      <c r="AB261" s="636"/>
      <c r="AC261" s="636"/>
      <c r="AD261" s="636"/>
      <c r="AE261" s="818"/>
      <c r="AF261" s="818"/>
      <c r="AG261" s="1041"/>
      <c r="AH261" s="115"/>
      <c r="AI261" s="116"/>
    </row>
    <row r="262" spans="1:35" ht="18" customHeight="1" x14ac:dyDescent="0.2">
      <c r="A262" s="1042">
        <v>3701</v>
      </c>
      <c r="B262" s="1012" t="s">
        <v>358</v>
      </c>
      <c r="C262" s="968" t="s">
        <v>46</v>
      </c>
      <c r="D262" s="968" t="s">
        <v>46</v>
      </c>
      <c r="E262" s="968" t="s">
        <v>46</v>
      </c>
      <c r="F262" s="968" t="s">
        <v>46</v>
      </c>
      <c r="G262" s="968" t="s">
        <v>46</v>
      </c>
      <c r="H262" s="968"/>
      <c r="I262" s="968"/>
      <c r="J262" s="968" t="s">
        <v>46</v>
      </c>
      <c r="K262" s="968" t="s">
        <v>46</v>
      </c>
      <c r="L262" s="968" t="s">
        <v>46</v>
      </c>
      <c r="M262" s="968" t="s">
        <v>46</v>
      </c>
      <c r="N262" s="968" t="s">
        <v>46</v>
      </c>
      <c r="O262" s="968"/>
      <c r="P262" s="968"/>
      <c r="Q262" s="968" t="s">
        <v>46</v>
      </c>
      <c r="R262" s="968" t="s">
        <v>46</v>
      </c>
      <c r="S262" s="968" t="s">
        <v>46</v>
      </c>
      <c r="T262" s="968" t="s">
        <v>46</v>
      </c>
      <c r="U262" s="968" t="s">
        <v>46</v>
      </c>
      <c r="V262" s="968"/>
      <c r="W262" s="968"/>
      <c r="X262" s="968" t="s">
        <v>46</v>
      </c>
      <c r="Y262" s="968" t="s">
        <v>46</v>
      </c>
      <c r="Z262" s="968" t="s">
        <v>46</v>
      </c>
      <c r="AA262" s="968" t="s">
        <v>46</v>
      </c>
      <c r="AB262" s="968" t="s">
        <v>46</v>
      </c>
      <c r="AC262" s="968"/>
      <c r="AD262" s="968"/>
      <c r="AE262" s="968" t="s">
        <v>46</v>
      </c>
      <c r="AF262" s="968" t="s">
        <v>46</v>
      </c>
      <c r="AG262" s="1719" t="s">
        <v>46</v>
      </c>
      <c r="AH262" s="115"/>
      <c r="AI262" s="116"/>
    </row>
    <row r="263" spans="1:35" ht="18" customHeight="1" x14ac:dyDescent="0.2">
      <c r="A263" s="1042">
        <v>3701</v>
      </c>
      <c r="B263" s="1012" t="s">
        <v>359</v>
      </c>
      <c r="C263" s="1047" t="s">
        <v>46</v>
      </c>
      <c r="D263" s="1047" t="s">
        <v>46</v>
      </c>
      <c r="E263" s="1047" t="s">
        <v>46</v>
      </c>
      <c r="F263" s="1047" t="s">
        <v>46</v>
      </c>
      <c r="G263" s="1047" t="s">
        <v>46</v>
      </c>
      <c r="H263" s="1047"/>
      <c r="I263" s="1047"/>
      <c r="J263" s="968" t="s">
        <v>46</v>
      </c>
      <c r="K263" s="968" t="s">
        <v>46</v>
      </c>
      <c r="L263" s="968" t="s">
        <v>46</v>
      </c>
      <c r="M263" s="968" t="s">
        <v>46</v>
      </c>
      <c r="N263" s="968" t="s">
        <v>46</v>
      </c>
      <c r="O263" s="968"/>
      <c r="P263" s="968"/>
      <c r="Q263" s="968" t="s">
        <v>46</v>
      </c>
      <c r="R263" s="968" t="s">
        <v>46</v>
      </c>
      <c r="S263" s="968" t="s">
        <v>46</v>
      </c>
      <c r="T263" s="968" t="s">
        <v>46</v>
      </c>
      <c r="U263" s="968" t="s">
        <v>46</v>
      </c>
      <c r="V263" s="968"/>
      <c r="W263" s="968"/>
      <c r="X263" s="968" t="s">
        <v>46</v>
      </c>
      <c r="Y263" s="968" t="s">
        <v>46</v>
      </c>
      <c r="Z263" s="968" t="s">
        <v>46</v>
      </c>
      <c r="AA263" s="968" t="s">
        <v>46</v>
      </c>
      <c r="AB263" s="968" t="s">
        <v>46</v>
      </c>
      <c r="AC263" s="833"/>
      <c r="AD263" s="833"/>
      <c r="AE263" s="1047" t="s">
        <v>46</v>
      </c>
      <c r="AF263" s="1047" t="s">
        <v>46</v>
      </c>
      <c r="AG263" s="1720" t="s">
        <v>46</v>
      </c>
      <c r="AH263" s="115"/>
      <c r="AI263" s="116"/>
    </row>
    <row r="264" spans="1:35" ht="18" customHeight="1" x14ac:dyDescent="0.2">
      <c r="A264" s="1046">
        <v>3701</v>
      </c>
      <c r="B264" s="1012" t="s">
        <v>360</v>
      </c>
      <c r="C264" s="818" t="s">
        <v>46</v>
      </c>
      <c r="D264" s="818" t="s">
        <v>46</v>
      </c>
      <c r="E264" s="968" t="s">
        <v>46</v>
      </c>
      <c r="F264" s="968" t="s">
        <v>46</v>
      </c>
      <c r="G264" s="968" t="s">
        <v>46</v>
      </c>
      <c r="H264" s="968"/>
      <c r="I264" s="968"/>
      <c r="J264" s="968" t="s">
        <v>46</v>
      </c>
      <c r="K264" s="968" t="s">
        <v>46</v>
      </c>
      <c r="L264" s="968" t="s">
        <v>46</v>
      </c>
      <c r="M264" s="968" t="s">
        <v>46</v>
      </c>
      <c r="N264" s="968" t="s">
        <v>46</v>
      </c>
      <c r="O264" s="968"/>
      <c r="P264" s="968"/>
      <c r="Q264" s="968" t="s">
        <v>46</v>
      </c>
      <c r="R264" s="968" t="s">
        <v>46</v>
      </c>
      <c r="S264" s="968" t="s">
        <v>46</v>
      </c>
      <c r="T264" s="968" t="s">
        <v>46</v>
      </c>
      <c r="U264" s="968" t="s">
        <v>46</v>
      </c>
      <c r="V264" s="968"/>
      <c r="W264" s="968"/>
      <c r="X264" s="968" t="s">
        <v>46</v>
      </c>
      <c r="Y264" s="968" t="s">
        <v>46</v>
      </c>
      <c r="Z264" s="968" t="s">
        <v>46</v>
      </c>
      <c r="AA264" s="968" t="s">
        <v>46</v>
      </c>
      <c r="AB264" s="968" t="s">
        <v>46</v>
      </c>
      <c r="AC264" s="968"/>
      <c r="AD264" s="968"/>
      <c r="AE264" s="968" t="s">
        <v>46</v>
      </c>
      <c r="AF264" s="968" t="s">
        <v>46</v>
      </c>
      <c r="AG264" s="1041" t="s">
        <v>46</v>
      </c>
      <c r="AH264" s="115"/>
      <c r="AI264" s="116"/>
    </row>
    <row r="265" spans="1:35" ht="18" customHeight="1" x14ac:dyDescent="0.2">
      <c r="A265" s="1042">
        <v>3701</v>
      </c>
      <c r="B265" s="1012" t="s">
        <v>361</v>
      </c>
      <c r="C265" s="968" t="s">
        <v>46</v>
      </c>
      <c r="D265" s="968" t="s">
        <v>46</v>
      </c>
      <c r="E265" s="968" t="s">
        <v>46</v>
      </c>
      <c r="F265" s="968" t="s">
        <v>46</v>
      </c>
      <c r="G265" s="968" t="s">
        <v>46</v>
      </c>
      <c r="H265" s="968"/>
      <c r="I265" s="968"/>
      <c r="J265" s="968" t="s">
        <v>46</v>
      </c>
      <c r="K265" s="968" t="s">
        <v>46</v>
      </c>
      <c r="L265" s="968" t="s">
        <v>46</v>
      </c>
      <c r="M265" s="968" t="s">
        <v>46</v>
      </c>
      <c r="N265" s="968" t="s">
        <v>46</v>
      </c>
      <c r="O265" s="968"/>
      <c r="P265" s="968"/>
      <c r="Q265" s="968" t="s">
        <v>46</v>
      </c>
      <c r="R265" s="968" t="s">
        <v>46</v>
      </c>
      <c r="S265" s="968" t="s">
        <v>46</v>
      </c>
      <c r="T265" s="968" t="s">
        <v>46</v>
      </c>
      <c r="U265" s="968" t="s">
        <v>46</v>
      </c>
      <c r="V265" s="968"/>
      <c r="W265" s="968"/>
      <c r="X265" s="968" t="s">
        <v>46</v>
      </c>
      <c r="Y265" s="968" t="s">
        <v>46</v>
      </c>
      <c r="Z265" s="968" t="s">
        <v>46</v>
      </c>
      <c r="AA265" s="968" t="s">
        <v>46</v>
      </c>
      <c r="AB265" s="968" t="s">
        <v>46</v>
      </c>
      <c r="AC265" s="636"/>
      <c r="AD265" s="636"/>
      <c r="AE265" s="818" t="s">
        <v>46</v>
      </c>
      <c r="AF265" s="818" t="s">
        <v>46</v>
      </c>
      <c r="AG265" s="1041" t="s">
        <v>46</v>
      </c>
      <c r="AH265" s="115"/>
      <c r="AI265" s="116"/>
    </row>
    <row r="266" spans="1:35" ht="18" customHeight="1" x14ac:dyDescent="0.2">
      <c r="A266" s="1042">
        <v>3701</v>
      </c>
      <c r="B266" s="1012" t="s">
        <v>362</v>
      </c>
      <c r="C266" s="968" t="s">
        <v>46</v>
      </c>
      <c r="D266" s="968" t="s">
        <v>46</v>
      </c>
      <c r="E266" s="968" t="s">
        <v>46</v>
      </c>
      <c r="F266" s="968" t="s">
        <v>46</v>
      </c>
      <c r="G266" s="968" t="s">
        <v>46</v>
      </c>
      <c r="H266" s="968"/>
      <c r="I266" s="968"/>
      <c r="J266" s="968" t="s">
        <v>46</v>
      </c>
      <c r="K266" s="968" t="s">
        <v>46</v>
      </c>
      <c r="L266" s="968" t="s">
        <v>46</v>
      </c>
      <c r="M266" s="968" t="s">
        <v>46</v>
      </c>
      <c r="N266" s="968" t="s">
        <v>46</v>
      </c>
      <c r="O266" s="636"/>
      <c r="P266" s="636"/>
      <c r="Q266" s="818" t="s">
        <v>46</v>
      </c>
      <c r="R266" s="818" t="s">
        <v>46</v>
      </c>
      <c r="S266" s="818" t="s">
        <v>46</v>
      </c>
      <c r="T266" s="818" t="s">
        <v>46</v>
      </c>
      <c r="U266" s="636" t="s">
        <v>46</v>
      </c>
      <c r="V266" s="636"/>
      <c r="W266" s="636"/>
      <c r="X266" s="818" t="s">
        <v>46</v>
      </c>
      <c r="Y266" s="818" t="s">
        <v>46</v>
      </c>
      <c r="Z266" s="818" t="s">
        <v>46</v>
      </c>
      <c r="AA266" s="818" t="s">
        <v>46</v>
      </c>
      <c r="AB266" s="636" t="s">
        <v>46</v>
      </c>
      <c r="AC266" s="636"/>
      <c r="AD266" s="636"/>
      <c r="AE266" s="818" t="s">
        <v>46</v>
      </c>
      <c r="AF266" s="818" t="s">
        <v>46</v>
      </c>
      <c r="AG266" s="1041" t="s">
        <v>46</v>
      </c>
      <c r="AH266" s="115"/>
      <c r="AI266" s="116"/>
    </row>
    <row r="267" spans="1:35" ht="18" customHeight="1" x14ac:dyDescent="0.2">
      <c r="A267" s="1042"/>
      <c r="B267" s="1012" t="s">
        <v>363</v>
      </c>
      <c r="C267" s="818" t="s">
        <v>46</v>
      </c>
      <c r="D267" s="818" t="s">
        <v>46</v>
      </c>
      <c r="E267" s="818" t="s">
        <v>46</v>
      </c>
      <c r="F267" s="818" t="s">
        <v>46</v>
      </c>
      <c r="G267" s="636" t="s">
        <v>46</v>
      </c>
      <c r="H267" s="636"/>
      <c r="I267" s="636"/>
      <c r="J267" s="968" t="s">
        <v>46</v>
      </c>
      <c r="K267" s="968" t="s">
        <v>46</v>
      </c>
      <c r="L267" s="968" t="s">
        <v>46</v>
      </c>
      <c r="M267" s="968" t="s">
        <v>46</v>
      </c>
      <c r="N267" s="968" t="s">
        <v>46</v>
      </c>
      <c r="O267" s="968"/>
      <c r="P267" s="968"/>
      <c r="Q267" s="968" t="s">
        <v>46</v>
      </c>
      <c r="R267" s="968" t="s">
        <v>46</v>
      </c>
      <c r="S267" s="968" t="s">
        <v>46</v>
      </c>
      <c r="T267" s="968" t="s">
        <v>46</v>
      </c>
      <c r="U267" s="968" t="s">
        <v>46</v>
      </c>
      <c r="V267" s="968"/>
      <c r="W267" s="968"/>
      <c r="X267" s="968" t="s">
        <v>46</v>
      </c>
      <c r="Y267" s="968" t="s">
        <v>46</v>
      </c>
      <c r="Z267" s="968" t="s">
        <v>46</v>
      </c>
      <c r="AA267" s="968" t="s">
        <v>46</v>
      </c>
      <c r="AB267" s="968" t="s">
        <v>46</v>
      </c>
      <c r="AC267" s="636"/>
      <c r="AD267" s="636"/>
      <c r="AE267" s="818" t="s">
        <v>46</v>
      </c>
      <c r="AF267" s="818" t="s">
        <v>46</v>
      </c>
      <c r="AG267" s="1041" t="s">
        <v>46</v>
      </c>
      <c r="AH267" s="115"/>
      <c r="AI267" s="116"/>
    </row>
    <row r="268" spans="1:35" ht="18" customHeight="1" x14ac:dyDescent="0.2">
      <c r="A268" s="1042"/>
      <c r="B268" s="1012" t="s">
        <v>364</v>
      </c>
      <c r="C268" s="818" t="s">
        <v>46</v>
      </c>
      <c r="D268" s="818" t="s">
        <v>46</v>
      </c>
      <c r="E268" s="818" t="s">
        <v>46</v>
      </c>
      <c r="F268" s="818" t="s">
        <v>46</v>
      </c>
      <c r="G268" s="636" t="s">
        <v>46</v>
      </c>
      <c r="H268" s="636"/>
      <c r="I268" s="636"/>
      <c r="J268" s="968" t="s">
        <v>46</v>
      </c>
      <c r="K268" s="968" t="s">
        <v>46</v>
      </c>
      <c r="L268" s="968" t="s">
        <v>46</v>
      </c>
      <c r="M268" s="968" t="s">
        <v>46</v>
      </c>
      <c r="N268" s="968" t="s">
        <v>46</v>
      </c>
      <c r="O268" s="968"/>
      <c r="P268" s="968"/>
      <c r="Q268" s="968" t="s">
        <v>46</v>
      </c>
      <c r="R268" s="968" t="s">
        <v>46</v>
      </c>
      <c r="S268" s="968" t="s">
        <v>46</v>
      </c>
      <c r="T268" s="968" t="s">
        <v>46</v>
      </c>
      <c r="U268" s="968" t="s">
        <v>46</v>
      </c>
      <c r="V268" s="968"/>
      <c r="W268" s="968"/>
      <c r="X268" s="968" t="s">
        <v>46</v>
      </c>
      <c r="Y268" s="968" t="s">
        <v>46</v>
      </c>
      <c r="Z268" s="968" t="s">
        <v>46</v>
      </c>
      <c r="AA268" s="968" t="s">
        <v>46</v>
      </c>
      <c r="AB268" s="968" t="s">
        <v>46</v>
      </c>
      <c r="AC268" s="968"/>
      <c r="AD268" s="968"/>
      <c r="AE268" s="968" t="s">
        <v>46</v>
      </c>
      <c r="AF268" s="968" t="s">
        <v>46</v>
      </c>
      <c r="AG268" s="1719" t="s">
        <v>46</v>
      </c>
      <c r="AH268" s="115"/>
      <c r="AI268" s="116"/>
    </row>
    <row r="269" spans="1:35" ht="18" customHeight="1" x14ac:dyDescent="0.2">
      <c r="A269" s="1042"/>
      <c r="B269" s="1012" t="s">
        <v>365</v>
      </c>
      <c r="C269" s="818" t="s">
        <v>46</v>
      </c>
      <c r="D269" s="818" t="s">
        <v>46</v>
      </c>
      <c r="E269" s="818" t="s">
        <v>46</v>
      </c>
      <c r="F269" s="818" t="s">
        <v>46</v>
      </c>
      <c r="G269" s="636" t="s">
        <v>46</v>
      </c>
      <c r="H269" s="636"/>
      <c r="I269" s="636"/>
      <c r="J269" s="968" t="s">
        <v>46</v>
      </c>
      <c r="K269" s="968" t="s">
        <v>46</v>
      </c>
      <c r="L269" s="968" t="s">
        <v>46</v>
      </c>
      <c r="M269" s="968" t="s">
        <v>46</v>
      </c>
      <c r="N269" s="968" t="s">
        <v>46</v>
      </c>
      <c r="O269" s="968"/>
      <c r="P269" s="968"/>
      <c r="Q269" s="968" t="s">
        <v>46</v>
      </c>
      <c r="R269" s="968" t="s">
        <v>46</v>
      </c>
      <c r="S269" s="968" t="s">
        <v>46</v>
      </c>
      <c r="T269" s="968" t="s">
        <v>46</v>
      </c>
      <c r="U269" s="968" t="s">
        <v>46</v>
      </c>
      <c r="V269" s="968"/>
      <c r="W269" s="968"/>
      <c r="X269" s="968" t="s">
        <v>46</v>
      </c>
      <c r="Y269" s="968" t="s">
        <v>46</v>
      </c>
      <c r="Z269" s="968" t="s">
        <v>46</v>
      </c>
      <c r="AA269" s="968" t="s">
        <v>46</v>
      </c>
      <c r="AB269" s="968" t="s">
        <v>46</v>
      </c>
      <c r="AC269" s="636"/>
      <c r="AD269" s="636"/>
      <c r="AE269" s="818" t="s">
        <v>46</v>
      </c>
      <c r="AF269" s="818" t="s">
        <v>46</v>
      </c>
      <c r="AG269" s="1721" t="s">
        <v>79</v>
      </c>
      <c r="AH269" s="115"/>
      <c r="AI269" s="116"/>
    </row>
    <row r="270" spans="1:35" ht="18" customHeight="1" x14ac:dyDescent="0.2">
      <c r="A270" s="1042"/>
      <c r="B270" s="1044" t="s">
        <v>366</v>
      </c>
      <c r="C270" s="818"/>
      <c r="D270" s="818"/>
      <c r="E270" s="818"/>
      <c r="F270" s="818"/>
      <c r="G270" s="636"/>
      <c r="H270" s="636"/>
      <c r="I270" s="636"/>
      <c r="J270" s="818"/>
      <c r="K270" s="818"/>
      <c r="L270" s="818"/>
      <c r="M270" s="818"/>
      <c r="N270" s="636"/>
      <c r="O270" s="636"/>
      <c r="P270" s="636"/>
      <c r="Q270" s="818"/>
      <c r="R270" s="818"/>
      <c r="S270" s="818"/>
      <c r="T270" s="818"/>
      <c r="U270" s="636"/>
      <c r="V270" s="636"/>
      <c r="W270" s="636"/>
      <c r="X270" s="818"/>
      <c r="Y270" s="818"/>
      <c r="Z270" s="818"/>
      <c r="AA270" s="818"/>
      <c r="AB270" s="636"/>
      <c r="AC270" s="636"/>
      <c r="AD270" s="636"/>
      <c r="AE270" s="818"/>
      <c r="AF270" s="818"/>
      <c r="AG270" s="1041"/>
      <c r="AH270" s="115"/>
      <c r="AI270" s="116"/>
    </row>
    <row r="271" spans="1:35" ht="18" customHeight="1" x14ac:dyDescent="0.2">
      <c r="A271" s="1042"/>
      <c r="B271" s="1012" t="s">
        <v>367</v>
      </c>
      <c r="C271" s="968" t="s">
        <v>46</v>
      </c>
      <c r="D271" s="968" t="s">
        <v>46</v>
      </c>
      <c r="E271" s="968" t="s">
        <v>46</v>
      </c>
      <c r="F271" s="968" t="s">
        <v>46</v>
      </c>
      <c r="G271" s="968" t="s">
        <v>46</v>
      </c>
      <c r="H271" s="968"/>
      <c r="I271" s="968"/>
      <c r="J271" s="968" t="s">
        <v>46</v>
      </c>
      <c r="K271" s="968" t="s">
        <v>46</v>
      </c>
      <c r="L271" s="968" t="s">
        <v>46</v>
      </c>
      <c r="M271" s="968" t="s">
        <v>46</v>
      </c>
      <c r="N271" s="968" t="s">
        <v>46</v>
      </c>
      <c r="O271" s="968"/>
      <c r="P271" s="968"/>
      <c r="Q271" s="968" t="s">
        <v>46</v>
      </c>
      <c r="R271" s="968" t="s">
        <v>46</v>
      </c>
      <c r="S271" s="968" t="s">
        <v>46</v>
      </c>
      <c r="T271" s="968" t="s">
        <v>46</v>
      </c>
      <c r="U271" s="968" t="s">
        <v>46</v>
      </c>
      <c r="V271" s="636"/>
      <c r="W271" s="636"/>
      <c r="X271" s="805" t="s">
        <v>46</v>
      </c>
      <c r="Y271" s="805" t="s">
        <v>46</v>
      </c>
      <c r="Z271" s="805" t="s">
        <v>46</v>
      </c>
      <c r="AA271" s="805" t="s">
        <v>46</v>
      </c>
      <c r="AB271" s="805" t="s">
        <v>46</v>
      </c>
      <c r="AC271" s="636"/>
      <c r="AD271" s="636"/>
      <c r="AE271" s="833" t="s">
        <v>46</v>
      </c>
      <c r="AF271" s="833" t="s">
        <v>46</v>
      </c>
      <c r="AG271" s="1722" t="s">
        <v>46</v>
      </c>
      <c r="AH271" s="115"/>
      <c r="AI271" s="116"/>
    </row>
    <row r="272" spans="1:35" ht="18" customHeight="1" x14ac:dyDescent="0.2">
      <c r="A272" s="1042"/>
      <c r="B272" s="1012" t="s">
        <v>368</v>
      </c>
      <c r="C272" s="968" t="s">
        <v>46</v>
      </c>
      <c r="D272" s="968" t="s">
        <v>46</v>
      </c>
      <c r="E272" s="968" t="s">
        <v>46</v>
      </c>
      <c r="F272" s="968" t="s">
        <v>46</v>
      </c>
      <c r="G272" s="968" t="s">
        <v>46</v>
      </c>
      <c r="H272" s="968"/>
      <c r="I272" s="968"/>
      <c r="J272" s="968" t="s">
        <v>46</v>
      </c>
      <c r="K272" s="968" t="s">
        <v>46</v>
      </c>
      <c r="L272" s="968" t="s">
        <v>46</v>
      </c>
      <c r="M272" s="968" t="s">
        <v>46</v>
      </c>
      <c r="N272" s="968" t="s">
        <v>46</v>
      </c>
      <c r="O272" s="636"/>
      <c r="P272" s="636"/>
      <c r="Q272" s="818" t="s">
        <v>46</v>
      </c>
      <c r="R272" s="818" t="s">
        <v>46</v>
      </c>
      <c r="S272" s="818" t="s">
        <v>46</v>
      </c>
      <c r="T272" s="818" t="s">
        <v>46</v>
      </c>
      <c r="U272" s="636" t="s">
        <v>46</v>
      </c>
      <c r="V272" s="636"/>
      <c r="W272" s="636"/>
      <c r="X272" s="818" t="s">
        <v>46</v>
      </c>
      <c r="Y272" s="818" t="s">
        <v>46</v>
      </c>
      <c r="Z272" s="818" t="s">
        <v>46</v>
      </c>
      <c r="AA272" s="818" t="s">
        <v>46</v>
      </c>
      <c r="AB272" s="636" t="s">
        <v>46</v>
      </c>
      <c r="AC272" s="636"/>
      <c r="AD272" s="636"/>
      <c r="AE272" s="818" t="s">
        <v>46</v>
      </c>
      <c r="AF272" s="818" t="s">
        <v>46</v>
      </c>
      <c r="AG272" s="1041" t="s">
        <v>46</v>
      </c>
      <c r="AH272" s="115"/>
      <c r="AI272" s="116"/>
    </row>
    <row r="273" spans="1:35" ht="18" customHeight="1" x14ac:dyDescent="0.2">
      <c r="A273" s="1042"/>
      <c r="B273" s="1012"/>
      <c r="C273" s="818" t="s">
        <v>46</v>
      </c>
      <c r="D273" s="818" t="s">
        <v>46</v>
      </c>
      <c r="E273" s="818" t="s">
        <v>46</v>
      </c>
      <c r="F273" s="818" t="s">
        <v>46</v>
      </c>
      <c r="G273" s="636" t="s">
        <v>46</v>
      </c>
      <c r="H273" s="636"/>
      <c r="I273" s="636"/>
      <c r="J273" s="818" t="s">
        <v>46</v>
      </c>
      <c r="K273" s="818" t="s">
        <v>46</v>
      </c>
      <c r="L273" s="818" t="s">
        <v>46</v>
      </c>
      <c r="M273" s="818" t="s">
        <v>46</v>
      </c>
      <c r="N273" s="635" t="s">
        <v>46</v>
      </c>
      <c r="O273" s="636"/>
      <c r="P273" s="636"/>
      <c r="Q273" s="818" t="s">
        <v>46</v>
      </c>
      <c r="R273" s="818" t="s">
        <v>46</v>
      </c>
      <c r="S273" s="818" t="s">
        <v>46</v>
      </c>
      <c r="T273" s="818" t="s">
        <v>46</v>
      </c>
      <c r="U273" s="636" t="s">
        <v>46</v>
      </c>
      <c r="V273" s="636"/>
      <c r="W273" s="636"/>
      <c r="X273" s="818" t="s">
        <v>46</v>
      </c>
      <c r="Y273" s="818" t="s">
        <v>46</v>
      </c>
      <c r="Z273" s="818" t="s">
        <v>46</v>
      </c>
      <c r="AA273" s="818" t="s">
        <v>46</v>
      </c>
      <c r="AB273" s="636" t="s">
        <v>46</v>
      </c>
      <c r="AC273" s="636"/>
      <c r="AD273" s="636"/>
      <c r="AE273" s="818" t="s">
        <v>46</v>
      </c>
      <c r="AF273" s="818" t="s">
        <v>46</v>
      </c>
      <c r="AG273" s="1041" t="s">
        <v>46</v>
      </c>
      <c r="AH273" s="112"/>
      <c r="AI273" s="67"/>
    </row>
    <row r="274" spans="1:35" ht="18" customHeight="1" x14ac:dyDescent="0.2">
      <c r="A274" s="1042"/>
      <c r="B274" s="1012" t="s">
        <v>369</v>
      </c>
      <c r="C274" s="818" t="s">
        <v>46</v>
      </c>
      <c r="D274" s="818" t="s">
        <v>46</v>
      </c>
      <c r="E274" s="818" t="s">
        <v>46</v>
      </c>
      <c r="F274" s="818" t="s">
        <v>46</v>
      </c>
      <c r="G274" s="636" t="s">
        <v>46</v>
      </c>
      <c r="H274" s="636"/>
      <c r="I274" s="636"/>
      <c r="J274" s="818" t="s">
        <v>46</v>
      </c>
      <c r="K274" s="818" t="s">
        <v>46</v>
      </c>
      <c r="L274" s="818" t="s">
        <v>46</v>
      </c>
      <c r="M274" s="818" t="s">
        <v>46</v>
      </c>
      <c r="N274" s="635" t="s">
        <v>46</v>
      </c>
      <c r="O274" s="636"/>
      <c r="P274" s="636"/>
      <c r="Q274" s="968" t="s">
        <v>46</v>
      </c>
      <c r="R274" s="968" t="s">
        <v>46</v>
      </c>
      <c r="S274" s="968" t="s">
        <v>46</v>
      </c>
      <c r="T274" s="968" t="s">
        <v>46</v>
      </c>
      <c r="U274" s="968" t="s">
        <v>46</v>
      </c>
      <c r="V274" s="968"/>
      <c r="W274" s="968"/>
      <c r="X274" s="968" t="s">
        <v>46</v>
      </c>
      <c r="Y274" s="968" t="s">
        <v>46</v>
      </c>
      <c r="Z274" s="968" t="s">
        <v>46</v>
      </c>
      <c r="AA274" s="968" t="s">
        <v>46</v>
      </c>
      <c r="AB274" s="968" t="s">
        <v>46</v>
      </c>
      <c r="AC274" s="968"/>
      <c r="AD274" s="968"/>
      <c r="AE274" s="968" t="s">
        <v>46</v>
      </c>
      <c r="AF274" s="968" t="s">
        <v>46</v>
      </c>
      <c r="AG274" s="1719" t="s">
        <v>46</v>
      </c>
      <c r="AH274" s="112"/>
      <c r="AI274" s="67"/>
    </row>
    <row r="275" spans="1:35" ht="18" customHeight="1" x14ac:dyDescent="0.2">
      <c r="A275" s="638"/>
      <c r="B275" s="1052"/>
      <c r="C275" s="636"/>
      <c r="D275" s="636"/>
      <c r="E275" s="636"/>
      <c r="F275" s="636"/>
      <c r="G275" s="636"/>
      <c r="H275" s="636"/>
      <c r="I275" s="636"/>
      <c r="J275" s="636"/>
      <c r="K275" s="636"/>
      <c r="L275" s="636"/>
      <c r="M275" s="636"/>
      <c r="N275" s="636"/>
      <c r="O275" s="636"/>
      <c r="P275" s="636"/>
      <c r="Q275" s="636"/>
      <c r="R275" s="636"/>
      <c r="S275" s="636"/>
      <c r="T275" s="636"/>
      <c r="U275" s="636"/>
      <c r="V275" s="636"/>
      <c r="W275" s="636"/>
      <c r="X275" s="636"/>
      <c r="Y275" s="636"/>
      <c r="Z275" s="636"/>
      <c r="AA275" s="636"/>
      <c r="AB275" s="636"/>
      <c r="AC275" s="636"/>
      <c r="AD275" s="636"/>
      <c r="AE275" s="636"/>
      <c r="AF275" s="636"/>
      <c r="AG275" s="1041"/>
      <c r="AH275" s="112"/>
      <c r="AI275" s="67"/>
    </row>
    <row r="276" spans="1:35" ht="18" customHeight="1" x14ac:dyDescent="0.2">
      <c r="A276" s="638"/>
      <c r="B276" s="1012"/>
      <c r="C276" s="636"/>
      <c r="D276" s="636"/>
      <c r="E276" s="636"/>
      <c r="F276" s="636"/>
      <c r="G276" s="636"/>
      <c r="H276" s="636"/>
      <c r="I276" s="636"/>
      <c r="J276" s="636"/>
      <c r="K276" s="636"/>
      <c r="L276" s="636"/>
      <c r="M276" s="636"/>
      <c r="N276" s="799"/>
      <c r="O276" s="799"/>
      <c r="P276" s="799"/>
      <c r="Q276" s="800"/>
      <c r="R276" s="799"/>
      <c r="S276" s="636"/>
      <c r="T276" s="636"/>
      <c r="U276" s="799"/>
      <c r="V276" s="799"/>
      <c r="W276" s="799"/>
      <c r="X276" s="636"/>
      <c r="Y276" s="799"/>
      <c r="Z276" s="636"/>
      <c r="AA276" s="636"/>
      <c r="AB276" s="636"/>
      <c r="AC276" s="636"/>
      <c r="AD276" s="636"/>
      <c r="AE276" s="636"/>
      <c r="AF276" s="799"/>
      <c r="AG276" s="1053"/>
      <c r="AH276" s="112"/>
      <c r="AI276" s="67"/>
    </row>
    <row r="277" spans="1:35" ht="18" customHeight="1" x14ac:dyDescent="0.2">
      <c r="A277" s="638"/>
      <c r="B277" s="638"/>
      <c r="C277" s="636"/>
      <c r="D277" s="636"/>
      <c r="E277" s="636"/>
      <c r="F277" s="636"/>
      <c r="G277" s="636"/>
      <c r="H277" s="636"/>
      <c r="I277" s="636"/>
      <c r="J277" s="636"/>
      <c r="K277" s="636"/>
      <c r="L277" s="636"/>
      <c r="M277" s="636"/>
      <c r="N277" s="636"/>
      <c r="O277" s="636"/>
      <c r="P277" s="636"/>
      <c r="Q277" s="636"/>
      <c r="R277" s="636"/>
      <c r="S277" s="636"/>
      <c r="T277" s="636"/>
      <c r="U277" s="636"/>
      <c r="V277" s="636"/>
      <c r="W277" s="636"/>
      <c r="X277" s="636"/>
      <c r="Y277" s="636"/>
      <c r="Z277" s="636"/>
      <c r="AA277" s="636"/>
      <c r="AB277" s="636"/>
      <c r="AC277" s="636"/>
      <c r="AD277" s="636"/>
      <c r="AE277" s="636"/>
      <c r="AF277" s="636"/>
      <c r="AG277" s="1041"/>
      <c r="AH277" s="112"/>
      <c r="AI277" s="67"/>
    </row>
    <row r="278" spans="1:35" ht="18" customHeight="1" x14ac:dyDescent="0.2">
      <c r="A278" s="638"/>
      <c r="B278" s="638"/>
      <c r="C278" s="636"/>
      <c r="D278" s="636"/>
      <c r="E278" s="636"/>
      <c r="F278" s="636"/>
      <c r="G278" s="636"/>
      <c r="H278" s="1054"/>
      <c r="I278" s="636"/>
      <c r="J278" s="636"/>
      <c r="K278" s="636"/>
      <c r="L278" s="636"/>
      <c r="M278" s="636"/>
      <c r="N278" s="636"/>
      <c r="O278" s="636"/>
      <c r="P278" s="636"/>
      <c r="Q278" s="636"/>
      <c r="R278" s="636"/>
      <c r="S278" s="636"/>
      <c r="T278" s="636"/>
      <c r="U278" s="636"/>
      <c r="V278" s="636"/>
      <c r="W278" s="636"/>
      <c r="X278" s="636"/>
      <c r="Y278" s="636"/>
      <c r="Z278" s="636"/>
      <c r="AA278" s="636"/>
      <c r="AB278" s="636"/>
      <c r="AC278" s="636"/>
      <c r="AD278" s="636"/>
      <c r="AE278" s="636"/>
      <c r="AF278" s="636"/>
      <c r="AG278" s="1055"/>
      <c r="AH278" s="112"/>
      <c r="AI278" s="67"/>
    </row>
    <row r="279" spans="1:35" ht="18" customHeight="1" x14ac:dyDescent="0.2">
      <c r="A279" s="1042"/>
      <c r="B279" s="1056"/>
      <c r="C279" s="636"/>
      <c r="D279" s="636"/>
      <c r="E279" s="636"/>
      <c r="F279" s="636"/>
      <c r="G279" s="636"/>
      <c r="H279" s="636"/>
      <c r="I279" s="636"/>
      <c r="J279" s="636"/>
      <c r="K279" s="636"/>
      <c r="L279" s="636"/>
      <c r="M279" s="636"/>
      <c r="N279" s="636"/>
      <c r="O279" s="636"/>
      <c r="P279" s="636"/>
      <c r="Q279" s="636"/>
      <c r="R279" s="636"/>
      <c r="S279" s="636"/>
      <c r="T279" s="636"/>
      <c r="U279" s="636"/>
      <c r="V279" s="636"/>
      <c r="W279" s="636"/>
      <c r="X279" s="636"/>
      <c r="Y279" s="636"/>
      <c r="Z279" s="636"/>
      <c r="AA279" s="636"/>
      <c r="AB279" s="636"/>
      <c r="AC279" s="636"/>
      <c r="AD279" s="636"/>
      <c r="AE279" s="636"/>
      <c r="AF279" s="636"/>
      <c r="AG279" s="1055"/>
      <c r="AH279" s="112"/>
      <c r="AI279" s="67"/>
    </row>
    <row r="280" spans="1:35" ht="18" customHeight="1" x14ac:dyDescent="0.2">
      <c r="A280" s="1042"/>
      <c r="B280" s="1057"/>
      <c r="C280" s="636"/>
      <c r="D280" s="636"/>
      <c r="E280" s="636"/>
      <c r="F280" s="636"/>
      <c r="G280" s="636"/>
      <c r="H280" s="636"/>
      <c r="I280" s="636"/>
      <c r="J280" s="636"/>
      <c r="K280" s="636"/>
      <c r="L280" s="636"/>
      <c r="M280" s="636"/>
      <c r="N280" s="636"/>
      <c r="O280" s="636"/>
      <c r="P280" s="636"/>
      <c r="Q280" s="636"/>
      <c r="R280" s="636"/>
      <c r="S280" s="636"/>
      <c r="T280" s="636"/>
      <c r="U280" s="636"/>
      <c r="V280" s="636"/>
      <c r="W280" s="636"/>
      <c r="X280" s="636"/>
      <c r="Y280" s="636"/>
      <c r="Z280" s="636"/>
      <c r="AA280" s="636"/>
      <c r="AB280" s="636"/>
      <c r="AC280" s="636"/>
      <c r="AD280" s="636"/>
      <c r="AE280" s="636"/>
      <c r="AF280" s="636"/>
      <c r="AG280" s="1055"/>
      <c r="AH280" s="112"/>
      <c r="AI280" s="67"/>
    </row>
    <row r="281" spans="1:35" ht="18" customHeight="1" x14ac:dyDescent="0.2">
      <c r="A281" s="68"/>
      <c r="B281" s="74"/>
      <c r="C281" s="66"/>
      <c r="D281" s="66"/>
      <c r="E281" s="66"/>
      <c r="F281" s="66"/>
      <c r="G281" s="66"/>
      <c r="H281" s="66"/>
      <c r="I281" s="66"/>
      <c r="J281" s="66"/>
      <c r="L281" s="66"/>
      <c r="M281" s="66"/>
      <c r="N281" s="66"/>
      <c r="O281" s="66"/>
      <c r="P281" s="48"/>
      <c r="Q281" s="48"/>
      <c r="R281" s="48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7"/>
      <c r="AI281" s="67"/>
    </row>
    <row r="282" spans="1:35" ht="18" customHeight="1" x14ac:dyDescent="0.2"/>
    <row r="283" spans="1:35" ht="18" customHeight="1" x14ac:dyDescent="0.2"/>
    <row r="284" spans="1:35" ht="18" customHeight="1" x14ac:dyDescent="0.2"/>
    <row r="285" spans="1:35" ht="18" customHeight="1" x14ac:dyDescent="0.2">
      <c r="A285" s="103" t="s">
        <v>370</v>
      </c>
    </row>
    <row r="286" spans="1:35" ht="18" customHeight="1" x14ac:dyDescent="0.2">
      <c r="B286" s="1723" t="s">
        <v>340</v>
      </c>
      <c r="C286" s="1672"/>
      <c r="D286" s="1694" t="s">
        <v>17</v>
      </c>
      <c r="E286" s="1587"/>
      <c r="F286" s="1667"/>
      <c r="G286" s="1672"/>
      <c r="H286" s="1694" t="s">
        <v>18</v>
      </c>
      <c r="I286" s="1587"/>
      <c r="J286" s="1667"/>
      <c r="K286" s="1672"/>
      <c r="L286" s="1694" t="s">
        <v>19</v>
      </c>
      <c r="M286" s="1587"/>
      <c r="N286" s="1667"/>
      <c r="O286" s="1672"/>
      <c r="P286" s="1694" t="s">
        <v>20</v>
      </c>
      <c r="Q286" s="1587"/>
      <c r="R286" s="1667"/>
      <c r="S286" s="1672"/>
      <c r="T286" s="1694" t="s">
        <v>21</v>
      </c>
      <c r="U286" s="1587"/>
      <c r="V286" s="1667"/>
      <c r="W286" s="1672"/>
      <c r="X286" s="1694" t="s">
        <v>22</v>
      </c>
      <c r="Y286" s="1587"/>
      <c r="Z286" s="1667"/>
      <c r="AA286" s="1672"/>
      <c r="AB286" s="1694" t="s">
        <v>23</v>
      </c>
      <c r="AC286" s="1587"/>
      <c r="AD286" s="1587"/>
      <c r="AE286" s="1697" t="s">
        <v>126</v>
      </c>
      <c r="AF286" s="1587"/>
      <c r="AG286" s="1587"/>
      <c r="AH286" s="1587"/>
      <c r="AI286" s="1588"/>
    </row>
    <row r="287" spans="1:35" ht="18" customHeight="1" x14ac:dyDescent="0.2">
      <c r="B287" s="452"/>
      <c r="C287" s="1059" t="s">
        <v>371</v>
      </c>
      <c r="D287" s="1030"/>
      <c r="E287" s="1060"/>
      <c r="F287" s="1061"/>
      <c r="G287" s="1059" t="s">
        <v>371</v>
      </c>
      <c r="H287" s="1030"/>
      <c r="I287" s="1060"/>
      <c r="J287" s="1061"/>
      <c r="K287" s="1059" t="s">
        <v>371</v>
      </c>
      <c r="L287" s="1030"/>
      <c r="M287" s="1060"/>
      <c r="N287" s="1061"/>
      <c r="O287" s="1059" t="s">
        <v>371</v>
      </c>
      <c r="P287" s="1062"/>
      <c r="Q287" s="1060"/>
      <c r="R287" s="1061"/>
      <c r="S287" s="1063" t="s">
        <v>372</v>
      </c>
      <c r="T287" s="1030"/>
      <c r="U287" s="1060"/>
      <c r="V287" s="1061"/>
      <c r="W287" s="1032"/>
      <c r="X287" s="1030"/>
      <c r="Y287" s="875"/>
      <c r="Z287" s="1031"/>
      <c r="AA287" s="1032"/>
      <c r="AB287" s="1030"/>
      <c r="AC287" s="875"/>
      <c r="AD287" s="875"/>
      <c r="AE287" s="1033"/>
      <c r="AF287" s="875"/>
      <c r="AG287" s="467"/>
      <c r="AH287" s="467"/>
      <c r="AI287" s="1026"/>
    </row>
    <row r="288" spans="1:35" ht="18" customHeight="1" x14ac:dyDescent="0.2">
      <c r="A288" s="70"/>
      <c r="B288" s="1064"/>
      <c r="C288" s="1495" t="s">
        <v>258</v>
      </c>
      <c r="D288" s="1065"/>
      <c r="E288" s="1060"/>
      <c r="F288" s="1061"/>
      <c r="G288" s="1495" t="s">
        <v>258</v>
      </c>
      <c r="H288" s="1030"/>
      <c r="I288" s="1060"/>
      <c r="J288" s="1061"/>
      <c r="K288" s="1495" t="s">
        <v>258</v>
      </c>
      <c r="L288" s="1030"/>
      <c r="M288" s="1060"/>
      <c r="N288" s="1061"/>
      <c r="O288" s="1495" t="s">
        <v>258</v>
      </c>
      <c r="P288" s="1030"/>
      <c r="Q288" s="1060"/>
      <c r="R288" s="1061"/>
      <c r="S288" s="1059" t="s">
        <v>373</v>
      </c>
      <c r="T288" s="1030"/>
      <c r="U288" s="1060"/>
      <c r="V288" s="1061"/>
      <c r="W288" s="1032"/>
      <c r="X288" s="1030"/>
      <c r="Y288" s="875"/>
      <c r="Z288" s="1031"/>
      <c r="AA288" s="1032"/>
      <c r="AB288" s="1030"/>
      <c r="AC288" s="875"/>
      <c r="AD288" s="875"/>
      <c r="AE288" s="1033"/>
      <c r="AF288" s="875"/>
      <c r="AG288" s="467"/>
      <c r="AH288" s="467"/>
      <c r="AI288" s="1026"/>
    </row>
    <row r="289" spans="1:35" ht="18" customHeight="1" x14ac:dyDescent="0.2">
      <c r="B289" s="1064"/>
      <c r="C289" s="1495" t="s">
        <v>261</v>
      </c>
      <c r="D289" s="1065"/>
      <c r="E289" s="1060"/>
      <c r="F289" s="1061"/>
      <c r="G289" s="1495" t="s">
        <v>261</v>
      </c>
      <c r="H289" s="1030"/>
      <c r="I289" s="1060"/>
      <c r="J289" s="1061"/>
      <c r="K289" s="1495" t="s">
        <v>261</v>
      </c>
      <c r="L289" s="1030"/>
      <c r="M289" s="1060"/>
      <c r="N289" s="1061"/>
      <c r="O289" s="1495" t="s">
        <v>261</v>
      </c>
      <c r="P289" s="1030"/>
      <c r="Q289" s="1060"/>
      <c r="R289" s="1061"/>
      <c r="S289" s="1495" t="s">
        <v>256</v>
      </c>
      <c r="T289" s="1030"/>
      <c r="U289" s="1060"/>
      <c r="V289" s="1061"/>
      <c r="W289" s="1032"/>
      <c r="X289" s="1030"/>
      <c r="Y289" s="875"/>
      <c r="Z289" s="1031"/>
      <c r="AA289" s="1032"/>
      <c r="AB289" s="1030"/>
      <c r="AC289" s="875"/>
      <c r="AD289" s="875"/>
      <c r="AE289" s="1033"/>
      <c r="AF289" s="875"/>
      <c r="AG289" s="467"/>
      <c r="AH289" s="467"/>
      <c r="AI289" s="1026"/>
    </row>
    <row r="290" spans="1:35" ht="18" customHeight="1" x14ac:dyDescent="0.2">
      <c r="B290" s="1064"/>
      <c r="C290" s="1301"/>
      <c r="D290" s="1302"/>
      <c r="E290" s="875"/>
      <c r="F290" s="1031"/>
      <c r="G290" s="1301"/>
      <c r="H290" s="1302"/>
      <c r="I290" s="875"/>
      <c r="J290" s="1031"/>
      <c r="K290" s="1301"/>
      <c r="L290" s="1302"/>
      <c r="M290" s="875"/>
      <c r="N290" s="1031"/>
      <c r="O290" s="1301"/>
      <c r="P290" s="1302"/>
      <c r="Q290" s="875"/>
      <c r="R290" s="1031"/>
      <c r="S290" s="1301"/>
      <c r="T290" s="1302"/>
      <c r="U290" s="875"/>
      <c r="V290" s="1031"/>
      <c r="W290" s="1032"/>
      <c r="X290" s="1030"/>
      <c r="Y290" s="875"/>
      <c r="Z290" s="1031"/>
      <c r="AA290" s="1032"/>
      <c r="AB290" s="1030"/>
      <c r="AC290" s="875"/>
      <c r="AD290" s="875"/>
      <c r="AE290" s="1033"/>
      <c r="AF290" s="875"/>
      <c r="AG290" s="467"/>
      <c r="AH290" s="467"/>
      <c r="AI290" s="1026"/>
    </row>
    <row r="291" spans="1:35" ht="18" customHeight="1" x14ac:dyDescent="0.2">
      <c r="B291" s="1064"/>
      <c r="C291" s="1445"/>
      <c r="D291" s="1302"/>
      <c r="E291" s="875"/>
      <c r="F291" s="1031"/>
      <c r="G291" s="1030"/>
      <c r="H291" s="1030"/>
      <c r="I291" s="875"/>
      <c r="J291" s="1031"/>
      <c r="K291" s="1030"/>
      <c r="L291" s="1030"/>
      <c r="M291" s="875"/>
      <c r="N291" s="1031"/>
      <c r="O291" s="1030"/>
      <c r="P291" s="1030"/>
      <c r="Q291" s="875"/>
      <c r="R291" s="1031"/>
      <c r="S291" s="1030"/>
      <c r="T291" s="1030"/>
      <c r="U291" s="875"/>
      <c r="V291" s="1031"/>
      <c r="W291" s="1032"/>
      <c r="X291" s="1030"/>
      <c r="Y291" s="875"/>
      <c r="Z291" s="1031"/>
      <c r="AA291" s="1032"/>
      <c r="AB291" s="1030"/>
      <c r="AC291" s="875"/>
      <c r="AD291" s="875"/>
      <c r="AE291" s="1033"/>
      <c r="AF291" s="875"/>
      <c r="AG291" s="467"/>
      <c r="AH291" s="467"/>
      <c r="AI291" s="1026"/>
    </row>
    <row r="292" spans="1:35" ht="18" customHeight="1" x14ac:dyDescent="0.2">
      <c r="B292" s="1064" t="s">
        <v>235</v>
      </c>
      <c r="C292" s="1445" t="s">
        <v>10</v>
      </c>
      <c r="D292" s="1065"/>
      <c r="E292" s="1060"/>
      <c r="F292" s="1061"/>
      <c r="G292" s="1445" t="s">
        <v>10</v>
      </c>
      <c r="H292" s="1065"/>
      <c r="I292" s="1060"/>
      <c r="J292" s="1061"/>
      <c r="K292" s="1445" t="s">
        <v>10</v>
      </c>
      <c r="L292" s="1065"/>
      <c r="M292" s="1060"/>
      <c r="N292" s="1061"/>
      <c r="O292" s="1445" t="s">
        <v>10</v>
      </c>
      <c r="P292" s="1065"/>
      <c r="Q292" s="1060"/>
      <c r="R292" s="1061"/>
      <c r="S292" s="1030" t="s">
        <v>10</v>
      </c>
      <c r="T292" s="1030"/>
      <c r="U292" s="1060"/>
      <c r="V292" s="1061"/>
      <c r="W292" s="1032"/>
      <c r="X292" s="1030"/>
      <c r="Y292" s="875"/>
      <c r="Z292" s="1031"/>
      <c r="AA292" s="1032"/>
      <c r="AB292" s="1030"/>
      <c r="AC292" s="875"/>
      <c r="AD292" s="875"/>
      <c r="AE292" s="1033"/>
      <c r="AF292" s="875"/>
      <c r="AG292" s="467"/>
      <c r="AH292" s="467"/>
      <c r="AI292" s="1026"/>
    </row>
    <row r="293" spans="1:35" ht="18" customHeight="1" x14ac:dyDescent="0.2">
      <c r="B293" s="1064" t="s">
        <v>236</v>
      </c>
      <c r="C293" s="1445" t="s">
        <v>10</v>
      </c>
      <c r="D293" s="1065"/>
      <c r="E293" s="1060"/>
      <c r="F293" s="1061"/>
      <c r="G293" s="1445" t="s">
        <v>10</v>
      </c>
      <c r="H293" s="1065"/>
      <c r="I293" s="1060"/>
      <c r="J293" s="1061"/>
      <c r="K293" s="1445" t="s">
        <v>10</v>
      </c>
      <c r="L293" s="1065"/>
      <c r="M293" s="1060"/>
      <c r="N293" s="1061"/>
      <c r="O293" s="1445" t="s">
        <v>10</v>
      </c>
      <c r="P293" s="1065"/>
      <c r="Q293" s="1060"/>
      <c r="R293" s="1061"/>
      <c r="S293" s="1030" t="s">
        <v>10</v>
      </c>
      <c r="T293" s="1030"/>
      <c r="U293" s="1060"/>
      <c r="V293" s="1061"/>
      <c r="W293" s="1032"/>
      <c r="X293" s="1030"/>
      <c r="Y293" s="875"/>
      <c r="Z293" s="1031"/>
      <c r="AA293" s="1032"/>
      <c r="AB293" s="1030"/>
      <c r="AC293" s="875"/>
      <c r="AD293" s="875"/>
      <c r="AE293" s="1033"/>
      <c r="AF293" s="875"/>
      <c r="AG293" s="467"/>
      <c r="AH293" s="467"/>
      <c r="AI293" s="1026"/>
    </row>
    <row r="294" spans="1:35" ht="18" customHeight="1" x14ac:dyDescent="0.2">
      <c r="B294" s="1066" t="s">
        <v>243</v>
      </c>
      <c r="C294" s="1458" t="s">
        <v>10</v>
      </c>
      <c r="D294" s="1067"/>
      <c r="E294" s="205"/>
      <c r="F294" s="206"/>
      <c r="G294" s="1458" t="s">
        <v>10</v>
      </c>
      <c r="H294" s="1067"/>
      <c r="I294" s="205"/>
      <c r="J294" s="206"/>
      <c r="K294" s="1458" t="s">
        <v>10</v>
      </c>
      <c r="L294" s="1067"/>
      <c r="M294" s="205"/>
      <c r="N294" s="206"/>
      <c r="O294" s="1458" t="s">
        <v>10</v>
      </c>
      <c r="P294" s="1067"/>
      <c r="Q294" s="205"/>
      <c r="R294" s="206"/>
      <c r="S294" s="149" t="s">
        <v>10</v>
      </c>
      <c r="T294" s="149"/>
      <c r="U294" s="205"/>
      <c r="V294" s="206"/>
      <c r="W294" s="200"/>
      <c r="X294" s="149"/>
      <c r="Y294" s="201"/>
      <c r="Z294" s="202"/>
      <c r="AA294" s="203"/>
      <c r="AB294" s="149"/>
      <c r="AC294" s="201"/>
      <c r="AD294" s="201"/>
      <c r="AE294" s="204"/>
      <c r="AF294" s="201"/>
      <c r="AG294" s="199"/>
      <c r="AH294" s="199"/>
      <c r="AI294" s="146"/>
    </row>
    <row r="295" spans="1:35" ht="18" customHeight="1" x14ac:dyDescent="0.2">
      <c r="B295" s="37"/>
      <c r="C295" s="42"/>
      <c r="D295" s="5"/>
      <c r="G295" s="42"/>
      <c r="H295" s="5"/>
      <c r="K295" s="42"/>
      <c r="L295" s="5"/>
      <c r="O295" s="42"/>
      <c r="P295" s="5"/>
      <c r="S295" s="42"/>
      <c r="T295" s="42"/>
      <c r="X295" s="42"/>
      <c r="AB295" s="42"/>
      <c r="AE295" s="42"/>
    </row>
    <row r="296" spans="1:35" ht="18" customHeight="1" x14ac:dyDescent="0.2">
      <c r="A296" s="1068" t="s">
        <v>374</v>
      </c>
    </row>
    <row r="297" spans="1:35" ht="18" customHeight="1" x14ac:dyDescent="0.2">
      <c r="A297" s="1434"/>
      <c r="B297" s="1256" t="s">
        <v>44</v>
      </c>
      <c r="C297" s="395">
        <v>1</v>
      </c>
      <c r="D297" s="395">
        <v>2</v>
      </c>
      <c r="E297" s="395">
        <v>3</v>
      </c>
      <c r="F297" s="395">
        <v>4</v>
      </c>
      <c r="G297" s="395">
        <v>5</v>
      </c>
      <c r="H297" s="396">
        <v>6</v>
      </c>
      <c r="I297" s="396">
        <v>7</v>
      </c>
      <c r="J297" s="395">
        <v>8</v>
      </c>
      <c r="K297" s="395">
        <v>9</v>
      </c>
      <c r="L297" s="395">
        <v>10</v>
      </c>
      <c r="M297" s="395">
        <v>11</v>
      </c>
      <c r="N297" s="395">
        <v>12</v>
      </c>
      <c r="O297" s="396">
        <v>13</v>
      </c>
      <c r="P297" s="396">
        <v>14</v>
      </c>
      <c r="Q297" s="395">
        <v>15</v>
      </c>
      <c r="R297" s="395">
        <v>16</v>
      </c>
      <c r="S297" s="395">
        <v>17</v>
      </c>
      <c r="T297" s="395">
        <v>18</v>
      </c>
      <c r="U297" s="395">
        <v>19</v>
      </c>
      <c r="V297" s="396">
        <v>20</v>
      </c>
      <c r="W297" s="396">
        <v>21</v>
      </c>
      <c r="X297" s="395">
        <v>22</v>
      </c>
      <c r="Y297" s="395">
        <v>23</v>
      </c>
      <c r="Z297" s="395">
        <v>24</v>
      </c>
      <c r="AA297" s="395">
        <v>25</v>
      </c>
      <c r="AB297" s="395">
        <v>26</v>
      </c>
      <c r="AC297" s="396">
        <v>27</v>
      </c>
      <c r="AD297" s="396">
        <v>28</v>
      </c>
      <c r="AE297" s="395">
        <v>29</v>
      </c>
      <c r="AF297" s="395">
        <v>30</v>
      </c>
      <c r="AG297" s="395">
        <v>31</v>
      </c>
      <c r="AH297" s="110"/>
      <c r="AI297" s="111"/>
    </row>
    <row r="298" spans="1:35" ht="18" customHeight="1" x14ac:dyDescent="0.2">
      <c r="A298" s="1724">
        <v>3702</v>
      </c>
      <c r="B298" s="1674" t="s">
        <v>375</v>
      </c>
      <c r="C298" s="1411" t="s">
        <v>46</v>
      </c>
      <c r="D298" s="1411" t="s">
        <v>46</v>
      </c>
      <c r="E298" s="1411" t="s">
        <v>46</v>
      </c>
      <c r="F298" s="1411" t="s">
        <v>46</v>
      </c>
      <c r="G298" s="1411" t="s">
        <v>46</v>
      </c>
      <c r="H298" s="1411"/>
      <c r="I298" s="1411"/>
      <c r="J298" s="1411" t="s">
        <v>46</v>
      </c>
      <c r="K298" s="1411" t="s">
        <v>46</v>
      </c>
      <c r="L298" s="1411" t="s">
        <v>46</v>
      </c>
      <c r="M298" s="1411" t="s">
        <v>46</v>
      </c>
      <c r="N298" s="1411" t="s">
        <v>46</v>
      </c>
      <c r="O298" s="1412"/>
      <c r="P298" s="1412"/>
      <c r="Q298" s="1412" t="s">
        <v>46</v>
      </c>
      <c r="R298" s="1412" t="s">
        <v>46</v>
      </c>
      <c r="S298" s="1412" t="s">
        <v>46</v>
      </c>
      <c r="T298" s="1411" t="s">
        <v>46</v>
      </c>
      <c r="U298" s="1411" t="s">
        <v>46</v>
      </c>
      <c r="V298" s="1411"/>
      <c r="W298" s="1411"/>
      <c r="X298" s="1411" t="s">
        <v>46</v>
      </c>
      <c r="Y298" s="1411" t="s">
        <v>46</v>
      </c>
      <c r="Z298" s="1411" t="s">
        <v>46</v>
      </c>
      <c r="AA298" s="1411" t="s">
        <v>46</v>
      </c>
      <c r="AB298" s="1411" t="s">
        <v>46</v>
      </c>
      <c r="AC298" s="1411"/>
      <c r="AD298" s="1411"/>
      <c r="AE298" s="1411" t="s">
        <v>46</v>
      </c>
      <c r="AF298" s="1411" t="s">
        <v>46</v>
      </c>
      <c r="AG298" s="1414" t="s">
        <v>46</v>
      </c>
      <c r="AH298" s="115"/>
      <c r="AI298" s="116"/>
    </row>
    <row r="299" spans="1:35" ht="18" customHeight="1" x14ac:dyDescent="0.2">
      <c r="A299" s="1172"/>
      <c r="B299" s="1134"/>
      <c r="C299" s="1174" t="s">
        <v>46</v>
      </c>
      <c r="D299" s="1174" t="s">
        <v>46</v>
      </c>
      <c r="E299" s="1174" t="s">
        <v>46</v>
      </c>
      <c r="F299" s="1174" t="s">
        <v>46</v>
      </c>
      <c r="G299" s="1174" t="s">
        <v>46</v>
      </c>
      <c r="H299" s="1174"/>
      <c r="I299" s="1174"/>
      <c r="J299" s="1174" t="s">
        <v>46</v>
      </c>
      <c r="K299" s="1174" t="s">
        <v>46</v>
      </c>
      <c r="L299" s="1174" t="s">
        <v>46</v>
      </c>
      <c r="M299" s="1174" t="s">
        <v>46</v>
      </c>
      <c r="N299" s="1174" t="s">
        <v>46</v>
      </c>
      <c r="O299" s="1174"/>
      <c r="P299" s="1174"/>
      <c r="Q299" s="1174" t="s">
        <v>46</v>
      </c>
      <c r="R299" s="1174" t="s">
        <v>46</v>
      </c>
      <c r="S299" s="1174" t="s">
        <v>46</v>
      </c>
      <c r="T299" s="1174" t="s">
        <v>46</v>
      </c>
      <c r="U299" s="1174" t="s">
        <v>46</v>
      </c>
      <c r="V299" s="1174"/>
      <c r="W299" s="1174"/>
      <c r="X299" s="1174" t="s">
        <v>46</v>
      </c>
      <c r="Y299" s="1174" t="s">
        <v>46</v>
      </c>
      <c r="Z299" s="1174" t="s">
        <v>46</v>
      </c>
      <c r="AA299" s="1174" t="s">
        <v>46</v>
      </c>
      <c r="AB299" s="1174" t="s">
        <v>46</v>
      </c>
      <c r="AC299" s="1174"/>
      <c r="AD299" s="1174"/>
      <c r="AE299" s="1174" t="s">
        <v>46</v>
      </c>
      <c r="AF299" s="1174" t="s">
        <v>46</v>
      </c>
      <c r="AG299" s="1177" t="s">
        <v>46</v>
      </c>
      <c r="AH299" s="115"/>
      <c r="AI299" s="116"/>
    </row>
    <row r="300" spans="1:35" ht="18" customHeight="1" x14ac:dyDescent="0.2">
      <c r="A300" s="1070"/>
      <c r="B300" s="1416"/>
      <c r="C300" s="1174" t="s">
        <v>46</v>
      </c>
      <c r="D300" s="1174" t="s">
        <v>46</v>
      </c>
      <c r="E300" s="1174" t="s">
        <v>46</v>
      </c>
      <c r="F300" s="1174" t="s">
        <v>46</v>
      </c>
      <c r="G300" s="1174" t="s">
        <v>46</v>
      </c>
      <c r="H300" s="1174"/>
      <c r="I300" s="1174"/>
      <c r="J300" s="1174" t="s">
        <v>46</v>
      </c>
      <c r="K300" s="1174" t="s">
        <v>46</v>
      </c>
      <c r="L300" s="1174" t="s">
        <v>46</v>
      </c>
      <c r="M300" s="1174" t="s">
        <v>46</v>
      </c>
      <c r="N300" s="1174" t="s">
        <v>46</v>
      </c>
      <c r="O300" s="1174"/>
      <c r="P300" s="1174"/>
      <c r="Q300" s="1174" t="s">
        <v>46</v>
      </c>
      <c r="R300" s="1174" t="s">
        <v>46</v>
      </c>
      <c r="S300" s="1174" t="s">
        <v>46</v>
      </c>
      <c r="T300" s="1174" t="s">
        <v>46</v>
      </c>
      <c r="U300" s="1174" t="s">
        <v>46</v>
      </c>
      <c r="V300" s="1174"/>
      <c r="W300" s="1174"/>
      <c r="X300" s="1174" t="s">
        <v>46</v>
      </c>
      <c r="Y300" s="1174" t="s">
        <v>46</v>
      </c>
      <c r="Z300" s="1174" t="s">
        <v>46</v>
      </c>
      <c r="AA300" s="1174" t="s">
        <v>46</v>
      </c>
      <c r="AB300" s="1174" t="s">
        <v>46</v>
      </c>
      <c r="AC300" s="1174"/>
      <c r="AD300" s="1174"/>
      <c r="AE300" s="1174" t="s">
        <v>46</v>
      </c>
      <c r="AF300" s="1174" t="s">
        <v>46</v>
      </c>
      <c r="AG300" s="1177" t="s">
        <v>46</v>
      </c>
      <c r="AH300" s="115"/>
      <c r="AI300" s="116"/>
    </row>
    <row r="301" spans="1:35" ht="18" customHeight="1" x14ac:dyDescent="0.2">
      <c r="A301" s="1071"/>
      <c r="B301" s="1072"/>
      <c r="C301" s="1174"/>
      <c r="D301" s="1174"/>
      <c r="E301" s="1174"/>
      <c r="F301" s="1174"/>
      <c r="G301" s="1174"/>
      <c r="H301" s="1174"/>
      <c r="I301" s="1174"/>
      <c r="J301" s="1174"/>
      <c r="K301" s="1174"/>
      <c r="L301" s="1174"/>
      <c r="M301" s="1174"/>
      <c r="N301" s="1174"/>
      <c r="O301" s="1174"/>
      <c r="P301" s="1174"/>
      <c r="Q301" s="1174"/>
      <c r="R301" s="1174"/>
      <c r="S301" s="1174"/>
      <c r="T301" s="1174"/>
      <c r="U301" s="1174"/>
      <c r="V301" s="1174"/>
      <c r="W301" s="1174"/>
      <c r="X301" s="1174"/>
      <c r="Y301" s="1174"/>
      <c r="Z301" s="1174"/>
      <c r="AA301" s="1174"/>
      <c r="AB301" s="1174"/>
      <c r="AC301" s="1174"/>
      <c r="AD301" s="1174"/>
      <c r="AE301" s="1174"/>
      <c r="AF301" s="1174"/>
      <c r="AG301" s="1177"/>
      <c r="AH301" s="115"/>
      <c r="AI301" s="116"/>
    </row>
    <row r="302" spans="1:35" ht="18" customHeight="1" x14ac:dyDescent="0.2">
      <c r="A302" s="1073"/>
      <c r="B302" s="1074" t="s">
        <v>376</v>
      </c>
      <c r="C302" s="1169"/>
      <c r="D302" s="1169"/>
      <c r="E302" s="1169"/>
      <c r="F302" s="1169"/>
      <c r="G302" s="1169"/>
      <c r="H302" s="1169"/>
      <c r="I302" s="1169"/>
      <c r="J302" s="1169"/>
      <c r="K302" s="1169"/>
      <c r="L302" s="1169"/>
      <c r="M302" s="1169"/>
      <c r="N302" s="1169"/>
      <c r="O302" s="1169"/>
      <c r="P302" s="1169"/>
      <c r="Q302" s="1169"/>
      <c r="R302" s="1169"/>
      <c r="S302" s="1169"/>
      <c r="T302" s="1169"/>
      <c r="U302" s="1169"/>
      <c r="V302" s="1169"/>
      <c r="W302" s="1169"/>
      <c r="X302" s="1169"/>
      <c r="Y302" s="1169"/>
      <c r="Z302" s="1169"/>
      <c r="AA302" s="1169"/>
      <c r="AB302" s="1169"/>
      <c r="AC302" s="1169"/>
      <c r="AD302" s="1169"/>
      <c r="AE302" s="1169"/>
      <c r="AF302" s="1169"/>
      <c r="AG302" s="1075"/>
      <c r="AH302" s="113"/>
      <c r="AI302" s="114"/>
    </row>
    <row r="303" spans="1:35" ht="18" customHeight="1" x14ac:dyDescent="0.2">
      <c r="A303" s="1070">
        <v>3702</v>
      </c>
      <c r="B303" s="1178" t="s">
        <v>377</v>
      </c>
      <c r="C303" s="1223" t="s">
        <v>378</v>
      </c>
      <c r="D303" s="1223" t="s">
        <v>378</v>
      </c>
      <c r="E303" s="1223" t="s">
        <v>378</v>
      </c>
      <c r="F303" s="1223" t="s">
        <v>378</v>
      </c>
      <c r="G303" s="1185" t="s">
        <v>378</v>
      </c>
      <c r="H303" s="1185"/>
      <c r="I303" s="1223"/>
      <c r="J303" s="1223" t="s">
        <v>378</v>
      </c>
      <c r="K303" s="1223" t="s">
        <v>378</v>
      </c>
      <c r="L303" s="1185" t="s">
        <v>378</v>
      </c>
      <c r="M303" s="1223" t="s">
        <v>378</v>
      </c>
      <c r="N303" s="1185" t="s">
        <v>378</v>
      </c>
      <c r="O303" s="1185"/>
      <c r="P303" s="1223"/>
      <c r="Q303" s="1186" t="s">
        <v>378</v>
      </c>
      <c r="R303" s="1186" t="s">
        <v>378</v>
      </c>
      <c r="S303" s="1186" t="s">
        <v>378</v>
      </c>
      <c r="T303" s="1186" t="s">
        <v>378</v>
      </c>
      <c r="U303" s="1186" t="s">
        <v>378</v>
      </c>
      <c r="V303" s="1186"/>
      <c r="W303" s="1186"/>
      <c r="X303" s="1186" t="s">
        <v>378</v>
      </c>
      <c r="Y303" s="1186" t="s">
        <v>378</v>
      </c>
      <c r="Z303" s="1186" t="s">
        <v>378</v>
      </c>
      <c r="AA303" s="1186" t="s">
        <v>378</v>
      </c>
      <c r="AB303" s="1186" t="s">
        <v>378</v>
      </c>
      <c r="AC303" s="1186"/>
      <c r="AD303" s="1186"/>
      <c r="AE303" s="1223" t="s">
        <v>378</v>
      </c>
      <c r="AF303" s="1223" t="s">
        <v>378</v>
      </c>
      <c r="AG303" s="1321" t="s">
        <v>378</v>
      </c>
      <c r="AH303" s="115"/>
      <c r="AI303" s="116"/>
    </row>
    <row r="304" spans="1:35" ht="18" customHeight="1" x14ac:dyDescent="0.2">
      <c r="A304" s="1070"/>
      <c r="B304" s="1178" t="s">
        <v>379</v>
      </c>
      <c r="C304" s="1223" t="s">
        <v>380</v>
      </c>
      <c r="D304" s="1223" t="s">
        <v>380</v>
      </c>
      <c r="E304" s="1223" t="s">
        <v>380</v>
      </c>
      <c r="F304" s="1223" t="s">
        <v>380</v>
      </c>
      <c r="G304" s="1223" t="s">
        <v>380</v>
      </c>
      <c r="H304" s="1223"/>
      <c r="I304" s="1223"/>
      <c r="J304" s="1223" t="s">
        <v>380</v>
      </c>
      <c r="K304" s="1223" t="s">
        <v>380</v>
      </c>
      <c r="L304" s="1223" t="s">
        <v>380</v>
      </c>
      <c r="M304" s="1223" t="s">
        <v>380</v>
      </c>
      <c r="N304" s="1223" t="s">
        <v>380</v>
      </c>
      <c r="O304" s="1223"/>
      <c r="P304" s="1223"/>
      <c r="Q304" s="1223" t="s">
        <v>380</v>
      </c>
      <c r="R304" s="1223" t="s">
        <v>380</v>
      </c>
      <c r="S304" s="1223" t="s">
        <v>380</v>
      </c>
      <c r="T304" s="1223" t="s">
        <v>380</v>
      </c>
      <c r="U304" s="1223" t="s">
        <v>380</v>
      </c>
      <c r="V304" s="1185"/>
      <c r="W304" s="1223"/>
      <c r="X304" s="1223" t="s">
        <v>380</v>
      </c>
      <c r="Y304" s="1223" t="s">
        <v>380</v>
      </c>
      <c r="Z304" s="1223" t="s">
        <v>380</v>
      </c>
      <c r="AA304" s="1223" t="s">
        <v>380</v>
      </c>
      <c r="AB304" s="1223" t="s">
        <v>380</v>
      </c>
      <c r="AC304" s="1185"/>
      <c r="AD304" s="1223"/>
      <c r="AE304" s="1186" t="s">
        <v>380</v>
      </c>
      <c r="AF304" s="1186" t="s">
        <v>380</v>
      </c>
      <c r="AG304" s="1340" t="s">
        <v>380</v>
      </c>
      <c r="AH304" s="115"/>
      <c r="AI304" s="116"/>
    </row>
    <row r="305" spans="1:36" ht="18" customHeight="1" x14ac:dyDescent="0.2">
      <c r="A305" s="1076"/>
      <c r="B305" s="1192" t="s">
        <v>381</v>
      </c>
      <c r="C305" s="1269" t="s">
        <v>382</v>
      </c>
      <c r="D305" s="1269" t="s">
        <v>382</v>
      </c>
      <c r="E305" s="1269" t="s">
        <v>382</v>
      </c>
      <c r="F305" s="1269" t="s">
        <v>382</v>
      </c>
      <c r="G305" s="1269" t="s">
        <v>382</v>
      </c>
      <c r="H305" s="1269"/>
      <c r="I305" s="1269"/>
      <c r="J305" s="1269" t="s">
        <v>382</v>
      </c>
      <c r="K305" s="1269" t="s">
        <v>382</v>
      </c>
      <c r="L305" s="1269" t="s">
        <v>382</v>
      </c>
      <c r="M305" s="1269" t="s">
        <v>382</v>
      </c>
      <c r="N305" s="1269" t="s">
        <v>382</v>
      </c>
      <c r="O305" s="1269"/>
      <c r="P305" s="1269"/>
      <c r="Q305" s="1221" t="s">
        <v>382</v>
      </c>
      <c r="R305" s="1221" t="s">
        <v>382</v>
      </c>
      <c r="S305" s="1221" t="s">
        <v>382</v>
      </c>
      <c r="T305" s="1221" t="s">
        <v>382</v>
      </c>
      <c r="U305" s="1268" t="s">
        <v>382</v>
      </c>
      <c r="V305" s="1268"/>
      <c r="W305" s="1221"/>
      <c r="X305" s="1221" t="s">
        <v>382</v>
      </c>
      <c r="Y305" s="1221" t="s">
        <v>382</v>
      </c>
      <c r="Z305" s="1221" t="s">
        <v>382</v>
      </c>
      <c r="AA305" s="1221" t="s">
        <v>382</v>
      </c>
      <c r="AB305" s="1268" t="s">
        <v>382</v>
      </c>
      <c r="AC305" s="1268"/>
      <c r="AD305" s="1221"/>
      <c r="AE305" s="1221" t="s">
        <v>382</v>
      </c>
      <c r="AF305" s="1221" t="s">
        <v>382</v>
      </c>
      <c r="AG305" s="1296" t="s">
        <v>382</v>
      </c>
      <c r="AH305" s="115"/>
      <c r="AI305" s="116"/>
    </row>
    <row r="306" spans="1:36" ht="18" customHeight="1" x14ac:dyDescent="0.2"/>
    <row r="307" spans="1:36" ht="18" customHeight="1" x14ac:dyDescent="0.2"/>
    <row r="308" spans="1:36" ht="18" customHeight="1" x14ac:dyDescent="0.2">
      <c r="A308" s="103" t="s">
        <v>383</v>
      </c>
    </row>
    <row r="309" spans="1:36" ht="18" customHeight="1" x14ac:dyDescent="0.2">
      <c r="A309" s="1"/>
      <c r="B309" s="1723" t="s">
        <v>340</v>
      </c>
      <c r="C309" s="1672"/>
      <c r="D309" s="1694" t="s">
        <v>17</v>
      </c>
      <c r="E309" s="1587"/>
      <c r="F309" s="1667"/>
      <c r="G309" s="1672"/>
      <c r="H309" s="1694" t="s">
        <v>18</v>
      </c>
      <c r="I309" s="1587"/>
      <c r="J309" s="1667"/>
      <c r="K309" s="1672"/>
      <c r="L309" s="1694" t="s">
        <v>19</v>
      </c>
      <c r="M309" s="1587"/>
      <c r="N309" s="1667"/>
      <c r="O309" s="1672"/>
      <c r="P309" s="1694" t="s">
        <v>20</v>
      </c>
      <c r="Q309" s="1587"/>
      <c r="R309" s="1667"/>
      <c r="S309" s="1672"/>
      <c r="T309" s="1694" t="s">
        <v>21</v>
      </c>
      <c r="U309" s="1587"/>
      <c r="V309" s="1667"/>
      <c r="W309" s="1672"/>
      <c r="X309" s="1694" t="s">
        <v>22</v>
      </c>
      <c r="Y309" s="1587"/>
      <c r="Z309" s="1667"/>
      <c r="AA309" s="1672"/>
      <c r="AB309" s="1694" t="s">
        <v>23</v>
      </c>
      <c r="AC309" s="1587"/>
      <c r="AD309" s="1587"/>
      <c r="AE309" s="1697" t="s">
        <v>126</v>
      </c>
      <c r="AF309" s="1587"/>
      <c r="AG309" s="1587"/>
      <c r="AH309" s="1587"/>
      <c r="AI309" s="1588"/>
    </row>
    <row r="310" spans="1:36" ht="18" customHeight="1" x14ac:dyDescent="0.2">
      <c r="A310" s="1"/>
      <c r="B310" s="452"/>
      <c r="C310" s="457"/>
      <c r="D310" s="1030"/>
      <c r="E310" s="467"/>
      <c r="F310" s="1077"/>
      <c r="G310" s="457"/>
      <c r="H310" s="1030"/>
      <c r="I310" s="467"/>
      <c r="J310" s="1077"/>
      <c r="K310" s="457"/>
      <c r="L310" s="1030"/>
      <c r="M310" s="467"/>
      <c r="N310" s="1077"/>
      <c r="O310" s="457"/>
      <c r="P310" s="1030"/>
      <c r="Q310" s="467"/>
      <c r="R310" s="1077"/>
      <c r="S310" s="457"/>
      <c r="T310" s="1030"/>
      <c r="U310" s="467"/>
      <c r="V310" s="1077"/>
      <c r="W310" s="457"/>
      <c r="X310" s="1030"/>
      <c r="Y310" s="467"/>
      <c r="Z310" s="1077"/>
      <c r="AA310" s="457"/>
      <c r="AB310" s="1030"/>
      <c r="AC310" s="467"/>
      <c r="AD310" s="467"/>
      <c r="AE310" s="1033"/>
      <c r="AF310" s="467"/>
      <c r="AG310" s="467"/>
      <c r="AH310" s="467"/>
      <c r="AI310" s="1026"/>
    </row>
    <row r="311" spans="1:36" ht="18" customHeight="1" x14ac:dyDescent="0.2">
      <c r="A311" s="70"/>
      <c r="B311" s="1064"/>
      <c r="C311" s="1301"/>
      <c r="D311" s="1121"/>
      <c r="E311" s="1121"/>
      <c r="F311" s="1447"/>
      <c r="G311" s="1301"/>
      <c r="H311" s="1121"/>
      <c r="I311" s="1121"/>
      <c r="J311" s="1447"/>
      <c r="K311" s="1301"/>
      <c r="L311" s="1121"/>
      <c r="M311" s="1121"/>
      <c r="N311" s="1447"/>
      <c r="O311" s="1301"/>
      <c r="P311" s="1121"/>
      <c r="Q311" s="1121"/>
      <c r="R311" s="1447"/>
      <c r="S311" s="1301"/>
      <c r="T311" s="1121"/>
      <c r="U311" s="1121"/>
      <c r="V311" s="1447"/>
      <c r="W311" s="1301"/>
      <c r="X311" s="1121"/>
      <c r="Y311" s="1121"/>
      <c r="Z311" s="1447"/>
      <c r="AA311" s="1445"/>
      <c r="AB311" s="1121"/>
      <c r="AC311" s="1121"/>
      <c r="AD311" s="1302"/>
      <c r="AE311" s="1078"/>
      <c r="AF311" s="1121"/>
      <c r="AG311" s="1121"/>
      <c r="AH311" s="1302"/>
      <c r="AI311" s="1403"/>
    </row>
    <row r="312" spans="1:36" ht="18" customHeight="1" x14ac:dyDescent="0.2">
      <c r="A312" s="1"/>
      <c r="B312" s="1457"/>
      <c r="C312" s="1458"/>
      <c r="D312" s="1247"/>
      <c r="E312" s="1247"/>
      <c r="F312" s="1481"/>
      <c r="G312" s="1458"/>
      <c r="H312" s="1247"/>
      <c r="I312" s="1247"/>
      <c r="J312" s="1481"/>
      <c r="K312" s="1458"/>
      <c r="L312" s="1247"/>
      <c r="M312" s="1247"/>
      <c r="N312" s="1481"/>
      <c r="O312" s="1458"/>
      <c r="P312" s="1247"/>
      <c r="Q312" s="1247"/>
      <c r="R312" s="1481"/>
      <c r="S312" s="1458"/>
      <c r="T312" s="1247"/>
      <c r="U312" s="1247"/>
      <c r="V312" s="1481"/>
      <c r="W312" s="1479"/>
      <c r="X312" s="1247"/>
      <c r="Y312" s="1247"/>
      <c r="Z312" s="1481"/>
      <c r="AA312" s="1479"/>
      <c r="AB312" s="1247"/>
      <c r="AC312" s="1247"/>
      <c r="AD312" s="1465"/>
      <c r="AE312" s="1479"/>
      <c r="AF312" s="1247"/>
      <c r="AG312" s="1247"/>
      <c r="AH312" s="1465"/>
      <c r="AI312" s="1254"/>
    </row>
    <row r="313" spans="1:36" ht="18" customHeight="1" x14ac:dyDescent="0.2">
      <c r="A313" s="1"/>
      <c r="B313" s="5"/>
      <c r="C313" s="42"/>
      <c r="F313" s="46"/>
      <c r="G313" s="42"/>
      <c r="J313" s="46"/>
      <c r="K313" s="42"/>
      <c r="N313" s="46"/>
      <c r="O313" s="42"/>
      <c r="R313" s="46"/>
      <c r="S313" s="42"/>
      <c r="V313" s="46"/>
      <c r="W313" s="46"/>
      <c r="Z313" s="46"/>
      <c r="AA313" s="46"/>
      <c r="AD313" s="46"/>
      <c r="AE313" s="46"/>
      <c r="AH313" s="46"/>
    </row>
    <row r="314" spans="1:36" ht="18" customHeight="1" x14ac:dyDescent="0.2">
      <c r="A314" s="103" t="s">
        <v>384</v>
      </c>
      <c r="B314" s="5"/>
      <c r="C314" s="42"/>
      <c r="F314" s="46"/>
      <c r="G314" s="42"/>
      <c r="J314" s="46"/>
      <c r="K314" s="42"/>
      <c r="N314" s="46"/>
      <c r="O314" s="42"/>
      <c r="R314" s="46"/>
      <c r="S314" s="42"/>
      <c r="V314" s="46"/>
      <c r="W314" s="46"/>
      <c r="Z314" s="46"/>
      <c r="AA314" s="46"/>
      <c r="AD314" s="46"/>
      <c r="AE314" s="46"/>
      <c r="AH314" s="208"/>
      <c r="AI314" s="123"/>
      <c r="AJ314" s="123"/>
    </row>
    <row r="315" spans="1:36" ht="18" customHeight="1" x14ac:dyDescent="0.2">
      <c r="A315" s="1434" t="s">
        <v>43</v>
      </c>
      <c r="B315" s="1256" t="s">
        <v>44</v>
      </c>
      <c r="C315" s="395">
        <v>1</v>
      </c>
      <c r="D315" s="395">
        <v>2</v>
      </c>
      <c r="E315" s="395">
        <v>3</v>
      </c>
      <c r="F315" s="395">
        <v>4</v>
      </c>
      <c r="G315" s="395">
        <v>5</v>
      </c>
      <c r="H315" s="396">
        <v>6</v>
      </c>
      <c r="I315" s="396">
        <v>7</v>
      </c>
      <c r="J315" s="395">
        <v>8</v>
      </c>
      <c r="K315" s="395">
        <v>9</v>
      </c>
      <c r="L315" s="395">
        <v>10</v>
      </c>
      <c r="M315" s="395">
        <v>11</v>
      </c>
      <c r="N315" s="395">
        <v>12</v>
      </c>
      <c r="O315" s="396">
        <v>13</v>
      </c>
      <c r="P315" s="396">
        <v>14</v>
      </c>
      <c r="Q315" s="395">
        <v>15</v>
      </c>
      <c r="R315" s="395">
        <v>16</v>
      </c>
      <c r="S315" s="395">
        <v>17</v>
      </c>
      <c r="T315" s="395">
        <v>18</v>
      </c>
      <c r="U315" s="395">
        <v>19</v>
      </c>
      <c r="V315" s="396">
        <v>20</v>
      </c>
      <c r="W315" s="396">
        <v>21</v>
      </c>
      <c r="X315" s="395">
        <v>22</v>
      </c>
      <c r="Y315" s="395">
        <v>23</v>
      </c>
      <c r="Z315" s="395">
        <v>24</v>
      </c>
      <c r="AA315" s="395">
        <v>25</v>
      </c>
      <c r="AB315" s="395">
        <v>26</v>
      </c>
      <c r="AC315" s="396">
        <v>27</v>
      </c>
      <c r="AD315" s="396">
        <v>28</v>
      </c>
      <c r="AE315" s="395">
        <v>29</v>
      </c>
      <c r="AF315" s="395">
        <v>30</v>
      </c>
      <c r="AG315" s="395">
        <v>31</v>
      </c>
      <c r="AH315" s="209"/>
      <c r="AI315" s="210"/>
      <c r="AJ315" s="123"/>
    </row>
    <row r="316" spans="1:36" ht="18" customHeight="1" x14ac:dyDescent="0.2">
      <c r="A316" s="1725"/>
      <c r="B316" s="1726"/>
      <c r="C316" s="1630" t="s">
        <v>46</v>
      </c>
      <c r="D316" s="1630" t="s">
        <v>46</v>
      </c>
      <c r="E316" s="1630" t="s">
        <v>46</v>
      </c>
      <c r="F316" s="1630" t="s">
        <v>46</v>
      </c>
      <c r="G316" s="1630" t="s">
        <v>46</v>
      </c>
      <c r="H316" s="1630"/>
      <c r="I316" s="1630"/>
      <c r="J316" s="1630" t="s">
        <v>46</v>
      </c>
      <c r="K316" s="1630" t="s">
        <v>46</v>
      </c>
      <c r="L316" s="1630" t="s">
        <v>46</v>
      </c>
      <c r="M316" s="1630" t="s">
        <v>46</v>
      </c>
      <c r="N316" s="1630" t="s">
        <v>46</v>
      </c>
      <c r="O316" s="1630"/>
      <c r="P316" s="1630"/>
      <c r="Q316" s="1630" t="s">
        <v>46</v>
      </c>
      <c r="R316" s="1630" t="s">
        <v>46</v>
      </c>
      <c r="S316" s="1630" t="s">
        <v>46</v>
      </c>
      <c r="T316" s="1630" t="s">
        <v>46</v>
      </c>
      <c r="U316" s="1630" t="s">
        <v>46</v>
      </c>
      <c r="V316" s="1630"/>
      <c r="W316" s="1630"/>
      <c r="X316" s="1630" t="s">
        <v>46</v>
      </c>
      <c r="Y316" s="1630" t="s">
        <v>46</v>
      </c>
      <c r="Z316" s="1630" t="s">
        <v>46</v>
      </c>
      <c r="AA316" s="1630" t="s">
        <v>46</v>
      </c>
      <c r="AB316" s="1630" t="s">
        <v>46</v>
      </c>
      <c r="AC316" s="1630"/>
      <c r="AD316" s="1630"/>
      <c r="AE316" s="1630" t="s">
        <v>46</v>
      </c>
      <c r="AF316" s="1630" t="s">
        <v>46</v>
      </c>
      <c r="AG316" s="411" t="s">
        <v>46</v>
      </c>
      <c r="AH316" s="211"/>
      <c r="AI316" s="212"/>
      <c r="AJ316" s="123"/>
    </row>
    <row r="317" spans="1:36" ht="18" customHeight="1" x14ac:dyDescent="0.2">
      <c r="A317" s="1081"/>
      <c r="B317" s="748" t="s">
        <v>385</v>
      </c>
      <c r="C317" s="636" t="s">
        <v>46</v>
      </c>
      <c r="D317" s="636" t="s">
        <v>46</v>
      </c>
      <c r="E317" s="636" t="s">
        <v>46</v>
      </c>
      <c r="F317" s="636" t="s">
        <v>46</v>
      </c>
      <c r="G317" s="636" t="s">
        <v>46</v>
      </c>
      <c r="H317" s="636"/>
      <c r="I317" s="636"/>
      <c r="J317" s="636" t="s">
        <v>46</v>
      </c>
      <c r="K317" s="636" t="s">
        <v>46</v>
      </c>
      <c r="L317" s="636" t="s">
        <v>46</v>
      </c>
      <c r="M317" s="636" t="s">
        <v>46</v>
      </c>
      <c r="N317" s="636" t="s">
        <v>46</v>
      </c>
      <c r="O317" s="636"/>
      <c r="P317" s="636"/>
      <c r="Q317" s="636" t="s">
        <v>46</v>
      </c>
      <c r="R317" s="636" t="s">
        <v>46</v>
      </c>
      <c r="S317" s="636" t="s">
        <v>46</v>
      </c>
      <c r="T317" s="636" t="s">
        <v>46</v>
      </c>
      <c r="U317" s="636" t="s">
        <v>46</v>
      </c>
      <c r="V317" s="636"/>
      <c r="W317" s="636"/>
      <c r="X317" s="636" t="s">
        <v>46</v>
      </c>
      <c r="Y317" s="636" t="s">
        <v>46</v>
      </c>
      <c r="Z317" s="636" t="s">
        <v>46</v>
      </c>
      <c r="AA317" s="636" t="s">
        <v>46</v>
      </c>
      <c r="AB317" s="636" t="s">
        <v>46</v>
      </c>
      <c r="AC317" s="636"/>
      <c r="AD317" s="636"/>
      <c r="AE317" s="636" t="s">
        <v>46</v>
      </c>
      <c r="AF317" s="636" t="s">
        <v>46</v>
      </c>
      <c r="AG317" s="1543" t="s">
        <v>46</v>
      </c>
      <c r="AH317" s="211"/>
      <c r="AI317" s="212"/>
      <c r="AJ317" s="123"/>
    </row>
    <row r="318" spans="1:36" ht="18" customHeight="1" x14ac:dyDescent="0.2">
      <c r="A318" s="1042"/>
      <c r="B318" s="748" t="s">
        <v>386</v>
      </c>
      <c r="C318" s="636" t="s">
        <v>46</v>
      </c>
      <c r="D318" s="636" t="s">
        <v>46</v>
      </c>
      <c r="E318" s="636" t="s">
        <v>46</v>
      </c>
      <c r="F318" s="636" t="s">
        <v>46</v>
      </c>
      <c r="G318" s="636" t="s">
        <v>46</v>
      </c>
      <c r="H318" s="636"/>
      <c r="I318" s="636"/>
      <c r="J318" s="636" t="s">
        <v>46</v>
      </c>
      <c r="K318" s="636" t="s">
        <v>46</v>
      </c>
      <c r="L318" s="636" t="s">
        <v>46</v>
      </c>
      <c r="M318" s="636" t="s">
        <v>46</v>
      </c>
      <c r="N318" s="636" t="s">
        <v>46</v>
      </c>
      <c r="O318" s="636"/>
      <c r="P318" s="636"/>
      <c r="Q318" s="636" t="s">
        <v>46</v>
      </c>
      <c r="R318" s="636" t="s">
        <v>46</v>
      </c>
      <c r="S318" s="636" t="s">
        <v>46</v>
      </c>
      <c r="T318" s="636" t="s">
        <v>46</v>
      </c>
      <c r="U318" s="636" t="s">
        <v>46</v>
      </c>
      <c r="V318" s="636"/>
      <c r="W318" s="636"/>
      <c r="X318" s="636" t="s">
        <v>46</v>
      </c>
      <c r="Y318" s="636" t="s">
        <v>46</v>
      </c>
      <c r="Z318" s="636" t="s">
        <v>46</v>
      </c>
      <c r="AA318" s="636" t="s">
        <v>46</v>
      </c>
      <c r="AB318" s="636" t="s">
        <v>46</v>
      </c>
      <c r="AC318" s="636"/>
      <c r="AD318" s="636"/>
      <c r="AE318" s="636" t="s">
        <v>46</v>
      </c>
      <c r="AF318" s="636" t="s">
        <v>46</v>
      </c>
      <c r="AG318" s="819" t="s">
        <v>46</v>
      </c>
      <c r="AH318" s="211"/>
      <c r="AI318" s="212"/>
      <c r="AJ318" s="123"/>
    </row>
    <row r="319" spans="1:36" ht="18" customHeight="1" x14ac:dyDescent="0.2">
      <c r="A319" s="1042"/>
      <c r="B319" s="748" t="s">
        <v>387</v>
      </c>
      <c r="C319" s="636" t="s">
        <v>46</v>
      </c>
      <c r="D319" s="636" t="s">
        <v>46</v>
      </c>
      <c r="E319" s="636" t="s">
        <v>46</v>
      </c>
      <c r="F319" s="636" t="s">
        <v>46</v>
      </c>
      <c r="G319" s="636" t="s">
        <v>46</v>
      </c>
      <c r="H319" s="799"/>
      <c r="I319" s="799"/>
      <c r="J319" s="636" t="s">
        <v>46</v>
      </c>
      <c r="K319" s="636" t="s">
        <v>46</v>
      </c>
      <c r="L319" s="636" t="s">
        <v>46</v>
      </c>
      <c r="M319" s="636" t="s">
        <v>46</v>
      </c>
      <c r="N319" s="636" t="s">
        <v>46</v>
      </c>
      <c r="O319" s="799"/>
      <c r="P319" s="799"/>
      <c r="Q319" s="636" t="s">
        <v>46</v>
      </c>
      <c r="R319" s="636" t="s">
        <v>46</v>
      </c>
      <c r="S319" s="636" t="s">
        <v>46</v>
      </c>
      <c r="T319" s="636" t="s">
        <v>46</v>
      </c>
      <c r="U319" s="636" t="s">
        <v>46</v>
      </c>
      <c r="V319" s="799"/>
      <c r="W319" s="799"/>
      <c r="X319" s="636" t="s">
        <v>46</v>
      </c>
      <c r="Y319" s="636" t="s">
        <v>46</v>
      </c>
      <c r="Z319" s="636" t="s">
        <v>46</v>
      </c>
      <c r="AA319" s="636" t="s">
        <v>46</v>
      </c>
      <c r="AB319" s="636" t="s">
        <v>46</v>
      </c>
      <c r="AC319" s="799"/>
      <c r="AD319" s="799"/>
      <c r="AE319" s="636" t="s">
        <v>46</v>
      </c>
      <c r="AF319" s="636" t="s">
        <v>46</v>
      </c>
      <c r="AG319" s="819" t="s">
        <v>46</v>
      </c>
      <c r="AH319" s="211"/>
      <c r="AI319" s="212"/>
      <c r="AJ319" s="123"/>
    </row>
    <row r="320" spans="1:36" ht="18" customHeight="1" x14ac:dyDescent="0.2">
      <c r="A320" s="1042"/>
      <c r="B320" s="748" t="s">
        <v>388</v>
      </c>
      <c r="C320" s="636" t="s">
        <v>46</v>
      </c>
      <c r="D320" s="636" t="s">
        <v>46</v>
      </c>
      <c r="E320" s="636" t="s">
        <v>46</v>
      </c>
      <c r="F320" s="636" t="s">
        <v>46</v>
      </c>
      <c r="G320" s="636" t="s">
        <v>46</v>
      </c>
      <c r="H320" s="636"/>
      <c r="I320" s="636"/>
      <c r="J320" s="636" t="s">
        <v>46</v>
      </c>
      <c r="K320" s="636" t="s">
        <v>46</v>
      </c>
      <c r="L320" s="636" t="s">
        <v>46</v>
      </c>
      <c r="M320" s="636" t="s">
        <v>46</v>
      </c>
      <c r="N320" s="636" t="s">
        <v>46</v>
      </c>
      <c r="O320" s="636"/>
      <c r="P320" s="636"/>
      <c r="Q320" s="636" t="s">
        <v>46</v>
      </c>
      <c r="R320" s="636" t="s">
        <v>46</v>
      </c>
      <c r="S320" s="636" t="s">
        <v>46</v>
      </c>
      <c r="T320" s="636" t="s">
        <v>46</v>
      </c>
      <c r="U320" s="636" t="s">
        <v>46</v>
      </c>
      <c r="V320" s="636"/>
      <c r="W320" s="636"/>
      <c r="X320" s="636" t="s">
        <v>46</v>
      </c>
      <c r="Y320" s="636" t="s">
        <v>46</v>
      </c>
      <c r="Z320" s="636" t="s">
        <v>46</v>
      </c>
      <c r="AA320" s="636" t="s">
        <v>46</v>
      </c>
      <c r="AB320" s="636" t="s">
        <v>46</v>
      </c>
      <c r="AC320" s="636"/>
      <c r="AD320" s="636"/>
      <c r="AE320" s="636" t="s">
        <v>46</v>
      </c>
      <c r="AF320" s="636" t="s">
        <v>46</v>
      </c>
      <c r="AG320" s="1543" t="s">
        <v>46</v>
      </c>
      <c r="AH320" s="211"/>
      <c r="AI320" s="212"/>
      <c r="AJ320" s="123"/>
    </row>
    <row r="321" spans="1:36" ht="18" customHeight="1" x14ac:dyDescent="0.2">
      <c r="A321" s="1042"/>
      <c r="B321" s="748" t="s">
        <v>389</v>
      </c>
      <c r="C321" s="636" t="s">
        <v>46</v>
      </c>
      <c r="D321" s="636" t="s">
        <v>46</v>
      </c>
      <c r="E321" s="636" t="s">
        <v>46</v>
      </c>
      <c r="F321" s="636" t="s">
        <v>46</v>
      </c>
      <c r="G321" s="636" t="s">
        <v>46</v>
      </c>
      <c r="H321" s="636"/>
      <c r="I321" s="636"/>
      <c r="J321" s="636" t="s">
        <v>46</v>
      </c>
      <c r="K321" s="636" t="s">
        <v>46</v>
      </c>
      <c r="L321" s="636" t="s">
        <v>46</v>
      </c>
      <c r="M321" s="636" t="s">
        <v>46</v>
      </c>
      <c r="N321" s="636" t="s">
        <v>46</v>
      </c>
      <c r="O321" s="636"/>
      <c r="P321" s="636"/>
      <c r="Q321" s="636" t="s">
        <v>46</v>
      </c>
      <c r="R321" s="636" t="s">
        <v>46</v>
      </c>
      <c r="S321" s="636" t="s">
        <v>46</v>
      </c>
      <c r="T321" s="636" t="s">
        <v>46</v>
      </c>
      <c r="U321" s="636" t="s">
        <v>46</v>
      </c>
      <c r="V321" s="636"/>
      <c r="W321" s="636"/>
      <c r="X321" s="636" t="s">
        <v>46</v>
      </c>
      <c r="Y321" s="636" t="s">
        <v>46</v>
      </c>
      <c r="Z321" s="636" t="s">
        <v>46</v>
      </c>
      <c r="AA321" s="636" t="s">
        <v>46</v>
      </c>
      <c r="AB321" s="636" t="s">
        <v>46</v>
      </c>
      <c r="AC321" s="636"/>
      <c r="AD321" s="636"/>
      <c r="AE321" s="636" t="s">
        <v>46</v>
      </c>
      <c r="AF321" s="636" t="s">
        <v>46</v>
      </c>
      <c r="AG321" s="801" t="s">
        <v>46</v>
      </c>
      <c r="AH321" s="211"/>
      <c r="AI321" s="212"/>
      <c r="AJ321" s="123"/>
    </row>
    <row r="322" spans="1:36" ht="18" customHeight="1" x14ac:dyDescent="0.2">
      <c r="A322" s="1042"/>
      <c r="B322" s="748" t="s">
        <v>390</v>
      </c>
      <c r="C322" s="636" t="s">
        <v>46</v>
      </c>
      <c r="D322" s="636" t="s">
        <v>46</v>
      </c>
      <c r="E322" s="636" t="s">
        <v>46</v>
      </c>
      <c r="F322" s="636" t="s">
        <v>46</v>
      </c>
      <c r="G322" s="636" t="s">
        <v>46</v>
      </c>
      <c r="H322" s="636"/>
      <c r="I322" s="636"/>
      <c r="J322" s="636" t="s">
        <v>46</v>
      </c>
      <c r="K322" s="636" t="s">
        <v>46</v>
      </c>
      <c r="L322" s="636" t="s">
        <v>46</v>
      </c>
      <c r="M322" s="636" t="s">
        <v>46</v>
      </c>
      <c r="N322" s="636" t="s">
        <v>46</v>
      </c>
      <c r="O322" s="636"/>
      <c r="P322" s="636"/>
      <c r="Q322" s="636" t="s">
        <v>46</v>
      </c>
      <c r="R322" s="636" t="s">
        <v>46</v>
      </c>
      <c r="S322" s="636" t="s">
        <v>46</v>
      </c>
      <c r="T322" s="636" t="s">
        <v>46</v>
      </c>
      <c r="U322" s="636" t="s">
        <v>46</v>
      </c>
      <c r="V322" s="636"/>
      <c r="W322" s="636"/>
      <c r="X322" s="636" t="s">
        <v>46</v>
      </c>
      <c r="Y322" s="636" t="s">
        <v>46</v>
      </c>
      <c r="Z322" s="636" t="s">
        <v>46</v>
      </c>
      <c r="AA322" s="636" t="s">
        <v>46</v>
      </c>
      <c r="AB322" s="636" t="s">
        <v>46</v>
      </c>
      <c r="AC322" s="636"/>
      <c r="AD322" s="636"/>
      <c r="AE322" s="636" t="s">
        <v>46</v>
      </c>
      <c r="AF322" s="636" t="s">
        <v>46</v>
      </c>
      <c r="AG322" s="801" t="s">
        <v>46</v>
      </c>
      <c r="AH322" s="211"/>
      <c r="AI322" s="212"/>
      <c r="AJ322" s="123"/>
    </row>
    <row r="323" spans="1:36" ht="18" customHeight="1" x14ac:dyDescent="0.2">
      <c r="A323" s="1042"/>
      <c r="B323" s="748" t="s">
        <v>391</v>
      </c>
      <c r="C323" s="636" t="s">
        <v>46</v>
      </c>
      <c r="D323" s="636" t="s">
        <v>46</v>
      </c>
      <c r="E323" s="636" t="s">
        <v>46</v>
      </c>
      <c r="F323" s="636" t="s">
        <v>46</v>
      </c>
      <c r="G323" s="636" t="s">
        <v>46</v>
      </c>
      <c r="H323" s="636"/>
      <c r="I323" s="636"/>
      <c r="J323" s="636" t="s">
        <v>46</v>
      </c>
      <c r="K323" s="636" t="s">
        <v>46</v>
      </c>
      <c r="L323" s="636" t="s">
        <v>46</v>
      </c>
      <c r="M323" s="636" t="s">
        <v>46</v>
      </c>
      <c r="N323" s="636" t="s">
        <v>46</v>
      </c>
      <c r="O323" s="636"/>
      <c r="P323" s="636"/>
      <c r="Q323" s="636" t="s">
        <v>46</v>
      </c>
      <c r="R323" s="636" t="s">
        <v>46</v>
      </c>
      <c r="S323" s="636" t="s">
        <v>46</v>
      </c>
      <c r="T323" s="636" t="s">
        <v>46</v>
      </c>
      <c r="U323" s="636" t="s">
        <v>46</v>
      </c>
      <c r="V323" s="636"/>
      <c r="W323" s="636"/>
      <c r="X323" s="636" t="s">
        <v>46</v>
      </c>
      <c r="Y323" s="636" t="s">
        <v>46</v>
      </c>
      <c r="Z323" s="636" t="s">
        <v>46</v>
      </c>
      <c r="AA323" s="636" t="s">
        <v>46</v>
      </c>
      <c r="AB323" s="636" t="s">
        <v>46</v>
      </c>
      <c r="AC323" s="636"/>
      <c r="AD323" s="636"/>
      <c r="AE323" s="636" t="s">
        <v>46</v>
      </c>
      <c r="AF323" s="636" t="s">
        <v>46</v>
      </c>
      <c r="AG323" s="801" t="s">
        <v>46</v>
      </c>
      <c r="AH323" s="211"/>
      <c r="AI323" s="212"/>
      <c r="AJ323" s="123"/>
    </row>
    <row r="324" spans="1:36" ht="18" customHeight="1" x14ac:dyDescent="0.2">
      <c r="A324" s="1042"/>
      <c r="B324" s="748" t="s">
        <v>392</v>
      </c>
      <c r="C324" s="636" t="s">
        <v>46</v>
      </c>
      <c r="D324" s="636" t="s">
        <v>46</v>
      </c>
      <c r="E324" s="636" t="s">
        <v>46</v>
      </c>
      <c r="F324" s="636" t="s">
        <v>46</v>
      </c>
      <c r="G324" s="636" t="s">
        <v>46</v>
      </c>
      <c r="H324" s="636"/>
      <c r="I324" s="636"/>
      <c r="J324" s="636" t="s">
        <v>46</v>
      </c>
      <c r="K324" s="636" t="s">
        <v>46</v>
      </c>
      <c r="L324" s="636" t="s">
        <v>46</v>
      </c>
      <c r="M324" s="636" t="s">
        <v>46</v>
      </c>
      <c r="N324" s="636" t="s">
        <v>46</v>
      </c>
      <c r="O324" s="636"/>
      <c r="P324" s="636"/>
      <c r="Q324" s="636" t="s">
        <v>46</v>
      </c>
      <c r="R324" s="636" t="s">
        <v>46</v>
      </c>
      <c r="S324" s="636" t="s">
        <v>46</v>
      </c>
      <c r="T324" s="636" t="s">
        <v>46</v>
      </c>
      <c r="U324" s="636" t="s">
        <v>46</v>
      </c>
      <c r="V324" s="636"/>
      <c r="W324" s="636"/>
      <c r="X324" s="636" t="s">
        <v>46</v>
      </c>
      <c r="Y324" s="636" t="s">
        <v>46</v>
      </c>
      <c r="Z324" s="636" t="s">
        <v>46</v>
      </c>
      <c r="AA324" s="636" t="s">
        <v>46</v>
      </c>
      <c r="AB324" s="636" t="s">
        <v>46</v>
      </c>
      <c r="AC324" s="636"/>
      <c r="AD324" s="636"/>
      <c r="AE324" s="636" t="s">
        <v>46</v>
      </c>
      <c r="AF324" s="636" t="s">
        <v>46</v>
      </c>
      <c r="AG324" s="801" t="s">
        <v>46</v>
      </c>
      <c r="AH324" s="211"/>
      <c r="AI324" s="212"/>
      <c r="AJ324" s="123"/>
    </row>
    <row r="325" spans="1:36" ht="18" customHeight="1" x14ac:dyDescent="0.2">
      <c r="A325" s="1042"/>
      <c r="B325" s="748" t="s">
        <v>393</v>
      </c>
      <c r="C325" s="957" t="s">
        <v>46</v>
      </c>
      <c r="D325" s="636" t="s">
        <v>46</v>
      </c>
      <c r="E325" s="636" t="s">
        <v>46</v>
      </c>
      <c r="F325" s="636" t="s">
        <v>46</v>
      </c>
      <c r="G325" s="636" t="s">
        <v>46</v>
      </c>
      <c r="H325" s="636"/>
      <c r="I325" s="636"/>
      <c r="J325" s="957" t="s">
        <v>46</v>
      </c>
      <c r="K325" s="636" t="s">
        <v>46</v>
      </c>
      <c r="L325" s="636" t="s">
        <v>46</v>
      </c>
      <c r="M325" s="636" t="s">
        <v>46</v>
      </c>
      <c r="N325" s="636" t="s">
        <v>46</v>
      </c>
      <c r="O325" s="636"/>
      <c r="P325" s="636"/>
      <c r="Q325" s="957" t="s">
        <v>46</v>
      </c>
      <c r="R325" s="636" t="s">
        <v>46</v>
      </c>
      <c r="S325" s="636" t="s">
        <v>46</v>
      </c>
      <c r="T325" s="636" t="s">
        <v>46</v>
      </c>
      <c r="U325" s="636" t="s">
        <v>46</v>
      </c>
      <c r="V325" s="636"/>
      <c r="W325" s="636"/>
      <c r="X325" s="957" t="s">
        <v>46</v>
      </c>
      <c r="Y325" s="636" t="s">
        <v>46</v>
      </c>
      <c r="Z325" s="636" t="s">
        <v>46</v>
      </c>
      <c r="AA325" s="636" t="s">
        <v>46</v>
      </c>
      <c r="AB325" s="636" t="s">
        <v>46</v>
      </c>
      <c r="AC325" s="636"/>
      <c r="AD325" s="636"/>
      <c r="AE325" s="957" t="s">
        <v>46</v>
      </c>
      <c r="AF325" s="636" t="s">
        <v>46</v>
      </c>
      <c r="AG325" s="801" t="s">
        <v>46</v>
      </c>
      <c r="AH325" s="211"/>
      <c r="AI325" s="212"/>
      <c r="AJ325" s="123"/>
    </row>
    <row r="326" spans="1:36" ht="18" customHeight="1" x14ac:dyDescent="0.2">
      <c r="A326" s="1544"/>
      <c r="B326" s="1545" t="s">
        <v>394</v>
      </c>
      <c r="C326" s="856" t="s">
        <v>46</v>
      </c>
      <c r="D326" s="856" t="s">
        <v>46</v>
      </c>
      <c r="E326" s="856" t="s">
        <v>46</v>
      </c>
      <c r="F326" s="856" t="s">
        <v>46</v>
      </c>
      <c r="G326" s="856" t="s">
        <v>46</v>
      </c>
      <c r="H326" s="856"/>
      <c r="I326" s="856"/>
      <c r="J326" s="856" t="s">
        <v>46</v>
      </c>
      <c r="K326" s="856" t="s">
        <v>46</v>
      </c>
      <c r="L326" s="856" t="s">
        <v>46</v>
      </c>
      <c r="M326" s="856" t="s">
        <v>46</v>
      </c>
      <c r="N326" s="856" t="s">
        <v>46</v>
      </c>
      <c r="O326" s="856"/>
      <c r="P326" s="856"/>
      <c r="Q326" s="856" t="s">
        <v>46</v>
      </c>
      <c r="R326" s="856" t="s">
        <v>46</v>
      </c>
      <c r="S326" s="856" t="s">
        <v>46</v>
      </c>
      <c r="T326" s="856" t="s">
        <v>46</v>
      </c>
      <c r="U326" s="856" t="s">
        <v>46</v>
      </c>
      <c r="V326" s="856"/>
      <c r="W326" s="856"/>
      <c r="X326" s="856" t="s">
        <v>46</v>
      </c>
      <c r="Y326" s="856" t="s">
        <v>46</v>
      </c>
      <c r="Z326" s="856" t="s">
        <v>46</v>
      </c>
      <c r="AA326" s="856" t="s">
        <v>46</v>
      </c>
      <c r="AB326" s="856" t="s">
        <v>46</v>
      </c>
      <c r="AC326" s="856"/>
      <c r="AD326" s="856"/>
      <c r="AE326" s="856" t="s">
        <v>46</v>
      </c>
      <c r="AF326" s="856" t="s">
        <v>46</v>
      </c>
      <c r="AG326" s="1727" t="s">
        <v>46</v>
      </c>
      <c r="AH326" s="211"/>
      <c r="AI326" s="212"/>
      <c r="AJ326" s="123"/>
    </row>
    <row r="327" spans="1:36" ht="18" customHeight="1" x14ac:dyDescent="0.2">
      <c r="A327" s="1042"/>
      <c r="B327" s="748"/>
      <c r="C327" s="636"/>
      <c r="D327" s="813"/>
      <c r="E327" s="636"/>
      <c r="F327" s="636"/>
      <c r="G327" s="636"/>
      <c r="H327" s="636"/>
      <c r="I327" s="636"/>
      <c r="J327" s="636"/>
      <c r="K327" s="636"/>
      <c r="L327" s="636"/>
      <c r="M327" s="636"/>
      <c r="N327" s="636"/>
      <c r="O327" s="636"/>
      <c r="P327" s="636"/>
      <c r="Q327" s="636"/>
      <c r="R327" s="636"/>
      <c r="S327" s="636"/>
      <c r="T327" s="636"/>
      <c r="U327" s="636"/>
      <c r="V327" s="636"/>
      <c r="W327" s="636"/>
      <c r="X327" s="636"/>
      <c r="Y327" s="636"/>
      <c r="Z327" s="636"/>
      <c r="AA327" s="636"/>
      <c r="AB327" s="636"/>
      <c r="AC327" s="636"/>
      <c r="AD327" s="636"/>
      <c r="AE327" s="636"/>
      <c r="AF327" s="636"/>
      <c r="AG327" s="801"/>
      <c r="AH327" s="211"/>
      <c r="AI327" s="212"/>
      <c r="AJ327" s="123"/>
    </row>
    <row r="328" spans="1:36" ht="18" customHeight="1" x14ac:dyDescent="0.2">
      <c r="A328" s="1084"/>
      <c r="B328" s="1085"/>
      <c r="C328" s="712"/>
      <c r="D328" s="712"/>
      <c r="E328" s="712"/>
      <c r="F328" s="712"/>
      <c r="G328" s="712"/>
      <c r="H328" s="712"/>
      <c r="I328" s="712"/>
      <c r="J328" s="712"/>
      <c r="K328" s="712"/>
      <c r="L328" s="712"/>
      <c r="M328" s="712"/>
      <c r="N328" s="711"/>
      <c r="O328" s="711"/>
      <c r="P328" s="712"/>
      <c r="Q328" s="712"/>
      <c r="R328" s="712"/>
      <c r="S328" s="712"/>
      <c r="T328" s="712"/>
      <c r="U328" s="712"/>
      <c r="V328" s="712"/>
      <c r="W328" s="712"/>
      <c r="X328" s="712"/>
      <c r="Y328" s="712"/>
      <c r="Z328" s="712"/>
      <c r="AA328" s="712"/>
      <c r="AB328" s="711"/>
      <c r="AC328" s="711"/>
      <c r="AD328" s="712"/>
      <c r="AE328" s="712"/>
      <c r="AF328" s="712"/>
      <c r="AG328" s="1086"/>
      <c r="AH328" s="211"/>
      <c r="AI328" s="213"/>
      <c r="AJ328" s="123"/>
    </row>
    <row r="329" spans="1:36" ht="18" customHeight="1" x14ac:dyDescent="0.2">
      <c r="A329" s="1087"/>
      <c r="B329" s="1088"/>
      <c r="C329" s="1089"/>
      <c r="D329" s="1547"/>
      <c r="E329" s="1547"/>
      <c r="F329" s="1547"/>
      <c r="G329" s="1547"/>
      <c r="H329" s="1547"/>
      <c r="I329" s="1547"/>
      <c r="J329" s="1547"/>
      <c r="K329" s="1547"/>
      <c r="L329" s="1547"/>
      <c r="M329" s="1547"/>
      <c r="N329" s="1548"/>
      <c r="O329" s="1548"/>
      <c r="P329" s="1547"/>
      <c r="Q329" s="1547"/>
      <c r="R329" s="1547"/>
      <c r="S329" s="1547"/>
      <c r="T329" s="1547"/>
      <c r="U329" s="1547"/>
      <c r="V329" s="1547"/>
      <c r="W329" s="1547"/>
      <c r="X329" s="1547"/>
      <c r="Y329" s="1547"/>
      <c r="Z329" s="1547"/>
      <c r="AA329" s="1547"/>
      <c r="AB329" s="1548"/>
      <c r="AC329" s="1548"/>
      <c r="AD329" s="1547"/>
      <c r="AE329" s="1547"/>
      <c r="AF329" s="1547"/>
      <c r="AG329" s="1090"/>
      <c r="AH329" s="211"/>
      <c r="AI329" s="213"/>
      <c r="AJ329" s="123"/>
    </row>
    <row r="330" spans="1:36" ht="18" customHeight="1" x14ac:dyDescent="0.2">
      <c r="AH330" s="123"/>
      <c r="AI330" s="123"/>
      <c r="AJ330" s="123"/>
    </row>
    <row r="331" spans="1:36" ht="18" customHeight="1" x14ac:dyDescent="0.2">
      <c r="AH331" s="123"/>
      <c r="AI331" s="123"/>
      <c r="AJ331" s="123"/>
    </row>
    <row r="332" spans="1:36" ht="18" customHeight="1" x14ac:dyDescent="0.2">
      <c r="AH332" s="123"/>
      <c r="AI332" s="123"/>
      <c r="AJ332" s="123"/>
    </row>
    <row r="333" spans="1:36" x14ac:dyDescent="0.2">
      <c r="AH333" s="123"/>
      <c r="AI333" s="123"/>
      <c r="AJ333" s="123"/>
    </row>
  </sheetData>
  <sheetProtection algorithmName="SHA-512" hashValue="eWKd6cZWj6FZdwHOOkO212OW+WIMIHR1yTii3HeyELP4daTL24aOv221XD2891T/zdjlMbd9EWZNUjSldcoGGg==" saltValue="883DvGm2SN3tZTrDM4NeRQ==" spinCount="100000" sheet="1" objects="1" scenarios="1"/>
  <mergeCells count="1">
    <mergeCell ref="T36:Z36"/>
  </mergeCells>
  <pageMargins left="0.7" right="0.7" top="0.75" bottom="0.75" header="0.3" footer="0.3"/>
  <pageSetup paperSize="9" scale="1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16">
    <pageSetUpPr fitToPage="1"/>
  </sheetPr>
  <dimension ref="A1:AN336"/>
  <sheetViews>
    <sheetView topLeftCell="B103" zoomScaleNormal="100" workbookViewId="0">
      <pane xSplit="1" topLeftCell="C1" activePane="topRight" state="frozen"/>
      <selection activeCell="B252" sqref="B252"/>
      <selection pane="topRight" activeCell="B127" sqref="A127:XFD127"/>
    </sheetView>
  </sheetViews>
  <sheetFormatPr defaultRowHeight="12" x14ac:dyDescent="0.2"/>
  <cols>
    <col min="1" max="1" width="0" hidden="1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7" max="37" width="11" bestFit="1" customWidth="1"/>
    <col min="38" max="38" width="13.28515625" bestFit="1" customWidth="1"/>
    <col min="39" max="40" width="11.85546875" customWidth="1"/>
  </cols>
  <sheetData>
    <row r="1" spans="1:38" ht="18" customHeight="1" x14ac:dyDescent="0.2">
      <c r="A1" t="s">
        <v>0</v>
      </c>
      <c r="B1" s="1" t="s">
        <v>1</v>
      </c>
    </row>
    <row r="2" spans="1:38" ht="18" customHeight="1" x14ac:dyDescent="0.2">
      <c r="B2" s="1549" t="s">
        <v>2</v>
      </c>
      <c r="C2" s="1092" t="s">
        <v>3</v>
      </c>
      <c r="D2" s="1093"/>
      <c r="E2" s="1094" t="s">
        <v>4</v>
      </c>
      <c r="F2" s="1095"/>
      <c r="G2" s="1096"/>
      <c r="H2" s="1096"/>
      <c r="I2" s="1096"/>
      <c r="J2" s="1096"/>
      <c r="K2" s="1097"/>
      <c r="L2" s="1098" t="s">
        <v>5</v>
      </c>
      <c r="M2" s="1099"/>
      <c r="N2" s="1100"/>
      <c r="O2" s="1101" t="s">
        <v>6</v>
      </c>
      <c r="P2" s="1102"/>
      <c r="Q2" s="1103"/>
      <c r="R2" s="1104"/>
      <c r="S2" s="1105" t="s">
        <v>7</v>
      </c>
      <c r="T2" s="1106"/>
      <c r="U2" s="1107"/>
      <c r="V2" s="1106"/>
      <c r="W2" s="1108" t="s">
        <v>8</v>
      </c>
      <c r="X2" s="1109"/>
      <c r="Y2" s="1110"/>
      <c r="Z2" s="105" t="s">
        <v>9</v>
      </c>
      <c r="AA2" s="1111"/>
      <c r="AB2" s="1112"/>
      <c r="AC2" s="1113"/>
      <c r="AD2" s="1114" t="s">
        <v>10</v>
      </c>
      <c r="AE2" s="1115"/>
      <c r="AF2" s="1115"/>
      <c r="AG2" s="1116"/>
    </row>
    <row r="3" spans="1:38" ht="18" customHeight="1" x14ac:dyDescent="0.2">
      <c r="A3" s="1"/>
      <c r="B3" s="1117" t="s">
        <v>10</v>
      </c>
      <c r="C3" s="1118" t="s">
        <v>10</v>
      </c>
      <c r="D3" s="1119"/>
      <c r="E3" s="543"/>
      <c r="F3" s="544"/>
      <c r="G3" s="544"/>
      <c r="H3" s="545" t="s">
        <v>10</v>
      </c>
      <c r="I3" s="546"/>
      <c r="J3" s="546"/>
      <c r="K3" s="547"/>
      <c r="L3" s="1120" t="s">
        <v>11</v>
      </c>
      <c r="M3" s="1121"/>
      <c r="N3" s="1122"/>
      <c r="O3" s="546"/>
      <c r="P3" s="546"/>
      <c r="Q3" s="546"/>
      <c r="R3" s="546"/>
      <c r="S3" s="467"/>
      <c r="T3" s="551" t="s">
        <v>12</v>
      </c>
      <c r="U3" s="552"/>
      <c r="V3" s="553"/>
      <c r="W3" s="1728"/>
      <c r="X3" s="1123"/>
      <c r="Y3" s="545" t="s">
        <v>10</v>
      </c>
      <c r="Z3" s="1121"/>
      <c r="AA3" s="1121"/>
      <c r="AB3" s="1124"/>
      <c r="AC3" s="1125"/>
      <c r="AD3" s="1126" t="s">
        <v>13</v>
      </c>
      <c r="AE3" s="1127"/>
      <c r="AF3" s="1127"/>
      <c r="AG3" s="1128"/>
      <c r="AH3" s="1129" t="s">
        <v>14</v>
      </c>
      <c r="AI3" s="1129"/>
      <c r="AJ3" s="1129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1130"/>
      <c r="D5" s="1131" t="s">
        <v>17</v>
      </c>
      <c r="E5" s="1132"/>
      <c r="F5" s="1130"/>
      <c r="G5" s="1131" t="s">
        <v>18</v>
      </c>
      <c r="H5" s="1132"/>
      <c r="I5" s="1130"/>
      <c r="J5" s="1131" t="s">
        <v>19</v>
      </c>
      <c r="K5" s="1132"/>
      <c r="L5" s="1130"/>
      <c r="M5" s="1131" t="s">
        <v>20</v>
      </c>
      <c r="N5" s="1132"/>
      <c r="O5" s="1130"/>
      <c r="P5" s="1131" t="s">
        <v>21</v>
      </c>
      <c r="Q5" s="1132"/>
      <c r="R5" s="1130"/>
      <c r="S5" s="1131" t="s">
        <v>22</v>
      </c>
      <c r="T5" s="1133"/>
      <c r="U5" s="1134"/>
      <c r="V5" s="1135" t="s">
        <v>23</v>
      </c>
      <c r="W5" s="1133"/>
    </row>
    <row r="6" spans="1:38" ht="18" customHeight="1" x14ac:dyDescent="0.2">
      <c r="A6" s="1136"/>
      <c r="B6" s="1137" t="s">
        <v>24</v>
      </c>
      <c r="C6" s="1138" t="s">
        <v>25</v>
      </c>
      <c r="D6" s="1139"/>
      <c r="E6" s="1140"/>
      <c r="F6" s="1141" t="s">
        <v>25</v>
      </c>
      <c r="G6" s="1142"/>
      <c r="H6" s="1142"/>
      <c r="I6" s="1138" t="s">
        <v>26</v>
      </c>
      <c r="J6" s="1142"/>
      <c r="K6" s="1140"/>
      <c r="L6" s="1141" t="s">
        <v>26</v>
      </c>
      <c r="M6" s="1142"/>
      <c r="N6" s="1140"/>
      <c r="O6" s="1141" t="s">
        <v>27</v>
      </c>
      <c r="P6" s="1142"/>
      <c r="Q6" s="1140"/>
      <c r="R6" s="1142"/>
      <c r="S6" s="1142"/>
      <c r="T6" s="1142"/>
      <c r="U6" s="1137"/>
      <c r="V6" s="1142"/>
      <c r="W6" s="1140"/>
      <c r="X6" s="1142"/>
      <c r="Y6" s="1142"/>
      <c r="Z6" s="1142"/>
      <c r="AA6" s="1142"/>
      <c r="AB6" s="1143"/>
      <c r="AC6" s="1140"/>
      <c r="AD6" s="123"/>
      <c r="AE6" s="123"/>
      <c r="AF6" s="123"/>
      <c r="AG6" s="123"/>
    </row>
    <row r="7" spans="1:38" ht="18" customHeight="1" x14ac:dyDescent="0.2">
      <c r="A7" s="1136"/>
      <c r="B7" s="1137" t="s">
        <v>28</v>
      </c>
      <c r="C7" s="1138" t="s">
        <v>29</v>
      </c>
      <c r="D7" s="1142"/>
      <c r="E7" s="1140"/>
      <c r="F7" s="1141" t="s">
        <v>29</v>
      </c>
      <c r="G7" s="1142"/>
      <c r="H7" s="1142"/>
      <c r="I7" s="1138" t="s">
        <v>29</v>
      </c>
      <c r="J7" s="1142"/>
      <c r="K7" s="1140"/>
      <c r="L7" s="1141" t="s">
        <v>29</v>
      </c>
      <c r="M7" s="1142"/>
      <c r="N7" s="1140"/>
      <c r="O7" s="1141" t="s">
        <v>30</v>
      </c>
      <c r="P7" s="1142"/>
      <c r="Q7" s="1140"/>
      <c r="R7" s="1142"/>
      <c r="S7" s="1142"/>
      <c r="T7" s="1142"/>
      <c r="U7" s="1137"/>
      <c r="V7" s="1142"/>
      <c r="W7" s="1140"/>
      <c r="X7" s="1142"/>
      <c r="Y7" s="1142"/>
      <c r="Z7" s="1142"/>
      <c r="AA7" s="1142"/>
      <c r="AB7" s="1144"/>
      <c r="AC7" s="1140"/>
      <c r="AD7" s="123"/>
      <c r="AE7" s="123"/>
      <c r="AF7" s="123"/>
      <c r="AG7" s="123"/>
    </row>
    <row r="8" spans="1:38" ht="18" customHeight="1" x14ac:dyDescent="0.2">
      <c r="A8" s="1137"/>
      <c r="B8" s="1137" t="s">
        <v>31</v>
      </c>
      <c r="C8" s="1145" t="s">
        <v>32</v>
      </c>
      <c r="D8" s="1146"/>
      <c r="E8" s="1147"/>
      <c r="F8" s="1141" t="s">
        <v>33</v>
      </c>
      <c r="G8" s="1146"/>
      <c r="H8" s="1146"/>
      <c r="I8" s="1145" t="s">
        <v>33</v>
      </c>
      <c r="J8" s="1146"/>
      <c r="K8" s="1147"/>
      <c r="L8" s="1141" t="s">
        <v>33</v>
      </c>
      <c r="M8" s="1146"/>
      <c r="N8" s="1146"/>
      <c r="O8" s="1145" t="s">
        <v>34</v>
      </c>
      <c r="P8" s="1146"/>
      <c r="Q8" s="1147"/>
      <c r="R8" s="1148" t="s">
        <v>35</v>
      </c>
      <c r="S8" s="367"/>
      <c r="T8" s="367"/>
      <c r="U8" s="1149" t="s">
        <v>35</v>
      </c>
      <c r="V8" s="367"/>
      <c r="W8" s="1150"/>
      <c r="X8" s="1142"/>
      <c r="Y8" s="1142"/>
      <c r="Z8" s="1142"/>
      <c r="AA8" s="1142"/>
      <c r="AB8" s="1144"/>
      <c r="AC8" s="1140"/>
      <c r="AD8" s="123"/>
      <c r="AE8" s="123"/>
      <c r="AF8" s="123"/>
      <c r="AG8" s="123"/>
    </row>
    <row r="9" spans="1:38" ht="18" customHeight="1" x14ac:dyDescent="0.2">
      <c r="A9" s="1137"/>
      <c r="B9" s="1137" t="s">
        <v>36</v>
      </c>
      <c r="C9" s="1138" t="s">
        <v>37</v>
      </c>
      <c r="D9" s="1146"/>
      <c r="E9" s="1147"/>
      <c r="F9" s="1141" t="s">
        <v>37</v>
      </c>
      <c r="G9" s="1142"/>
      <c r="H9" s="1142"/>
      <c r="I9" s="1138" t="s">
        <v>37</v>
      </c>
      <c r="J9" s="1142"/>
      <c r="K9" s="1140"/>
      <c r="L9" s="1141" t="s">
        <v>37</v>
      </c>
      <c r="M9" s="1142"/>
      <c r="N9" s="1140"/>
      <c r="O9" s="1141" t="s">
        <v>38</v>
      </c>
      <c r="P9" s="1142"/>
      <c r="Q9" s="1140"/>
      <c r="R9" s="1141" t="s">
        <v>39</v>
      </c>
      <c r="S9" s="1142"/>
      <c r="T9" s="1142"/>
      <c r="U9" s="1138" t="s">
        <v>40</v>
      </c>
      <c r="V9" s="1142"/>
      <c r="W9" s="1140"/>
      <c r="X9" s="1142"/>
      <c r="Y9" s="1142"/>
      <c r="Z9" s="1142"/>
      <c r="AA9" s="1142"/>
      <c r="AB9" s="1144"/>
      <c r="AC9" s="1140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H11" s="244"/>
      <c r="AI11" s="111"/>
      <c r="AJ11" s="1151" t="s">
        <v>41</v>
      </c>
    </row>
    <row r="12" spans="1:38" ht="18" customHeight="1" x14ac:dyDescent="0.2">
      <c r="AH12" s="116"/>
      <c r="AI12" s="116"/>
      <c r="AJ12" s="1151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114"/>
    </row>
    <row r="14" spans="1:38" ht="18" customHeight="1" x14ac:dyDescent="0.2">
      <c r="A14" s="1729" t="s">
        <v>43</v>
      </c>
      <c r="B14" s="1730" t="s">
        <v>44</v>
      </c>
      <c r="C14" s="1731">
        <v>1</v>
      </c>
      <c r="D14" s="1731">
        <v>2</v>
      </c>
      <c r="E14" s="1732">
        <v>3</v>
      </c>
      <c r="F14" s="1732">
        <v>4</v>
      </c>
      <c r="G14" s="1731">
        <v>5</v>
      </c>
      <c r="H14" s="1731">
        <v>6</v>
      </c>
      <c r="I14" s="1731">
        <v>7</v>
      </c>
      <c r="J14" s="1731">
        <v>8</v>
      </c>
      <c r="K14" s="1731">
        <v>9</v>
      </c>
      <c r="L14" s="1732">
        <v>10</v>
      </c>
      <c r="M14" s="1732">
        <v>11</v>
      </c>
      <c r="N14" s="1731">
        <v>12</v>
      </c>
      <c r="O14" s="1731">
        <v>13</v>
      </c>
      <c r="P14" s="1731">
        <v>14</v>
      </c>
      <c r="Q14" s="1731">
        <v>15</v>
      </c>
      <c r="R14" s="1731">
        <v>16</v>
      </c>
      <c r="S14" s="1732">
        <v>17</v>
      </c>
      <c r="T14" s="1732">
        <v>18</v>
      </c>
      <c r="U14" s="1731">
        <v>19</v>
      </c>
      <c r="V14" s="1731">
        <v>20</v>
      </c>
      <c r="W14" s="1731">
        <v>21</v>
      </c>
      <c r="X14" s="1731">
        <v>22</v>
      </c>
      <c r="Y14" s="1731">
        <v>23</v>
      </c>
      <c r="Z14" s="1732">
        <v>24</v>
      </c>
      <c r="AA14" s="1732">
        <v>25</v>
      </c>
      <c r="AB14" s="1731">
        <v>26</v>
      </c>
      <c r="AC14" s="1731">
        <v>27</v>
      </c>
      <c r="AD14" s="1731">
        <v>28</v>
      </c>
      <c r="AE14" s="1731">
        <v>29</v>
      </c>
      <c r="AF14" s="1731">
        <v>30</v>
      </c>
      <c r="AG14" s="1732">
        <v>31</v>
      </c>
      <c r="AH14" s="116"/>
      <c r="AI14" s="116"/>
    </row>
    <row r="15" spans="1:38" ht="18" customHeight="1" x14ac:dyDescent="0.2">
      <c r="A15" s="1733">
        <v>8500</v>
      </c>
      <c r="B15" s="1734" t="s">
        <v>45</v>
      </c>
      <c r="C15" s="1735" t="s">
        <v>46</v>
      </c>
      <c r="D15" s="1736" t="s">
        <v>46</v>
      </c>
      <c r="E15" s="1737"/>
      <c r="F15" s="1737"/>
      <c r="G15" s="1735" t="s">
        <v>46</v>
      </c>
      <c r="H15" s="1735" t="s">
        <v>46</v>
      </c>
      <c r="I15" s="1735" t="s">
        <v>46</v>
      </c>
      <c r="J15" s="1737" t="s">
        <v>46</v>
      </c>
      <c r="K15" s="1737" t="s">
        <v>46</v>
      </c>
      <c r="L15" s="1737"/>
      <c r="M15" s="1737"/>
      <c r="N15" s="1737" t="s">
        <v>46</v>
      </c>
      <c r="O15" s="1737" t="s">
        <v>46</v>
      </c>
      <c r="P15" s="1737" t="s">
        <v>46</v>
      </c>
      <c r="Q15" s="1737" t="s">
        <v>46</v>
      </c>
      <c r="R15" s="1737" t="s">
        <v>46</v>
      </c>
      <c r="S15" s="1737"/>
      <c r="T15" s="1737"/>
      <c r="U15" s="1737" t="s">
        <v>46</v>
      </c>
      <c r="V15" s="1737" t="s">
        <v>46</v>
      </c>
      <c r="W15" s="1737" t="s">
        <v>46</v>
      </c>
      <c r="X15" s="1738" t="s">
        <v>46</v>
      </c>
      <c r="Y15" s="1737" t="s">
        <v>46</v>
      </c>
      <c r="Z15" s="1737"/>
      <c r="AA15" s="1737"/>
      <c r="AB15" s="1737" t="s">
        <v>46</v>
      </c>
      <c r="AC15" s="1737" t="s">
        <v>46</v>
      </c>
      <c r="AD15" s="1737" t="s">
        <v>46</v>
      </c>
      <c r="AE15" s="1739" t="s">
        <v>46</v>
      </c>
      <c r="AF15" s="1737" t="s">
        <v>46</v>
      </c>
      <c r="AG15" s="1737"/>
      <c r="AH15" s="116"/>
      <c r="AI15" s="116"/>
      <c r="AL15" t="s">
        <v>0</v>
      </c>
    </row>
    <row r="16" spans="1:38" ht="18" customHeight="1" x14ac:dyDescent="0.2">
      <c r="A16" s="1168" t="s">
        <v>47</v>
      </c>
      <c r="B16" s="1169"/>
      <c r="C16" s="1169"/>
      <c r="D16" s="1169"/>
      <c r="E16" s="1169"/>
      <c r="F16" s="1169"/>
      <c r="G16" s="1169"/>
      <c r="H16" s="1169"/>
      <c r="I16" s="1169"/>
      <c r="J16" s="1169"/>
      <c r="K16" s="1169"/>
      <c r="L16" s="1169"/>
      <c r="M16" s="1169"/>
      <c r="N16" s="1169"/>
      <c r="O16" s="1169"/>
      <c r="P16" s="1169"/>
      <c r="Q16" s="1169"/>
      <c r="R16" s="1169"/>
      <c r="S16" s="1169"/>
      <c r="T16" s="1169"/>
      <c r="U16" s="1169"/>
      <c r="V16" s="1169"/>
      <c r="W16" s="1169"/>
      <c r="X16" s="1169"/>
      <c r="Y16" s="1169"/>
      <c r="Z16" s="1169"/>
      <c r="AA16" s="1169"/>
      <c r="AB16" s="1169"/>
      <c r="AC16" s="1169"/>
      <c r="AD16" s="1169"/>
      <c r="AE16" s="1169"/>
      <c r="AF16" s="1169"/>
      <c r="AG16" s="1169"/>
      <c r="AH16" s="116"/>
      <c r="AI16" s="116"/>
    </row>
    <row r="17" spans="1:40" ht="18" customHeight="1" x14ac:dyDescent="0.2">
      <c r="A17" s="1740">
        <v>8546</v>
      </c>
      <c r="B17" s="594" t="s">
        <v>48</v>
      </c>
      <c r="C17" s="597" t="s">
        <v>50</v>
      </c>
      <c r="D17" s="597" t="s">
        <v>50</v>
      </c>
      <c r="E17" s="597" t="s">
        <v>0</v>
      </c>
      <c r="F17" s="595"/>
      <c r="G17" s="596" t="s">
        <v>51</v>
      </c>
      <c r="H17" s="597" t="s">
        <v>51</v>
      </c>
      <c r="I17" s="595" t="s">
        <v>51</v>
      </c>
      <c r="J17" s="595" t="s">
        <v>51</v>
      </c>
      <c r="K17" s="595" t="s">
        <v>51</v>
      </c>
      <c r="L17" s="595" t="s">
        <v>52</v>
      </c>
      <c r="M17" s="595" t="s">
        <v>52</v>
      </c>
      <c r="N17" s="1741" t="s">
        <v>50</v>
      </c>
      <c r="O17" s="595" t="s">
        <v>50</v>
      </c>
      <c r="P17" s="595" t="s">
        <v>50</v>
      </c>
      <c r="Q17" s="595" t="s">
        <v>50</v>
      </c>
      <c r="R17" s="595" t="s">
        <v>50</v>
      </c>
      <c r="S17" s="595" t="s">
        <v>53</v>
      </c>
      <c r="T17" s="595" t="s">
        <v>53</v>
      </c>
      <c r="U17" s="595" t="s">
        <v>49</v>
      </c>
      <c r="V17" s="595" t="s">
        <v>49</v>
      </c>
      <c r="W17" s="595" t="s">
        <v>49</v>
      </c>
      <c r="X17" s="595" t="s">
        <v>49</v>
      </c>
      <c r="Y17" s="595" t="s">
        <v>49</v>
      </c>
      <c r="Z17" s="595"/>
      <c r="AA17" s="595"/>
      <c r="AB17" s="596" t="s">
        <v>50</v>
      </c>
      <c r="AC17" s="595" t="s">
        <v>50</v>
      </c>
      <c r="AD17" s="595" t="s">
        <v>50</v>
      </c>
      <c r="AE17" s="596" t="s">
        <v>50</v>
      </c>
      <c r="AF17" s="595" t="s">
        <v>50</v>
      </c>
      <c r="AG17" s="1171" t="s">
        <v>0</v>
      </c>
      <c r="AH17" s="116"/>
      <c r="AI17" s="116"/>
    </row>
    <row r="18" spans="1:40" ht="18" customHeight="1" x14ac:dyDescent="0.2">
      <c r="A18" s="1172">
        <v>8500</v>
      </c>
      <c r="B18" s="1173" t="s">
        <v>54</v>
      </c>
      <c r="C18" s="1174" t="s">
        <v>51</v>
      </c>
      <c r="D18" s="1174" t="s">
        <v>51</v>
      </c>
      <c r="E18" s="1174" t="s">
        <v>52</v>
      </c>
      <c r="F18" s="1174" t="s">
        <v>52</v>
      </c>
      <c r="G18" s="1174" t="s">
        <v>50</v>
      </c>
      <c r="H18" s="1174" t="s">
        <v>50</v>
      </c>
      <c r="I18" s="1174" t="s">
        <v>50</v>
      </c>
      <c r="J18" s="1174" t="s">
        <v>50</v>
      </c>
      <c r="K18" s="1174" t="s">
        <v>50</v>
      </c>
      <c r="L18" s="1329" t="s">
        <v>53</v>
      </c>
      <c r="M18" s="1329" t="s">
        <v>53</v>
      </c>
      <c r="N18" s="1329" t="s">
        <v>49</v>
      </c>
      <c r="O18" s="1329" t="s">
        <v>49</v>
      </c>
      <c r="P18" s="1329" t="s">
        <v>49</v>
      </c>
      <c r="Q18" s="1329" t="s">
        <v>49</v>
      </c>
      <c r="R18" s="1329" t="s">
        <v>49</v>
      </c>
      <c r="S18" s="1329"/>
      <c r="T18" s="1329"/>
      <c r="U18" s="1186" t="s">
        <v>50</v>
      </c>
      <c r="V18" s="1186" t="s">
        <v>50</v>
      </c>
      <c r="W18" s="1186" t="s">
        <v>50</v>
      </c>
      <c r="X18" s="1186" t="s">
        <v>50</v>
      </c>
      <c r="Y18" s="1186" t="s">
        <v>50</v>
      </c>
      <c r="Z18" s="1186"/>
      <c r="AA18" s="1186"/>
      <c r="AB18" s="1742" t="s">
        <v>51</v>
      </c>
      <c r="AC18" s="1742" t="s">
        <v>51</v>
      </c>
      <c r="AD18" s="1262" t="s">
        <v>51</v>
      </c>
      <c r="AE18" s="1262" t="s">
        <v>51</v>
      </c>
      <c r="AF18" s="1262" t="s">
        <v>424</v>
      </c>
      <c r="AG18" s="1743" t="s">
        <v>52</v>
      </c>
      <c r="AH18" s="116"/>
      <c r="AI18" s="116"/>
    </row>
    <row r="19" spans="1:40" ht="18" customHeight="1" x14ac:dyDescent="0.2">
      <c r="A19" s="1172">
        <v>8500</v>
      </c>
      <c r="B19" s="1178" t="s">
        <v>55</v>
      </c>
      <c r="C19" s="1186" t="s">
        <v>50</v>
      </c>
      <c r="D19" s="1186" t="s">
        <v>50</v>
      </c>
      <c r="E19" s="1186" t="s">
        <v>53</v>
      </c>
      <c r="F19" s="1186" t="s">
        <v>53</v>
      </c>
      <c r="G19" s="1186" t="s">
        <v>49</v>
      </c>
      <c r="H19" s="1186" t="s">
        <v>49</v>
      </c>
      <c r="I19" s="1186" t="s">
        <v>49</v>
      </c>
      <c r="J19" s="1186" t="s">
        <v>49</v>
      </c>
      <c r="K19" s="1186" t="s">
        <v>49</v>
      </c>
      <c r="L19" s="1186"/>
      <c r="M19" s="1186"/>
      <c r="N19" s="1186" t="s">
        <v>50</v>
      </c>
      <c r="O19" s="1186" t="s">
        <v>50</v>
      </c>
      <c r="P19" s="1186" t="s">
        <v>50</v>
      </c>
      <c r="Q19" s="1186" t="s">
        <v>50</v>
      </c>
      <c r="R19" s="1186" t="s">
        <v>50</v>
      </c>
      <c r="S19" s="1186"/>
      <c r="T19" s="1186"/>
      <c r="U19" s="1561" t="s">
        <v>51</v>
      </c>
      <c r="V19" s="1214" t="s">
        <v>51</v>
      </c>
      <c r="W19" s="1214" t="s">
        <v>51</v>
      </c>
      <c r="X19" s="1179" t="s">
        <v>51</v>
      </c>
      <c r="Y19" s="1179" t="s">
        <v>51</v>
      </c>
      <c r="Z19" s="1179" t="s">
        <v>52</v>
      </c>
      <c r="AA19" s="1180" t="s">
        <v>52</v>
      </c>
      <c r="AB19" s="1179" t="s">
        <v>50</v>
      </c>
      <c r="AC19" s="1180" t="s">
        <v>50</v>
      </c>
      <c r="AD19" s="1180" t="s">
        <v>50</v>
      </c>
      <c r="AE19" s="1179" t="s">
        <v>50</v>
      </c>
      <c r="AF19" s="1180" t="s">
        <v>50</v>
      </c>
      <c r="AG19" s="1183" t="s">
        <v>53</v>
      </c>
      <c r="AH19" s="114"/>
      <c r="AI19" s="114"/>
      <c r="AJ19" s="241"/>
      <c r="AK19" s="241"/>
      <c r="AL19" s="241"/>
      <c r="AM19" s="241"/>
      <c r="AN19" s="241"/>
    </row>
    <row r="20" spans="1:40" ht="18" customHeight="1" x14ac:dyDescent="0.2">
      <c r="A20" s="1172">
        <v>8546</v>
      </c>
      <c r="B20" s="1178" t="s">
        <v>57</v>
      </c>
      <c r="C20" s="1262" t="s">
        <v>49</v>
      </c>
      <c r="D20" s="1262" t="s">
        <v>49</v>
      </c>
      <c r="E20" s="1262"/>
      <c r="F20" s="1262"/>
      <c r="G20" s="1262" t="s">
        <v>50</v>
      </c>
      <c r="H20" s="1262" t="s">
        <v>50</v>
      </c>
      <c r="I20" s="1262" t="s">
        <v>50</v>
      </c>
      <c r="J20" s="1262" t="s">
        <v>50</v>
      </c>
      <c r="K20" s="1262" t="s">
        <v>50</v>
      </c>
      <c r="L20" s="1262"/>
      <c r="M20" s="1262"/>
      <c r="N20" s="1262" t="s">
        <v>51</v>
      </c>
      <c r="O20" s="1262" t="s">
        <v>51</v>
      </c>
      <c r="P20" s="1262" t="s">
        <v>51</v>
      </c>
      <c r="Q20" s="1262" t="s">
        <v>51</v>
      </c>
      <c r="R20" s="1262" t="s">
        <v>51</v>
      </c>
      <c r="S20" s="1262" t="s">
        <v>52</v>
      </c>
      <c r="T20" s="1262" t="s">
        <v>52</v>
      </c>
      <c r="U20" s="1262" t="s">
        <v>50</v>
      </c>
      <c r="V20" s="1262" t="s">
        <v>50</v>
      </c>
      <c r="W20" s="1262" t="s">
        <v>50</v>
      </c>
      <c r="X20" s="1262" t="s">
        <v>50</v>
      </c>
      <c r="Y20" s="1262" t="s">
        <v>50</v>
      </c>
      <c r="Z20" s="1262" t="s">
        <v>53</v>
      </c>
      <c r="AA20" s="1262" t="s">
        <v>53</v>
      </c>
      <c r="AB20" s="1262" t="s">
        <v>49</v>
      </c>
      <c r="AC20" s="1262" t="s">
        <v>49</v>
      </c>
      <c r="AD20" s="1262" t="s">
        <v>49</v>
      </c>
      <c r="AE20" s="1262" t="s">
        <v>56</v>
      </c>
      <c r="AF20" s="1134" t="s">
        <v>49</v>
      </c>
      <c r="AG20" s="1342"/>
      <c r="AH20" s="116"/>
      <c r="AI20" s="116"/>
      <c r="AJ20" s="123"/>
      <c r="AK20" s="123"/>
      <c r="AL20" s="123"/>
      <c r="AM20" s="215"/>
      <c r="AN20" s="215"/>
    </row>
    <row r="21" spans="1:40" ht="18" customHeight="1" x14ac:dyDescent="0.2">
      <c r="A21" s="1172">
        <v>8546</v>
      </c>
      <c r="B21" s="1178" t="s">
        <v>58</v>
      </c>
      <c r="C21" s="1179" t="s">
        <v>28</v>
      </c>
      <c r="D21" s="1179" t="s">
        <v>28</v>
      </c>
      <c r="E21" s="1180"/>
      <c r="F21" s="1181"/>
      <c r="G21" s="1180" t="s">
        <v>24</v>
      </c>
      <c r="H21" s="1180" t="s">
        <v>24</v>
      </c>
      <c r="I21" s="1180" t="s">
        <v>24</v>
      </c>
      <c r="J21" s="1182" t="s">
        <v>24</v>
      </c>
      <c r="K21" s="1223" t="s">
        <v>24</v>
      </c>
      <c r="L21" s="1182"/>
      <c r="M21" s="1176" t="s">
        <v>53</v>
      </c>
      <c r="N21" s="1179" t="s">
        <v>28</v>
      </c>
      <c r="O21" s="1179" t="s">
        <v>28</v>
      </c>
      <c r="P21" s="1179" t="s">
        <v>28</v>
      </c>
      <c r="Q21" s="1179" t="s">
        <v>28</v>
      </c>
      <c r="R21" s="1179" t="s">
        <v>28</v>
      </c>
      <c r="S21" s="1180"/>
      <c r="T21" s="1180"/>
      <c r="U21" s="1181" t="s">
        <v>24</v>
      </c>
      <c r="V21" s="1180" t="s">
        <v>24</v>
      </c>
      <c r="W21" s="1176" t="s">
        <v>24</v>
      </c>
      <c r="X21" s="1188" t="s">
        <v>24</v>
      </c>
      <c r="Y21" s="1188" t="s">
        <v>24</v>
      </c>
      <c r="Z21" s="1188"/>
      <c r="AA21" s="1188"/>
      <c r="AB21" s="1179" t="s">
        <v>28</v>
      </c>
      <c r="AC21" s="1318" t="s">
        <v>28</v>
      </c>
      <c r="AD21" s="1179" t="s">
        <v>28</v>
      </c>
      <c r="AE21" s="1744" t="s">
        <v>28</v>
      </c>
      <c r="AF21" s="1179" t="s">
        <v>28</v>
      </c>
      <c r="AG21" s="1183"/>
      <c r="AH21" s="116"/>
      <c r="AI21" s="116"/>
      <c r="AJ21" s="123"/>
      <c r="AK21" s="123"/>
      <c r="AL21" s="123"/>
      <c r="AM21" s="215"/>
      <c r="AN21" s="215"/>
    </row>
    <row r="22" spans="1:40" ht="18" customHeight="1" x14ac:dyDescent="0.2">
      <c r="A22" s="1191">
        <v>8546</v>
      </c>
      <c r="B22" s="1192" t="s">
        <v>59</v>
      </c>
      <c r="C22" s="1564" t="s">
        <v>24</v>
      </c>
      <c r="D22" s="1564" t="s">
        <v>24</v>
      </c>
      <c r="E22" s="1564"/>
      <c r="F22" s="1564"/>
      <c r="G22" s="1564" t="s">
        <v>28</v>
      </c>
      <c r="H22" s="1564" t="s">
        <v>28</v>
      </c>
      <c r="I22" s="1564" t="s">
        <v>28</v>
      </c>
      <c r="J22" s="1564" t="s">
        <v>28</v>
      </c>
      <c r="K22" s="1564" t="s">
        <v>28</v>
      </c>
      <c r="L22" s="1564"/>
      <c r="M22" s="1564"/>
      <c r="N22" s="1564" t="s">
        <v>24</v>
      </c>
      <c r="O22" s="1564" t="s">
        <v>24</v>
      </c>
      <c r="P22" s="1564" t="s">
        <v>24</v>
      </c>
      <c r="Q22" s="1564" t="s">
        <v>24</v>
      </c>
      <c r="R22" s="1564" t="s">
        <v>24</v>
      </c>
      <c r="S22" s="1564" t="s">
        <v>0</v>
      </c>
      <c r="T22" s="1564" t="s">
        <v>0</v>
      </c>
      <c r="U22" s="1564" t="s">
        <v>28</v>
      </c>
      <c r="V22" s="1564" t="s">
        <v>28</v>
      </c>
      <c r="W22" s="1564" t="s">
        <v>28</v>
      </c>
      <c r="X22" s="1564" t="s">
        <v>28</v>
      </c>
      <c r="Y22" s="1564" t="s">
        <v>28</v>
      </c>
      <c r="Z22" s="1564"/>
      <c r="AA22" s="1564"/>
      <c r="AB22" s="1564" t="s">
        <v>24</v>
      </c>
      <c r="AC22" s="1564" t="s">
        <v>24</v>
      </c>
      <c r="AD22" s="1564" t="s">
        <v>24</v>
      </c>
      <c r="AE22" s="1564" t="s">
        <v>24</v>
      </c>
      <c r="AF22" s="1564" t="s">
        <v>24</v>
      </c>
      <c r="AG22" s="1202"/>
      <c r="AH22" s="116"/>
      <c r="AI22" s="116"/>
      <c r="AJ22" s="123"/>
      <c r="AK22" s="123" t="s">
        <v>0</v>
      </c>
      <c r="AL22" s="123"/>
      <c r="AM22" s="215"/>
      <c r="AN22" s="215"/>
    </row>
    <row r="23" spans="1:40" ht="18" customHeight="1" x14ac:dyDescent="0.2">
      <c r="A23" s="1745" t="s">
        <v>60</v>
      </c>
      <c r="B23" s="1746"/>
      <c r="C23" s="1746"/>
      <c r="D23" s="1746"/>
      <c r="E23" s="1746"/>
      <c r="F23" s="1746"/>
      <c r="G23" s="1746"/>
      <c r="H23" s="1746"/>
      <c r="I23" s="1746"/>
      <c r="J23" s="1746"/>
      <c r="K23" s="1746"/>
      <c r="L23" s="1746"/>
      <c r="M23" s="1746"/>
      <c r="N23" s="1746"/>
      <c r="O23" s="1746"/>
      <c r="P23" s="1746"/>
      <c r="Q23" s="1746"/>
      <c r="R23" s="1746"/>
      <c r="S23" s="1746"/>
      <c r="T23" s="1746"/>
      <c r="U23" s="1746"/>
      <c r="V23" s="1746"/>
      <c r="W23" s="1746"/>
      <c r="X23" s="1746"/>
      <c r="Y23" s="1746"/>
      <c r="Z23" s="1746"/>
      <c r="AA23" s="1746"/>
      <c r="AB23" s="1746"/>
      <c r="AC23" s="1746"/>
      <c r="AD23" s="1746"/>
      <c r="AE23" s="1746"/>
      <c r="AF23" s="1746"/>
      <c r="AG23" s="1746"/>
      <c r="AJ23" s="123"/>
      <c r="AK23" s="123"/>
      <c r="AL23" s="123"/>
      <c r="AM23" s="215"/>
      <c r="AN23" s="215"/>
    </row>
    <row r="24" spans="1:40" ht="18" customHeight="1" x14ac:dyDescent="0.2">
      <c r="A24" s="626">
        <v>8500</v>
      </c>
      <c r="B24" s="1747" t="s">
        <v>61</v>
      </c>
      <c r="C24" s="1748" t="s">
        <v>46</v>
      </c>
      <c r="D24" s="1736" t="s">
        <v>46</v>
      </c>
      <c r="E24" s="1736"/>
      <c r="F24" s="1736"/>
      <c r="G24" s="1749" t="s">
        <v>46</v>
      </c>
      <c r="H24" s="1749" t="s">
        <v>46</v>
      </c>
      <c r="I24" s="1750" t="s">
        <v>46</v>
      </c>
      <c r="J24" s="1748" t="s">
        <v>46</v>
      </c>
      <c r="K24" s="1736" t="s">
        <v>46</v>
      </c>
      <c r="L24" s="1751" t="s">
        <v>53</v>
      </c>
      <c r="M24" s="1736"/>
      <c r="N24" s="1752" t="s">
        <v>46</v>
      </c>
      <c r="O24" s="1749" t="s">
        <v>46</v>
      </c>
      <c r="P24" s="1753" t="s">
        <v>46</v>
      </c>
      <c r="Q24" s="1754" t="s">
        <v>46</v>
      </c>
      <c r="R24" s="1736" t="s">
        <v>46</v>
      </c>
      <c r="S24" s="1736"/>
      <c r="T24" s="1736"/>
      <c r="U24" s="1749" t="s">
        <v>46</v>
      </c>
      <c r="V24" s="1749" t="s">
        <v>46</v>
      </c>
      <c r="W24" s="1736" t="s">
        <v>46</v>
      </c>
      <c r="X24" s="1748" t="s">
        <v>46</v>
      </c>
      <c r="Y24" s="1736" t="s">
        <v>46</v>
      </c>
      <c r="Z24" s="1736"/>
      <c r="AA24" s="1736"/>
      <c r="AB24" s="1755" t="s">
        <v>46</v>
      </c>
      <c r="AC24" s="1755" t="s">
        <v>46</v>
      </c>
      <c r="AD24" s="1756" t="s">
        <v>46</v>
      </c>
      <c r="AE24" s="1757" t="s">
        <v>46</v>
      </c>
      <c r="AF24" s="1756" t="s">
        <v>46</v>
      </c>
      <c r="AG24" s="1758"/>
      <c r="AJ24" s="1151" t="s">
        <v>41</v>
      </c>
      <c r="AK24" s="1151" t="s">
        <v>62</v>
      </c>
      <c r="AL24" s="1151" t="s">
        <v>63</v>
      </c>
      <c r="AM24" s="1151" t="s">
        <v>64</v>
      </c>
      <c r="AN24" s="1151" t="s">
        <v>65</v>
      </c>
    </row>
    <row r="25" spans="1:40" ht="18" customHeight="1" x14ac:dyDescent="0.2">
      <c r="A25" s="626">
        <v>8500</v>
      </c>
      <c r="B25" s="1178" t="s">
        <v>67</v>
      </c>
      <c r="C25" s="1180" t="s">
        <v>49</v>
      </c>
      <c r="D25" s="1180" t="s">
        <v>49</v>
      </c>
      <c r="E25" s="1180"/>
      <c r="F25" s="1182"/>
      <c r="G25" s="1180" t="s">
        <v>50</v>
      </c>
      <c r="H25" s="1180">
        <v>5</v>
      </c>
      <c r="I25" s="1180">
        <v>5</v>
      </c>
      <c r="J25" s="1180">
        <v>5</v>
      </c>
      <c r="K25" s="1180">
        <v>5</v>
      </c>
      <c r="L25" s="1180" t="s">
        <v>68</v>
      </c>
      <c r="M25" s="1179" t="s">
        <v>68</v>
      </c>
      <c r="N25" s="1223" t="s">
        <v>49</v>
      </c>
      <c r="O25" s="1174" t="s">
        <v>49</v>
      </c>
      <c r="P25" s="1180" t="s">
        <v>49</v>
      </c>
      <c r="Q25" s="1180" t="s">
        <v>49</v>
      </c>
      <c r="R25" s="1180" t="s">
        <v>49</v>
      </c>
      <c r="S25" s="1180"/>
      <c r="T25" s="1182"/>
      <c r="U25" s="1174" t="s">
        <v>50</v>
      </c>
      <c r="V25" s="1179" t="s">
        <v>68</v>
      </c>
      <c r="W25" s="1179" t="s">
        <v>50</v>
      </c>
      <c r="X25" s="1179" t="s">
        <v>50</v>
      </c>
      <c r="Y25" s="1174" t="s">
        <v>50</v>
      </c>
      <c r="Z25" s="1223" t="s">
        <v>107</v>
      </c>
      <c r="AA25" s="1262" t="s">
        <v>107</v>
      </c>
      <c r="AB25" s="1262">
        <v>7</v>
      </c>
      <c r="AC25" s="1262" t="s">
        <v>419</v>
      </c>
      <c r="AD25" s="1134" t="s">
        <v>51</v>
      </c>
      <c r="AE25" s="1134" t="s">
        <v>51</v>
      </c>
      <c r="AF25" s="1134" t="s">
        <v>50</v>
      </c>
      <c r="AG25" s="1177"/>
      <c r="AH25" s="123"/>
      <c r="AJ25" s="1568">
        <v>148.15</v>
      </c>
      <c r="AK25" s="1568">
        <v>10.25</v>
      </c>
      <c r="AL25" s="1568">
        <f>IF(AJ25="","",SUM(AJ25:AK25))</f>
        <v>158.4</v>
      </c>
      <c r="AM25" s="1569">
        <f>IF(AJ25="","",AL25-_xlfn.SINGLE(NormTid))</f>
        <v>-1.9300000000000068</v>
      </c>
      <c r="AN25" s="1569">
        <f>IF(AM25="","",AM25+'Juli 2024'!AN25)</f>
        <v>-3.2400000000000446</v>
      </c>
    </row>
    <row r="26" spans="1:40" ht="18" customHeight="1" x14ac:dyDescent="0.2">
      <c r="A26" s="1213"/>
      <c r="B26" s="1134" t="s">
        <v>75</v>
      </c>
      <c r="C26" s="1214" t="s">
        <v>414</v>
      </c>
      <c r="D26" s="1214" t="s">
        <v>414</v>
      </c>
      <c r="E26" s="1214"/>
      <c r="F26" s="1185"/>
      <c r="G26" s="1186" t="s">
        <v>46</v>
      </c>
      <c r="H26" s="1186" t="s">
        <v>46</v>
      </c>
      <c r="I26" s="1186" t="s">
        <v>46</v>
      </c>
      <c r="J26" s="1186" t="s">
        <v>46</v>
      </c>
      <c r="K26" s="1186" t="s">
        <v>46</v>
      </c>
      <c r="L26" s="1186"/>
      <c r="M26" s="1186"/>
      <c r="N26" s="1186" t="s">
        <v>46</v>
      </c>
      <c r="O26" s="1186" t="s">
        <v>46</v>
      </c>
      <c r="P26" s="1186" t="s">
        <v>46</v>
      </c>
      <c r="Q26" s="1186" t="s">
        <v>46</v>
      </c>
      <c r="R26" s="1186" t="s">
        <v>46</v>
      </c>
      <c r="S26" s="1186"/>
      <c r="T26" s="1186"/>
      <c r="U26" s="1186" t="s">
        <v>46</v>
      </c>
      <c r="V26" s="1186" t="s">
        <v>46</v>
      </c>
      <c r="W26" s="1186" t="s">
        <v>46</v>
      </c>
      <c r="X26" s="1186" t="s">
        <v>46</v>
      </c>
      <c r="Y26" s="1186" t="s">
        <v>46</v>
      </c>
      <c r="Z26" s="1185"/>
      <c r="AA26" s="1185"/>
      <c r="AB26" s="1185" t="s">
        <v>414</v>
      </c>
      <c r="AC26" s="1185" t="s">
        <v>414</v>
      </c>
      <c r="AD26" s="1185" t="s">
        <v>414</v>
      </c>
      <c r="AE26" s="1185" t="s">
        <v>414</v>
      </c>
      <c r="AF26" s="1185" t="s">
        <v>414</v>
      </c>
      <c r="AG26" s="1216"/>
      <c r="AH26" s="123"/>
    </row>
    <row r="27" spans="1:40" ht="18" customHeight="1" thickBot="1" x14ac:dyDescent="0.25">
      <c r="A27" s="646"/>
      <c r="B27" s="1217" t="s">
        <v>78</v>
      </c>
      <c r="C27" s="1576" t="s">
        <v>46</v>
      </c>
      <c r="D27" s="1577" t="s">
        <v>46</v>
      </c>
      <c r="E27" s="1219"/>
      <c r="F27" s="1219"/>
      <c r="G27" s="1220" t="s">
        <v>46</v>
      </c>
      <c r="H27" s="1220" t="s">
        <v>46</v>
      </c>
      <c r="I27" s="1219" t="s">
        <v>46</v>
      </c>
      <c r="J27" s="1218" t="s">
        <v>46</v>
      </c>
      <c r="K27" s="1219" t="s">
        <v>46</v>
      </c>
      <c r="L27" s="1219"/>
      <c r="M27" s="1219"/>
      <c r="N27" s="1221" t="s">
        <v>46</v>
      </c>
      <c r="O27" s="1220" t="s">
        <v>46</v>
      </c>
      <c r="P27" s="1759" t="s">
        <v>46</v>
      </c>
      <c r="Q27" s="1760" t="s">
        <v>46</v>
      </c>
      <c r="R27" s="1759" t="s">
        <v>46</v>
      </c>
      <c r="S27" s="1219"/>
      <c r="T27" s="1219"/>
      <c r="U27" s="1220" t="s">
        <v>46</v>
      </c>
      <c r="V27" s="1220" t="s">
        <v>46</v>
      </c>
      <c r="W27" s="1219" t="s">
        <v>46</v>
      </c>
      <c r="X27" s="1218" t="s">
        <v>46</v>
      </c>
      <c r="Y27" s="1219" t="s">
        <v>46</v>
      </c>
      <c r="Z27" s="1219"/>
      <c r="AA27" s="1219"/>
      <c r="AB27" s="1220" t="s">
        <v>152</v>
      </c>
      <c r="AC27" s="1220" t="s">
        <v>46</v>
      </c>
      <c r="AD27" s="1219" t="s">
        <v>46</v>
      </c>
      <c r="AE27" s="1218" t="s">
        <v>69</v>
      </c>
      <c r="AF27" s="1219" t="s">
        <v>46</v>
      </c>
      <c r="AG27" s="1222"/>
      <c r="AH27" s="123"/>
    </row>
    <row r="28" spans="1:40" ht="18" customHeight="1" x14ac:dyDescent="0.2">
      <c r="A28" s="245"/>
      <c r="B28" s="246"/>
      <c r="C28" s="284" t="s">
        <v>0</v>
      </c>
      <c r="D28" s="285"/>
      <c r="E28" s="285" t="s">
        <v>0</v>
      </c>
      <c r="F28" s="285" t="s">
        <v>0</v>
      </c>
      <c r="G28" s="257">
        <v>5</v>
      </c>
      <c r="H28" s="257"/>
      <c r="I28" s="1761" t="s">
        <v>0</v>
      </c>
      <c r="J28" s="257"/>
      <c r="K28" s="257" t="s">
        <v>0</v>
      </c>
      <c r="L28" s="257"/>
      <c r="M28" s="257"/>
      <c r="N28" s="257"/>
      <c r="O28" s="257"/>
      <c r="P28" s="257"/>
      <c r="Q28" s="1507" t="s">
        <v>0</v>
      </c>
      <c r="R28" s="297" t="s">
        <v>0</v>
      </c>
      <c r="S28" s="297" t="s">
        <v>0</v>
      </c>
      <c r="T28" s="297" t="s">
        <v>0</v>
      </c>
      <c r="U28" s="257">
        <v>89</v>
      </c>
      <c r="V28" s="257"/>
      <c r="W28" s="285"/>
      <c r="X28" s="284"/>
      <c r="Y28" s="285"/>
      <c r="Z28" s="285" t="s">
        <v>0</v>
      </c>
      <c r="AA28" s="285" t="s">
        <v>0</v>
      </c>
      <c r="AB28" s="257"/>
      <c r="AC28" s="257"/>
      <c r="AD28" s="285"/>
      <c r="AE28" s="284"/>
      <c r="AF28" s="285"/>
      <c r="AG28" s="257"/>
      <c r="AH28" s="123"/>
    </row>
    <row r="29" spans="1:40" ht="18" customHeight="1" x14ac:dyDescent="0.2">
      <c r="A29" s="249"/>
      <c r="B29" s="256"/>
      <c r="C29" s="298"/>
      <c r="D29" s="299" t="s">
        <v>0</v>
      </c>
      <c r="E29" s="299" t="s">
        <v>0</v>
      </c>
      <c r="F29" s="299" t="s">
        <v>0</v>
      </c>
      <c r="G29" s="123"/>
      <c r="H29" s="123"/>
      <c r="I29" s="299"/>
      <c r="J29" s="298"/>
      <c r="K29" s="123" t="s">
        <v>0</v>
      </c>
      <c r="L29" s="123" t="s">
        <v>0</v>
      </c>
      <c r="M29" s="300" t="s">
        <v>0</v>
      </c>
      <c r="N29" s="123">
        <v>23</v>
      </c>
      <c r="O29" s="123">
        <v>23</v>
      </c>
      <c r="P29" s="123">
        <v>23</v>
      </c>
      <c r="Q29" s="123">
        <v>23</v>
      </c>
      <c r="R29" s="299">
        <v>23</v>
      </c>
      <c r="S29" s="299" t="s">
        <v>0</v>
      </c>
      <c r="T29" s="299" t="s">
        <v>0</v>
      </c>
      <c r="U29" s="301" t="s">
        <v>0</v>
      </c>
      <c r="V29" s="301" t="s">
        <v>0</v>
      </c>
      <c r="W29" s="301" t="s">
        <v>0</v>
      </c>
      <c r="X29" s="301" t="s">
        <v>0</v>
      </c>
      <c r="Y29" s="301" t="s">
        <v>0</v>
      </c>
      <c r="Z29" s="300" t="s">
        <v>0</v>
      </c>
      <c r="AA29" s="300" t="s">
        <v>0</v>
      </c>
      <c r="AB29" s="134" t="s">
        <v>0</v>
      </c>
      <c r="AC29" s="134" t="s">
        <v>0</v>
      </c>
      <c r="AD29" s="123" t="s">
        <v>0</v>
      </c>
      <c r="AE29" s="123">
        <v>89</v>
      </c>
      <c r="AF29" s="123"/>
      <c r="AG29" s="123"/>
      <c r="AH29" s="283"/>
    </row>
    <row r="30" spans="1:40" ht="18" customHeight="1" x14ac:dyDescent="0.2">
      <c r="A30" s="249"/>
      <c r="B30" s="256"/>
      <c r="C30" s="298"/>
      <c r="D30" s="298"/>
      <c r="E30" s="299"/>
      <c r="F30" s="299" t="s">
        <v>0</v>
      </c>
      <c r="G30" s="123"/>
      <c r="H30" s="123"/>
      <c r="I30" s="299"/>
      <c r="J30" s="298"/>
      <c r="K30" s="299" t="s">
        <v>0</v>
      </c>
      <c r="L30" s="123" t="s">
        <v>0</v>
      </c>
      <c r="M30" s="123" t="s">
        <v>0</v>
      </c>
      <c r="N30" s="123"/>
      <c r="O30" s="123"/>
      <c r="P30" s="299"/>
      <c r="Q30" s="298"/>
      <c r="R30" s="299" t="s">
        <v>0</v>
      </c>
      <c r="S30" s="299" t="s">
        <v>0</v>
      </c>
      <c r="T30" s="299" t="s">
        <v>0</v>
      </c>
      <c r="U30" s="123" t="s">
        <v>0</v>
      </c>
      <c r="V30" s="123" t="s">
        <v>0</v>
      </c>
      <c r="W30" s="299" t="s">
        <v>0</v>
      </c>
      <c r="X30" s="298"/>
      <c r="Y30" s="299"/>
      <c r="Z30" s="134" t="s">
        <v>0</v>
      </c>
      <c r="AA30" s="134" t="s">
        <v>0</v>
      </c>
      <c r="AB30" s="134" t="s">
        <v>0</v>
      </c>
      <c r="AC30" s="302" t="s">
        <v>0</v>
      </c>
      <c r="AD30" s="302" t="s">
        <v>0</v>
      </c>
      <c r="AE30" s="134" t="s">
        <v>0</v>
      </c>
      <c r="AF30" s="134" t="s">
        <v>0</v>
      </c>
      <c r="AG30" s="123"/>
      <c r="AH30" s="123"/>
    </row>
    <row r="31" spans="1:40" ht="18" customHeight="1" x14ac:dyDescent="0.2">
      <c r="A31" s="249"/>
      <c r="B31" s="256"/>
      <c r="C31" s="298"/>
      <c r="D31" s="299">
        <v>79</v>
      </c>
      <c r="E31" s="299"/>
      <c r="F31" s="299"/>
      <c r="G31" s="300"/>
      <c r="H31" s="300"/>
      <c r="I31" s="300"/>
      <c r="J31" s="300"/>
      <c r="K31" s="300"/>
      <c r="L31" s="123"/>
      <c r="M31" s="123"/>
      <c r="N31" s="123"/>
      <c r="O31" s="123" t="s">
        <v>0</v>
      </c>
      <c r="P31" s="299" t="s">
        <v>0</v>
      </c>
      <c r="Q31" s="298" t="s">
        <v>0</v>
      </c>
      <c r="R31" s="299" t="s">
        <v>0</v>
      </c>
      <c r="S31" s="299" t="s">
        <v>0</v>
      </c>
      <c r="T31" s="299" t="s">
        <v>0</v>
      </c>
      <c r="U31" s="123"/>
      <c r="V31" s="123"/>
      <c r="W31" s="299"/>
      <c r="X31" s="298"/>
      <c r="Y31" s="123" t="s">
        <v>0</v>
      </c>
      <c r="Z31" s="123" t="s">
        <v>0</v>
      </c>
      <c r="AA31" s="123" t="s">
        <v>0</v>
      </c>
      <c r="AB31" s="123"/>
      <c r="AC31" s="123"/>
      <c r="AD31" s="299"/>
      <c r="AE31" s="298"/>
      <c r="AF31" s="299"/>
      <c r="AG31" s="123"/>
      <c r="AH31" s="123"/>
    </row>
    <row r="32" spans="1:40" ht="18" customHeight="1" x14ac:dyDescent="0.2">
      <c r="A32" s="249"/>
      <c r="B32" s="256"/>
      <c r="C32" s="298"/>
      <c r="D32" s="299"/>
      <c r="E32" s="299"/>
      <c r="F32" s="299"/>
      <c r="G32" s="123"/>
      <c r="H32" s="123"/>
      <c r="I32" s="299"/>
      <c r="J32" s="298"/>
      <c r="K32" s="299"/>
      <c r="L32" s="123"/>
      <c r="M32" s="123"/>
      <c r="N32" s="134" t="s">
        <v>0</v>
      </c>
      <c r="O32" s="302" t="s">
        <v>0</v>
      </c>
      <c r="P32" s="134" t="s">
        <v>0</v>
      </c>
      <c r="Q32" s="302"/>
      <c r="R32" s="302"/>
      <c r="S32" s="123" t="s">
        <v>0</v>
      </c>
      <c r="T32" s="301" t="s">
        <v>0</v>
      </c>
      <c r="U32" s="123"/>
      <c r="V32" s="123"/>
      <c r="W32" s="299"/>
      <c r="X32" s="298"/>
      <c r="Y32" s="299"/>
      <c r="Z32" s="299"/>
      <c r="AA32" s="299"/>
      <c r="AB32" s="123"/>
      <c r="AC32" s="123"/>
      <c r="AD32" s="299"/>
      <c r="AE32" s="298"/>
      <c r="AF32" s="299"/>
      <c r="AG32" s="123"/>
      <c r="AH32" s="123"/>
    </row>
    <row r="33" spans="1:38" ht="18" customHeight="1" x14ac:dyDescent="0.2">
      <c r="A33" s="249"/>
      <c r="B33" s="256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</row>
    <row r="34" spans="1:38" ht="18" customHeight="1" x14ac:dyDescent="0.2">
      <c r="A34" s="249"/>
      <c r="B34" s="250"/>
      <c r="C34" s="246"/>
      <c r="D34" s="246"/>
      <c r="E34" s="246"/>
      <c r="F34" s="246"/>
      <c r="G34" s="246"/>
      <c r="H34" s="246"/>
      <c r="I34" s="246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</row>
    <row r="35" spans="1:38" ht="18" customHeight="1" x14ac:dyDescent="0.2">
      <c r="A35" s="103" t="s">
        <v>82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83</v>
      </c>
      <c r="R35" s="48" t="s">
        <v>0</v>
      </c>
      <c r="S35" s="48" t="s">
        <v>84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K35" s="1"/>
    </row>
    <row r="36" spans="1:38" ht="26.25" customHeight="1" x14ac:dyDescent="0.2">
      <c r="A36" s="1762" t="s">
        <v>85</v>
      </c>
      <c r="B36" s="1762" t="s">
        <v>85</v>
      </c>
      <c r="C36" s="1763"/>
      <c r="D36" s="1764" t="s">
        <v>86</v>
      </c>
      <c r="E36" s="1765"/>
      <c r="F36" s="1765"/>
      <c r="G36" s="1765"/>
      <c r="H36" s="1765"/>
      <c r="I36" s="1765"/>
      <c r="J36" s="1765"/>
      <c r="K36" s="1765"/>
      <c r="L36" s="1765"/>
      <c r="M36" s="1766" t="s">
        <v>87</v>
      </c>
      <c r="N36" s="1765"/>
      <c r="O36" s="1765"/>
      <c r="P36" s="1765"/>
      <c r="Q36" s="1765"/>
      <c r="R36" s="1765"/>
      <c r="S36" s="1767"/>
      <c r="T36" s="4976" t="s">
        <v>425</v>
      </c>
      <c r="U36" s="4977"/>
      <c r="V36" s="4977"/>
      <c r="W36" s="4977"/>
      <c r="X36" s="4977"/>
      <c r="Y36" s="4977"/>
      <c r="Z36" s="4978"/>
      <c r="AA36" s="1768" t="s">
        <v>89</v>
      </c>
      <c r="AB36" s="1769"/>
      <c r="AC36" s="1769"/>
      <c r="AD36" s="1769"/>
      <c r="AE36" s="1769"/>
      <c r="AF36" s="1769"/>
      <c r="AG36" s="1770"/>
      <c r="AK36" s="1"/>
    </row>
    <row r="37" spans="1:38" ht="18" customHeight="1" x14ac:dyDescent="0.2">
      <c r="A37" s="1233" t="s">
        <v>90</v>
      </c>
      <c r="B37" s="1233" t="s">
        <v>90</v>
      </c>
      <c r="C37" s="1234"/>
      <c r="D37" s="1235" t="s">
        <v>91</v>
      </c>
      <c r="E37" s="1236"/>
      <c r="F37" s="1121"/>
      <c r="G37" s="1121"/>
      <c r="H37" s="1121"/>
      <c r="I37" s="1121"/>
      <c r="J37" s="1121"/>
      <c r="K37" s="1121"/>
      <c r="L37" s="1237"/>
      <c r="M37" s="1238" t="s">
        <v>92</v>
      </c>
      <c r="N37" s="1234"/>
      <c r="O37" s="1239"/>
      <c r="P37" s="1234"/>
      <c r="Q37" s="1234"/>
      <c r="R37" s="1234"/>
      <c r="S37" s="1240"/>
      <c r="T37" s="1235" t="s">
        <v>93</v>
      </c>
      <c r="U37" s="1121"/>
      <c r="V37" s="1236"/>
      <c r="W37" s="1121"/>
      <c r="X37" s="1121"/>
      <c r="Y37" s="1121"/>
      <c r="Z37" s="1237"/>
      <c r="AA37" s="104" t="s">
        <v>94</v>
      </c>
      <c r="AD37" s="60"/>
      <c r="AG37" s="63"/>
      <c r="AK37" s="1"/>
    </row>
    <row r="38" spans="1:38" ht="18" customHeight="1" x14ac:dyDescent="0.2">
      <c r="A38" s="1241" t="s">
        <v>95</v>
      </c>
      <c r="B38" s="1241" t="s">
        <v>95</v>
      </c>
      <c r="C38" s="1121"/>
      <c r="D38" s="1242"/>
      <c r="E38" s="1121"/>
      <c r="F38" s="1121"/>
      <c r="G38" s="1237"/>
      <c r="H38" s="1243" t="s">
        <v>96</v>
      </c>
      <c r="I38" s="1121"/>
      <c r="J38" s="1121"/>
      <c r="K38" s="1121"/>
      <c r="L38" s="1121"/>
      <c r="M38" s="1244"/>
      <c r="N38" s="1121"/>
      <c r="O38" s="1121"/>
      <c r="P38" s="1121"/>
      <c r="Q38" s="1121"/>
      <c r="R38" s="1121"/>
      <c r="S38" s="1121"/>
      <c r="T38" s="1242"/>
      <c r="U38" s="103" t="s">
        <v>97</v>
      </c>
      <c r="AA38" s="1239"/>
      <c r="AB38" s="1234"/>
      <c r="AC38" s="1234"/>
      <c r="AD38" s="1234"/>
      <c r="AE38" s="1234"/>
      <c r="AF38" s="1234"/>
      <c r="AG38" s="1245"/>
      <c r="AK38" s="42"/>
    </row>
    <row r="39" spans="1:38" ht="18" customHeight="1" x14ac:dyDescent="0.2">
      <c r="A39" s="1246" t="s">
        <v>98</v>
      </c>
      <c r="B39" s="1246" t="s">
        <v>98</v>
      </c>
      <c r="C39" s="1247"/>
      <c r="D39" s="1248"/>
      <c r="E39" s="1247"/>
      <c r="F39" s="1247"/>
      <c r="G39" s="1249"/>
      <c r="H39" s="1250" t="s">
        <v>99</v>
      </c>
      <c r="I39" s="1249"/>
      <c r="J39" s="1247"/>
      <c r="K39" s="1247"/>
      <c r="L39" s="1247"/>
      <c r="M39" s="1251"/>
      <c r="N39" s="1247"/>
      <c r="O39" s="1247"/>
      <c r="P39" s="1247"/>
      <c r="Q39" s="1252"/>
      <c r="R39" s="1252"/>
      <c r="S39" s="1252"/>
      <c r="T39" s="1248"/>
      <c r="U39" s="1253" t="s">
        <v>100</v>
      </c>
      <c r="V39" s="1247"/>
      <c r="W39" s="1247"/>
      <c r="X39" s="1247"/>
      <c r="Y39" s="1247"/>
      <c r="Z39" s="1247"/>
      <c r="AA39" s="1247"/>
      <c r="AB39" s="1247"/>
      <c r="AC39" s="1247"/>
      <c r="AD39" s="1247"/>
      <c r="AE39" s="1247"/>
      <c r="AF39" s="1247"/>
      <c r="AG39" s="1254"/>
      <c r="AK39" s="1"/>
    </row>
    <row r="40" spans="1:38" ht="18" customHeight="1" x14ac:dyDescent="0.2">
      <c r="B40" s="64" t="s">
        <v>42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</row>
    <row r="41" spans="1:38" ht="18" customHeight="1" x14ac:dyDescent="0.2">
      <c r="A41" s="1255" t="s">
        <v>43</v>
      </c>
      <c r="B41" s="1256" t="s">
        <v>44</v>
      </c>
      <c r="C41" s="1731">
        <v>1</v>
      </c>
      <c r="D41" s="1731">
        <v>2</v>
      </c>
      <c r="E41" s="1732">
        <v>3</v>
      </c>
      <c r="F41" s="1732">
        <v>4</v>
      </c>
      <c r="G41" s="1731">
        <v>5</v>
      </c>
      <c r="H41" s="1731">
        <v>6</v>
      </c>
      <c r="I41" s="1731">
        <v>7</v>
      </c>
      <c r="J41" s="1731">
        <v>8</v>
      </c>
      <c r="K41" s="1731">
        <v>9</v>
      </c>
      <c r="L41" s="1732">
        <v>10</v>
      </c>
      <c r="M41" s="1732">
        <v>11</v>
      </c>
      <c r="N41" s="1731">
        <v>12</v>
      </c>
      <c r="O41" s="1731">
        <v>13</v>
      </c>
      <c r="P41" s="1731">
        <v>14</v>
      </c>
      <c r="Q41" s="1731">
        <v>15</v>
      </c>
      <c r="R41" s="1731">
        <v>16</v>
      </c>
      <c r="S41" s="1732">
        <v>17</v>
      </c>
      <c r="T41" s="1732">
        <v>18</v>
      </c>
      <c r="U41" s="1731">
        <v>19</v>
      </c>
      <c r="V41" s="1731">
        <v>20</v>
      </c>
      <c r="W41" s="1731">
        <v>21</v>
      </c>
      <c r="X41" s="1731">
        <v>22</v>
      </c>
      <c r="Y41" s="1731">
        <v>23</v>
      </c>
      <c r="Z41" s="1732">
        <v>24</v>
      </c>
      <c r="AA41" s="1732">
        <v>25</v>
      </c>
      <c r="AB41" s="1731">
        <v>26</v>
      </c>
      <c r="AC41" s="1731">
        <v>27</v>
      </c>
      <c r="AD41" s="1731">
        <v>28</v>
      </c>
      <c r="AE41" s="1731">
        <v>29</v>
      </c>
      <c r="AF41" s="1731">
        <v>30</v>
      </c>
      <c r="AG41" s="1732">
        <v>31</v>
      </c>
      <c r="AH41" s="110"/>
      <c r="AI41" s="111"/>
      <c r="AL41" t="s">
        <v>0</v>
      </c>
    </row>
    <row r="42" spans="1:38" ht="18" customHeight="1" thickBot="1" x14ac:dyDescent="0.25">
      <c r="A42" s="1771">
        <v>1</v>
      </c>
      <c r="B42" s="1747"/>
      <c r="C42" s="1752">
        <v>8</v>
      </c>
      <c r="D42" s="1749">
        <v>8</v>
      </c>
      <c r="E42" s="1752"/>
      <c r="F42" s="1752"/>
      <c r="G42" s="1752" t="s">
        <v>50</v>
      </c>
      <c r="H42" s="1752" t="s">
        <v>50</v>
      </c>
      <c r="I42" s="1752" t="s">
        <v>50</v>
      </c>
      <c r="J42" s="1749" t="s">
        <v>50</v>
      </c>
      <c r="K42" s="1752" t="s">
        <v>50</v>
      </c>
      <c r="L42" s="1752"/>
      <c r="M42" s="1752"/>
      <c r="N42" s="1752">
        <v>1</v>
      </c>
      <c r="O42" s="1749">
        <v>1</v>
      </c>
      <c r="P42" s="1752">
        <v>1</v>
      </c>
      <c r="Q42" s="1750">
        <v>1</v>
      </c>
      <c r="R42" s="1749">
        <v>1</v>
      </c>
      <c r="S42" s="1752"/>
      <c r="T42" s="1752"/>
      <c r="U42" s="1752">
        <v>9</v>
      </c>
      <c r="V42" s="1752">
        <v>9</v>
      </c>
      <c r="W42" s="1752">
        <v>9</v>
      </c>
      <c r="X42" s="1750">
        <v>9</v>
      </c>
      <c r="Y42" s="1750">
        <v>9</v>
      </c>
      <c r="Z42" s="1752" t="s">
        <v>70</v>
      </c>
      <c r="AA42" s="1214" t="s">
        <v>70</v>
      </c>
      <c r="AB42" s="1750" t="s">
        <v>50</v>
      </c>
      <c r="AC42" s="1750" t="s">
        <v>50</v>
      </c>
      <c r="AD42" s="1750" t="s">
        <v>50</v>
      </c>
      <c r="AE42" s="1752" t="s">
        <v>50</v>
      </c>
      <c r="AF42" s="1752" t="s">
        <v>50</v>
      </c>
      <c r="AG42" s="1772" t="s">
        <v>103</v>
      </c>
      <c r="AH42" s="115"/>
      <c r="AI42" s="116"/>
    </row>
    <row r="43" spans="1:38" ht="18" customHeight="1" x14ac:dyDescent="0.2">
      <c r="A43" s="1261">
        <v>6</v>
      </c>
      <c r="B43" s="1178" t="s">
        <v>105</v>
      </c>
      <c r="C43" s="1214">
        <v>6</v>
      </c>
      <c r="D43" s="1263">
        <v>6</v>
      </c>
      <c r="E43" s="1214"/>
      <c r="F43" s="1214"/>
      <c r="G43" s="1214" t="s">
        <v>50</v>
      </c>
      <c r="H43" s="1214" t="s">
        <v>50</v>
      </c>
      <c r="I43" s="1214" t="s">
        <v>50</v>
      </c>
      <c r="J43" s="1214" t="s">
        <v>50</v>
      </c>
      <c r="K43" s="1214" t="s">
        <v>50</v>
      </c>
      <c r="L43" s="1214"/>
      <c r="M43" s="1214"/>
      <c r="N43" s="1186">
        <v>5</v>
      </c>
      <c r="O43" s="1186">
        <v>5</v>
      </c>
      <c r="P43" s="1186">
        <v>5</v>
      </c>
      <c r="Q43" s="1186">
        <v>5</v>
      </c>
      <c r="R43" s="1186">
        <v>5</v>
      </c>
      <c r="S43" s="1186"/>
      <c r="T43" s="1186"/>
      <c r="U43" s="1186">
        <v>10</v>
      </c>
      <c r="V43" s="1186">
        <v>10</v>
      </c>
      <c r="W43" s="1186">
        <v>10</v>
      </c>
      <c r="X43" s="1186">
        <v>10</v>
      </c>
      <c r="Y43" s="1186">
        <v>10</v>
      </c>
      <c r="Z43" s="1186" t="s">
        <v>106</v>
      </c>
      <c r="AA43" s="1186" t="s">
        <v>106</v>
      </c>
      <c r="AB43" s="1750" t="s">
        <v>50</v>
      </c>
      <c r="AC43" s="1750" t="s">
        <v>50</v>
      </c>
      <c r="AD43" s="1750" t="s">
        <v>50</v>
      </c>
      <c r="AE43" s="1750" t="s">
        <v>50</v>
      </c>
      <c r="AF43" s="1750" t="s">
        <v>50</v>
      </c>
      <c r="AG43" s="1177" t="s">
        <v>107</v>
      </c>
      <c r="AH43" s="115"/>
      <c r="AI43" s="116"/>
    </row>
    <row r="44" spans="1:38" ht="18" customHeight="1" thickBot="1" x14ac:dyDescent="0.25">
      <c r="A44" s="1264">
        <v>11</v>
      </c>
      <c r="B44" s="1192" t="s">
        <v>108</v>
      </c>
      <c r="C44" s="1221">
        <v>7</v>
      </c>
      <c r="D44" s="1263">
        <v>7</v>
      </c>
      <c r="E44" s="1266"/>
      <c r="F44" s="1221"/>
      <c r="G44" s="1221">
        <v>4</v>
      </c>
      <c r="H44" s="1221">
        <v>4</v>
      </c>
      <c r="I44" s="1221">
        <v>4</v>
      </c>
      <c r="J44" s="1221">
        <v>4</v>
      </c>
      <c r="K44" s="1221">
        <v>4</v>
      </c>
      <c r="L44" s="289" t="s">
        <v>104</v>
      </c>
      <c r="M44" s="289" t="s">
        <v>104</v>
      </c>
      <c r="N44" s="1268">
        <v>3</v>
      </c>
      <c r="O44" s="1275">
        <v>3</v>
      </c>
      <c r="P44" s="1275">
        <v>3</v>
      </c>
      <c r="Q44" s="1268">
        <v>3</v>
      </c>
      <c r="R44" s="1200">
        <v>3</v>
      </c>
      <c r="S44" s="1265" t="s">
        <v>70</v>
      </c>
      <c r="T44" s="1773" t="s">
        <v>70</v>
      </c>
      <c r="U44" s="1774">
        <v>11</v>
      </c>
      <c r="V44" s="1774">
        <v>11</v>
      </c>
      <c r="W44" s="1774">
        <v>11</v>
      </c>
      <c r="X44" s="1774">
        <v>11</v>
      </c>
      <c r="Y44" s="1774">
        <v>11</v>
      </c>
      <c r="Z44" s="1774" t="s">
        <v>109</v>
      </c>
      <c r="AA44" s="1774" t="s">
        <v>109</v>
      </c>
      <c r="AB44" s="1263">
        <v>6</v>
      </c>
      <c r="AC44" s="712" t="s">
        <v>50</v>
      </c>
      <c r="AD44" s="712" t="s">
        <v>50</v>
      </c>
      <c r="AE44" s="712" t="s">
        <v>50</v>
      </c>
      <c r="AF44" s="1263">
        <v>6</v>
      </c>
      <c r="AG44" s="1270" t="s">
        <v>104</v>
      </c>
      <c r="AH44" s="115"/>
      <c r="AI44" s="116"/>
    </row>
    <row r="45" spans="1:38" ht="18" customHeight="1" x14ac:dyDescent="0.2">
      <c r="A45" s="1771">
        <v>2</v>
      </c>
      <c r="B45" s="1747" t="s">
        <v>111</v>
      </c>
      <c r="C45" s="1775" t="s">
        <v>50</v>
      </c>
      <c r="D45" s="1775" t="s">
        <v>50</v>
      </c>
      <c r="E45" s="1775"/>
      <c r="F45" s="1775"/>
      <c r="G45" s="1775">
        <v>1</v>
      </c>
      <c r="H45" s="1775">
        <v>1</v>
      </c>
      <c r="I45" s="1775">
        <v>1</v>
      </c>
      <c r="J45" s="1775">
        <v>1</v>
      </c>
      <c r="K45" s="1775">
        <v>1</v>
      </c>
      <c r="L45" s="1775"/>
      <c r="M45" s="1775"/>
      <c r="N45" s="1776">
        <v>9</v>
      </c>
      <c r="O45" s="1777">
        <v>9</v>
      </c>
      <c r="P45" s="1776">
        <v>9</v>
      </c>
      <c r="Q45" s="1777">
        <v>9</v>
      </c>
      <c r="R45" s="1777">
        <v>9</v>
      </c>
      <c r="S45" s="1755" t="s">
        <v>70</v>
      </c>
      <c r="T45" s="1778" t="s">
        <v>70</v>
      </c>
      <c r="U45" s="1777" t="s">
        <v>50</v>
      </c>
      <c r="V45" s="1777" t="s">
        <v>50</v>
      </c>
      <c r="W45" s="1777" t="s">
        <v>50</v>
      </c>
      <c r="X45" s="1777" t="s">
        <v>50</v>
      </c>
      <c r="Y45" s="1776" t="s">
        <v>50</v>
      </c>
      <c r="Z45" s="1776" t="s">
        <v>103</v>
      </c>
      <c r="AA45" s="1776" t="s">
        <v>104</v>
      </c>
      <c r="AB45" s="1776">
        <v>6</v>
      </c>
      <c r="AC45" s="1777">
        <v>6</v>
      </c>
      <c r="AD45" s="1777">
        <v>6</v>
      </c>
      <c r="AE45" s="1776">
        <v>6</v>
      </c>
      <c r="AF45" s="1776">
        <v>6</v>
      </c>
      <c r="AG45" s="1779"/>
      <c r="AH45" s="115"/>
      <c r="AI45" s="116"/>
    </row>
    <row r="46" spans="1:38" ht="18" customHeight="1" x14ac:dyDescent="0.2">
      <c r="A46" s="1261">
        <v>7</v>
      </c>
      <c r="B46" s="1178" t="s">
        <v>114</v>
      </c>
      <c r="C46" s="1272" t="s">
        <v>50</v>
      </c>
      <c r="D46" s="1179" t="s">
        <v>50</v>
      </c>
      <c r="E46" s="1318" t="s">
        <v>53</v>
      </c>
      <c r="F46" s="1318" t="s">
        <v>53</v>
      </c>
      <c r="G46" s="1223" t="s">
        <v>49</v>
      </c>
      <c r="H46" s="1223" t="s">
        <v>49</v>
      </c>
      <c r="I46" s="1223" t="s">
        <v>49</v>
      </c>
      <c r="J46" s="1223" t="s">
        <v>49</v>
      </c>
      <c r="K46" s="1223" t="s">
        <v>49</v>
      </c>
      <c r="L46" s="1185"/>
      <c r="M46" s="1185"/>
      <c r="N46" s="1337">
        <v>10</v>
      </c>
      <c r="O46" s="1272">
        <v>10</v>
      </c>
      <c r="P46" s="1272">
        <v>10</v>
      </c>
      <c r="Q46" s="1272">
        <v>10</v>
      </c>
      <c r="R46" s="1272">
        <v>10</v>
      </c>
      <c r="S46" s="1185" t="s">
        <v>106</v>
      </c>
      <c r="T46" s="1185" t="s">
        <v>106</v>
      </c>
      <c r="U46" s="1272" t="s">
        <v>50</v>
      </c>
      <c r="V46" s="1272" t="s">
        <v>50</v>
      </c>
      <c r="W46" s="1273" t="s">
        <v>50</v>
      </c>
      <c r="X46" s="1223" t="s">
        <v>50</v>
      </c>
      <c r="Y46" s="1223" t="s">
        <v>50</v>
      </c>
      <c r="Z46" s="1223" t="s">
        <v>53</v>
      </c>
      <c r="AA46" s="1223" t="s">
        <v>53</v>
      </c>
      <c r="AB46" s="1223" t="s">
        <v>49</v>
      </c>
      <c r="AC46" s="1223" t="s">
        <v>49</v>
      </c>
      <c r="AD46" s="1223" t="s">
        <v>49</v>
      </c>
      <c r="AE46" s="1223" t="s">
        <v>49</v>
      </c>
      <c r="AF46" s="1223" t="s">
        <v>49</v>
      </c>
      <c r="AG46" s="1216"/>
      <c r="AH46" s="115"/>
      <c r="AI46" s="116"/>
    </row>
    <row r="47" spans="1:38" ht="18" customHeight="1" x14ac:dyDescent="0.2">
      <c r="A47" s="1264">
        <v>12</v>
      </c>
      <c r="B47" s="1274" t="s">
        <v>115</v>
      </c>
      <c r="C47" s="1268">
        <v>4</v>
      </c>
      <c r="D47" s="1275">
        <v>4</v>
      </c>
      <c r="E47" s="1275" t="s">
        <v>147</v>
      </c>
      <c r="F47" s="1268"/>
      <c r="G47" s="1268">
        <v>3</v>
      </c>
      <c r="H47" s="1268">
        <v>3</v>
      </c>
      <c r="I47" s="1268">
        <v>3</v>
      </c>
      <c r="J47" s="1275">
        <v>3</v>
      </c>
      <c r="K47" s="1780">
        <v>3</v>
      </c>
      <c r="L47" s="1268"/>
      <c r="M47" s="1268"/>
      <c r="N47" s="1268">
        <v>11</v>
      </c>
      <c r="O47" s="1268">
        <v>11</v>
      </c>
      <c r="P47" s="1268">
        <v>11</v>
      </c>
      <c r="Q47" s="1268">
        <v>11</v>
      </c>
      <c r="R47" s="1268">
        <v>11</v>
      </c>
      <c r="S47" s="1268" t="s">
        <v>109</v>
      </c>
      <c r="T47" s="1268" t="s">
        <v>109</v>
      </c>
      <c r="U47" s="1268" t="s">
        <v>50</v>
      </c>
      <c r="V47" s="1268" t="s">
        <v>50</v>
      </c>
      <c r="W47" s="1268" t="s">
        <v>50</v>
      </c>
      <c r="X47" s="1268" t="s">
        <v>50</v>
      </c>
      <c r="Y47" s="1268" t="s">
        <v>50</v>
      </c>
      <c r="Z47" s="1268" t="s">
        <v>104</v>
      </c>
      <c r="AA47" s="1268" t="s">
        <v>104</v>
      </c>
      <c r="AB47" s="1268">
        <v>8</v>
      </c>
      <c r="AC47" s="1268">
        <v>8</v>
      </c>
      <c r="AD47" s="1268">
        <v>8</v>
      </c>
      <c r="AE47" s="1268">
        <v>8</v>
      </c>
      <c r="AF47" s="1268">
        <v>8</v>
      </c>
      <c r="AG47" s="1280"/>
      <c r="AH47" s="115"/>
      <c r="AI47" s="116"/>
    </row>
    <row r="48" spans="1:38" ht="18" customHeight="1" x14ac:dyDescent="0.2">
      <c r="A48" s="1771">
        <v>3</v>
      </c>
      <c r="B48" s="1781" t="s">
        <v>116</v>
      </c>
      <c r="C48" s="711">
        <v>1</v>
      </c>
      <c r="D48" s="1782">
        <v>1</v>
      </c>
      <c r="E48" s="1783" t="s">
        <v>210</v>
      </c>
      <c r="F48" s="712"/>
      <c r="G48" s="712">
        <v>9</v>
      </c>
      <c r="H48" s="712">
        <v>9</v>
      </c>
      <c r="I48" s="712">
        <v>9</v>
      </c>
      <c r="J48" s="597">
        <v>9</v>
      </c>
      <c r="K48" s="597">
        <v>9</v>
      </c>
      <c r="L48" s="597" t="s">
        <v>70</v>
      </c>
      <c r="M48" s="1214" t="s">
        <v>70</v>
      </c>
      <c r="N48" s="713">
        <v>9</v>
      </c>
      <c r="O48" s="713">
        <v>9</v>
      </c>
      <c r="P48" s="713">
        <v>9</v>
      </c>
      <c r="Q48" s="1185" t="s">
        <v>50</v>
      </c>
      <c r="R48" s="712" t="s">
        <v>50</v>
      </c>
      <c r="S48" s="1784" t="s">
        <v>103</v>
      </c>
      <c r="T48" s="1784" t="s">
        <v>104</v>
      </c>
      <c r="U48" s="1783">
        <v>6</v>
      </c>
      <c r="V48" s="780">
        <v>6</v>
      </c>
      <c r="W48" s="1783">
        <v>6</v>
      </c>
      <c r="X48" s="711">
        <v>6</v>
      </c>
      <c r="Y48" s="712">
        <v>6</v>
      </c>
      <c r="Z48" s="712"/>
      <c r="AA48" s="1785"/>
      <c r="AB48" s="712" t="s">
        <v>50</v>
      </c>
      <c r="AC48" s="1175">
        <v>6</v>
      </c>
      <c r="AD48" s="712" t="s">
        <v>50</v>
      </c>
      <c r="AE48" s="712" t="s">
        <v>50</v>
      </c>
      <c r="AF48" s="712" t="s">
        <v>50</v>
      </c>
      <c r="AG48" s="1086"/>
      <c r="AH48" s="115"/>
      <c r="AI48" s="116"/>
    </row>
    <row r="49" spans="1:37" ht="18" customHeight="1" x14ac:dyDescent="0.2">
      <c r="A49" s="1261">
        <v>8</v>
      </c>
      <c r="B49" s="1178" t="s">
        <v>117</v>
      </c>
      <c r="C49" s="1185">
        <v>5</v>
      </c>
      <c r="D49" s="1185">
        <v>5</v>
      </c>
      <c r="E49" s="1185"/>
      <c r="F49" s="1185"/>
      <c r="G49" s="1185">
        <v>10</v>
      </c>
      <c r="H49" s="1185">
        <v>10</v>
      </c>
      <c r="I49" s="1182">
        <v>10</v>
      </c>
      <c r="J49" s="1185">
        <v>10</v>
      </c>
      <c r="K49" s="1185">
        <v>10</v>
      </c>
      <c r="L49" s="1185" t="s">
        <v>106</v>
      </c>
      <c r="M49" s="1185" t="s">
        <v>106</v>
      </c>
      <c r="N49" s="1179" t="s">
        <v>50</v>
      </c>
      <c r="O49" s="1185" t="s">
        <v>50</v>
      </c>
      <c r="P49" s="1185" t="s">
        <v>50</v>
      </c>
      <c r="Q49" s="1185" t="s">
        <v>50</v>
      </c>
      <c r="R49" s="1185" t="s">
        <v>50</v>
      </c>
      <c r="S49" s="1185" t="s">
        <v>107</v>
      </c>
      <c r="T49" s="1185" t="s">
        <v>107</v>
      </c>
      <c r="U49" s="1332">
        <v>7</v>
      </c>
      <c r="V49" s="1223">
        <v>7</v>
      </c>
      <c r="W49" s="1332">
        <v>7</v>
      </c>
      <c r="X49" s="1174">
        <v>7</v>
      </c>
      <c r="Y49" s="1223">
        <v>7</v>
      </c>
      <c r="Z49" s="1223"/>
      <c r="AA49" s="1223"/>
      <c r="AB49" s="1223">
        <v>4</v>
      </c>
      <c r="AC49" s="1223">
        <v>4</v>
      </c>
      <c r="AD49" s="1176">
        <v>4</v>
      </c>
      <c r="AE49" s="1318">
        <v>4</v>
      </c>
      <c r="AF49" s="1272">
        <v>4</v>
      </c>
      <c r="AG49" s="1216"/>
      <c r="AH49" s="115"/>
      <c r="AI49" s="116"/>
    </row>
    <row r="50" spans="1:37" ht="18" customHeight="1" x14ac:dyDescent="0.2">
      <c r="A50" s="1264">
        <v>13</v>
      </c>
      <c r="B50" s="1192" t="s">
        <v>118</v>
      </c>
      <c r="C50" s="1220">
        <v>3</v>
      </c>
      <c r="D50" s="1220">
        <v>3</v>
      </c>
      <c r="E50" s="1221"/>
      <c r="F50" s="1221"/>
      <c r="G50" s="1221">
        <v>11</v>
      </c>
      <c r="H50" s="1221">
        <v>11</v>
      </c>
      <c r="I50" s="1221">
        <v>11</v>
      </c>
      <c r="J50" s="1220">
        <v>11</v>
      </c>
      <c r="K50" s="1221">
        <v>11</v>
      </c>
      <c r="L50" s="1294" t="s">
        <v>109</v>
      </c>
      <c r="M50" s="1221" t="s">
        <v>109</v>
      </c>
      <c r="N50" s="1294" t="s">
        <v>50</v>
      </c>
      <c r="O50" s="1294" t="s">
        <v>50</v>
      </c>
      <c r="P50" s="1294" t="s">
        <v>50</v>
      </c>
      <c r="Q50" s="1265" t="s">
        <v>153</v>
      </c>
      <c r="R50" s="1265" t="s">
        <v>153</v>
      </c>
      <c r="S50" s="1221" t="s">
        <v>104</v>
      </c>
      <c r="T50" s="1221" t="s">
        <v>104</v>
      </c>
      <c r="U50" s="1786">
        <v>8</v>
      </c>
      <c r="V50" s="1786">
        <v>8</v>
      </c>
      <c r="W50" s="1774">
        <v>8</v>
      </c>
      <c r="X50" s="1786">
        <v>8</v>
      </c>
      <c r="Y50" s="1786">
        <v>8</v>
      </c>
      <c r="Z50" s="1221"/>
      <c r="AA50" s="1221"/>
      <c r="AB50" s="1221" t="s">
        <v>50</v>
      </c>
      <c r="AC50" s="1221" t="s">
        <v>50</v>
      </c>
      <c r="AD50" s="1221" t="s">
        <v>50</v>
      </c>
      <c r="AE50" s="1220" t="s">
        <v>50</v>
      </c>
      <c r="AF50" s="1221" t="s">
        <v>50</v>
      </c>
      <c r="AG50" s="1270"/>
      <c r="AH50" s="115"/>
      <c r="AI50" s="116"/>
    </row>
    <row r="51" spans="1:37" ht="18" customHeight="1" x14ac:dyDescent="0.2">
      <c r="A51" s="1771">
        <v>4</v>
      </c>
      <c r="B51" s="1747" t="s">
        <v>119</v>
      </c>
      <c r="C51" s="1752">
        <v>9</v>
      </c>
      <c r="D51" s="1750">
        <v>9</v>
      </c>
      <c r="E51" s="1752" t="s">
        <v>70</v>
      </c>
      <c r="F51" s="1214" t="s">
        <v>70</v>
      </c>
      <c r="G51" s="1749" t="s">
        <v>50</v>
      </c>
      <c r="H51" s="1749" t="s">
        <v>50</v>
      </c>
      <c r="I51" s="1749" t="s">
        <v>50</v>
      </c>
      <c r="J51" s="1749" t="s">
        <v>50</v>
      </c>
      <c r="K51" s="1749" t="s">
        <v>50</v>
      </c>
      <c r="L51" s="1749" t="s">
        <v>103</v>
      </c>
      <c r="M51" s="1749" t="s">
        <v>104</v>
      </c>
      <c r="N51" s="1752">
        <v>6</v>
      </c>
      <c r="O51" s="1750">
        <v>6</v>
      </c>
      <c r="P51" s="1750">
        <v>6</v>
      </c>
      <c r="Q51" s="1750">
        <v>6</v>
      </c>
      <c r="R51" s="1750">
        <v>6</v>
      </c>
      <c r="S51" s="1750"/>
      <c r="T51" s="1752"/>
      <c r="U51" s="1775" t="s">
        <v>50</v>
      </c>
      <c r="V51" s="1775" t="s">
        <v>50</v>
      </c>
      <c r="W51" s="1775" t="s">
        <v>50</v>
      </c>
      <c r="X51" s="1775" t="s">
        <v>50</v>
      </c>
      <c r="Y51" s="1775" t="s">
        <v>50</v>
      </c>
      <c r="Z51" s="1775"/>
      <c r="AA51" s="1186"/>
      <c r="AB51" s="1186">
        <v>5</v>
      </c>
      <c r="AC51" s="1775">
        <v>5</v>
      </c>
      <c r="AD51" s="1775">
        <v>5</v>
      </c>
      <c r="AE51" s="1775">
        <v>5</v>
      </c>
      <c r="AF51" s="1775">
        <v>5</v>
      </c>
      <c r="AG51" s="1787"/>
      <c r="AH51" s="115"/>
      <c r="AI51" s="116"/>
    </row>
    <row r="52" spans="1:37" ht="18" customHeight="1" x14ac:dyDescent="0.2">
      <c r="A52" s="1261">
        <v>9</v>
      </c>
      <c r="B52" s="1178" t="s">
        <v>120</v>
      </c>
      <c r="C52" s="1223">
        <v>10</v>
      </c>
      <c r="D52" s="1223">
        <v>10</v>
      </c>
      <c r="E52" s="1223" t="s">
        <v>106</v>
      </c>
      <c r="F52" s="1223" t="s">
        <v>106</v>
      </c>
      <c r="G52" s="1223" t="s">
        <v>50</v>
      </c>
      <c r="H52" s="1223" t="s">
        <v>50</v>
      </c>
      <c r="I52" s="1223" t="s">
        <v>50</v>
      </c>
      <c r="J52" s="1223" t="s">
        <v>50</v>
      </c>
      <c r="K52" s="1223" t="s">
        <v>50</v>
      </c>
      <c r="L52" s="1223" t="s">
        <v>107</v>
      </c>
      <c r="M52" s="1223" t="s">
        <v>107</v>
      </c>
      <c r="N52" s="1223">
        <v>7</v>
      </c>
      <c r="O52" s="1223">
        <v>7</v>
      </c>
      <c r="P52" s="1223">
        <v>7</v>
      </c>
      <c r="Q52" s="1174">
        <v>7</v>
      </c>
      <c r="R52" s="1223">
        <v>7</v>
      </c>
      <c r="S52" s="1223"/>
      <c r="T52" s="1223"/>
      <c r="U52" s="1223">
        <v>4</v>
      </c>
      <c r="V52" s="1223">
        <v>4</v>
      </c>
      <c r="W52" s="1223">
        <v>4</v>
      </c>
      <c r="X52" s="1176">
        <v>4</v>
      </c>
      <c r="Y52" s="1223">
        <v>4</v>
      </c>
      <c r="Z52" s="1223"/>
      <c r="AA52" s="1223"/>
      <c r="AB52" s="1223">
        <v>3</v>
      </c>
      <c r="AC52" s="1223">
        <v>3</v>
      </c>
      <c r="AD52" s="1223">
        <v>3</v>
      </c>
      <c r="AE52" s="1223">
        <v>3</v>
      </c>
      <c r="AF52" s="1223">
        <v>3</v>
      </c>
      <c r="AG52" s="1216"/>
      <c r="AH52" s="115"/>
      <c r="AI52" s="116"/>
    </row>
    <row r="53" spans="1:37" ht="18" customHeight="1" x14ac:dyDescent="0.2">
      <c r="A53" s="1264">
        <v>14</v>
      </c>
      <c r="B53" s="1192" t="s">
        <v>121</v>
      </c>
      <c r="C53" s="1269">
        <v>11</v>
      </c>
      <c r="D53" s="1269">
        <v>11</v>
      </c>
      <c r="E53" s="1269" t="s">
        <v>109</v>
      </c>
      <c r="F53" s="1269" t="s">
        <v>109</v>
      </c>
      <c r="G53" s="1269" t="s">
        <v>50</v>
      </c>
      <c r="H53" s="1269" t="s">
        <v>50</v>
      </c>
      <c r="I53" s="1269" t="s">
        <v>50</v>
      </c>
      <c r="J53" s="1269" t="s">
        <v>50</v>
      </c>
      <c r="K53" s="1269" t="s">
        <v>50</v>
      </c>
      <c r="L53" s="1269" t="s">
        <v>104</v>
      </c>
      <c r="M53" s="1269" t="s">
        <v>104</v>
      </c>
      <c r="N53" s="1269">
        <v>8</v>
      </c>
      <c r="O53" s="1269">
        <v>8</v>
      </c>
      <c r="P53" s="1269">
        <v>8</v>
      </c>
      <c r="Q53" s="1269">
        <v>8</v>
      </c>
      <c r="R53" s="1269">
        <v>8</v>
      </c>
      <c r="S53" s="1269"/>
      <c r="T53" s="1269"/>
      <c r="U53" s="1221" t="s">
        <v>50</v>
      </c>
      <c r="V53" s="1221" t="s">
        <v>50</v>
      </c>
      <c r="W53" s="1221" t="s">
        <v>50</v>
      </c>
      <c r="X53" s="1220" t="s">
        <v>50</v>
      </c>
      <c r="Y53" s="1221" t="s">
        <v>50</v>
      </c>
      <c r="Z53" s="1221"/>
      <c r="AA53" s="1221"/>
      <c r="AB53" s="1221">
        <v>1</v>
      </c>
      <c r="AC53" s="1220">
        <v>1</v>
      </c>
      <c r="AD53" s="1221">
        <v>1</v>
      </c>
      <c r="AE53" s="1221">
        <v>1</v>
      </c>
      <c r="AF53" s="1220">
        <v>1</v>
      </c>
      <c r="AG53" s="1222"/>
      <c r="AH53" s="115"/>
      <c r="AI53" s="116"/>
      <c r="AK53" t="s">
        <v>0</v>
      </c>
    </row>
    <row r="54" spans="1:37" ht="18" customHeight="1" x14ac:dyDescent="0.2">
      <c r="A54" s="1771">
        <v>5</v>
      </c>
      <c r="B54" s="1178" t="s">
        <v>122</v>
      </c>
      <c r="C54" s="1749" t="s">
        <v>50</v>
      </c>
      <c r="D54" s="1749" t="s">
        <v>50</v>
      </c>
      <c r="E54" s="1749" t="s">
        <v>103</v>
      </c>
      <c r="F54" s="1788" t="s">
        <v>104</v>
      </c>
      <c r="G54" s="1750">
        <v>6</v>
      </c>
      <c r="H54" s="1750">
        <v>6</v>
      </c>
      <c r="I54" s="1750">
        <v>6</v>
      </c>
      <c r="J54" s="1750">
        <v>6</v>
      </c>
      <c r="K54" s="1752">
        <v>6</v>
      </c>
      <c r="L54" s="1752"/>
      <c r="M54" s="1752"/>
      <c r="N54" s="1789" t="s">
        <v>50</v>
      </c>
      <c r="O54" s="1749" t="s">
        <v>50</v>
      </c>
      <c r="P54" s="1752" t="s">
        <v>50</v>
      </c>
      <c r="Q54" s="1790">
        <v>9</v>
      </c>
      <c r="R54" s="1749" t="s">
        <v>50</v>
      </c>
      <c r="S54" s="1752"/>
      <c r="T54" s="1752"/>
      <c r="U54" s="1775">
        <v>5</v>
      </c>
      <c r="V54" s="1775">
        <v>5</v>
      </c>
      <c r="W54" s="1775">
        <v>5</v>
      </c>
      <c r="X54" s="1775">
        <v>5</v>
      </c>
      <c r="Y54" s="1775">
        <v>5</v>
      </c>
      <c r="Z54" s="1775"/>
      <c r="AA54" s="1775"/>
      <c r="AB54" s="1775">
        <v>10</v>
      </c>
      <c r="AC54" s="1775">
        <v>10</v>
      </c>
      <c r="AD54" s="1775">
        <v>10</v>
      </c>
      <c r="AE54" s="1775">
        <v>10</v>
      </c>
      <c r="AF54" s="1775">
        <v>10</v>
      </c>
      <c r="AG54" s="1787" t="s">
        <v>106</v>
      </c>
      <c r="AH54" s="115"/>
      <c r="AI54" s="116"/>
    </row>
    <row r="55" spans="1:37" ht="18" customHeight="1" x14ac:dyDescent="0.2">
      <c r="A55" s="1261">
        <v>10</v>
      </c>
      <c r="B55" s="1178" t="s">
        <v>123</v>
      </c>
      <c r="C55" s="1179" t="s">
        <v>50</v>
      </c>
      <c r="D55" s="1179" t="s">
        <v>50</v>
      </c>
      <c r="E55" s="1179" t="s">
        <v>107</v>
      </c>
      <c r="F55" s="1179" t="s">
        <v>107</v>
      </c>
      <c r="G55" s="1182">
        <v>7</v>
      </c>
      <c r="H55" s="1182">
        <v>7</v>
      </c>
      <c r="I55" s="1182">
        <v>7</v>
      </c>
      <c r="J55" s="1182">
        <v>7</v>
      </c>
      <c r="K55" s="1182">
        <v>7</v>
      </c>
      <c r="L55" s="1182"/>
      <c r="M55" s="1182"/>
      <c r="N55" s="1182">
        <v>4</v>
      </c>
      <c r="O55" s="1179">
        <v>4</v>
      </c>
      <c r="P55" s="1179">
        <v>4</v>
      </c>
      <c r="Q55" s="1318">
        <v>4</v>
      </c>
      <c r="R55" s="1318">
        <v>4</v>
      </c>
      <c r="S55" s="1318" t="s">
        <v>103</v>
      </c>
      <c r="T55" s="1791" t="s">
        <v>104</v>
      </c>
      <c r="U55" s="1182">
        <v>3</v>
      </c>
      <c r="V55" s="1185">
        <v>3</v>
      </c>
      <c r="W55" s="1185">
        <v>3</v>
      </c>
      <c r="X55" s="1185">
        <v>3</v>
      </c>
      <c r="Y55" s="1185">
        <v>3</v>
      </c>
      <c r="Z55" s="1185"/>
      <c r="AA55" s="1185"/>
      <c r="AB55" s="1286">
        <v>11</v>
      </c>
      <c r="AC55" s="1223">
        <v>11</v>
      </c>
      <c r="AD55" s="1223">
        <v>11</v>
      </c>
      <c r="AE55" s="1223">
        <v>11</v>
      </c>
      <c r="AF55" s="1223">
        <v>11</v>
      </c>
      <c r="AG55" s="1216" t="s">
        <v>109</v>
      </c>
      <c r="AH55" s="115"/>
      <c r="AI55" s="116"/>
    </row>
    <row r="56" spans="1:37" ht="18" customHeight="1" x14ac:dyDescent="0.2">
      <c r="A56" s="1264">
        <v>15</v>
      </c>
      <c r="B56" s="1192" t="s">
        <v>124</v>
      </c>
      <c r="C56" s="1221" t="s">
        <v>50</v>
      </c>
      <c r="D56" s="1221" t="s">
        <v>50</v>
      </c>
      <c r="E56" s="1221" t="s">
        <v>104</v>
      </c>
      <c r="F56" s="1294" t="s">
        <v>104</v>
      </c>
      <c r="G56" s="1294">
        <v>8</v>
      </c>
      <c r="H56" s="1294">
        <v>8</v>
      </c>
      <c r="I56" s="1294">
        <v>8</v>
      </c>
      <c r="J56" s="1294">
        <v>8</v>
      </c>
      <c r="K56" s="1220">
        <v>8</v>
      </c>
      <c r="L56" s="1221"/>
      <c r="M56" s="1221"/>
      <c r="N56" s="1221" t="s">
        <v>50</v>
      </c>
      <c r="O56" s="1268" t="s">
        <v>50</v>
      </c>
      <c r="P56" s="1268" t="s">
        <v>50</v>
      </c>
      <c r="Q56" s="1268" t="s">
        <v>50</v>
      </c>
      <c r="R56" s="1268" t="s">
        <v>50</v>
      </c>
      <c r="S56" s="1268"/>
      <c r="T56" s="1268"/>
      <c r="U56" s="1268">
        <v>1</v>
      </c>
      <c r="V56" s="1221">
        <v>1</v>
      </c>
      <c r="W56" s="1221">
        <v>1</v>
      </c>
      <c r="X56" s="1221">
        <v>1</v>
      </c>
      <c r="Y56" s="1220">
        <v>1</v>
      </c>
      <c r="Z56" s="1221"/>
      <c r="AA56" s="1221"/>
      <c r="AB56" s="1221">
        <v>9</v>
      </c>
      <c r="AC56" s="1221">
        <v>9</v>
      </c>
      <c r="AD56" s="1221">
        <v>9</v>
      </c>
      <c r="AE56" s="1220">
        <v>9</v>
      </c>
      <c r="AF56" s="1220">
        <v>9</v>
      </c>
      <c r="AG56" s="1296" t="s">
        <v>70</v>
      </c>
      <c r="AH56" s="115"/>
      <c r="AI56" s="116"/>
    </row>
    <row r="57" spans="1:37" ht="18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37" ht="18" customHeight="1" x14ac:dyDescent="0.2">
      <c r="A58" s="69"/>
      <c r="B58" s="42" t="s">
        <v>125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37" ht="18" customHeight="1" x14ac:dyDescent="0.2">
      <c r="A59" s="1135" t="s">
        <v>43</v>
      </c>
      <c r="B59" s="1135"/>
      <c r="C59" s="1134"/>
      <c r="D59" s="1135" t="s">
        <v>17</v>
      </c>
      <c r="E59" s="1133"/>
      <c r="F59" s="1134"/>
      <c r="G59" s="1135" t="s">
        <v>18</v>
      </c>
      <c r="H59" s="1133"/>
      <c r="I59" s="1134"/>
      <c r="J59" s="1135" t="s">
        <v>19</v>
      </c>
      <c r="K59" s="1133"/>
      <c r="L59" s="1134"/>
      <c r="M59" s="1135" t="s">
        <v>20</v>
      </c>
      <c r="N59" s="1133"/>
      <c r="O59" s="1134"/>
      <c r="P59" s="1135" t="s">
        <v>21</v>
      </c>
      <c r="Q59" s="1133"/>
      <c r="R59" s="1130"/>
      <c r="S59" s="1131" t="s">
        <v>22</v>
      </c>
      <c r="T59" s="1133"/>
      <c r="U59" s="1134"/>
      <c r="V59" s="1135" t="s">
        <v>23</v>
      </c>
      <c r="W59" s="1133"/>
      <c r="X59" s="1297" t="s">
        <v>126</v>
      </c>
      <c r="Y59" s="1133"/>
      <c r="Z59" s="1133"/>
      <c r="AA59" s="1298"/>
      <c r="AB59" s="1124"/>
      <c r="AC59" s="1124"/>
      <c r="AD59" s="1124"/>
      <c r="AE59" s="1124"/>
      <c r="AF59" s="1124"/>
      <c r="AG59" s="1125"/>
      <c r="AH59" s="1"/>
    </row>
    <row r="60" spans="1:37" ht="18" customHeight="1" x14ac:dyDescent="0.2">
      <c r="A60" s="1299">
        <v>8517</v>
      </c>
      <c r="B60" s="1300" t="s">
        <v>127</v>
      </c>
      <c r="C60" s="1301" t="s">
        <v>128</v>
      </c>
      <c r="D60" s="1302"/>
      <c r="E60" s="1122"/>
      <c r="F60" s="1301" t="s">
        <v>128</v>
      </c>
      <c r="G60" s="1302"/>
      <c r="H60" s="1122"/>
      <c r="I60" s="1301" t="s">
        <v>128</v>
      </c>
      <c r="J60" s="1302"/>
      <c r="K60" s="1122"/>
      <c r="L60" s="1301" t="s">
        <v>128</v>
      </c>
      <c r="M60" s="1302"/>
      <c r="N60" s="1122"/>
      <c r="O60" s="1301" t="s">
        <v>129</v>
      </c>
      <c r="P60" s="1302"/>
      <c r="Q60" s="1122"/>
      <c r="R60" s="1301"/>
      <c r="S60" s="1302"/>
      <c r="T60" s="1122"/>
      <c r="U60" s="1301" t="s">
        <v>130</v>
      </c>
      <c r="V60" s="1302"/>
      <c r="W60" s="1122"/>
      <c r="X60" s="1120"/>
      <c r="Y60" s="1124"/>
      <c r="Z60" s="1124"/>
      <c r="AA60" s="1124"/>
      <c r="AB60" s="1124"/>
      <c r="AC60" s="1124"/>
      <c r="AD60" s="1124"/>
      <c r="AE60" s="1124"/>
      <c r="AF60" s="1124"/>
      <c r="AG60" s="1125"/>
      <c r="AH60" s="1"/>
    </row>
    <row r="61" spans="1:37" ht="18" customHeight="1" x14ac:dyDescent="0.2">
      <c r="B61" s="1172" t="s">
        <v>131</v>
      </c>
      <c r="C61" s="1303" t="s">
        <v>132</v>
      </c>
      <c r="D61" s="1304"/>
      <c r="E61" s="1305"/>
      <c r="F61" s="1303" t="s">
        <v>132</v>
      </c>
      <c r="G61" s="1306"/>
      <c r="H61" s="1305"/>
      <c r="I61" s="1301" t="s">
        <v>132</v>
      </c>
      <c r="J61" s="1302"/>
      <c r="K61" s="1307"/>
      <c r="L61" s="1301" t="s">
        <v>132</v>
      </c>
      <c r="M61" s="1302"/>
      <c r="N61" s="1307"/>
      <c r="O61" s="1301" t="s">
        <v>133</v>
      </c>
      <c r="P61" s="1302"/>
      <c r="Q61" s="1122"/>
      <c r="R61" s="1308" t="s">
        <v>0</v>
      </c>
      <c r="S61" s="1302"/>
      <c r="T61" s="1307"/>
      <c r="U61" s="1302" t="s">
        <v>0</v>
      </c>
      <c r="V61" s="1302"/>
      <c r="W61" s="1122"/>
      <c r="X61" s="1603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37" ht="18" customHeight="1" x14ac:dyDescent="0.2">
      <c r="A62" s="1309"/>
      <c r="B62" s="1300" t="s">
        <v>134</v>
      </c>
      <c r="C62" s="1303" t="s">
        <v>135</v>
      </c>
      <c r="D62" s="1304"/>
      <c r="E62" s="1306"/>
      <c r="F62" s="1303" t="s">
        <v>135</v>
      </c>
      <c r="G62" s="1304"/>
      <c r="H62" s="1306"/>
      <c r="I62" s="1303" t="s">
        <v>135</v>
      </c>
      <c r="J62" s="1304"/>
      <c r="K62" s="1306"/>
      <c r="L62" s="1303" t="s">
        <v>135</v>
      </c>
      <c r="M62" s="1304"/>
      <c r="N62" s="1306"/>
      <c r="O62" s="1303" t="s">
        <v>136</v>
      </c>
      <c r="P62" s="1304"/>
      <c r="Q62" s="1306"/>
      <c r="R62" s="1604"/>
      <c r="S62" s="208"/>
      <c r="T62" s="1305"/>
      <c r="U62" s="1304"/>
      <c r="V62" s="1304"/>
      <c r="W62" s="1306"/>
      <c r="X62" s="1120"/>
      <c r="Y62" s="1124"/>
      <c r="Z62" s="1124"/>
      <c r="AA62" s="1124"/>
      <c r="AB62" s="1124"/>
      <c r="AC62" s="1124"/>
      <c r="AD62" s="1124"/>
      <c r="AE62" s="1124"/>
      <c r="AF62" s="1124"/>
      <c r="AG62" s="1125"/>
      <c r="AH62" s="1"/>
    </row>
    <row r="63" spans="1:37" ht="18" customHeight="1" x14ac:dyDescent="0.2">
      <c r="A63" s="1135"/>
      <c r="B63" s="1300"/>
      <c r="C63" s="740"/>
      <c r="D63" s="1310"/>
      <c r="E63" s="742"/>
      <c r="F63" s="740"/>
      <c r="G63" s="1310"/>
      <c r="H63" s="742"/>
      <c r="I63" s="740"/>
      <c r="J63" s="1310"/>
      <c r="K63" s="742"/>
      <c r="L63" s="740"/>
      <c r="M63" s="1310"/>
      <c r="N63" s="742"/>
      <c r="O63" s="740"/>
      <c r="P63" s="1310"/>
      <c r="Q63" s="742"/>
      <c r="R63" s="740"/>
      <c r="S63" s="1310"/>
      <c r="T63" s="742"/>
      <c r="U63" s="740"/>
      <c r="V63" s="1310"/>
      <c r="W63" s="742"/>
      <c r="X63" s="1122"/>
      <c r="Y63" s="1124"/>
      <c r="Z63" s="1124"/>
      <c r="AA63" s="1124"/>
      <c r="AB63" s="1124"/>
      <c r="AC63" s="1124"/>
      <c r="AD63" s="1124"/>
      <c r="AE63" s="1124"/>
      <c r="AF63" s="1124"/>
      <c r="AG63" s="1125"/>
      <c r="AH63" s="1"/>
      <c r="AJ63" t="s">
        <v>137</v>
      </c>
    </row>
    <row r="64" spans="1:37" ht="18" customHeight="1" x14ac:dyDescent="0.2">
      <c r="A64" s="37"/>
      <c r="B64" s="62"/>
      <c r="C64" s="46"/>
      <c r="D64" s="46"/>
      <c r="E64" s="6"/>
      <c r="F64" s="46"/>
      <c r="G64" s="46"/>
      <c r="H64" s="6"/>
      <c r="I64" s="46"/>
      <c r="J64" s="46"/>
      <c r="K64" s="6"/>
      <c r="L64" s="46"/>
      <c r="M64" s="46"/>
      <c r="N64" s="6"/>
      <c r="O64" s="46"/>
      <c r="P64" s="46"/>
      <c r="Q64" s="6"/>
      <c r="R64" s="46"/>
      <c r="S64" s="46"/>
      <c r="T64" s="6"/>
      <c r="U64" s="46"/>
      <c r="V64" s="46"/>
      <c r="W64" s="6"/>
      <c r="X64" s="6"/>
      <c r="Y64" s="48"/>
      <c r="Z64" s="48"/>
      <c r="AA64" s="48"/>
      <c r="AB64" s="48"/>
      <c r="AC64" s="48"/>
      <c r="AD64" s="48"/>
      <c r="AE64" s="48"/>
      <c r="AF64" s="48"/>
      <c r="AG64" s="48"/>
      <c r="AH64" s="1"/>
    </row>
    <row r="65" spans="1:40" ht="18" customHeight="1" x14ac:dyDescent="0.2">
      <c r="A65" s="1311"/>
      <c r="B65" s="1312" t="s">
        <v>44</v>
      </c>
      <c r="C65" s="1731">
        <v>1</v>
      </c>
      <c r="D65" s="1731">
        <v>2</v>
      </c>
      <c r="E65" s="1732">
        <v>3</v>
      </c>
      <c r="F65" s="1732">
        <v>4</v>
      </c>
      <c r="G65" s="1731">
        <v>5</v>
      </c>
      <c r="H65" s="1731">
        <v>6</v>
      </c>
      <c r="I65" s="1731">
        <v>7</v>
      </c>
      <c r="J65" s="1731">
        <v>8</v>
      </c>
      <c r="K65" s="1731">
        <v>9</v>
      </c>
      <c r="L65" s="1732">
        <v>10</v>
      </c>
      <c r="M65" s="1732">
        <v>11</v>
      </c>
      <c r="N65" s="1731">
        <v>12</v>
      </c>
      <c r="O65" s="1731">
        <v>13</v>
      </c>
      <c r="P65" s="1731">
        <v>14</v>
      </c>
      <c r="Q65" s="1731">
        <v>15</v>
      </c>
      <c r="R65" s="1731">
        <v>16</v>
      </c>
      <c r="S65" s="1732">
        <v>17</v>
      </c>
      <c r="T65" s="1732">
        <v>18</v>
      </c>
      <c r="U65" s="1731">
        <v>19</v>
      </c>
      <c r="V65" s="1731">
        <v>20</v>
      </c>
      <c r="W65" s="1731">
        <v>21</v>
      </c>
      <c r="X65" s="1731">
        <v>22</v>
      </c>
      <c r="Y65" s="1731">
        <v>23</v>
      </c>
      <c r="Z65" s="1732">
        <v>24</v>
      </c>
      <c r="AA65" s="1732">
        <v>25</v>
      </c>
      <c r="AB65" s="1731">
        <v>26</v>
      </c>
      <c r="AC65" s="1731">
        <v>27</v>
      </c>
      <c r="AD65" s="1731">
        <v>28</v>
      </c>
      <c r="AE65" s="1731">
        <v>29</v>
      </c>
      <c r="AF65" s="1731">
        <v>30</v>
      </c>
      <c r="AG65" s="1732">
        <v>31</v>
      </c>
      <c r="AH65" s="1"/>
      <c r="AJ65" s="1151" t="s">
        <v>41</v>
      </c>
      <c r="AK65" s="1151" t="s">
        <v>62</v>
      </c>
      <c r="AL65" s="1151" t="s">
        <v>63</v>
      </c>
      <c r="AM65" s="1151" t="s">
        <v>64</v>
      </c>
      <c r="AN65" s="1151" t="s">
        <v>65</v>
      </c>
    </row>
    <row r="66" spans="1:40" ht="18" customHeight="1" x14ac:dyDescent="0.2">
      <c r="A66" s="1792"/>
      <c r="B66" s="1793" t="s">
        <v>138</v>
      </c>
      <c r="C66" s="1749">
        <v>25</v>
      </c>
      <c r="D66" s="1749">
        <v>25</v>
      </c>
      <c r="E66" s="1788"/>
      <c r="F66" s="1788"/>
      <c r="G66" s="1788" t="s">
        <v>142</v>
      </c>
      <c r="H66" s="1749" t="s">
        <v>142</v>
      </c>
      <c r="I66" s="1749" t="s">
        <v>142</v>
      </c>
      <c r="J66" s="1749" t="s">
        <v>142</v>
      </c>
      <c r="K66" s="1749" t="s">
        <v>142</v>
      </c>
      <c r="L66" s="1749" t="s">
        <v>143</v>
      </c>
      <c r="M66" s="1788" t="s">
        <v>143</v>
      </c>
      <c r="N66" s="1790" t="s">
        <v>50</v>
      </c>
      <c r="O66" s="1749" t="s">
        <v>50</v>
      </c>
      <c r="P66" s="1749" t="s">
        <v>50</v>
      </c>
      <c r="Q66" s="1749" t="s">
        <v>50</v>
      </c>
      <c r="R66" s="1749" t="s">
        <v>50</v>
      </c>
      <c r="S66" s="1752"/>
      <c r="T66" s="1749"/>
      <c r="U66" s="1749">
        <v>5</v>
      </c>
      <c r="V66" s="1749">
        <v>5</v>
      </c>
      <c r="W66" s="1749">
        <v>5</v>
      </c>
      <c r="X66" s="1749">
        <v>5</v>
      </c>
      <c r="Y66" s="1749">
        <v>5</v>
      </c>
      <c r="Z66" s="1788"/>
      <c r="AA66" s="1775">
        <v>26</v>
      </c>
      <c r="AB66" s="1749">
        <v>25</v>
      </c>
      <c r="AC66" s="1749">
        <v>25</v>
      </c>
      <c r="AD66" s="1749">
        <v>25</v>
      </c>
      <c r="AE66" s="1749">
        <v>25</v>
      </c>
      <c r="AF66" s="1749">
        <v>25</v>
      </c>
      <c r="AG66" s="1794"/>
      <c r="AH66" s="1"/>
      <c r="AJ66" s="638">
        <v>183.3</v>
      </c>
      <c r="AK66" s="638">
        <v>14</v>
      </c>
      <c r="AL66" s="638">
        <f>IF(AJ66="","",SUM(AJ66:AK66))</f>
        <v>197.3</v>
      </c>
      <c r="AM66" s="639">
        <f t="shared" ref="AM66:AM96" si="0">IF(AJ66="","",AL66-_xlfn.SINGLE(NormTid))</f>
        <v>36.97</v>
      </c>
      <c r="AN66" s="639">
        <f>IF(AM66="","",AM66+'Juli 2024'!AN66)</f>
        <v>193.40999999999997</v>
      </c>
    </row>
    <row r="67" spans="1:40" ht="18" customHeight="1" x14ac:dyDescent="0.2">
      <c r="A67" s="748"/>
      <c r="B67" s="749" t="s">
        <v>144</v>
      </c>
      <c r="C67" s="1186" t="s">
        <v>46</v>
      </c>
      <c r="D67" s="1186" t="s">
        <v>46</v>
      </c>
      <c r="E67" s="1186"/>
      <c r="F67" s="1186"/>
      <c r="G67" s="1186" t="s">
        <v>46</v>
      </c>
      <c r="H67" s="1186" t="s">
        <v>46</v>
      </c>
      <c r="I67" s="1186" t="s">
        <v>46</v>
      </c>
      <c r="J67" s="1186" t="s">
        <v>46</v>
      </c>
      <c r="K67" s="1186" t="s">
        <v>46</v>
      </c>
      <c r="L67" s="1186"/>
      <c r="M67" s="1186"/>
      <c r="N67" s="1186" t="s">
        <v>46</v>
      </c>
      <c r="O67" s="1186" t="s">
        <v>46</v>
      </c>
      <c r="P67" s="1186" t="s">
        <v>46</v>
      </c>
      <c r="Q67" s="1186" t="s">
        <v>46</v>
      </c>
      <c r="R67" s="1186" t="s">
        <v>46</v>
      </c>
      <c r="S67" s="1795" t="s">
        <v>143</v>
      </c>
      <c r="T67" s="1286" t="s">
        <v>143</v>
      </c>
      <c r="U67" s="1185">
        <v>26</v>
      </c>
      <c r="V67" s="1176" t="s">
        <v>186</v>
      </c>
      <c r="W67" s="1223" t="s">
        <v>186</v>
      </c>
      <c r="X67" s="1176" t="s">
        <v>186</v>
      </c>
      <c r="Y67" s="1325" t="s">
        <v>186</v>
      </c>
      <c r="Z67" s="296" t="s">
        <v>103</v>
      </c>
      <c r="AA67" s="296" t="s">
        <v>104</v>
      </c>
      <c r="AB67" s="1174" t="s">
        <v>142</v>
      </c>
      <c r="AC67" s="1174" t="s">
        <v>142</v>
      </c>
      <c r="AD67" s="1174" t="s">
        <v>142</v>
      </c>
      <c r="AE67" s="1174" t="s">
        <v>142</v>
      </c>
      <c r="AF67" s="1174" t="s">
        <v>142</v>
      </c>
      <c r="AG67" s="1321" t="s">
        <v>143</v>
      </c>
      <c r="AH67" s="1"/>
      <c r="AJ67" s="638">
        <v>174.1</v>
      </c>
      <c r="AK67" s="638">
        <v>7.5</v>
      </c>
      <c r="AL67" s="638">
        <f t="shared" ref="AL67:AL96" si="1">IF(AJ67="","",SUM(AJ67:AK67))</f>
        <v>181.6</v>
      </c>
      <c r="AM67" s="639">
        <f t="shared" si="0"/>
        <v>21.269999999999982</v>
      </c>
      <c r="AN67" s="639">
        <f>IF(AM67="","",AM67+'Juli 2024'!AN67)</f>
        <v>5.459999999999944</v>
      </c>
    </row>
    <row r="68" spans="1:40" ht="18" customHeight="1" x14ac:dyDescent="0.2">
      <c r="A68" s="748"/>
      <c r="B68" s="754" t="s">
        <v>146</v>
      </c>
      <c r="C68" s="1185">
        <v>22</v>
      </c>
      <c r="D68" s="290" t="s">
        <v>145</v>
      </c>
      <c r="E68" s="290" t="s">
        <v>147</v>
      </c>
      <c r="F68" s="290" t="s">
        <v>148</v>
      </c>
      <c r="G68" s="1796" t="s">
        <v>50</v>
      </c>
      <c r="H68" s="1796" t="s">
        <v>50</v>
      </c>
      <c r="I68" s="1796" t="s">
        <v>50</v>
      </c>
      <c r="J68" s="1796" t="s">
        <v>50</v>
      </c>
      <c r="K68" s="1796" t="s">
        <v>145</v>
      </c>
      <c r="L68" s="1796" t="s">
        <v>147</v>
      </c>
      <c r="M68" s="1797" t="s">
        <v>148</v>
      </c>
      <c r="N68" s="1797" t="s">
        <v>50</v>
      </c>
      <c r="O68" s="1798" t="s">
        <v>50</v>
      </c>
      <c r="P68" s="1798" t="s">
        <v>50</v>
      </c>
      <c r="Q68" s="1262" t="s">
        <v>153</v>
      </c>
      <c r="R68" s="291" t="s">
        <v>145</v>
      </c>
      <c r="S68" s="291" t="s">
        <v>147</v>
      </c>
      <c r="T68" s="291" t="s">
        <v>148</v>
      </c>
      <c r="U68" s="1262" t="s">
        <v>50</v>
      </c>
      <c r="V68" s="1262" t="s">
        <v>50</v>
      </c>
      <c r="W68" s="1262" t="s">
        <v>50</v>
      </c>
      <c r="X68" s="1262" t="s">
        <v>50</v>
      </c>
      <c r="Y68" s="1262" t="s">
        <v>139</v>
      </c>
      <c r="Z68" s="1262" t="s">
        <v>140</v>
      </c>
      <c r="AA68" s="1262" t="s">
        <v>141</v>
      </c>
      <c r="AB68" s="1262" t="s">
        <v>50</v>
      </c>
      <c r="AC68" s="1262" t="s">
        <v>50</v>
      </c>
      <c r="AD68" s="1262">
        <v>5</v>
      </c>
      <c r="AE68" s="1262">
        <v>5</v>
      </c>
      <c r="AF68" s="1262">
        <v>5</v>
      </c>
      <c r="AG68" s="1623"/>
      <c r="AH68" s="1"/>
      <c r="AJ68" s="638">
        <v>168.45</v>
      </c>
      <c r="AK68" s="638">
        <v>13.25</v>
      </c>
      <c r="AL68" s="638">
        <f t="shared" si="1"/>
        <v>181.7</v>
      </c>
      <c r="AM68" s="639">
        <f t="shared" si="0"/>
        <v>21.369999999999976</v>
      </c>
      <c r="AN68" s="639">
        <f>IF(AM68="","",AM68+'Juli 2024'!AN68)</f>
        <v>26.809999999999938</v>
      </c>
    </row>
    <row r="69" spans="1:40" ht="18" customHeight="1" x14ac:dyDescent="0.2">
      <c r="A69" s="748"/>
      <c r="B69" s="754" t="s">
        <v>151</v>
      </c>
      <c r="C69" s="1174">
        <v>89</v>
      </c>
      <c r="D69" s="1174">
        <v>89</v>
      </c>
      <c r="E69" s="1223" t="s">
        <v>80</v>
      </c>
      <c r="F69" s="1223"/>
      <c r="G69" s="1223" t="s">
        <v>421</v>
      </c>
      <c r="H69" s="1223" t="s">
        <v>421</v>
      </c>
      <c r="I69" s="1223" t="s">
        <v>421</v>
      </c>
      <c r="J69" s="1174" t="s">
        <v>50</v>
      </c>
      <c r="K69" s="1223" t="s">
        <v>149</v>
      </c>
      <c r="L69" s="1179" t="s">
        <v>150</v>
      </c>
      <c r="M69" s="1223" t="s">
        <v>71</v>
      </c>
      <c r="N69" s="1179" t="s">
        <v>50</v>
      </c>
      <c r="O69" s="1179" t="s">
        <v>50</v>
      </c>
      <c r="P69" s="1179" t="s">
        <v>50</v>
      </c>
      <c r="Q69" s="1223" t="s">
        <v>188</v>
      </c>
      <c r="R69" s="1223" t="s">
        <v>188</v>
      </c>
      <c r="S69" s="1223"/>
      <c r="T69" s="1223"/>
      <c r="U69" s="1223" t="s">
        <v>404</v>
      </c>
      <c r="V69" s="1223" t="s">
        <v>404</v>
      </c>
      <c r="W69" s="1223" t="s">
        <v>404</v>
      </c>
      <c r="X69" s="1223" t="s">
        <v>404</v>
      </c>
      <c r="Y69" s="1174">
        <v>10</v>
      </c>
      <c r="Z69" s="1223" t="s">
        <v>106</v>
      </c>
      <c r="AA69" s="1223" t="s">
        <v>106</v>
      </c>
      <c r="AB69" s="1223" t="s">
        <v>50</v>
      </c>
      <c r="AC69" s="1223" t="s">
        <v>50</v>
      </c>
      <c r="AD69" s="1223" t="s">
        <v>50</v>
      </c>
      <c r="AE69" s="1174" t="s">
        <v>50</v>
      </c>
      <c r="AF69" s="1223" t="s">
        <v>50</v>
      </c>
      <c r="AG69" s="1321"/>
      <c r="AH69" s="1"/>
      <c r="AJ69" s="638">
        <v>151.30000000000001</v>
      </c>
      <c r="AK69" s="638">
        <v>9</v>
      </c>
      <c r="AL69" s="638">
        <f t="shared" si="1"/>
        <v>160.30000000000001</v>
      </c>
      <c r="AM69" s="639">
        <f t="shared" si="0"/>
        <v>-3.0000000000001137E-2</v>
      </c>
      <c r="AN69" s="639">
        <f>IF(AM69="","",AM69+'Juli 2024'!AN69)</f>
        <v>42.659999999999961</v>
      </c>
    </row>
    <row r="70" spans="1:40" ht="18" customHeight="1" x14ac:dyDescent="0.2">
      <c r="A70" s="748"/>
      <c r="B70" s="1145" t="s">
        <v>155</v>
      </c>
      <c r="C70" s="1186" t="s">
        <v>46</v>
      </c>
      <c r="D70" s="1186" t="s">
        <v>46</v>
      </c>
      <c r="E70" s="1186"/>
      <c r="F70" s="1186"/>
      <c r="G70" s="1186" t="s">
        <v>46</v>
      </c>
      <c r="H70" s="1186" t="s">
        <v>46</v>
      </c>
      <c r="I70" s="1186" t="s">
        <v>46</v>
      </c>
      <c r="J70" s="1186" t="s">
        <v>46</v>
      </c>
      <c r="K70" s="1186" t="s">
        <v>46</v>
      </c>
      <c r="L70" s="1186"/>
      <c r="M70" s="1186"/>
      <c r="N70" s="1186" t="s">
        <v>46</v>
      </c>
      <c r="O70" s="1186" t="s">
        <v>46</v>
      </c>
      <c r="P70" s="1186" t="s">
        <v>46</v>
      </c>
      <c r="Q70" s="1186" t="s">
        <v>46</v>
      </c>
      <c r="R70" s="1186" t="s">
        <v>46</v>
      </c>
      <c r="S70" s="1186"/>
      <c r="T70" s="1186"/>
      <c r="U70" s="1185" t="s">
        <v>72</v>
      </c>
      <c r="V70" s="1174" t="s">
        <v>72</v>
      </c>
      <c r="W70" s="1174" t="s">
        <v>72</v>
      </c>
      <c r="X70" s="1174" t="s">
        <v>72</v>
      </c>
      <c r="Y70" s="1179" t="s">
        <v>72</v>
      </c>
      <c r="Z70" s="1185" t="s">
        <v>73</v>
      </c>
      <c r="AA70" s="1176" t="s">
        <v>74</v>
      </c>
      <c r="AB70" s="1185" t="s">
        <v>50</v>
      </c>
      <c r="AC70" s="1185" t="s">
        <v>50</v>
      </c>
      <c r="AD70" s="1185" t="s">
        <v>50</v>
      </c>
      <c r="AE70" s="1185" t="s">
        <v>50</v>
      </c>
      <c r="AF70" s="1185" t="s">
        <v>139</v>
      </c>
      <c r="AG70" s="1321" t="s">
        <v>140</v>
      </c>
      <c r="AH70" s="1"/>
      <c r="AJ70" s="638">
        <v>172.15</v>
      </c>
      <c r="AK70" s="638">
        <v>7.25</v>
      </c>
      <c r="AL70" s="638">
        <f t="shared" si="1"/>
        <v>179.4</v>
      </c>
      <c r="AM70" s="639">
        <f t="shared" si="0"/>
        <v>19.069999999999993</v>
      </c>
      <c r="AN70" s="639">
        <f>IF(AM70="","",AM70+'Juli 2024'!AN70)</f>
        <v>-22.340000000000046</v>
      </c>
    </row>
    <row r="71" spans="1:40" ht="18" customHeight="1" x14ac:dyDescent="0.2">
      <c r="A71" s="1614"/>
      <c r="B71" s="749" t="s">
        <v>156</v>
      </c>
      <c r="C71" s="1185" t="s">
        <v>142</v>
      </c>
      <c r="D71" s="1185" t="s">
        <v>142</v>
      </c>
      <c r="E71" s="1185" t="s">
        <v>143</v>
      </c>
      <c r="F71" s="1185" t="s">
        <v>143</v>
      </c>
      <c r="G71" s="1185" t="s">
        <v>50</v>
      </c>
      <c r="H71" s="1174" t="s">
        <v>50</v>
      </c>
      <c r="I71" s="1174" t="s">
        <v>50</v>
      </c>
      <c r="J71" s="1174" t="s">
        <v>50</v>
      </c>
      <c r="K71" s="1174" t="s">
        <v>50</v>
      </c>
      <c r="L71" s="1174"/>
      <c r="M71" s="1179">
        <v>26</v>
      </c>
      <c r="N71" s="1185">
        <v>5</v>
      </c>
      <c r="O71" s="1185">
        <v>25</v>
      </c>
      <c r="P71" s="1185">
        <v>25</v>
      </c>
      <c r="Q71" s="1185">
        <v>26</v>
      </c>
      <c r="R71" s="1223" t="s">
        <v>186</v>
      </c>
      <c r="S71" s="1223"/>
      <c r="T71" s="1185"/>
      <c r="U71" s="1185" t="s">
        <v>309</v>
      </c>
      <c r="V71" s="1174" t="s">
        <v>309</v>
      </c>
      <c r="W71" s="1174" t="s">
        <v>309</v>
      </c>
      <c r="X71" s="1174" t="s">
        <v>309</v>
      </c>
      <c r="Y71" s="1185" t="s">
        <v>309</v>
      </c>
      <c r="Z71" s="1185"/>
      <c r="AA71" s="1185"/>
      <c r="AB71" s="1185">
        <v>5</v>
      </c>
      <c r="AC71" s="1174">
        <v>5</v>
      </c>
      <c r="AD71" s="1175">
        <v>6</v>
      </c>
      <c r="AE71" s="1175">
        <v>6</v>
      </c>
      <c r="AF71" s="1185">
        <v>22</v>
      </c>
      <c r="AG71" s="1177">
        <v>22</v>
      </c>
      <c r="AJ71" s="638">
        <v>160.30000000000001</v>
      </c>
      <c r="AK71" s="638">
        <v>9.5</v>
      </c>
      <c r="AL71" s="638">
        <f t="shared" si="1"/>
        <v>169.8</v>
      </c>
      <c r="AM71" s="639">
        <f t="shared" si="0"/>
        <v>9.4699999999999989</v>
      </c>
      <c r="AN71" s="639">
        <f>IF(AM71="","",AM71+'Juli 2024'!AN71)</f>
        <v>15.659999999999961</v>
      </c>
    </row>
    <row r="72" spans="1:40" ht="18" customHeight="1" x14ac:dyDescent="0.2">
      <c r="A72" s="762"/>
      <c r="B72" s="749" t="s">
        <v>159</v>
      </c>
      <c r="C72" s="1185" t="s">
        <v>322</v>
      </c>
      <c r="D72" s="1185" t="s">
        <v>322</v>
      </c>
      <c r="E72" s="1174"/>
      <c r="F72" s="1185"/>
      <c r="G72" s="1185" t="s">
        <v>322</v>
      </c>
      <c r="H72" s="1185" t="s">
        <v>322</v>
      </c>
      <c r="I72" s="1185" t="s">
        <v>322</v>
      </c>
      <c r="J72" s="1185" t="s">
        <v>322</v>
      </c>
      <c r="K72" s="1185" t="s">
        <v>322</v>
      </c>
      <c r="L72" s="1182" t="s">
        <v>68</v>
      </c>
      <c r="M72" s="1185" t="s">
        <v>68</v>
      </c>
      <c r="N72" s="1185" t="s">
        <v>322</v>
      </c>
      <c r="O72" s="1185" t="s">
        <v>322</v>
      </c>
      <c r="P72" s="1185" t="s">
        <v>322</v>
      </c>
      <c r="Q72" s="1185" t="s">
        <v>322</v>
      </c>
      <c r="R72" s="1185" t="s">
        <v>322</v>
      </c>
      <c r="S72" s="1174">
        <v>23</v>
      </c>
      <c r="T72" s="1185">
        <v>23</v>
      </c>
      <c r="U72" s="1185" t="s">
        <v>50</v>
      </c>
      <c r="V72" s="1174" t="s">
        <v>50</v>
      </c>
      <c r="W72" s="1174" t="s">
        <v>50</v>
      </c>
      <c r="X72" s="1174" t="s">
        <v>50</v>
      </c>
      <c r="Y72" s="1174" t="s">
        <v>50</v>
      </c>
      <c r="Z72" s="248" t="s">
        <v>0</v>
      </c>
      <c r="AA72" s="1185"/>
      <c r="AB72" s="1185">
        <v>22</v>
      </c>
      <c r="AC72" s="1174">
        <v>22</v>
      </c>
      <c r="AD72" s="1174">
        <v>22</v>
      </c>
      <c r="AE72" s="1185">
        <v>22</v>
      </c>
      <c r="AF72" s="1185" t="s">
        <v>149</v>
      </c>
      <c r="AG72" s="1321" t="s">
        <v>150</v>
      </c>
      <c r="AH72" s="1"/>
      <c r="AJ72" s="638">
        <v>150.15</v>
      </c>
      <c r="AK72" s="638">
        <v>6</v>
      </c>
      <c r="AL72" s="638">
        <f t="shared" si="1"/>
        <v>156.15</v>
      </c>
      <c r="AM72" s="639">
        <f t="shared" si="0"/>
        <v>-4.1800000000000068</v>
      </c>
      <c r="AN72" s="639">
        <f>IF(AM72="","",AM72+'Juli 2024'!AN72)</f>
        <v>109.25999999999996</v>
      </c>
    </row>
    <row r="73" spans="1:40" ht="18" customHeight="1" x14ac:dyDescent="0.2">
      <c r="A73" s="764"/>
      <c r="B73" s="1145" t="s">
        <v>161</v>
      </c>
      <c r="C73" s="1182" t="s">
        <v>50</v>
      </c>
      <c r="D73" s="1182" t="s">
        <v>50</v>
      </c>
      <c r="E73" s="1182"/>
      <c r="F73" s="1185"/>
      <c r="G73" s="1174" t="s">
        <v>162</v>
      </c>
      <c r="H73" s="1174" t="s">
        <v>162</v>
      </c>
      <c r="I73" s="1174" t="s">
        <v>162</v>
      </c>
      <c r="J73" s="1174" t="s">
        <v>162</v>
      </c>
      <c r="K73" s="1174" t="s">
        <v>162</v>
      </c>
      <c r="L73" s="1223" t="s">
        <v>163</v>
      </c>
      <c r="M73" s="1223" t="s">
        <v>164</v>
      </c>
      <c r="N73" s="1223" t="s">
        <v>50</v>
      </c>
      <c r="O73" s="1223" t="s">
        <v>50</v>
      </c>
      <c r="P73" s="1223" t="s">
        <v>50</v>
      </c>
      <c r="Q73" s="1223" t="s">
        <v>50</v>
      </c>
      <c r="R73" s="1223" t="s">
        <v>50</v>
      </c>
      <c r="S73" s="1174"/>
      <c r="T73" s="1185"/>
      <c r="U73" s="1186" t="s">
        <v>46</v>
      </c>
      <c r="V73" s="1186" t="s">
        <v>46</v>
      </c>
      <c r="W73" s="1186" t="s">
        <v>46</v>
      </c>
      <c r="X73" s="1186" t="s">
        <v>46</v>
      </c>
      <c r="Y73" s="1186" t="s">
        <v>46</v>
      </c>
      <c r="Z73" s="1186"/>
      <c r="AA73" s="1186"/>
      <c r="AB73" s="1186" t="s">
        <v>46</v>
      </c>
      <c r="AC73" s="1186" t="s">
        <v>46</v>
      </c>
      <c r="AD73" s="1186" t="s">
        <v>46</v>
      </c>
      <c r="AE73" s="1186" t="s">
        <v>46</v>
      </c>
      <c r="AF73" s="1186" t="s">
        <v>46</v>
      </c>
      <c r="AG73" s="1340"/>
      <c r="AH73" s="1"/>
      <c r="AJ73" s="638">
        <v>154</v>
      </c>
      <c r="AK73" s="638">
        <v>5.75</v>
      </c>
      <c r="AL73" s="638">
        <f t="shared" si="1"/>
        <v>159.75</v>
      </c>
      <c r="AM73" s="639">
        <f t="shared" si="0"/>
        <v>-0.58000000000001251</v>
      </c>
      <c r="AN73" s="639">
        <f>IF(AM73="","",AM73+'Juli 2024'!AN73)</f>
        <v>-11.39000000000005</v>
      </c>
    </row>
    <row r="74" spans="1:40" ht="18" customHeight="1" x14ac:dyDescent="0.2">
      <c r="A74" s="764"/>
      <c r="B74" s="1145" t="s">
        <v>165</v>
      </c>
      <c r="C74" s="1185">
        <v>26</v>
      </c>
      <c r="D74" s="1273">
        <v>26</v>
      </c>
      <c r="E74" s="1174"/>
      <c r="F74" s="1174"/>
      <c r="G74" s="1174">
        <v>25</v>
      </c>
      <c r="H74" s="1174">
        <v>25</v>
      </c>
      <c r="I74" s="1174">
        <v>25</v>
      </c>
      <c r="J74" s="1185">
        <v>25</v>
      </c>
      <c r="K74" s="1185">
        <v>25</v>
      </c>
      <c r="L74" s="1185"/>
      <c r="M74" s="1185"/>
      <c r="N74" s="1262">
        <v>25</v>
      </c>
      <c r="O74" s="1262">
        <v>25</v>
      </c>
      <c r="P74" s="1262">
        <v>25</v>
      </c>
      <c r="Q74" s="1262">
        <v>8</v>
      </c>
      <c r="R74" s="1262">
        <v>8</v>
      </c>
      <c r="S74" s="1262" t="s">
        <v>103</v>
      </c>
      <c r="T74" s="1262" t="s">
        <v>104</v>
      </c>
      <c r="U74" s="1262" t="s">
        <v>50</v>
      </c>
      <c r="V74" s="1262" t="s">
        <v>102</v>
      </c>
      <c r="W74" s="1174" t="s">
        <v>50</v>
      </c>
      <c r="X74" s="1185" t="s">
        <v>50</v>
      </c>
      <c r="Y74" s="1185" t="s">
        <v>149</v>
      </c>
      <c r="Z74" s="1174" t="s">
        <v>150</v>
      </c>
      <c r="AA74" s="1174" t="s">
        <v>71</v>
      </c>
      <c r="AB74" s="1174" t="s">
        <v>50</v>
      </c>
      <c r="AC74" s="1174" t="s">
        <v>50</v>
      </c>
      <c r="AD74" s="1174" t="s">
        <v>50</v>
      </c>
      <c r="AE74" s="1174" t="s">
        <v>50</v>
      </c>
      <c r="AF74" s="1174" t="s">
        <v>50</v>
      </c>
      <c r="AG74" s="1177"/>
      <c r="AH74" s="1"/>
      <c r="AJ74" s="638">
        <v>154.44999999999999</v>
      </c>
      <c r="AK74" s="638">
        <v>11</v>
      </c>
      <c r="AL74" s="638">
        <f t="shared" si="1"/>
        <v>165.45</v>
      </c>
      <c r="AM74" s="639">
        <f t="shared" si="0"/>
        <v>5.1199999999999761</v>
      </c>
      <c r="AN74" s="639">
        <f>IF(AM74="","",AM74+'Juli 2024'!AN74)</f>
        <v>4.3099999999999454</v>
      </c>
    </row>
    <row r="75" spans="1:40" ht="18" customHeight="1" x14ac:dyDescent="0.2">
      <c r="A75" s="768"/>
      <c r="B75" s="1145" t="s">
        <v>166</v>
      </c>
      <c r="C75" s="1185" t="s">
        <v>160</v>
      </c>
      <c r="D75" s="1185" t="s">
        <v>160</v>
      </c>
      <c r="E75" s="1185"/>
      <c r="F75" s="1185"/>
      <c r="G75" s="1185" t="s">
        <v>160</v>
      </c>
      <c r="H75" s="1185" t="s">
        <v>160</v>
      </c>
      <c r="I75" s="1185" t="s">
        <v>160</v>
      </c>
      <c r="J75" s="1185" t="s">
        <v>160</v>
      </c>
      <c r="K75" s="1185" t="s">
        <v>160</v>
      </c>
      <c r="L75" s="1185"/>
      <c r="M75" s="1185"/>
      <c r="N75" s="1185" t="s">
        <v>160</v>
      </c>
      <c r="O75" s="1185" t="s">
        <v>160</v>
      </c>
      <c r="P75" s="1185" t="s">
        <v>160</v>
      </c>
      <c r="Q75" s="1185" t="s">
        <v>160</v>
      </c>
      <c r="R75" s="1185" t="s">
        <v>160</v>
      </c>
      <c r="S75" s="1185"/>
      <c r="T75" s="1185"/>
      <c r="U75" s="1185" t="s">
        <v>160</v>
      </c>
      <c r="V75" s="1185" t="s">
        <v>160</v>
      </c>
      <c r="W75" s="1185" t="s">
        <v>160</v>
      </c>
      <c r="X75" s="1185" t="s">
        <v>160</v>
      </c>
      <c r="Y75" s="1332" t="s">
        <v>160</v>
      </c>
      <c r="Z75" s="1185"/>
      <c r="AA75" s="1185"/>
      <c r="AB75" s="1185" t="s">
        <v>160</v>
      </c>
      <c r="AC75" s="1185" t="s">
        <v>160</v>
      </c>
      <c r="AD75" s="1185" t="s">
        <v>160</v>
      </c>
      <c r="AE75" s="1185" t="s">
        <v>160</v>
      </c>
      <c r="AF75" s="1185" t="s">
        <v>160</v>
      </c>
      <c r="AG75" s="1321"/>
      <c r="AH75" s="1"/>
      <c r="AJ75" s="638">
        <v>151.44999999999999</v>
      </c>
      <c r="AK75" s="638">
        <v>0</v>
      </c>
      <c r="AL75" s="638">
        <f t="shared" si="1"/>
        <v>151.44999999999999</v>
      </c>
      <c r="AM75" s="639">
        <f t="shared" si="0"/>
        <v>-8.8800000000000239</v>
      </c>
      <c r="AN75" s="639">
        <f>IF(AM75="","",AM75+'Juli 2024'!AN75)</f>
        <v>-18.190000000000062</v>
      </c>
    </row>
    <row r="76" spans="1:40" ht="18" customHeight="1" x14ac:dyDescent="0.2">
      <c r="A76" s="768"/>
      <c r="B76" s="769" t="s">
        <v>167</v>
      </c>
      <c r="C76" s="1174" t="s">
        <v>168</v>
      </c>
      <c r="D76" s="1174" t="s">
        <v>168</v>
      </c>
      <c r="E76" s="1174"/>
      <c r="F76" s="1185"/>
      <c r="G76" s="1799" t="s">
        <v>168</v>
      </c>
      <c r="H76" s="1174" t="s">
        <v>168</v>
      </c>
      <c r="I76" s="1174" t="s">
        <v>168</v>
      </c>
      <c r="J76" s="1174" t="s">
        <v>168</v>
      </c>
      <c r="K76" s="1800" t="s">
        <v>168</v>
      </c>
      <c r="L76" s="1174"/>
      <c r="M76" s="1185"/>
      <c r="N76" s="1185" t="s">
        <v>168</v>
      </c>
      <c r="O76" s="1185" t="s">
        <v>168</v>
      </c>
      <c r="P76" s="1185" t="s">
        <v>168</v>
      </c>
      <c r="Q76" s="1185" t="s">
        <v>168</v>
      </c>
      <c r="R76" s="1185" t="s">
        <v>168</v>
      </c>
      <c r="S76" s="1185"/>
      <c r="T76" s="1185"/>
      <c r="U76" s="1328" t="s">
        <v>168</v>
      </c>
      <c r="V76" s="1328" t="s">
        <v>168</v>
      </c>
      <c r="W76" s="1328" t="s">
        <v>168</v>
      </c>
      <c r="X76" s="1328" t="s">
        <v>168</v>
      </c>
      <c r="Y76" s="1286" t="s">
        <v>168</v>
      </c>
      <c r="Z76" s="1328"/>
      <c r="AA76" s="1328">
        <v>26</v>
      </c>
      <c r="AB76" s="1328" t="s">
        <v>168</v>
      </c>
      <c r="AC76" s="1328" t="s">
        <v>168</v>
      </c>
      <c r="AD76" s="1328" t="s">
        <v>168</v>
      </c>
      <c r="AE76" s="1328" t="s">
        <v>168</v>
      </c>
      <c r="AF76" s="1328" t="s">
        <v>168</v>
      </c>
      <c r="AG76" s="1801"/>
      <c r="AH76" s="1"/>
      <c r="AJ76" s="638">
        <v>196</v>
      </c>
      <c r="AK76" s="638">
        <v>0</v>
      </c>
      <c r="AL76" s="638">
        <f t="shared" si="1"/>
        <v>196</v>
      </c>
      <c r="AM76" s="639">
        <f t="shared" si="0"/>
        <v>35.669999999999987</v>
      </c>
      <c r="AN76" s="639">
        <f>IF(AM76="","",AM76+'Juli 2024'!AN76)</f>
        <v>-7.3900000000000503</v>
      </c>
    </row>
    <row r="77" spans="1:40" ht="18" customHeight="1" x14ac:dyDescent="0.2">
      <c r="A77" s="768"/>
      <c r="B77" s="769" t="s">
        <v>170</v>
      </c>
      <c r="C77" s="1185" t="s">
        <v>50</v>
      </c>
      <c r="D77" s="1185" t="s">
        <v>50</v>
      </c>
      <c r="E77" s="1179"/>
      <c r="F77" s="1174">
        <v>26</v>
      </c>
      <c r="G77" s="1174">
        <v>26</v>
      </c>
      <c r="H77" s="1174">
        <v>26</v>
      </c>
      <c r="I77" s="1174">
        <v>26</v>
      </c>
      <c r="J77" s="1185">
        <v>26</v>
      </c>
      <c r="K77" s="1185">
        <v>26</v>
      </c>
      <c r="L77" s="1185"/>
      <c r="M77" s="1185"/>
      <c r="N77" s="1179" t="s">
        <v>414</v>
      </c>
      <c r="O77" s="1179" t="s">
        <v>414</v>
      </c>
      <c r="P77" s="1179" t="s">
        <v>414</v>
      </c>
      <c r="Q77" s="1179" t="s">
        <v>414</v>
      </c>
      <c r="R77" s="1185" t="s">
        <v>414</v>
      </c>
      <c r="S77" s="1185"/>
      <c r="T77" s="1185"/>
      <c r="U77" s="1185" t="s">
        <v>142</v>
      </c>
      <c r="V77" s="1223" t="s">
        <v>142</v>
      </c>
      <c r="W77" s="1223" t="s">
        <v>142</v>
      </c>
      <c r="X77" s="1223" t="s">
        <v>142</v>
      </c>
      <c r="Y77" s="1223" t="s">
        <v>142</v>
      </c>
      <c r="Z77" s="1223" t="s">
        <v>143</v>
      </c>
      <c r="AA77" s="1185" t="s">
        <v>143</v>
      </c>
      <c r="AB77" s="1185" t="s">
        <v>50</v>
      </c>
      <c r="AC77" s="1174" t="s">
        <v>50</v>
      </c>
      <c r="AD77" s="1174" t="s">
        <v>50</v>
      </c>
      <c r="AE77" s="1174" t="s">
        <v>50</v>
      </c>
      <c r="AF77" s="1174" t="s">
        <v>50</v>
      </c>
      <c r="AG77" s="1216"/>
      <c r="AH77" s="1"/>
      <c r="AJ77" s="638">
        <v>150</v>
      </c>
      <c r="AK77" s="638">
        <v>8.5</v>
      </c>
      <c r="AL77" s="638">
        <f t="shared" si="1"/>
        <v>158.5</v>
      </c>
      <c r="AM77" s="639">
        <f t="shared" si="0"/>
        <v>-1.8300000000000125</v>
      </c>
      <c r="AN77" s="639">
        <f>IF(AM77="","",AM77+'Juli 2024'!AN77)</f>
        <v>10.60999999999995</v>
      </c>
    </row>
    <row r="78" spans="1:40" ht="18" customHeight="1" thickBot="1" x14ac:dyDescent="0.25">
      <c r="A78" s="768"/>
      <c r="B78" s="772" t="s">
        <v>176</v>
      </c>
      <c r="C78" s="1185" t="s">
        <v>50</v>
      </c>
      <c r="D78" s="1185" t="s">
        <v>50</v>
      </c>
      <c r="E78" s="1185"/>
      <c r="F78" s="1185"/>
      <c r="G78" s="1185">
        <v>21</v>
      </c>
      <c r="H78" s="1174">
        <v>21</v>
      </c>
      <c r="I78" s="1174" t="s">
        <v>50</v>
      </c>
      <c r="J78" s="1185" t="s">
        <v>50</v>
      </c>
      <c r="K78" s="1174" t="s">
        <v>145</v>
      </c>
      <c r="L78" s="1174" t="s">
        <v>147</v>
      </c>
      <c r="M78" s="1185" t="s">
        <v>148</v>
      </c>
      <c r="N78" s="1185" t="s">
        <v>50</v>
      </c>
      <c r="O78" s="1634" t="s">
        <v>209</v>
      </c>
      <c r="P78" s="1634" t="s">
        <v>209</v>
      </c>
      <c r="Q78" s="1634" t="s">
        <v>209</v>
      </c>
      <c r="R78" s="1634" t="s">
        <v>209</v>
      </c>
      <c r="S78" s="1634" t="s">
        <v>210</v>
      </c>
      <c r="T78" s="1634" t="s">
        <v>211</v>
      </c>
      <c r="U78" s="1174" t="s">
        <v>162</v>
      </c>
      <c r="V78" s="1174" t="s">
        <v>162</v>
      </c>
      <c r="W78" s="1174" t="s">
        <v>162</v>
      </c>
      <c r="X78" s="1174" t="s">
        <v>162</v>
      </c>
      <c r="Y78" s="1174" t="s">
        <v>162</v>
      </c>
      <c r="Z78" s="1223" t="s">
        <v>163</v>
      </c>
      <c r="AA78" s="1223" t="s">
        <v>164</v>
      </c>
      <c r="AB78" s="1185" t="s">
        <v>50</v>
      </c>
      <c r="AC78" s="1185" t="s">
        <v>50</v>
      </c>
      <c r="AD78" s="1185" t="s">
        <v>50</v>
      </c>
      <c r="AE78" s="1185" t="s">
        <v>50</v>
      </c>
      <c r="AF78" s="1286" t="s">
        <v>145</v>
      </c>
      <c r="AG78" s="1802" t="s">
        <v>147</v>
      </c>
      <c r="AH78" s="1"/>
      <c r="AJ78" s="638">
        <v>123.3</v>
      </c>
      <c r="AK78" s="638">
        <v>9.75</v>
      </c>
      <c r="AL78" s="638">
        <f t="shared" si="1"/>
        <v>133.05000000000001</v>
      </c>
      <c r="AM78" s="639">
        <f t="shared" si="0"/>
        <v>-27.28</v>
      </c>
      <c r="AN78" s="639">
        <f>IF(AM78="","",AM78+'Juli 2024'!AN79)</f>
        <v>19.859999999999957</v>
      </c>
    </row>
    <row r="79" spans="1:40" ht="18" customHeight="1" thickBot="1" x14ac:dyDescent="0.25">
      <c r="A79" s="768"/>
      <c r="B79" s="1145" t="s">
        <v>177</v>
      </c>
      <c r="C79" s="1185">
        <v>23</v>
      </c>
      <c r="D79" s="1363" t="s">
        <v>149</v>
      </c>
      <c r="E79" s="1363" t="s">
        <v>150</v>
      </c>
      <c r="F79" s="1363" t="s">
        <v>71</v>
      </c>
      <c r="G79" s="1185" t="s">
        <v>50</v>
      </c>
      <c r="H79" s="1174" t="s">
        <v>50</v>
      </c>
      <c r="I79" s="1174" t="s">
        <v>50</v>
      </c>
      <c r="J79" s="1185">
        <v>69</v>
      </c>
      <c r="K79" s="1185">
        <v>69</v>
      </c>
      <c r="L79" s="1174"/>
      <c r="M79" s="1174"/>
      <c r="N79" s="1174">
        <v>26</v>
      </c>
      <c r="O79" s="1185">
        <v>26</v>
      </c>
      <c r="P79" s="1174">
        <v>26</v>
      </c>
      <c r="Q79" s="1174" t="s">
        <v>50</v>
      </c>
      <c r="R79" s="1223" t="s">
        <v>149</v>
      </c>
      <c r="S79" s="1174" t="s">
        <v>150</v>
      </c>
      <c r="T79" s="1174" t="s">
        <v>71</v>
      </c>
      <c r="U79" s="1174" t="s">
        <v>50</v>
      </c>
      <c r="V79" s="1174" t="s">
        <v>50</v>
      </c>
      <c r="W79" s="1174" t="s">
        <v>50</v>
      </c>
      <c r="X79" s="1185">
        <v>79</v>
      </c>
      <c r="Y79" s="1185">
        <v>79</v>
      </c>
      <c r="Z79" s="1185"/>
      <c r="AA79" s="1214"/>
      <c r="AB79" s="1749">
        <v>26</v>
      </c>
      <c r="AC79" s="1749">
        <v>26</v>
      </c>
      <c r="AD79" s="1749">
        <v>26</v>
      </c>
      <c r="AE79" s="1749">
        <v>26</v>
      </c>
      <c r="AF79" s="1749">
        <v>26</v>
      </c>
      <c r="AG79" s="1216"/>
      <c r="AH79" s="1"/>
      <c r="AJ79" s="638">
        <v>156.15</v>
      </c>
      <c r="AK79" s="638"/>
      <c r="AL79" s="638">
        <f t="shared" si="1"/>
        <v>156.15</v>
      </c>
      <c r="AM79" s="639">
        <f t="shared" si="0"/>
        <v>-4.1800000000000068</v>
      </c>
      <c r="AN79" s="639">
        <f>IF(AM79="","",AM79+'Juli 2024'!AN80)</f>
        <v>-40.240000000000045</v>
      </c>
    </row>
    <row r="80" spans="1:40" ht="18" customHeight="1" x14ac:dyDescent="0.2">
      <c r="A80" s="768"/>
      <c r="B80" s="1145" t="s">
        <v>178</v>
      </c>
      <c r="C80" s="1176">
        <v>8</v>
      </c>
      <c r="D80" s="1176">
        <v>8</v>
      </c>
      <c r="E80" s="1185"/>
      <c r="F80" s="1185"/>
      <c r="G80" s="1286" t="s">
        <v>50</v>
      </c>
      <c r="H80" s="1185" t="s">
        <v>50</v>
      </c>
      <c r="I80" s="1185" t="s">
        <v>50</v>
      </c>
      <c r="J80" s="1185" t="s">
        <v>50</v>
      </c>
      <c r="K80" s="1185" t="s">
        <v>50</v>
      </c>
      <c r="L80" s="1185"/>
      <c r="M80" s="1185"/>
      <c r="N80" s="1185">
        <v>1</v>
      </c>
      <c r="O80" s="1174">
        <v>1</v>
      </c>
      <c r="P80" s="1174">
        <v>1</v>
      </c>
      <c r="Q80" s="1176">
        <v>1</v>
      </c>
      <c r="R80" s="1174">
        <v>1</v>
      </c>
      <c r="S80" s="1174"/>
      <c r="T80" s="1174"/>
      <c r="U80" s="1174">
        <v>9</v>
      </c>
      <c r="V80" s="1185">
        <v>9</v>
      </c>
      <c r="W80" s="1185">
        <v>9</v>
      </c>
      <c r="X80" s="1185">
        <v>9</v>
      </c>
      <c r="Y80" s="1185">
        <v>9</v>
      </c>
      <c r="Z80" s="1185" t="s">
        <v>70</v>
      </c>
      <c r="AA80" s="1185" t="s">
        <v>70</v>
      </c>
      <c r="AB80" s="1185" t="s">
        <v>50</v>
      </c>
      <c r="AC80" s="1185" t="s">
        <v>50</v>
      </c>
      <c r="AD80" s="1286">
        <v>5</v>
      </c>
      <c r="AE80" s="1286">
        <v>5</v>
      </c>
      <c r="AF80" s="1286">
        <v>5</v>
      </c>
      <c r="AG80" s="1772" t="s">
        <v>103</v>
      </c>
      <c r="AH80" s="1"/>
      <c r="AJ80" s="638">
        <v>114.3</v>
      </c>
      <c r="AK80" s="638">
        <v>6</v>
      </c>
      <c r="AL80" s="638">
        <f t="shared" si="1"/>
        <v>120.3</v>
      </c>
      <c r="AM80" s="639">
        <f t="shared" si="0"/>
        <v>-40.030000000000015</v>
      </c>
      <c r="AN80" s="639">
        <f>IF(AM80="","",AM80+'Juli 2024'!AN81)</f>
        <v>-13.010000000000055</v>
      </c>
    </row>
    <row r="81" spans="1:40" ht="18" customHeight="1" x14ac:dyDescent="0.2">
      <c r="A81" s="768"/>
      <c r="B81" s="749" t="s">
        <v>180</v>
      </c>
      <c r="C81" s="1185" t="s">
        <v>46</v>
      </c>
      <c r="D81" s="1185" t="s">
        <v>46</v>
      </c>
      <c r="E81" s="1174" t="s">
        <v>46</v>
      </c>
      <c r="F81" s="1174" t="s">
        <v>46</v>
      </c>
      <c r="G81" s="1185" t="s">
        <v>50</v>
      </c>
      <c r="H81" s="1185" t="s">
        <v>50</v>
      </c>
      <c r="I81" s="1174" t="s">
        <v>50</v>
      </c>
      <c r="J81" s="1174" t="s">
        <v>50</v>
      </c>
      <c r="K81" s="1272" t="s">
        <v>50</v>
      </c>
      <c r="L81" s="1185"/>
      <c r="M81" s="1185"/>
      <c r="N81" s="1174" t="s">
        <v>46</v>
      </c>
      <c r="O81" s="1174" t="s">
        <v>46</v>
      </c>
      <c r="P81" s="1174" t="s">
        <v>46</v>
      </c>
      <c r="Q81" s="1174" t="s">
        <v>46</v>
      </c>
      <c r="R81" s="1174" t="s">
        <v>46</v>
      </c>
      <c r="S81" s="1174" t="s">
        <v>46</v>
      </c>
      <c r="T81" s="1174" t="s">
        <v>46</v>
      </c>
      <c r="U81" s="1185" t="s">
        <v>50</v>
      </c>
      <c r="V81" s="1174" t="s">
        <v>50</v>
      </c>
      <c r="W81" s="1174" t="s">
        <v>50</v>
      </c>
      <c r="X81" s="1174" t="s">
        <v>50</v>
      </c>
      <c r="Y81" s="1174" t="s">
        <v>50</v>
      </c>
      <c r="Z81" s="1223"/>
      <c r="AA81" s="1174"/>
      <c r="AB81" s="1616" t="s">
        <v>209</v>
      </c>
      <c r="AC81" s="636" t="s">
        <v>209</v>
      </c>
      <c r="AD81" s="636" t="s">
        <v>209</v>
      </c>
      <c r="AE81" s="636" t="s">
        <v>209</v>
      </c>
      <c r="AF81" s="1174" t="s">
        <v>209</v>
      </c>
      <c r="AG81" s="1177" t="s">
        <v>210</v>
      </c>
      <c r="AH81" s="1"/>
      <c r="AJ81" s="638">
        <v>167</v>
      </c>
      <c r="AK81" s="638">
        <v>13.75</v>
      </c>
      <c r="AL81" s="638">
        <f t="shared" si="1"/>
        <v>180.75</v>
      </c>
      <c r="AM81" s="639">
        <f t="shared" si="0"/>
        <v>20.419999999999987</v>
      </c>
      <c r="AN81" s="639">
        <f>IF(AM81="","",AM81+'Juli 2024'!AN82)</f>
        <v>16.259999999999962</v>
      </c>
    </row>
    <row r="82" spans="1:40" ht="18" customHeight="1" thickBot="1" x14ac:dyDescent="0.25">
      <c r="A82" s="768"/>
      <c r="B82" s="748" t="s">
        <v>181</v>
      </c>
      <c r="C82" s="1223" t="s">
        <v>162</v>
      </c>
      <c r="D82" s="1223" t="s">
        <v>162</v>
      </c>
      <c r="E82" s="1223" t="s">
        <v>163</v>
      </c>
      <c r="F82" s="1223" t="s">
        <v>164</v>
      </c>
      <c r="G82" s="1223" t="s">
        <v>50</v>
      </c>
      <c r="H82" s="1223" t="s">
        <v>50</v>
      </c>
      <c r="I82" s="1223" t="s">
        <v>50</v>
      </c>
      <c r="J82" s="1223" t="s">
        <v>50</v>
      </c>
      <c r="K82" s="1223" t="s">
        <v>50</v>
      </c>
      <c r="L82" s="1333"/>
      <c r="M82" s="1174"/>
      <c r="N82" s="1223" t="s">
        <v>162</v>
      </c>
      <c r="O82" s="1223" t="s">
        <v>162</v>
      </c>
      <c r="P82" s="1223" t="s">
        <v>162</v>
      </c>
      <c r="Q82" s="1223" t="s">
        <v>162</v>
      </c>
      <c r="R82" s="1223" t="s">
        <v>162</v>
      </c>
      <c r="S82" s="1223" t="s">
        <v>163</v>
      </c>
      <c r="T82" s="1223" t="s">
        <v>164</v>
      </c>
      <c r="U82" s="1174" t="s">
        <v>50</v>
      </c>
      <c r="V82" s="1185" t="s">
        <v>50</v>
      </c>
      <c r="W82" s="1185" t="s">
        <v>50</v>
      </c>
      <c r="X82" s="1185" t="s">
        <v>50</v>
      </c>
      <c r="Y82" s="1185" t="s">
        <v>50</v>
      </c>
      <c r="Z82" s="1185"/>
      <c r="AA82" s="1185"/>
      <c r="AB82" s="1223" t="s">
        <v>46</v>
      </c>
      <c r="AC82" s="1223" t="s">
        <v>46</v>
      </c>
      <c r="AD82" s="1223" t="s">
        <v>46</v>
      </c>
      <c r="AE82" s="1223" t="s">
        <v>46</v>
      </c>
      <c r="AF82" s="1223" t="s">
        <v>46</v>
      </c>
      <c r="AG82" s="1223" t="s">
        <v>46</v>
      </c>
      <c r="AH82" s="1"/>
      <c r="AJ82" s="638">
        <v>165</v>
      </c>
      <c r="AK82" s="638">
        <v>12.5</v>
      </c>
      <c r="AL82" s="638">
        <f t="shared" si="1"/>
        <v>177.5</v>
      </c>
      <c r="AM82" s="639">
        <f t="shared" si="0"/>
        <v>17.169999999999987</v>
      </c>
      <c r="AN82" s="639">
        <f>IF(AM82="","",AM82+'Juli 2024'!AN84)</f>
        <v>4.839999999999975</v>
      </c>
    </row>
    <row r="83" spans="1:40" ht="18" customHeight="1" x14ac:dyDescent="0.2">
      <c r="A83" s="768"/>
      <c r="B83" s="1747" t="s">
        <v>101</v>
      </c>
      <c r="C83" s="1262" t="s">
        <v>79</v>
      </c>
      <c r="D83" s="1332" t="s">
        <v>46</v>
      </c>
      <c r="E83" s="1223"/>
      <c r="F83" s="1223"/>
      <c r="G83" s="1174" t="s">
        <v>46</v>
      </c>
      <c r="H83" s="1174" t="s">
        <v>46</v>
      </c>
      <c r="I83" s="1174" t="s">
        <v>50</v>
      </c>
      <c r="J83" s="1174" t="s">
        <v>46</v>
      </c>
      <c r="K83" s="1174" t="s">
        <v>46</v>
      </c>
      <c r="L83" s="1179"/>
      <c r="M83" s="1332"/>
      <c r="N83" s="1174" t="s">
        <v>46</v>
      </c>
      <c r="O83" s="1174" t="s">
        <v>46</v>
      </c>
      <c r="P83" s="1174" t="s">
        <v>50</v>
      </c>
      <c r="Q83" s="1174" t="s">
        <v>46</v>
      </c>
      <c r="R83" s="1174" t="s">
        <v>46</v>
      </c>
      <c r="S83" s="1332"/>
      <c r="T83" s="1332"/>
      <c r="U83" s="1174" t="s">
        <v>46</v>
      </c>
      <c r="V83" s="1174" t="s">
        <v>46</v>
      </c>
      <c r="W83" s="1174" t="s">
        <v>50</v>
      </c>
      <c r="X83" s="1174" t="s">
        <v>46</v>
      </c>
      <c r="Y83" s="1174" t="s">
        <v>46</v>
      </c>
      <c r="Z83" s="1332"/>
      <c r="AA83" s="1332"/>
      <c r="AB83" s="1174" t="s">
        <v>46</v>
      </c>
      <c r="AC83" s="1174" t="s">
        <v>46</v>
      </c>
      <c r="AD83" s="1174" t="s">
        <v>50</v>
      </c>
      <c r="AE83" s="1174" t="s">
        <v>46</v>
      </c>
      <c r="AF83" s="1174" t="s">
        <v>46</v>
      </c>
      <c r="AG83" s="1342"/>
      <c r="AH83" s="1"/>
      <c r="AJ83" s="638">
        <f t="shared" ref="AJ83:AJ96" si="2">$AJ$12</f>
        <v>160.33000000000001</v>
      </c>
      <c r="AK83" s="638">
        <v>0</v>
      </c>
      <c r="AL83" s="638">
        <f t="shared" si="1"/>
        <v>160.33000000000001</v>
      </c>
      <c r="AM83" s="639">
        <f t="shared" si="0"/>
        <v>0</v>
      </c>
      <c r="AN83" s="639">
        <f>IF(AM83="","",AM83+'Juli 2024'!AN85)</f>
        <v>0</v>
      </c>
    </row>
    <row r="84" spans="1:40" ht="18" customHeight="1" x14ac:dyDescent="0.2">
      <c r="A84" s="768"/>
      <c r="B84" s="754" t="s">
        <v>426</v>
      </c>
      <c r="C84" s="1174" t="s">
        <v>46</v>
      </c>
      <c r="D84" s="1616">
        <v>79</v>
      </c>
      <c r="E84" s="1223"/>
      <c r="F84" s="1223"/>
      <c r="G84" s="1616" t="s">
        <v>427</v>
      </c>
      <c r="H84" s="1616" t="s">
        <v>427</v>
      </c>
      <c r="I84" s="1803">
        <v>1</v>
      </c>
      <c r="J84" s="1379">
        <v>1</v>
      </c>
      <c r="K84" s="1379">
        <v>3</v>
      </c>
      <c r="L84" s="1179"/>
      <c r="M84" s="1332"/>
      <c r="N84" s="1332">
        <v>99</v>
      </c>
      <c r="O84" s="1332">
        <v>99</v>
      </c>
      <c r="P84" s="1332">
        <v>99</v>
      </c>
      <c r="Q84" s="1332">
        <v>99</v>
      </c>
      <c r="R84" s="1332" t="s">
        <v>46</v>
      </c>
      <c r="S84" s="1332"/>
      <c r="T84" s="1332"/>
      <c r="U84" s="1324">
        <v>79</v>
      </c>
      <c r="V84" s="1324">
        <v>79</v>
      </c>
      <c r="W84" s="1804">
        <v>79</v>
      </c>
      <c r="X84" s="1176" t="s">
        <v>77</v>
      </c>
      <c r="Y84" s="1324" t="s">
        <v>77</v>
      </c>
      <c r="Z84" s="1332"/>
      <c r="AA84" s="1332"/>
      <c r="AB84" s="1336">
        <v>69</v>
      </c>
      <c r="AC84" s="1332">
        <v>69</v>
      </c>
      <c r="AD84" s="1332">
        <v>69</v>
      </c>
      <c r="AE84" s="1332">
        <v>69</v>
      </c>
      <c r="AF84" s="1332">
        <v>69</v>
      </c>
      <c r="AG84" s="1805" t="s">
        <v>143</v>
      </c>
      <c r="AH84" s="1"/>
      <c r="AJ84" s="638">
        <v>173.3</v>
      </c>
      <c r="AK84" s="638">
        <v>1</v>
      </c>
      <c r="AL84" s="638">
        <f t="shared" si="1"/>
        <v>174.3</v>
      </c>
      <c r="AM84" s="639">
        <f t="shared" si="0"/>
        <v>13.969999999999999</v>
      </c>
      <c r="AN84" s="639">
        <f>IF(AM84="","",AM84+'Juli 2024'!AN86)</f>
        <v>13.969999999999999</v>
      </c>
    </row>
    <row r="85" spans="1:40" ht="18" customHeight="1" thickBot="1" x14ac:dyDescent="0.25">
      <c r="A85" s="777"/>
      <c r="B85" s="1347" t="s">
        <v>391</v>
      </c>
      <c r="C85" s="1174" t="s">
        <v>46</v>
      </c>
      <c r="D85" s="287">
        <v>1</v>
      </c>
      <c r="E85" s="265"/>
      <c r="F85" s="266"/>
      <c r="G85" s="288" t="s">
        <v>77</v>
      </c>
      <c r="H85" s="288">
        <v>1</v>
      </c>
      <c r="I85" s="288">
        <v>21</v>
      </c>
      <c r="J85" s="293">
        <v>21</v>
      </c>
      <c r="K85" s="293">
        <v>21</v>
      </c>
      <c r="L85" s="292">
        <v>21</v>
      </c>
      <c r="M85" s="292">
        <v>21</v>
      </c>
      <c r="N85" s="1185" t="s">
        <v>50</v>
      </c>
      <c r="O85" s="1185" t="s">
        <v>50</v>
      </c>
      <c r="P85" s="1185" t="s">
        <v>50</v>
      </c>
      <c r="Q85" s="1185" t="s">
        <v>50</v>
      </c>
      <c r="R85" s="1185" t="s">
        <v>50</v>
      </c>
      <c r="S85" s="266"/>
      <c r="T85" s="265"/>
      <c r="U85" s="266">
        <v>22</v>
      </c>
      <c r="V85" s="267">
        <v>22</v>
      </c>
      <c r="W85" s="266">
        <v>22</v>
      </c>
      <c r="X85" s="266">
        <v>22</v>
      </c>
      <c r="Y85" s="266">
        <v>22</v>
      </c>
      <c r="Z85" s="266">
        <v>22</v>
      </c>
      <c r="AA85" s="266">
        <v>22</v>
      </c>
      <c r="AB85" s="1174" t="s">
        <v>50</v>
      </c>
      <c r="AC85" s="1174" t="s">
        <v>50</v>
      </c>
      <c r="AD85" s="1174" t="s">
        <v>50</v>
      </c>
      <c r="AE85" s="1174" t="s">
        <v>50</v>
      </c>
      <c r="AF85" s="1174" t="s">
        <v>50</v>
      </c>
      <c r="AG85" s="268"/>
      <c r="AH85" s="1"/>
      <c r="AJ85" s="638">
        <v>145.30000000000001</v>
      </c>
      <c r="AK85" s="638">
        <v>9.5</v>
      </c>
      <c r="AL85" s="638">
        <f>IF(AJ85="","",SUM(AJ85:AK85))</f>
        <v>154.80000000000001</v>
      </c>
      <c r="AM85" s="639">
        <f t="shared" si="0"/>
        <v>-5.5300000000000011</v>
      </c>
      <c r="AN85" s="639">
        <f>IF(AM85="","",AM85+'Juli 2024'!AN87)</f>
        <v>-5.5300000000000011</v>
      </c>
    </row>
    <row r="86" spans="1:40" ht="18" customHeight="1" x14ac:dyDescent="0.2">
      <c r="A86" s="1806"/>
      <c r="B86" s="1807" t="s">
        <v>428</v>
      </c>
      <c r="C86" s="636"/>
      <c r="D86" s="636"/>
      <c r="E86" s="636"/>
      <c r="F86" s="813"/>
      <c r="G86" s="813"/>
      <c r="H86" s="818"/>
      <c r="I86" s="818"/>
      <c r="J86" s="818"/>
      <c r="K86" s="818"/>
      <c r="L86" s="818"/>
      <c r="M86" s="818"/>
      <c r="N86" s="818"/>
      <c r="O86" s="816">
        <v>89</v>
      </c>
      <c r="P86" s="816">
        <v>89</v>
      </c>
      <c r="Q86" s="816">
        <v>89</v>
      </c>
      <c r="R86" s="816" t="s">
        <v>77</v>
      </c>
      <c r="S86" s="818"/>
      <c r="T86" s="818"/>
      <c r="U86" s="816">
        <v>6</v>
      </c>
      <c r="V86" s="816">
        <v>6</v>
      </c>
      <c r="W86" s="816">
        <v>6</v>
      </c>
      <c r="X86" s="816">
        <v>6</v>
      </c>
      <c r="Y86" s="816">
        <v>6</v>
      </c>
      <c r="Z86" s="1752" t="s">
        <v>68</v>
      </c>
      <c r="AA86" s="1752" t="s">
        <v>68</v>
      </c>
      <c r="AB86" s="1338">
        <v>8</v>
      </c>
      <c r="AC86" s="1338">
        <v>8</v>
      </c>
      <c r="AD86" s="1134">
        <v>8</v>
      </c>
      <c r="AE86" s="1134">
        <v>8</v>
      </c>
      <c r="AF86" s="1134">
        <v>8</v>
      </c>
      <c r="AG86" s="819"/>
      <c r="AH86" s="1"/>
      <c r="AJ86" s="638">
        <f>$AJ$12</f>
        <v>160.33000000000001</v>
      </c>
      <c r="AK86" s="638"/>
      <c r="AL86" s="638">
        <f>IF(AJ86="","",SUM(AJ86:AK86))</f>
        <v>160.33000000000001</v>
      </c>
      <c r="AM86" s="639">
        <f>IF(AJ86="","",AL86-_xlfn.SINGLE(NormTid))</f>
        <v>0</v>
      </c>
      <c r="AN86" s="639">
        <f>IF(AM86="","",AM86+'Juli 2024'!AN88)</f>
        <v>0</v>
      </c>
    </row>
    <row r="87" spans="1:40" ht="18" customHeight="1" thickBot="1" x14ac:dyDescent="0.25">
      <c r="A87" s="1806"/>
      <c r="B87" s="1807" t="s">
        <v>0</v>
      </c>
      <c r="C87" s="1808"/>
      <c r="D87" s="1808"/>
      <c r="E87" s="1808"/>
      <c r="F87" s="1808"/>
      <c r="G87" s="1808"/>
      <c r="H87" s="1808"/>
      <c r="I87" s="1808"/>
      <c r="J87" s="1808"/>
      <c r="K87" s="1808"/>
      <c r="L87" s="1808"/>
      <c r="M87" s="1808"/>
      <c r="N87" s="1809"/>
      <c r="O87" s="1809"/>
      <c r="P87" s="1809"/>
      <c r="Q87" s="1809"/>
      <c r="R87" s="1809"/>
      <c r="S87" s="1810"/>
      <c r="T87" s="1808"/>
      <c r="U87" s="1808"/>
      <c r="V87" s="1811"/>
      <c r="W87" s="1808"/>
      <c r="X87" s="1808"/>
      <c r="Y87" s="1810"/>
      <c r="Z87" s="1808"/>
      <c r="AA87" s="1808"/>
      <c r="AB87" s="1810"/>
      <c r="AC87" s="1810"/>
      <c r="AD87" s="1810"/>
      <c r="AE87" s="1810"/>
      <c r="AF87" s="1810"/>
      <c r="AG87" s="1812"/>
      <c r="AH87" s="1"/>
      <c r="AJ87" s="638"/>
      <c r="AK87" s="638"/>
      <c r="AL87" s="638"/>
      <c r="AM87" s="639"/>
      <c r="AN87" s="639"/>
    </row>
    <row r="88" spans="1:40" ht="18" customHeight="1" thickBot="1" x14ac:dyDescent="0.25">
      <c r="A88" s="242"/>
      <c r="B88" s="243" t="s">
        <v>182</v>
      </c>
      <c r="C88" s="1731">
        <v>1</v>
      </c>
      <c r="D88" s="1731">
        <v>2</v>
      </c>
      <c r="E88" s="1732">
        <v>3</v>
      </c>
      <c r="F88" s="1732">
        <v>4</v>
      </c>
      <c r="G88" s="1731">
        <v>5</v>
      </c>
      <c r="H88" s="1731">
        <v>6</v>
      </c>
      <c r="I88" s="1731">
        <v>7</v>
      </c>
      <c r="J88" s="1731">
        <v>8</v>
      </c>
      <c r="K88" s="1731">
        <v>9</v>
      </c>
      <c r="L88" s="1732">
        <v>10</v>
      </c>
      <c r="M88" s="1732">
        <v>11</v>
      </c>
      <c r="N88" s="1731">
        <v>12</v>
      </c>
      <c r="O88" s="1731">
        <v>13</v>
      </c>
      <c r="P88" s="1731">
        <v>14</v>
      </c>
      <c r="Q88" s="1731">
        <v>15</v>
      </c>
      <c r="R88" s="1731">
        <v>16</v>
      </c>
      <c r="S88" s="1732">
        <v>17</v>
      </c>
      <c r="T88" s="1732">
        <v>18</v>
      </c>
      <c r="U88" s="1731">
        <v>19</v>
      </c>
      <c r="V88" s="1731">
        <v>20</v>
      </c>
      <c r="W88" s="1731">
        <v>21</v>
      </c>
      <c r="X88" s="1731">
        <v>22</v>
      </c>
      <c r="Y88" s="1731">
        <v>23</v>
      </c>
      <c r="Z88" s="1732">
        <v>24</v>
      </c>
      <c r="AA88" s="1732">
        <v>25</v>
      </c>
      <c r="AB88" s="1731">
        <v>26</v>
      </c>
      <c r="AC88" s="1731">
        <v>27</v>
      </c>
      <c r="AD88" s="1731">
        <v>28</v>
      </c>
      <c r="AE88" s="1731">
        <v>29</v>
      </c>
      <c r="AF88" s="1731">
        <v>30</v>
      </c>
      <c r="AG88" s="1732">
        <v>31</v>
      </c>
      <c r="AH88" s="1"/>
      <c r="AJ88" s="638"/>
      <c r="AK88" s="638"/>
      <c r="AL88" s="638"/>
      <c r="AM88" s="639"/>
      <c r="AN88" s="639"/>
    </row>
    <row r="89" spans="1:40" ht="15.75" thickBot="1" x14ac:dyDescent="0.25">
      <c r="A89" s="789"/>
      <c r="B89" s="1813" t="s">
        <v>183</v>
      </c>
      <c r="C89" s="1506" t="s">
        <v>50</v>
      </c>
      <c r="D89" s="1195">
        <v>69</v>
      </c>
      <c r="E89" s="1507"/>
      <c r="F89" s="1507"/>
      <c r="G89" s="1507" t="s">
        <v>153</v>
      </c>
      <c r="H89" s="1507" t="s">
        <v>153</v>
      </c>
      <c r="I89" s="1814" t="s">
        <v>188</v>
      </c>
      <c r="J89" s="1814" t="s">
        <v>188</v>
      </c>
      <c r="K89" s="1814" t="s">
        <v>188</v>
      </c>
      <c r="L89" s="1195"/>
      <c r="M89" s="1815"/>
      <c r="N89" s="1815">
        <v>79</v>
      </c>
      <c r="O89" s="1815">
        <v>79</v>
      </c>
      <c r="P89" s="1815">
        <v>79</v>
      </c>
      <c r="Q89" s="1815">
        <v>79</v>
      </c>
      <c r="R89" s="1815">
        <v>79</v>
      </c>
      <c r="S89" s="1815">
        <v>89</v>
      </c>
      <c r="T89" s="1815"/>
      <c r="U89" s="1815" t="s">
        <v>414</v>
      </c>
      <c r="V89" s="1816" t="s">
        <v>414</v>
      </c>
      <c r="W89" s="1816" t="s">
        <v>414</v>
      </c>
      <c r="X89" s="1816" t="s">
        <v>414</v>
      </c>
      <c r="Y89" s="1816" t="s">
        <v>414</v>
      </c>
      <c r="Z89" s="1816" t="s">
        <v>68</v>
      </c>
      <c r="AA89" s="1816"/>
      <c r="AB89" s="250">
        <v>21</v>
      </c>
      <c r="AC89" s="250">
        <v>21</v>
      </c>
      <c r="AD89" s="252">
        <v>21</v>
      </c>
      <c r="AE89" s="251">
        <v>21</v>
      </c>
      <c r="AF89" s="252">
        <v>21</v>
      </c>
      <c r="AG89" s="250">
        <v>21</v>
      </c>
      <c r="AH89" s="1"/>
      <c r="AJ89" s="638">
        <v>191.3</v>
      </c>
      <c r="AK89" s="638">
        <v>8.25</v>
      </c>
      <c r="AL89" s="638">
        <f t="shared" si="1"/>
        <v>199.55</v>
      </c>
      <c r="AM89" s="639">
        <f t="shared" si="0"/>
        <v>39.22</v>
      </c>
      <c r="AN89" s="639">
        <f>IF(AM89="","",AM89+'Juli 2024'!AN89)</f>
        <v>79.569999999999965</v>
      </c>
    </row>
    <row r="90" spans="1:40" ht="18" customHeight="1" x14ac:dyDescent="0.2">
      <c r="A90" s="768"/>
      <c r="B90" s="1145" t="s">
        <v>184</v>
      </c>
      <c r="C90" s="1817">
        <v>21</v>
      </c>
      <c r="D90" s="1817">
        <v>21</v>
      </c>
      <c r="E90" s="1817">
        <v>21</v>
      </c>
      <c r="F90" s="1817">
        <v>21</v>
      </c>
      <c r="G90" s="1817" t="s">
        <v>50</v>
      </c>
      <c r="H90" s="1817" t="s">
        <v>50</v>
      </c>
      <c r="I90" s="1817" t="s">
        <v>50</v>
      </c>
      <c r="J90" s="1817" t="s">
        <v>50</v>
      </c>
      <c r="K90" s="1818" t="s">
        <v>50</v>
      </c>
      <c r="L90" s="1818" t="s">
        <v>0</v>
      </c>
      <c r="M90" s="1818" t="s">
        <v>0</v>
      </c>
      <c r="N90" s="1817">
        <v>22</v>
      </c>
      <c r="O90" s="1817">
        <v>22</v>
      </c>
      <c r="P90" s="1817">
        <v>22</v>
      </c>
      <c r="Q90" s="1817">
        <v>22</v>
      </c>
      <c r="R90" s="1817">
        <v>22</v>
      </c>
      <c r="S90" s="1817">
        <v>22</v>
      </c>
      <c r="T90" s="1817">
        <v>22</v>
      </c>
      <c r="U90" s="1817" t="s">
        <v>50</v>
      </c>
      <c r="V90" s="1817" t="s">
        <v>50</v>
      </c>
      <c r="W90" s="1817" t="s">
        <v>50</v>
      </c>
      <c r="X90" s="1817" t="s">
        <v>50</v>
      </c>
      <c r="Y90" s="1819" t="s">
        <v>145</v>
      </c>
      <c r="Z90" s="1819" t="s">
        <v>147</v>
      </c>
      <c r="AA90" s="1819" t="s">
        <v>148</v>
      </c>
      <c r="AB90" s="1817">
        <v>23</v>
      </c>
      <c r="AC90" s="1817">
        <v>23</v>
      </c>
      <c r="AD90" s="1817">
        <v>23</v>
      </c>
      <c r="AE90" s="1820">
        <v>23</v>
      </c>
      <c r="AF90" s="1820">
        <v>23</v>
      </c>
      <c r="AG90" s="1821">
        <v>23</v>
      </c>
      <c r="AH90" s="1"/>
      <c r="AJ90" s="638">
        <v>178.45</v>
      </c>
      <c r="AK90" s="638"/>
      <c r="AL90" s="638">
        <f t="shared" si="1"/>
        <v>178.45</v>
      </c>
      <c r="AM90" s="639">
        <f t="shared" si="0"/>
        <v>18.119999999999976</v>
      </c>
      <c r="AN90" s="639">
        <f>IF(AM90="","",AM90+'Juli 2024'!AN90)</f>
        <v>1.2999999999999403</v>
      </c>
    </row>
    <row r="91" spans="1:40" ht="18" customHeight="1" thickBot="1" x14ac:dyDescent="0.25">
      <c r="A91" s="768"/>
      <c r="B91" s="749" t="s">
        <v>190</v>
      </c>
      <c r="C91" s="635" t="s">
        <v>50</v>
      </c>
      <c r="D91" s="281" t="s">
        <v>414</v>
      </c>
      <c r="E91" s="635"/>
      <c r="F91" s="799"/>
      <c r="G91" s="799" t="s">
        <v>414</v>
      </c>
      <c r="H91" s="636" t="s">
        <v>414</v>
      </c>
      <c r="I91" s="636" t="s">
        <v>414</v>
      </c>
      <c r="J91" s="636" t="s">
        <v>414</v>
      </c>
      <c r="K91" s="812" t="s">
        <v>414</v>
      </c>
      <c r="L91" s="812"/>
      <c r="M91" s="636"/>
      <c r="N91" s="636">
        <v>8</v>
      </c>
      <c r="O91" s="636">
        <v>8</v>
      </c>
      <c r="P91" s="636">
        <v>8</v>
      </c>
      <c r="Q91" s="803" t="s">
        <v>72</v>
      </c>
      <c r="R91" s="636" t="s">
        <v>139</v>
      </c>
      <c r="S91" s="636" t="s">
        <v>140</v>
      </c>
      <c r="T91" s="812" t="s">
        <v>141</v>
      </c>
      <c r="U91" s="636" t="s">
        <v>50</v>
      </c>
      <c r="V91" s="799" t="s">
        <v>50</v>
      </c>
      <c r="W91" s="799" t="s">
        <v>50</v>
      </c>
      <c r="X91" s="799" t="s">
        <v>68</v>
      </c>
      <c r="Y91" s="799" t="s">
        <v>68</v>
      </c>
      <c r="Z91" s="799" t="s">
        <v>68</v>
      </c>
      <c r="AA91" s="799" t="s">
        <v>68</v>
      </c>
      <c r="AB91" s="799" t="s">
        <v>309</v>
      </c>
      <c r="AC91" s="813" t="s">
        <v>309</v>
      </c>
      <c r="AD91" s="635" t="s">
        <v>309</v>
      </c>
      <c r="AE91" s="635" t="s">
        <v>309</v>
      </c>
      <c r="AF91" s="635" t="s">
        <v>309</v>
      </c>
      <c r="AG91" s="814"/>
      <c r="AH91" s="1"/>
      <c r="AJ91" s="638">
        <v>146.30000000000001</v>
      </c>
      <c r="AK91" s="638"/>
      <c r="AL91" s="638">
        <f t="shared" si="1"/>
        <v>146.30000000000001</v>
      </c>
      <c r="AM91" s="639">
        <f t="shared" si="0"/>
        <v>-14.030000000000001</v>
      </c>
      <c r="AN91" s="639">
        <f>IF(AM91="","",AM91+'Juli 2024'!AN91)</f>
        <v>-71.930000000000035</v>
      </c>
    </row>
    <row r="92" spans="1:40" ht="18" customHeight="1" x14ac:dyDescent="0.2">
      <c r="A92" s="768"/>
      <c r="B92" s="275" t="s">
        <v>409</v>
      </c>
      <c r="C92" s="635" t="s">
        <v>421</v>
      </c>
      <c r="D92" s="635" t="s">
        <v>139</v>
      </c>
      <c r="E92" s="635" t="s">
        <v>140</v>
      </c>
      <c r="F92" s="799" t="s">
        <v>141</v>
      </c>
      <c r="G92" s="799" t="s">
        <v>50</v>
      </c>
      <c r="H92" s="636" t="s">
        <v>50</v>
      </c>
      <c r="I92" s="636" t="s">
        <v>50</v>
      </c>
      <c r="J92" s="636" t="s">
        <v>160</v>
      </c>
      <c r="K92" s="635" t="s">
        <v>139</v>
      </c>
      <c r="L92" s="635" t="s">
        <v>140</v>
      </c>
      <c r="M92" s="799" t="s">
        <v>141</v>
      </c>
      <c r="N92" s="1818" t="s">
        <v>50</v>
      </c>
      <c r="O92" s="1818" t="s">
        <v>50</v>
      </c>
      <c r="P92" s="1818" t="s">
        <v>50</v>
      </c>
      <c r="Q92" s="1818" t="s">
        <v>50</v>
      </c>
      <c r="R92" s="252" t="s">
        <v>145</v>
      </c>
      <c r="S92" s="252" t="s">
        <v>147</v>
      </c>
      <c r="T92" s="252" t="s">
        <v>148</v>
      </c>
      <c r="U92" s="1817" t="s">
        <v>50</v>
      </c>
      <c r="V92" s="1817" t="s">
        <v>50</v>
      </c>
      <c r="W92" s="1817" t="s">
        <v>50</v>
      </c>
      <c r="X92" s="1817" t="s">
        <v>50</v>
      </c>
      <c r="Y92" s="1174" t="s">
        <v>139</v>
      </c>
      <c r="Z92" s="1174" t="s">
        <v>140</v>
      </c>
      <c r="AA92" s="1262" t="s">
        <v>141</v>
      </c>
      <c r="AB92" s="1822" t="s">
        <v>50</v>
      </c>
      <c r="AC92" s="1822" t="s">
        <v>50</v>
      </c>
      <c r="AD92" s="1822" t="s">
        <v>50</v>
      </c>
      <c r="AE92" s="805">
        <v>89</v>
      </c>
      <c r="AF92" s="805" t="s">
        <v>79</v>
      </c>
      <c r="AG92" s="801"/>
      <c r="AH92" s="1"/>
      <c r="AJ92" s="638">
        <v>138.30000000000001</v>
      </c>
      <c r="AK92" s="638">
        <v>9.75</v>
      </c>
      <c r="AL92" s="638">
        <f t="shared" si="1"/>
        <v>148.05000000000001</v>
      </c>
      <c r="AM92" s="639">
        <f t="shared" si="0"/>
        <v>-12.280000000000001</v>
      </c>
      <c r="AN92" s="639">
        <f>IF(AM92="","",AM92+'Juli 2024'!AN92)</f>
        <v>-1.7800000000000011</v>
      </c>
    </row>
    <row r="93" spans="1:40" ht="18" customHeight="1" x14ac:dyDescent="0.2">
      <c r="A93" s="768"/>
      <c r="B93" s="1137"/>
      <c r="C93" s="636"/>
      <c r="D93" s="636"/>
      <c r="E93" s="636"/>
      <c r="F93" s="636"/>
      <c r="G93" s="636"/>
      <c r="H93" s="636"/>
      <c r="I93" s="636"/>
      <c r="J93" s="636"/>
      <c r="K93" s="636"/>
      <c r="L93" s="636"/>
      <c r="M93" s="636"/>
      <c r="N93" s="636"/>
      <c r="O93" s="636"/>
      <c r="P93" s="636"/>
      <c r="Q93" s="636"/>
      <c r="R93" s="636"/>
      <c r="S93" s="636"/>
      <c r="T93" s="636"/>
      <c r="U93" s="636"/>
      <c r="V93" s="636"/>
      <c r="W93" s="636"/>
      <c r="X93" s="636"/>
      <c r="Y93" s="636"/>
      <c r="Z93" s="636"/>
      <c r="AA93" s="636"/>
      <c r="AB93" s="636"/>
      <c r="AC93" s="636"/>
      <c r="AD93" s="636"/>
      <c r="AE93" s="636"/>
      <c r="AF93" s="636"/>
      <c r="AG93" s="819"/>
      <c r="AH93" s="1"/>
      <c r="AJ93" s="638">
        <f t="shared" si="2"/>
        <v>160.33000000000001</v>
      </c>
      <c r="AK93" s="638"/>
      <c r="AL93" s="638">
        <f t="shared" si="1"/>
        <v>160.33000000000001</v>
      </c>
      <c r="AM93" s="639">
        <f t="shared" si="0"/>
        <v>0</v>
      </c>
      <c r="AN93" s="639">
        <f>IF(AM93="","",AM93+'Juli 2024'!AN93)</f>
        <v>0</v>
      </c>
    </row>
    <row r="94" spans="1:40" ht="18" customHeight="1" x14ac:dyDescent="0.2">
      <c r="A94" s="768"/>
      <c r="B94" s="749" t="s">
        <v>0</v>
      </c>
      <c r="C94" s="636"/>
      <c r="D94" s="636"/>
      <c r="E94" s="636"/>
      <c r="F94" s="813"/>
      <c r="G94" s="813"/>
      <c r="H94" s="818"/>
      <c r="I94" s="818"/>
      <c r="J94" s="818"/>
      <c r="K94" s="818"/>
      <c r="L94" s="818"/>
      <c r="M94" s="818"/>
      <c r="N94" s="818"/>
      <c r="O94" s="818"/>
      <c r="P94" s="818"/>
      <c r="Q94" s="818"/>
      <c r="R94" s="818"/>
      <c r="S94" s="818"/>
      <c r="T94" s="818"/>
      <c r="U94" s="818"/>
      <c r="V94" s="818"/>
      <c r="W94" s="818"/>
      <c r="X94" s="818"/>
      <c r="Y94" s="818"/>
      <c r="Z94" s="818"/>
      <c r="AA94" s="818"/>
      <c r="AB94" s="818"/>
      <c r="AC94" s="818"/>
      <c r="AD94" s="818"/>
      <c r="AE94" s="818"/>
      <c r="AF94" s="818"/>
      <c r="AG94" s="819"/>
      <c r="AH94" s="1"/>
      <c r="AJ94" s="638">
        <f t="shared" si="2"/>
        <v>160.33000000000001</v>
      </c>
      <c r="AK94" s="638"/>
      <c r="AL94" s="638">
        <f t="shared" si="1"/>
        <v>160.33000000000001</v>
      </c>
      <c r="AM94" s="639">
        <f t="shared" si="0"/>
        <v>0</v>
      </c>
      <c r="AN94" s="639">
        <f>IF(AM94="","",AM94+'Juli 2024'!AN94)</f>
        <v>0</v>
      </c>
    </row>
    <row r="95" spans="1:40" ht="18" customHeight="1" x14ac:dyDescent="0.2">
      <c r="A95" s="768"/>
      <c r="B95" s="749" t="s">
        <v>0</v>
      </c>
      <c r="C95" s="636"/>
      <c r="D95" s="636"/>
      <c r="E95" s="636"/>
      <c r="F95" s="813"/>
      <c r="G95" s="813"/>
      <c r="H95" s="818"/>
      <c r="I95" s="818"/>
      <c r="J95" s="818"/>
      <c r="K95" s="818"/>
      <c r="L95" s="818"/>
      <c r="M95" s="818"/>
      <c r="N95" s="818"/>
      <c r="O95" s="818"/>
      <c r="P95" s="818"/>
      <c r="Q95" s="818"/>
      <c r="R95" s="818"/>
      <c r="S95" s="818"/>
      <c r="T95" s="818"/>
      <c r="U95" s="818"/>
      <c r="V95" s="818"/>
      <c r="W95" s="818"/>
      <c r="X95" s="818"/>
      <c r="Y95" s="818"/>
      <c r="Z95" s="818"/>
      <c r="AA95" s="818"/>
      <c r="AB95" s="818"/>
      <c r="AC95" s="818"/>
      <c r="AD95" s="818"/>
      <c r="AE95" s="818"/>
      <c r="AF95" s="818"/>
      <c r="AG95" s="819"/>
      <c r="AH95" s="1"/>
      <c r="AJ95" s="638">
        <f t="shared" si="2"/>
        <v>160.33000000000001</v>
      </c>
      <c r="AK95" s="638"/>
      <c r="AL95" s="638">
        <f t="shared" si="1"/>
        <v>160.33000000000001</v>
      </c>
      <c r="AM95" s="639">
        <f t="shared" si="0"/>
        <v>0</v>
      </c>
      <c r="AN95" s="639">
        <f>IF(AM95="","",AM95+'Juli 2024'!AN95)</f>
        <v>0</v>
      </c>
    </row>
    <row r="96" spans="1:40" ht="18" customHeight="1" thickBot="1" x14ac:dyDescent="0.25">
      <c r="A96" s="768"/>
      <c r="B96" s="749" t="s">
        <v>0</v>
      </c>
      <c r="C96" s="636"/>
      <c r="D96" s="636"/>
      <c r="E96" s="636"/>
      <c r="F96" s="813"/>
      <c r="G96" s="813"/>
      <c r="H96" s="818"/>
      <c r="I96" s="818"/>
      <c r="J96" s="818"/>
      <c r="K96" s="818"/>
      <c r="L96" s="818"/>
      <c r="M96" s="818"/>
      <c r="N96" s="818"/>
      <c r="O96" s="818"/>
      <c r="P96" s="818"/>
      <c r="Q96" s="818"/>
      <c r="R96" s="818"/>
      <c r="S96" s="818"/>
      <c r="T96" s="818"/>
      <c r="U96" s="818"/>
      <c r="V96" s="818"/>
      <c r="W96" s="818"/>
      <c r="X96" s="818"/>
      <c r="Y96" s="818"/>
      <c r="Z96" s="818"/>
      <c r="AA96" s="818"/>
      <c r="AB96" s="818"/>
      <c r="AC96" s="818"/>
      <c r="AD96" s="818"/>
      <c r="AE96" s="818"/>
      <c r="AF96" s="818"/>
      <c r="AG96" s="819"/>
      <c r="AH96" s="1"/>
      <c r="AJ96" s="638">
        <f t="shared" si="2"/>
        <v>160.33000000000001</v>
      </c>
      <c r="AK96" s="638"/>
      <c r="AL96" s="638">
        <f t="shared" si="1"/>
        <v>160.33000000000001</v>
      </c>
      <c r="AM96" s="639">
        <f t="shared" si="0"/>
        <v>0</v>
      </c>
      <c r="AN96" s="639">
        <f>IF(AM96="","",AM96+'Juli 2024'!AN93)</f>
        <v>0</v>
      </c>
    </row>
    <row r="97" spans="1:40" ht="18" customHeight="1" thickBot="1" x14ac:dyDescent="0.25">
      <c r="A97" s="42"/>
      <c r="B97" s="1823" t="s">
        <v>191</v>
      </c>
      <c r="C97" s="1363">
        <v>1</v>
      </c>
      <c r="D97" s="1363">
        <v>2</v>
      </c>
      <c r="E97" s="1824">
        <v>3</v>
      </c>
      <c r="F97" s="1824">
        <v>4</v>
      </c>
      <c r="G97" s="1363">
        <v>5</v>
      </c>
      <c r="H97" s="1363">
        <v>6</v>
      </c>
      <c r="I97" s="1363">
        <v>7</v>
      </c>
      <c r="J97" s="1363">
        <v>8</v>
      </c>
      <c r="K97" s="1363">
        <v>9</v>
      </c>
      <c r="L97" s="1824">
        <v>10</v>
      </c>
      <c r="M97" s="1824">
        <v>11</v>
      </c>
      <c r="N97" s="1363">
        <v>12</v>
      </c>
      <c r="O97" s="1363">
        <v>13</v>
      </c>
      <c r="P97" s="1363">
        <v>14</v>
      </c>
      <c r="Q97" s="1363">
        <v>15</v>
      </c>
      <c r="R97" s="1363">
        <v>16</v>
      </c>
      <c r="S97" s="1824">
        <v>17</v>
      </c>
      <c r="T97" s="1824">
        <v>18</v>
      </c>
      <c r="U97" s="1363">
        <v>19</v>
      </c>
      <c r="V97" s="1363">
        <v>20</v>
      </c>
      <c r="W97" s="1363">
        <v>21</v>
      </c>
      <c r="X97" s="1363">
        <v>22</v>
      </c>
      <c r="Y97" s="1363">
        <v>23</v>
      </c>
      <c r="Z97" s="1824">
        <v>24</v>
      </c>
      <c r="AA97" s="1824">
        <v>25</v>
      </c>
      <c r="AB97" s="1363">
        <v>26</v>
      </c>
      <c r="AC97" s="1363">
        <v>27</v>
      </c>
      <c r="AD97" s="1363">
        <v>28</v>
      </c>
      <c r="AE97" s="1363">
        <v>29</v>
      </c>
      <c r="AF97" s="1363">
        <v>30</v>
      </c>
      <c r="AG97" s="1825">
        <v>31</v>
      </c>
      <c r="AH97" s="1"/>
      <c r="AJ97" s="1366"/>
      <c r="AK97" s="1366"/>
      <c r="AL97" s="1366"/>
      <c r="AM97" s="1367"/>
      <c r="AN97" s="1367"/>
    </row>
    <row r="98" spans="1:40" ht="18" customHeight="1" thickBot="1" x14ac:dyDescent="0.25">
      <c r="A98" s="1826"/>
      <c r="B98" s="1373" t="s">
        <v>194</v>
      </c>
      <c r="C98" s="1488" t="s">
        <v>46</v>
      </c>
      <c r="D98" s="1488" t="s">
        <v>46</v>
      </c>
      <c r="E98" s="1488"/>
      <c r="F98" s="1488"/>
      <c r="G98" s="1488" t="s">
        <v>46</v>
      </c>
      <c r="H98" s="1488" t="s">
        <v>46</v>
      </c>
      <c r="I98" s="1488" t="s">
        <v>46</v>
      </c>
      <c r="J98" s="1488" t="s">
        <v>46</v>
      </c>
      <c r="K98" s="1488" t="s">
        <v>46</v>
      </c>
      <c r="L98" s="1488"/>
      <c r="M98" s="1488"/>
      <c r="N98" s="1827" t="s">
        <v>142</v>
      </c>
      <c r="O98" s="1827" t="s">
        <v>142</v>
      </c>
      <c r="P98" s="1827" t="s">
        <v>142</v>
      </c>
      <c r="Q98" s="1827" t="s">
        <v>142</v>
      </c>
      <c r="R98" s="1827" t="s">
        <v>142</v>
      </c>
      <c r="S98" s="1828"/>
      <c r="T98" s="1829">
        <v>26</v>
      </c>
      <c r="U98" s="1827">
        <v>25</v>
      </c>
      <c r="V98" s="1827">
        <v>25</v>
      </c>
      <c r="W98" s="1809">
        <v>25</v>
      </c>
      <c r="X98" s="1809">
        <v>25</v>
      </c>
      <c r="Y98" s="1827">
        <v>25</v>
      </c>
      <c r="Z98" s="1809"/>
      <c r="AA98" s="1809"/>
      <c r="AB98" s="1809">
        <v>89</v>
      </c>
      <c r="AC98" s="1808" t="s">
        <v>80</v>
      </c>
      <c r="AD98" s="1808" t="s">
        <v>80</v>
      </c>
      <c r="AE98" s="1808" t="s">
        <v>429</v>
      </c>
      <c r="AF98" s="1808" t="s">
        <v>80</v>
      </c>
      <c r="AG98" s="1830" t="s">
        <v>80</v>
      </c>
      <c r="AH98" s="1"/>
      <c r="AJ98" s="123"/>
      <c r="AK98" s="123"/>
      <c r="AL98" s="123"/>
      <c r="AM98" s="215"/>
      <c r="AN98" s="215"/>
    </row>
    <row r="99" spans="1:40" ht="18" customHeight="1" thickBot="1" x14ac:dyDescent="0.25">
      <c r="A99" s="1371"/>
      <c r="B99" s="70" t="s">
        <v>430</v>
      </c>
      <c r="C99" s="1820"/>
      <c r="D99" s="1820"/>
      <c r="E99" s="1820"/>
      <c r="F99" s="1820"/>
      <c r="G99" s="1820" t="s">
        <v>46</v>
      </c>
      <c r="H99" s="1820" t="s">
        <v>46</v>
      </c>
      <c r="I99" s="1820" t="s">
        <v>46</v>
      </c>
      <c r="J99" s="1820" t="s">
        <v>46</v>
      </c>
      <c r="K99" s="1820" t="s">
        <v>46</v>
      </c>
      <c r="L99" s="1820"/>
      <c r="M99" s="1820"/>
      <c r="N99" s="1820" t="s">
        <v>46</v>
      </c>
      <c r="O99" s="1820" t="s">
        <v>46</v>
      </c>
      <c r="P99" s="1820" t="s">
        <v>46</v>
      </c>
      <c r="Q99" s="1820" t="s">
        <v>46</v>
      </c>
      <c r="R99" s="1820" t="s">
        <v>46</v>
      </c>
      <c r="S99" s="1820"/>
      <c r="T99" s="1820"/>
      <c r="U99" s="1820" t="s">
        <v>46</v>
      </c>
      <c r="V99" s="1820" t="s">
        <v>46</v>
      </c>
      <c r="W99" s="1820" t="s">
        <v>46</v>
      </c>
      <c r="X99" s="1820" t="s">
        <v>46</v>
      </c>
      <c r="Y99" s="1820" t="s">
        <v>46</v>
      </c>
      <c r="Z99" s="1820"/>
      <c r="AA99" s="1820"/>
      <c r="AB99" s="1820" t="s">
        <v>46</v>
      </c>
      <c r="AC99" s="1820" t="s">
        <v>46</v>
      </c>
      <c r="AD99" s="1820" t="s">
        <v>46</v>
      </c>
      <c r="AE99" s="1820" t="s">
        <v>46</v>
      </c>
      <c r="AF99" s="1820" t="s">
        <v>46</v>
      </c>
      <c r="AG99" s="1831"/>
      <c r="AH99" s="1"/>
      <c r="AJ99" s="123"/>
      <c r="AK99" s="123"/>
      <c r="AL99" s="123"/>
      <c r="AM99" s="123"/>
      <c r="AN99" s="123"/>
    </row>
    <row r="100" spans="1:40" ht="18" customHeight="1" x14ac:dyDescent="0.2">
      <c r="A100" s="1371"/>
      <c r="B100" s="70" t="s">
        <v>431</v>
      </c>
      <c r="C100" s="1832"/>
      <c r="D100" s="1832"/>
      <c r="E100" s="1832"/>
      <c r="F100" s="1832"/>
      <c r="G100" s="1820" t="s">
        <v>46</v>
      </c>
      <c r="H100" s="1820" t="s">
        <v>46</v>
      </c>
      <c r="I100" s="1820" t="s">
        <v>46</v>
      </c>
      <c r="J100" s="1820" t="s">
        <v>46</v>
      </c>
      <c r="K100" s="1820" t="s">
        <v>46</v>
      </c>
      <c r="L100" s="1832"/>
      <c r="M100" s="1832"/>
      <c r="N100" s="1820" t="s">
        <v>46</v>
      </c>
      <c r="O100" s="1820" t="s">
        <v>46</v>
      </c>
      <c r="P100" s="1820" t="s">
        <v>46</v>
      </c>
      <c r="Q100" s="1820" t="s">
        <v>46</v>
      </c>
      <c r="R100" s="1820" t="s">
        <v>46</v>
      </c>
      <c r="S100" s="799"/>
      <c r="T100" s="799"/>
      <c r="U100" s="1820" t="s">
        <v>46</v>
      </c>
      <c r="V100" s="1820" t="s">
        <v>46</v>
      </c>
      <c r="W100" s="1820" t="s">
        <v>46</v>
      </c>
      <c r="X100" s="1820" t="s">
        <v>46</v>
      </c>
      <c r="Y100" s="1820" t="s">
        <v>46</v>
      </c>
      <c r="Z100" s="799"/>
      <c r="AA100" s="799"/>
      <c r="AB100" s="1820" t="s">
        <v>46</v>
      </c>
      <c r="AC100" s="1820" t="s">
        <v>46</v>
      </c>
      <c r="AD100" s="1820" t="s">
        <v>46</v>
      </c>
      <c r="AE100" s="1820" t="s">
        <v>46</v>
      </c>
      <c r="AF100" s="1820" t="s">
        <v>46</v>
      </c>
      <c r="AG100" s="801"/>
      <c r="AH100" s="1"/>
      <c r="AJ100" s="123"/>
      <c r="AK100" s="123"/>
      <c r="AL100" s="123"/>
      <c r="AM100" s="123"/>
      <c r="AN100" s="123"/>
    </row>
    <row r="101" spans="1:40" ht="18" customHeight="1" thickBot="1" x14ac:dyDescent="0.25">
      <c r="A101" s="1311"/>
      <c r="B101" s="1374"/>
      <c r="C101" s="799" t="s">
        <v>46</v>
      </c>
      <c r="D101" s="799" t="s">
        <v>46</v>
      </c>
      <c r="E101" s="799"/>
      <c r="F101" s="799"/>
      <c r="G101" s="799" t="s">
        <v>46</v>
      </c>
      <c r="H101" s="636" t="s">
        <v>46</v>
      </c>
      <c r="I101" s="636" t="s">
        <v>46</v>
      </c>
      <c r="J101" s="799" t="s">
        <v>46</v>
      </c>
      <c r="K101" s="799" t="s">
        <v>46</v>
      </c>
      <c r="L101" s="799"/>
      <c r="M101" s="799"/>
      <c r="N101" s="799" t="s">
        <v>46</v>
      </c>
      <c r="O101" s="636" t="s">
        <v>46</v>
      </c>
      <c r="P101" s="636" t="s">
        <v>46</v>
      </c>
      <c r="Q101" s="799" t="s">
        <v>46</v>
      </c>
      <c r="R101" s="799" t="s">
        <v>46</v>
      </c>
      <c r="S101" s="799"/>
      <c r="T101" s="799"/>
      <c r="U101" s="799" t="s">
        <v>46</v>
      </c>
      <c r="V101" s="636" t="s">
        <v>46</v>
      </c>
      <c r="W101" s="636" t="s">
        <v>46</v>
      </c>
      <c r="X101" s="799" t="s">
        <v>46</v>
      </c>
      <c r="Y101" s="799" t="s">
        <v>46</v>
      </c>
      <c r="Z101" s="799"/>
      <c r="AA101" s="799"/>
      <c r="AB101" s="799" t="s">
        <v>46</v>
      </c>
      <c r="AC101" s="636" t="s">
        <v>46</v>
      </c>
      <c r="AD101" s="636" t="s">
        <v>46</v>
      </c>
      <c r="AE101" s="799" t="s">
        <v>46</v>
      </c>
      <c r="AF101" s="799" t="s">
        <v>46</v>
      </c>
      <c r="AG101" s="801"/>
      <c r="AH101" s="1"/>
      <c r="AJ101" s="123"/>
      <c r="AK101" s="123"/>
      <c r="AL101" s="123"/>
      <c r="AM101" s="123"/>
      <c r="AN101" s="123"/>
    </row>
    <row r="102" spans="1:40" ht="18" customHeight="1" thickBot="1" x14ac:dyDescent="0.25">
      <c r="A102" s="841"/>
      <c r="B102" s="1833" t="s">
        <v>44</v>
      </c>
      <c r="C102" s="1363">
        <v>1</v>
      </c>
      <c r="D102" s="1363">
        <v>2</v>
      </c>
      <c r="E102" s="1824">
        <v>3</v>
      </c>
      <c r="F102" s="1824">
        <v>4</v>
      </c>
      <c r="G102" s="1363">
        <v>5</v>
      </c>
      <c r="H102" s="1363">
        <v>6</v>
      </c>
      <c r="I102" s="1363">
        <v>7</v>
      </c>
      <c r="J102" s="1363">
        <v>8</v>
      </c>
      <c r="K102" s="1363">
        <v>9</v>
      </c>
      <c r="L102" s="1824">
        <v>10</v>
      </c>
      <c r="M102" s="1824">
        <v>11</v>
      </c>
      <c r="N102" s="1363">
        <v>12</v>
      </c>
      <c r="O102" s="1363">
        <v>13</v>
      </c>
      <c r="P102" s="1363">
        <v>14</v>
      </c>
      <c r="Q102" s="1363">
        <v>15</v>
      </c>
      <c r="R102" s="1363">
        <v>16</v>
      </c>
      <c r="S102" s="1824">
        <v>17</v>
      </c>
      <c r="T102" s="1824">
        <v>18</v>
      </c>
      <c r="U102" s="1363">
        <v>19</v>
      </c>
      <c r="V102" s="1363">
        <v>20</v>
      </c>
      <c r="W102" s="1363">
        <v>21</v>
      </c>
      <c r="X102" s="1363">
        <v>22</v>
      </c>
      <c r="Y102" s="1363">
        <v>23</v>
      </c>
      <c r="Z102" s="1824">
        <v>24</v>
      </c>
      <c r="AA102" s="1824">
        <v>25</v>
      </c>
      <c r="AB102" s="1363">
        <v>26</v>
      </c>
      <c r="AC102" s="1363">
        <v>27</v>
      </c>
      <c r="AD102" s="1363">
        <v>28</v>
      </c>
      <c r="AE102" s="1363">
        <v>29</v>
      </c>
      <c r="AF102" s="1363">
        <v>30</v>
      </c>
      <c r="AG102" s="1825">
        <v>31</v>
      </c>
      <c r="AH102" s="1"/>
    </row>
    <row r="103" spans="1:40" ht="18" customHeight="1" x14ac:dyDescent="0.2">
      <c r="A103" s="1371"/>
      <c r="B103" s="1378" t="s">
        <v>195</v>
      </c>
      <c r="C103" s="711"/>
      <c r="D103" s="596"/>
      <c r="E103" s="711"/>
      <c r="F103" s="711"/>
      <c r="G103" s="711"/>
      <c r="H103" s="711"/>
      <c r="I103" s="711"/>
      <c r="J103" s="711"/>
      <c r="K103" s="711"/>
      <c r="L103" s="711"/>
      <c r="M103" s="711"/>
      <c r="N103" s="711"/>
      <c r="O103" s="711"/>
      <c r="P103" s="711"/>
      <c r="Q103" s="711"/>
      <c r="R103" s="711"/>
      <c r="S103" s="711"/>
      <c r="T103" s="711"/>
      <c r="U103" s="711"/>
      <c r="V103" s="711"/>
      <c r="W103" s="711"/>
      <c r="X103" s="711"/>
      <c r="Y103" s="711"/>
      <c r="Z103" s="711"/>
      <c r="AA103" s="711"/>
      <c r="AB103" s="711"/>
      <c r="AC103" s="711"/>
      <c r="AD103" s="711"/>
      <c r="AE103" s="711"/>
      <c r="AF103" s="711"/>
      <c r="AG103" s="1834"/>
      <c r="AH103" s="1"/>
    </row>
    <row r="104" spans="1:40" ht="18" customHeight="1" thickBot="1" x14ac:dyDescent="0.25">
      <c r="A104" s="1371"/>
      <c r="B104" s="1178" t="s">
        <v>432</v>
      </c>
      <c r="C104" s="1379"/>
      <c r="D104" s="1379"/>
      <c r="E104" s="1379"/>
      <c r="F104" s="1182"/>
      <c r="G104" s="1182"/>
      <c r="H104" s="1379"/>
      <c r="I104" s="1379"/>
      <c r="J104" s="1379"/>
      <c r="K104" s="1379"/>
      <c r="L104" s="1379"/>
      <c r="M104" s="1379"/>
      <c r="N104" s="1379" t="s">
        <v>46</v>
      </c>
      <c r="O104" s="1379">
        <v>69</v>
      </c>
      <c r="P104" s="1379">
        <v>69</v>
      </c>
      <c r="Q104" s="1379" t="s">
        <v>46</v>
      </c>
      <c r="R104" s="1379">
        <v>89</v>
      </c>
      <c r="S104" s="1379" t="s">
        <v>68</v>
      </c>
      <c r="T104" s="1174" t="s">
        <v>68</v>
      </c>
      <c r="U104" s="1379" t="s">
        <v>50</v>
      </c>
      <c r="V104" s="1379" t="s">
        <v>50</v>
      </c>
      <c r="W104" s="1379" t="s">
        <v>50</v>
      </c>
      <c r="X104" s="1379" t="s">
        <v>46</v>
      </c>
      <c r="Y104" s="1379">
        <v>26</v>
      </c>
      <c r="Z104" s="1379"/>
      <c r="AA104" s="1379"/>
      <c r="AB104" s="1379" t="s">
        <v>46</v>
      </c>
      <c r="AC104" s="1379" t="s">
        <v>46</v>
      </c>
      <c r="AD104" s="1379" t="s">
        <v>46</v>
      </c>
      <c r="AE104" s="1379" t="s">
        <v>46</v>
      </c>
      <c r="AF104" s="1379" t="s">
        <v>46</v>
      </c>
      <c r="AG104" s="1380" t="s">
        <v>68</v>
      </c>
      <c r="AH104" s="1"/>
    </row>
    <row r="105" spans="1:40" ht="18" customHeight="1" thickBot="1" x14ac:dyDescent="0.25">
      <c r="A105" s="1371"/>
      <c r="B105" s="294" t="s">
        <v>433</v>
      </c>
      <c r="C105" s="1174"/>
      <c r="D105" s="1174"/>
      <c r="E105" s="1174"/>
      <c r="F105" s="1174"/>
      <c r="G105" s="1174"/>
      <c r="H105" s="1174"/>
      <c r="I105" s="1174"/>
      <c r="J105" s="1174"/>
      <c r="K105" s="1174"/>
      <c r="L105" s="1174"/>
      <c r="M105" s="1174"/>
      <c r="N105" s="1379" t="s">
        <v>46</v>
      </c>
      <c r="O105" s="1174">
        <v>1</v>
      </c>
      <c r="P105" s="1174">
        <v>1</v>
      </c>
      <c r="Q105" s="1174">
        <v>1</v>
      </c>
      <c r="R105" s="1174">
        <v>1</v>
      </c>
      <c r="S105" s="1174"/>
      <c r="T105" s="1174"/>
      <c r="U105" s="1835">
        <v>11</v>
      </c>
      <c r="V105" s="1835">
        <v>11</v>
      </c>
      <c r="W105" s="1835">
        <v>11</v>
      </c>
      <c r="X105" s="1835">
        <v>11</v>
      </c>
      <c r="Y105" s="1835">
        <v>11</v>
      </c>
      <c r="Z105" s="1835" t="s">
        <v>109</v>
      </c>
      <c r="AA105" s="1835" t="s">
        <v>109</v>
      </c>
      <c r="AB105" s="1817" t="s">
        <v>50</v>
      </c>
      <c r="AC105" s="1817" t="s">
        <v>50</v>
      </c>
      <c r="AD105" s="1817" t="s">
        <v>50</v>
      </c>
      <c r="AE105" s="1817" t="s">
        <v>50</v>
      </c>
      <c r="AF105" s="1817" t="s">
        <v>50</v>
      </c>
      <c r="AG105" s="1270" t="s">
        <v>104</v>
      </c>
      <c r="AH105" s="1"/>
    </row>
    <row r="106" spans="1:40" ht="18" customHeight="1" thickBot="1" x14ac:dyDescent="0.25">
      <c r="A106" s="126"/>
      <c r="B106" s="1192"/>
      <c r="C106" s="1381"/>
      <c r="D106" s="1381"/>
      <c r="E106" s="1381"/>
      <c r="F106" s="1381"/>
      <c r="G106" s="1381"/>
      <c r="H106" s="1381"/>
      <c r="I106" s="1381"/>
      <c r="J106" s="1381"/>
      <c r="K106" s="1381"/>
      <c r="L106" s="1381"/>
      <c r="M106" s="1381"/>
      <c r="N106" s="1381"/>
      <c r="O106" s="1381"/>
      <c r="P106" s="1381"/>
      <c r="Q106" s="1381"/>
      <c r="R106" s="1381"/>
      <c r="S106" s="1381"/>
      <c r="T106" s="1381"/>
      <c r="U106" s="1381"/>
      <c r="V106" s="1381"/>
      <c r="W106" s="1381"/>
      <c r="X106" s="1381"/>
      <c r="Y106" s="1381"/>
      <c r="Z106" s="1381"/>
      <c r="AA106" s="1381"/>
      <c r="AB106" s="1381"/>
      <c r="AC106" s="1381"/>
      <c r="AD106" s="1381"/>
      <c r="AE106" s="1381"/>
      <c r="AF106" s="1381"/>
      <c r="AG106" s="1222"/>
      <c r="AH106" s="1"/>
    </row>
    <row r="107" spans="1:40" ht="18" customHeight="1" x14ac:dyDescent="0.2">
      <c r="A107" s="126"/>
      <c r="B107" s="127"/>
      <c r="C107" s="142"/>
      <c r="D107" s="142"/>
      <c r="E107" s="142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28"/>
      <c r="AH107" s="1"/>
    </row>
    <row r="108" spans="1:40" ht="18" customHeight="1" x14ac:dyDescent="0.2">
      <c r="A108" s="216" t="s">
        <v>197</v>
      </c>
      <c r="B108" s="127"/>
      <c r="C108" s="142"/>
      <c r="D108" s="142"/>
      <c r="E108" s="142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237"/>
      <c r="S108" s="237"/>
      <c r="T108" s="237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28"/>
      <c r="AH108" s="1"/>
    </row>
    <row r="109" spans="1:40" ht="18" customHeight="1" x14ac:dyDescent="0.25">
      <c r="A109" s="126"/>
      <c r="B109" s="217"/>
      <c r="C109" s="218"/>
      <c r="D109" s="218"/>
      <c r="E109" s="221" t="s">
        <v>198</v>
      </c>
      <c r="F109" s="218"/>
      <c r="G109" s="218"/>
      <c r="H109" s="218"/>
      <c r="I109" s="218"/>
      <c r="J109" s="218"/>
      <c r="K109" s="226" t="s">
        <v>13</v>
      </c>
      <c r="L109" s="222"/>
      <c r="M109" s="222"/>
      <c r="N109" s="222"/>
      <c r="O109" s="222"/>
      <c r="P109" s="222"/>
      <c r="Q109" s="222"/>
      <c r="R109" s="222"/>
      <c r="S109" s="222"/>
      <c r="T109" s="223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"/>
    </row>
    <row r="110" spans="1:40" ht="18" customHeight="1" x14ac:dyDescent="0.25">
      <c r="A110" s="126"/>
      <c r="B110" s="217" t="s">
        <v>199</v>
      </c>
      <c r="C110" s="218"/>
      <c r="D110" s="218"/>
      <c r="E110" s="219" t="s">
        <v>200</v>
      </c>
      <c r="F110" s="218"/>
      <c r="G110" s="218"/>
      <c r="H110" s="218"/>
      <c r="I110" s="218"/>
      <c r="J110" s="218"/>
      <c r="K110" s="218" t="s">
        <v>201</v>
      </c>
      <c r="L110" s="218"/>
      <c r="M110" s="218"/>
      <c r="N110" s="218"/>
      <c r="O110" s="218"/>
      <c r="P110" s="218"/>
      <c r="Q110" s="218"/>
      <c r="R110" s="236" t="s">
        <v>202</v>
      </c>
      <c r="S110" s="236"/>
      <c r="T110" s="236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"/>
    </row>
    <row r="111" spans="1:40" ht="18" customHeight="1" x14ac:dyDescent="0.25">
      <c r="A111" s="126"/>
      <c r="B111" s="217" t="s">
        <v>22</v>
      </c>
      <c r="C111" s="218"/>
      <c r="D111" s="218"/>
      <c r="E111" s="221" t="s">
        <v>203</v>
      </c>
      <c r="F111" s="218"/>
      <c r="G111" s="218"/>
      <c r="H111" s="218"/>
      <c r="I111" s="218"/>
      <c r="J111" s="218"/>
      <c r="K111" s="218" t="s">
        <v>204</v>
      </c>
      <c r="L111" s="218"/>
      <c r="M111" s="218"/>
      <c r="N111" s="218"/>
      <c r="O111" s="218"/>
      <c r="P111" s="218"/>
      <c r="Q111" s="218"/>
      <c r="R111" s="218"/>
      <c r="S111" s="218"/>
      <c r="T111" s="220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"/>
    </row>
    <row r="112" spans="1:40" ht="18" customHeight="1" x14ac:dyDescent="0.25">
      <c r="A112" s="126"/>
      <c r="B112" s="217" t="s">
        <v>205</v>
      </c>
      <c r="C112" s="218"/>
      <c r="D112" s="218"/>
      <c r="E112" s="221" t="s">
        <v>206</v>
      </c>
      <c r="F112" s="218"/>
      <c r="G112" s="218"/>
      <c r="H112" s="218"/>
      <c r="I112" s="218"/>
      <c r="J112" s="218"/>
      <c r="K112" s="218" t="s">
        <v>207</v>
      </c>
      <c r="L112" s="229"/>
      <c r="M112" s="229"/>
      <c r="N112" s="229"/>
      <c r="O112" s="229"/>
      <c r="P112" s="229"/>
      <c r="Q112" s="229"/>
      <c r="R112" s="229"/>
      <c r="S112" s="229"/>
      <c r="T112" s="230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"/>
    </row>
    <row r="113" spans="1:40" ht="18" customHeight="1" x14ac:dyDescent="0.25">
      <c r="A113" s="126"/>
      <c r="B113" s="227"/>
      <c r="C113" s="227"/>
      <c r="D113" s="227"/>
      <c r="E113" s="228"/>
      <c r="F113" s="227"/>
      <c r="G113" s="227"/>
      <c r="H113" s="227"/>
      <c r="I113" s="227"/>
      <c r="J113" s="227"/>
      <c r="K113" s="227"/>
      <c r="L113" s="231"/>
      <c r="M113" s="231"/>
      <c r="N113" s="231"/>
      <c r="O113" s="231"/>
      <c r="P113" s="231"/>
      <c r="Q113" s="231"/>
      <c r="R113" s="231"/>
      <c r="S113" s="231"/>
      <c r="T113" s="231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"/>
    </row>
    <row r="114" spans="1:40" ht="18" customHeight="1" x14ac:dyDescent="0.25">
      <c r="A114" s="126"/>
      <c r="B114" s="847" t="s">
        <v>44</v>
      </c>
      <c r="C114" s="1731">
        <v>1</v>
      </c>
      <c r="D114" s="1731">
        <v>2</v>
      </c>
      <c r="E114" s="1732">
        <v>3</v>
      </c>
      <c r="F114" s="1732">
        <v>4</v>
      </c>
      <c r="G114" s="1731">
        <v>5</v>
      </c>
      <c r="H114" s="1731">
        <v>6</v>
      </c>
      <c r="I114" s="1731">
        <v>7</v>
      </c>
      <c r="J114" s="1731">
        <v>8</v>
      </c>
      <c r="K114" s="1731">
        <v>9</v>
      </c>
      <c r="L114" s="1732">
        <v>10</v>
      </c>
      <c r="M114" s="1732">
        <v>11</v>
      </c>
      <c r="N114" s="1731">
        <v>12</v>
      </c>
      <c r="O114" s="1731">
        <v>13</v>
      </c>
      <c r="P114" s="1731">
        <v>14</v>
      </c>
      <c r="Q114" s="1731">
        <v>15</v>
      </c>
      <c r="R114" s="1731">
        <v>16</v>
      </c>
      <c r="S114" s="1732">
        <v>17</v>
      </c>
      <c r="T114" s="1732">
        <v>18</v>
      </c>
      <c r="U114" s="1731">
        <v>19</v>
      </c>
      <c r="V114" s="1731">
        <v>20</v>
      </c>
      <c r="W114" s="1731">
        <v>21</v>
      </c>
      <c r="X114" s="1731">
        <v>22</v>
      </c>
      <c r="Y114" s="1731">
        <v>23</v>
      </c>
      <c r="Z114" s="1732">
        <v>24</v>
      </c>
      <c r="AA114" s="1732">
        <v>25</v>
      </c>
      <c r="AB114" s="1731">
        <v>26</v>
      </c>
      <c r="AC114" s="1731">
        <v>27</v>
      </c>
      <c r="AD114" s="1731">
        <v>28</v>
      </c>
      <c r="AE114" s="1731">
        <v>29</v>
      </c>
      <c r="AF114" s="1731">
        <v>30</v>
      </c>
      <c r="AG114" s="1732">
        <v>31</v>
      </c>
      <c r="AH114" s="1"/>
      <c r="AJ114" s="1151" t="s">
        <v>41</v>
      </c>
      <c r="AK114" s="1151" t="s">
        <v>62</v>
      </c>
      <c r="AL114" s="1151" t="s">
        <v>63</v>
      </c>
      <c r="AM114" s="1151" t="s">
        <v>64</v>
      </c>
      <c r="AN114" s="1151" t="s">
        <v>65</v>
      </c>
    </row>
    <row r="115" spans="1:40" ht="18" customHeight="1" x14ac:dyDescent="0.2">
      <c r="B115" s="848" t="s">
        <v>208</v>
      </c>
      <c r="C115" s="1836" t="s">
        <v>209</v>
      </c>
      <c r="D115" s="1837" t="s">
        <v>209</v>
      </c>
      <c r="E115" s="1837" t="s">
        <v>210</v>
      </c>
      <c r="F115" s="1838" t="s">
        <v>211</v>
      </c>
      <c r="G115" s="1822" t="s">
        <v>50</v>
      </c>
      <c r="H115" s="1822" t="s">
        <v>50</v>
      </c>
      <c r="I115" s="1822" t="s">
        <v>102</v>
      </c>
      <c r="J115" s="1818" t="s">
        <v>50</v>
      </c>
      <c r="K115" s="1818" t="s">
        <v>50</v>
      </c>
      <c r="L115" s="1818" t="s">
        <v>50</v>
      </c>
      <c r="M115" s="1818" t="s">
        <v>50</v>
      </c>
      <c r="N115" s="1817" t="s">
        <v>209</v>
      </c>
      <c r="O115" s="1837" t="s">
        <v>209</v>
      </c>
      <c r="P115" s="1838" t="s">
        <v>209</v>
      </c>
      <c r="Q115" s="1838" t="s">
        <v>209</v>
      </c>
      <c r="R115" s="1838" t="s">
        <v>209</v>
      </c>
      <c r="S115" s="1838" t="s">
        <v>210</v>
      </c>
      <c r="T115" s="1838" t="s">
        <v>434</v>
      </c>
      <c r="U115" s="1817" t="s">
        <v>50</v>
      </c>
      <c r="V115" s="1839" t="s">
        <v>50</v>
      </c>
      <c r="W115" s="1839" t="s">
        <v>50</v>
      </c>
      <c r="X115" s="1836" t="s">
        <v>50</v>
      </c>
      <c r="Y115" s="1839" t="s">
        <v>50</v>
      </c>
      <c r="Z115" s="1839" t="s">
        <v>50</v>
      </c>
      <c r="AA115" s="1817" t="s">
        <v>50</v>
      </c>
      <c r="AB115" s="1840">
        <v>7</v>
      </c>
      <c r="AC115" s="1840">
        <v>7</v>
      </c>
      <c r="AD115" s="1822">
        <v>7</v>
      </c>
      <c r="AE115" s="1822">
        <v>7</v>
      </c>
      <c r="AF115" s="1822">
        <v>7</v>
      </c>
      <c r="AG115" s="1841" t="s">
        <v>103</v>
      </c>
      <c r="AH115" s="1"/>
      <c r="AJ115" s="638">
        <v>149</v>
      </c>
      <c r="AK115" s="638"/>
      <c r="AL115" s="638">
        <f>IF(AJ115="","",SUM(AJ115:AK115))</f>
        <v>149</v>
      </c>
      <c r="AM115" s="639">
        <f t="shared" ref="AM115:AM116" si="3">IF(AJ115="","",AL115-AJ115)</f>
        <v>0</v>
      </c>
      <c r="AN115" s="639">
        <f>IF(AM115="","",AM115+'Juli 2024'!AN112)</f>
        <v>-24.330000000000013</v>
      </c>
    </row>
    <row r="116" spans="1:40" ht="18" customHeight="1" x14ac:dyDescent="0.2">
      <c r="B116" s="851" t="s">
        <v>212</v>
      </c>
      <c r="C116" s="813" t="s">
        <v>50</v>
      </c>
      <c r="D116" s="635" t="s">
        <v>50</v>
      </c>
      <c r="E116" s="635"/>
      <c r="F116" s="1634"/>
      <c r="G116" s="635" t="s">
        <v>209</v>
      </c>
      <c r="H116" s="635" t="s">
        <v>209</v>
      </c>
      <c r="I116" s="636" t="s">
        <v>209</v>
      </c>
      <c r="J116" s="636" t="s">
        <v>209</v>
      </c>
      <c r="K116" s="636" t="s">
        <v>209</v>
      </c>
      <c r="L116" s="636" t="s">
        <v>210</v>
      </c>
      <c r="M116" s="636" t="s">
        <v>211</v>
      </c>
      <c r="N116" s="636" t="s">
        <v>50</v>
      </c>
      <c r="O116" s="635" t="s">
        <v>50</v>
      </c>
      <c r="P116" s="635" t="s">
        <v>50</v>
      </c>
      <c r="Q116" s="813" t="s">
        <v>50</v>
      </c>
      <c r="R116" s="635" t="s">
        <v>50</v>
      </c>
      <c r="S116" s="635"/>
      <c r="T116" s="636"/>
      <c r="U116" s="635" t="s">
        <v>209</v>
      </c>
      <c r="V116" s="635" t="s">
        <v>209</v>
      </c>
      <c r="W116" s="636" t="s">
        <v>209</v>
      </c>
      <c r="X116" s="636" t="s">
        <v>209</v>
      </c>
      <c r="Y116" s="636" t="s">
        <v>209</v>
      </c>
      <c r="Z116" s="636" t="s">
        <v>210</v>
      </c>
      <c r="AA116" s="636" t="s">
        <v>211</v>
      </c>
      <c r="AB116" s="1842" t="s">
        <v>209</v>
      </c>
      <c r="AC116" s="635" t="s">
        <v>50</v>
      </c>
      <c r="AD116" s="635" t="s">
        <v>50</v>
      </c>
      <c r="AE116" s="813" t="s">
        <v>50</v>
      </c>
      <c r="AF116" s="635" t="s">
        <v>50</v>
      </c>
      <c r="AG116" s="801"/>
      <c r="AH116" s="1"/>
      <c r="AJ116" s="1843">
        <v>136</v>
      </c>
      <c r="AK116" s="1843"/>
      <c r="AL116" s="1843">
        <f t="shared" ref="AL116" si="4">IF(AJ116="","",SUM(AJ116:AK116))</f>
        <v>136</v>
      </c>
      <c r="AM116" s="1844">
        <f t="shared" si="3"/>
        <v>0</v>
      </c>
      <c r="AN116" s="639">
        <f>IF(AM116="","",AM116+'Juli 2024'!AN113)</f>
        <v>-10.330000000000013</v>
      </c>
    </row>
    <row r="117" spans="1:40" ht="18" customHeight="1" x14ac:dyDescent="0.2">
      <c r="B117" s="852" t="s">
        <v>0</v>
      </c>
      <c r="C117" s="853" t="s">
        <v>0</v>
      </c>
      <c r="D117" s="853" t="s">
        <v>145</v>
      </c>
      <c r="E117" s="854" t="s">
        <v>147</v>
      </c>
      <c r="F117" s="853" t="s">
        <v>148</v>
      </c>
      <c r="G117" s="853" t="s">
        <v>0</v>
      </c>
      <c r="H117" s="853" t="s">
        <v>0</v>
      </c>
      <c r="I117" s="1363" t="s">
        <v>0</v>
      </c>
      <c r="J117" s="1363" t="s">
        <v>0</v>
      </c>
      <c r="K117" s="1363" t="s">
        <v>145</v>
      </c>
      <c r="L117" s="1363" t="s">
        <v>147</v>
      </c>
      <c r="M117" s="1363" t="s">
        <v>148</v>
      </c>
      <c r="N117" s="1363"/>
      <c r="O117" s="853" t="s">
        <v>0</v>
      </c>
      <c r="P117" s="853" t="s">
        <v>0</v>
      </c>
      <c r="Q117" s="853" t="s">
        <v>0</v>
      </c>
      <c r="R117" s="853" t="s">
        <v>145</v>
      </c>
      <c r="S117" s="854" t="s">
        <v>147</v>
      </c>
      <c r="T117" s="853" t="s">
        <v>148</v>
      </c>
      <c r="U117" s="853" t="s">
        <v>0</v>
      </c>
      <c r="V117" s="853" t="s">
        <v>0</v>
      </c>
      <c r="W117" s="1363" t="s">
        <v>0</v>
      </c>
      <c r="X117" s="1363" t="s">
        <v>0</v>
      </c>
      <c r="Y117" s="1363" t="s">
        <v>145</v>
      </c>
      <c r="Z117" s="1363" t="s">
        <v>147</v>
      </c>
      <c r="AA117" s="1363" t="s">
        <v>148</v>
      </c>
      <c r="AB117" s="1363"/>
      <c r="AC117" s="853" t="s">
        <v>0</v>
      </c>
      <c r="AD117" s="853" t="s">
        <v>0</v>
      </c>
      <c r="AE117" s="853" t="s">
        <v>0</v>
      </c>
      <c r="AF117" s="853" t="s">
        <v>145</v>
      </c>
      <c r="AG117" s="1384" t="s">
        <v>147</v>
      </c>
      <c r="AH117" s="1"/>
      <c r="AJ117" s="1366"/>
      <c r="AK117" s="1366"/>
      <c r="AL117" s="1366"/>
      <c r="AM117" s="1367"/>
      <c r="AN117" s="1367"/>
    </row>
    <row r="118" spans="1:40" ht="18" customHeight="1" x14ac:dyDescent="0.2">
      <c r="B118" s="232"/>
      <c r="C118" s="233"/>
      <c r="D118" s="233"/>
      <c r="E118" s="234"/>
      <c r="F118" s="234"/>
      <c r="G118" s="234"/>
      <c r="H118" s="234"/>
      <c r="I118" s="234"/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  <c r="AA118" s="234"/>
      <c r="AB118" s="234"/>
      <c r="AC118" s="234"/>
      <c r="AD118" s="234"/>
      <c r="AE118" s="234"/>
      <c r="AF118" s="234"/>
      <c r="AG118" s="234"/>
      <c r="AH118" s="1"/>
      <c r="AJ118" s="123"/>
      <c r="AK118" s="123"/>
      <c r="AL118" s="123"/>
      <c r="AM118" s="215"/>
      <c r="AN118" s="215"/>
    </row>
    <row r="119" spans="1:40" ht="18" customHeight="1" x14ac:dyDescent="0.2">
      <c r="A119" s="3" t="s">
        <v>213</v>
      </c>
      <c r="AH119" s="1"/>
      <c r="AJ119" s="123"/>
      <c r="AK119" s="123"/>
      <c r="AL119" s="123"/>
      <c r="AM119" s="215"/>
      <c r="AN119" s="215"/>
    </row>
    <row r="120" spans="1:40" ht="18" customHeight="1" x14ac:dyDescent="0.25">
      <c r="B120" s="217"/>
      <c r="C120" s="218"/>
      <c r="D120" s="218"/>
      <c r="E120" s="221" t="s">
        <v>198</v>
      </c>
      <c r="F120" s="218"/>
      <c r="G120" s="218"/>
      <c r="H120" s="218"/>
      <c r="I120" s="218"/>
      <c r="J120" s="218"/>
      <c r="K120" s="226" t="s">
        <v>13</v>
      </c>
      <c r="L120" s="222"/>
      <c r="M120" s="222"/>
      <c r="N120" s="222"/>
      <c r="O120" s="222"/>
      <c r="P120" s="222"/>
      <c r="Q120" s="222"/>
      <c r="R120" s="222"/>
      <c r="S120" s="222"/>
      <c r="T120" s="223"/>
      <c r="AH120" s="1"/>
      <c r="AJ120" s="123"/>
      <c r="AK120" s="123"/>
      <c r="AL120" s="123"/>
      <c r="AM120" s="215"/>
      <c r="AN120" s="215"/>
    </row>
    <row r="121" spans="1:40" ht="18" customHeight="1" x14ac:dyDescent="0.25">
      <c r="B121" s="217" t="s">
        <v>199</v>
      </c>
      <c r="C121" s="218"/>
      <c r="D121" s="218"/>
      <c r="E121" s="219" t="s">
        <v>214</v>
      </c>
      <c r="F121" s="218"/>
      <c r="G121" s="218"/>
      <c r="H121" s="218"/>
      <c r="I121" s="218"/>
      <c r="J121" s="218"/>
      <c r="K121" s="218" t="s">
        <v>215</v>
      </c>
      <c r="L121" s="218"/>
      <c r="M121" s="218"/>
      <c r="N121" s="218"/>
      <c r="O121" s="218"/>
      <c r="P121" s="218"/>
      <c r="Q121" s="218"/>
      <c r="R121" s="236" t="s">
        <v>216</v>
      </c>
      <c r="S121" s="236"/>
      <c r="T121" s="236"/>
      <c r="AH121" s="1"/>
      <c r="AJ121" s="123"/>
      <c r="AK121" s="123"/>
      <c r="AL121" s="123"/>
      <c r="AM121" s="215"/>
      <c r="AN121" s="215"/>
    </row>
    <row r="122" spans="1:40" ht="18" customHeight="1" x14ac:dyDescent="0.25">
      <c r="B122" s="217" t="s">
        <v>22</v>
      </c>
      <c r="C122" s="218"/>
      <c r="D122" s="218"/>
      <c r="E122" s="221" t="s">
        <v>217</v>
      </c>
      <c r="F122" s="218"/>
      <c r="G122" s="218"/>
      <c r="H122" s="218"/>
      <c r="I122" s="218"/>
      <c r="J122" s="218"/>
      <c r="K122" s="218" t="s">
        <v>218</v>
      </c>
      <c r="L122" s="218"/>
      <c r="M122" s="218"/>
      <c r="N122" s="218"/>
      <c r="O122" s="218"/>
      <c r="P122" s="218"/>
      <c r="Q122" s="218"/>
      <c r="R122" s="218"/>
      <c r="S122" s="218"/>
      <c r="T122" s="220"/>
      <c r="AH122" s="1"/>
      <c r="AJ122" s="123"/>
      <c r="AK122" s="123"/>
      <c r="AL122" s="123"/>
      <c r="AM122" s="215"/>
      <c r="AN122" s="215"/>
    </row>
    <row r="123" spans="1:40" ht="18" customHeight="1" x14ac:dyDescent="0.25">
      <c r="B123" s="217" t="s">
        <v>205</v>
      </c>
      <c r="C123" s="218"/>
      <c r="D123" s="218"/>
      <c r="E123" s="221" t="s">
        <v>219</v>
      </c>
      <c r="F123" s="218"/>
      <c r="G123" s="218"/>
      <c r="H123" s="218"/>
      <c r="I123" s="218"/>
      <c r="J123" s="218"/>
      <c r="K123" s="218" t="s">
        <v>220</v>
      </c>
      <c r="L123" s="229"/>
      <c r="M123" s="229"/>
      <c r="N123" s="229"/>
      <c r="O123" s="229"/>
      <c r="P123" s="229"/>
      <c r="Q123" s="229"/>
      <c r="R123" s="229"/>
      <c r="S123" s="229"/>
      <c r="T123" s="230"/>
      <c r="U123" s="108"/>
      <c r="V123" s="108"/>
      <c r="AH123" s="1"/>
      <c r="AJ123" s="123"/>
      <c r="AK123" s="123"/>
      <c r="AL123" s="123"/>
      <c r="AM123" s="215"/>
      <c r="AN123" s="215"/>
    </row>
    <row r="124" spans="1:40" ht="18" customHeight="1" x14ac:dyDescent="0.2">
      <c r="T124" s="108"/>
      <c r="U124" s="108"/>
      <c r="V124" s="108"/>
      <c r="AH124" s="1"/>
      <c r="AJ124" s="123"/>
      <c r="AK124" s="123"/>
      <c r="AL124" s="123"/>
      <c r="AM124" s="215"/>
      <c r="AN124" s="215"/>
    </row>
    <row r="125" spans="1:40" ht="18" customHeight="1" x14ac:dyDescent="0.2">
      <c r="B125" s="1845" t="s">
        <v>44</v>
      </c>
      <c r="C125" s="1731">
        <v>1</v>
      </c>
      <c r="D125" s="1731">
        <v>2</v>
      </c>
      <c r="E125" s="1732">
        <v>3</v>
      </c>
      <c r="F125" s="1732">
        <v>4</v>
      </c>
      <c r="G125" s="1731">
        <v>5</v>
      </c>
      <c r="H125" s="1731">
        <v>6</v>
      </c>
      <c r="I125" s="1731">
        <v>7</v>
      </c>
      <c r="J125" s="1731">
        <v>8</v>
      </c>
      <c r="K125" s="1731">
        <v>9</v>
      </c>
      <c r="L125" s="1732">
        <v>10</v>
      </c>
      <c r="M125" s="1732">
        <v>11</v>
      </c>
      <c r="N125" s="1731">
        <v>12</v>
      </c>
      <c r="O125" s="1731">
        <v>13</v>
      </c>
      <c r="P125" s="1731">
        <v>14</v>
      </c>
      <c r="Q125" s="1731">
        <v>15</v>
      </c>
      <c r="R125" s="1731">
        <v>16</v>
      </c>
      <c r="S125" s="1732">
        <v>17</v>
      </c>
      <c r="T125" s="1732">
        <v>18</v>
      </c>
      <c r="U125" s="1731">
        <v>19</v>
      </c>
      <c r="V125" s="1731">
        <v>20</v>
      </c>
      <c r="W125" s="1731">
        <v>21</v>
      </c>
      <c r="X125" s="1731">
        <v>22</v>
      </c>
      <c r="Y125" s="1731">
        <v>23</v>
      </c>
      <c r="Z125" s="1732">
        <v>24</v>
      </c>
      <c r="AA125" s="1732">
        <v>25</v>
      </c>
      <c r="AB125" s="1731">
        <v>26</v>
      </c>
      <c r="AC125" s="1731">
        <v>27</v>
      </c>
      <c r="AD125" s="1731">
        <v>28</v>
      </c>
      <c r="AE125" s="1731">
        <v>29</v>
      </c>
      <c r="AF125" s="1731">
        <v>30</v>
      </c>
      <c r="AG125" s="1732">
        <v>31</v>
      </c>
      <c r="AH125" s="1"/>
      <c r="AJ125" s="1151" t="s">
        <v>41</v>
      </c>
      <c r="AK125" s="1151" t="s">
        <v>62</v>
      </c>
      <c r="AL125" s="1151" t="s">
        <v>63</v>
      </c>
      <c r="AM125" s="1151" t="s">
        <v>64</v>
      </c>
      <c r="AN125" s="1151" t="s">
        <v>65</v>
      </c>
    </row>
    <row r="126" spans="1:40" ht="18" customHeight="1" x14ac:dyDescent="0.2">
      <c r="B126" s="1386" t="s">
        <v>221</v>
      </c>
      <c r="C126" s="858" t="s">
        <v>72</v>
      </c>
      <c r="D126" s="858" t="s">
        <v>72</v>
      </c>
      <c r="E126" s="858" t="s">
        <v>73</v>
      </c>
      <c r="F126" s="858" t="s">
        <v>74</v>
      </c>
      <c r="G126" s="858" t="s">
        <v>50</v>
      </c>
      <c r="H126" s="1388" t="s">
        <v>50</v>
      </c>
      <c r="I126" s="1388" t="s">
        <v>50</v>
      </c>
      <c r="J126" s="1388" t="s">
        <v>50</v>
      </c>
      <c r="K126" s="1388" t="s">
        <v>50</v>
      </c>
      <c r="L126" s="1388"/>
      <c r="M126" s="858"/>
      <c r="N126" s="858" t="s">
        <v>72</v>
      </c>
      <c r="O126" s="858" t="s">
        <v>72</v>
      </c>
      <c r="P126" s="858" t="s">
        <v>72</v>
      </c>
      <c r="Q126" s="1846" t="s">
        <v>72</v>
      </c>
      <c r="R126" s="858" t="s">
        <v>72</v>
      </c>
      <c r="S126" s="858" t="s">
        <v>73</v>
      </c>
      <c r="T126" s="858" t="s">
        <v>74</v>
      </c>
      <c r="U126" s="858" t="s">
        <v>50</v>
      </c>
      <c r="V126" s="1388" t="s">
        <v>50</v>
      </c>
      <c r="W126" s="1388" t="s">
        <v>50</v>
      </c>
      <c r="X126" s="1388" t="s">
        <v>50</v>
      </c>
      <c r="Y126" s="1388" t="s">
        <v>50</v>
      </c>
      <c r="Z126" s="1388"/>
      <c r="AA126" s="858"/>
      <c r="AB126" s="858" t="s">
        <v>72</v>
      </c>
      <c r="AC126" s="1846" t="s">
        <v>72</v>
      </c>
      <c r="AD126" s="858" t="s">
        <v>72</v>
      </c>
      <c r="AE126" s="858" t="s">
        <v>72</v>
      </c>
      <c r="AF126" s="858" t="s">
        <v>72</v>
      </c>
      <c r="AG126" s="1817" t="s">
        <v>73</v>
      </c>
      <c r="AH126" s="1"/>
      <c r="AJ126" s="638">
        <v>161</v>
      </c>
      <c r="AK126" s="638"/>
      <c r="AL126" s="638">
        <f>IF(AJ126="","",SUM(AJ126:AK126))</f>
        <v>161</v>
      </c>
      <c r="AM126" s="639">
        <f>IF(AJ126="","",AL126-AJ126)</f>
        <v>0</v>
      </c>
      <c r="AN126" s="639">
        <f>IF(AM126="","",AM126+'Juli 2024'!AN123)</f>
        <v>-36.330000000000013</v>
      </c>
    </row>
    <row r="127" spans="1:40" ht="18" customHeight="1" x14ac:dyDescent="0.2">
      <c r="B127" s="1389" t="s">
        <v>222</v>
      </c>
      <c r="C127" s="635" t="s">
        <v>50</v>
      </c>
      <c r="D127" s="635" t="s">
        <v>50</v>
      </c>
      <c r="E127" s="635"/>
      <c r="F127" s="636"/>
      <c r="G127" s="636" t="s">
        <v>72</v>
      </c>
      <c r="H127" s="636" t="s">
        <v>72</v>
      </c>
      <c r="I127" s="636" t="s">
        <v>72</v>
      </c>
      <c r="J127" s="636" t="s">
        <v>72</v>
      </c>
      <c r="K127" s="636" t="s">
        <v>72</v>
      </c>
      <c r="L127" s="636" t="s">
        <v>73</v>
      </c>
      <c r="M127" s="636" t="s">
        <v>74</v>
      </c>
      <c r="N127" s="636" t="s">
        <v>50</v>
      </c>
      <c r="O127" s="635" t="s">
        <v>50</v>
      </c>
      <c r="P127" s="635" t="s">
        <v>50</v>
      </c>
      <c r="Q127" s="635" t="s">
        <v>50</v>
      </c>
      <c r="R127" s="635" t="s">
        <v>50</v>
      </c>
      <c r="S127" s="635"/>
      <c r="T127" s="636"/>
      <c r="U127" s="968" t="s">
        <v>72</v>
      </c>
      <c r="V127" s="968" t="s">
        <v>72</v>
      </c>
      <c r="W127" s="968" t="s">
        <v>72</v>
      </c>
      <c r="X127" s="968" t="s">
        <v>72</v>
      </c>
      <c r="Y127" s="968" t="s">
        <v>72</v>
      </c>
      <c r="Z127" s="968" t="s">
        <v>73</v>
      </c>
      <c r="AA127" s="968" t="s">
        <v>74</v>
      </c>
      <c r="AB127" s="968" t="s">
        <v>50</v>
      </c>
      <c r="AC127" s="968" t="s">
        <v>50</v>
      </c>
      <c r="AD127" s="968" t="s">
        <v>50</v>
      </c>
      <c r="AE127" s="968" t="s">
        <v>50</v>
      </c>
      <c r="AF127" s="968" t="s">
        <v>50</v>
      </c>
      <c r="AG127" s="968"/>
      <c r="AH127" s="1"/>
      <c r="AJ127" s="638">
        <v>136</v>
      </c>
      <c r="AK127" s="638"/>
      <c r="AL127" s="638">
        <f>IF(AJ127="","",SUM(AJ127:AK127))</f>
        <v>136</v>
      </c>
      <c r="AM127" s="639">
        <f>IF(AJ127="","",AL127-AJ127)</f>
        <v>0</v>
      </c>
      <c r="AN127" s="639">
        <f>IF(AM127="","",AM127+'Juli 2024'!AN124)</f>
        <v>-10.330000000000013</v>
      </c>
    </row>
    <row r="128" spans="1:40" ht="18" customHeight="1" x14ac:dyDescent="0.2">
      <c r="B128" s="860" t="s">
        <v>0</v>
      </c>
      <c r="C128" s="856" t="s">
        <v>50</v>
      </c>
      <c r="D128" s="856" t="s">
        <v>139</v>
      </c>
      <c r="E128" s="856" t="s">
        <v>140</v>
      </c>
      <c r="F128" s="856" t="s">
        <v>141</v>
      </c>
      <c r="G128" s="856" t="s">
        <v>50</v>
      </c>
      <c r="H128" s="856" t="s">
        <v>50</v>
      </c>
      <c r="I128" s="856" t="s">
        <v>50</v>
      </c>
      <c r="J128" s="856" t="s">
        <v>50</v>
      </c>
      <c r="K128" s="856" t="s">
        <v>139</v>
      </c>
      <c r="L128" s="856" t="s">
        <v>140</v>
      </c>
      <c r="M128" s="856" t="s">
        <v>141</v>
      </c>
      <c r="N128" s="856" t="s">
        <v>50</v>
      </c>
      <c r="O128" s="856" t="s">
        <v>50</v>
      </c>
      <c r="P128" s="856" t="s">
        <v>50</v>
      </c>
      <c r="Q128" s="856" t="s">
        <v>50</v>
      </c>
      <c r="R128" s="856" t="s">
        <v>139</v>
      </c>
      <c r="S128" s="856" t="s">
        <v>140</v>
      </c>
      <c r="T128" s="856" t="s">
        <v>141</v>
      </c>
      <c r="U128" s="856" t="s">
        <v>50</v>
      </c>
      <c r="V128" s="856" t="s">
        <v>50</v>
      </c>
      <c r="W128" s="856" t="s">
        <v>50</v>
      </c>
      <c r="X128" s="856" t="s">
        <v>50</v>
      </c>
      <c r="Y128" s="856" t="s">
        <v>139</v>
      </c>
      <c r="Z128" s="856" t="s">
        <v>140</v>
      </c>
      <c r="AA128" s="856" t="s">
        <v>141</v>
      </c>
      <c r="AB128" s="856" t="s">
        <v>50</v>
      </c>
      <c r="AC128" s="856" t="s">
        <v>50</v>
      </c>
      <c r="AD128" s="856" t="s">
        <v>50</v>
      </c>
      <c r="AE128" s="856" t="s">
        <v>50</v>
      </c>
      <c r="AF128" s="856" t="s">
        <v>139</v>
      </c>
      <c r="AG128" s="856" t="s">
        <v>140</v>
      </c>
      <c r="AH128" s="1"/>
    </row>
    <row r="129" spans="1:40" ht="18" customHeight="1" x14ac:dyDescent="0.2">
      <c r="B129" s="235" t="s">
        <v>0</v>
      </c>
      <c r="C129" s="234" t="s">
        <v>0</v>
      </c>
      <c r="D129" s="234" t="s">
        <v>0</v>
      </c>
      <c r="E129" s="234" t="s">
        <v>0</v>
      </c>
      <c r="F129" s="234" t="s">
        <v>0</v>
      </c>
      <c r="G129" s="234" t="s">
        <v>0</v>
      </c>
      <c r="H129" s="234" t="s">
        <v>0</v>
      </c>
      <c r="I129" s="234" t="s">
        <v>0</v>
      </c>
      <c r="J129" s="234" t="s">
        <v>0</v>
      </c>
      <c r="K129" s="234" t="s">
        <v>0</v>
      </c>
      <c r="L129" s="234" t="s">
        <v>0</v>
      </c>
      <c r="M129" s="234" t="s">
        <v>0</v>
      </c>
      <c r="N129" s="234" t="s">
        <v>0</v>
      </c>
      <c r="O129" s="234" t="s">
        <v>0</v>
      </c>
      <c r="P129" s="234" t="s">
        <v>0</v>
      </c>
      <c r="Q129" s="234" t="s">
        <v>0</v>
      </c>
      <c r="R129" s="234" t="s">
        <v>0</v>
      </c>
      <c r="S129" s="234" t="s">
        <v>0</v>
      </c>
      <c r="T129" s="234" t="s">
        <v>0</v>
      </c>
      <c r="U129" s="234" t="s">
        <v>0</v>
      </c>
      <c r="V129" s="234" t="s">
        <v>0</v>
      </c>
      <c r="W129" s="234" t="s">
        <v>0</v>
      </c>
      <c r="X129" s="234" t="s">
        <v>0</v>
      </c>
      <c r="Y129" s="234" t="s">
        <v>0</v>
      </c>
      <c r="Z129" s="234" t="s">
        <v>0</v>
      </c>
      <c r="AA129" s="234" t="s">
        <v>0</v>
      </c>
      <c r="AB129" s="234" t="s">
        <v>0</v>
      </c>
      <c r="AC129" s="234" t="s">
        <v>0</v>
      </c>
      <c r="AD129" s="234" t="s">
        <v>0</v>
      </c>
      <c r="AE129" s="234" t="s">
        <v>0</v>
      </c>
      <c r="AF129" s="234" t="s">
        <v>0</v>
      </c>
      <c r="AG129" s="234" t="s">
        <v>0</v>
      </c>
      <c r="AH129" s="1"/>
      <c r="AJ129" s="123"/>
      <c r="AK129" s="123"/>
      <c r="AL129" s="123"/>
      <c r="AM129" s="215"/>
      <c r="AN129" s="215"/>
    </row>
    <row r="130" spans="1:40" ht="18" customHeight="1" x14ac:dyDescent="0.2">
      <c r="A130" s="3" t="s">
        <v>223</v>
      </c>
      <c r="AH130" s="1"/>
      <c r="AJ130" s="123"/>
      <c r="AK130" s="123"/>
      <c r="AL130" s="123"/>
      <c r="AM130" s="215"/>
      <c r="AN130" s="215"/>
    </row>
    <row r="131" spans="1:40" ht="18" customHeight="1" x14ac:dyDescent="0.25">
      <c r="B131" s="217"/>
      <c r="C131" s="218"/>
      <c r="D131" s="218"/>
      <c r="E131" s="221" t="s">
        <v>198</v>
      </c>
      <c r="F131" s="218"/>
      <c r="G131" s="218"/>
      <c r="H131" s="218"/>
      <c r="I131" s="218"/>
      <c r="J131" s="218"/>
      <c r="K131" s="226" t="s">
        <v>13</v>
      </c>
      <c r="L131" s="222"/>
      <c r="M131" s="222"/>
      <c r="N131" s="222"/>
      <c r="O131" s="222"/>
      <c r="P131" s="222"/>
      <c r="Q131" s="222"/>
      <c r="R131" s="222"/>
      <c r="S131" s="222"/>
      <c r="T131" s="223"/>
      <c r="AH131" s="1"/>
      <c r="AJ131" s="123"/>
      <c r="AK131" s="123"/>
      <c r="AL131" s="123"/>
      <c r="AM131" s="215"/>
      <c r="AN131" s="215"/>
    </row>
    <row r="132" spans="1:40" ht="18" customHeight="1" x14ac:dyDescent="0.25">
      <c r="B132" s="217" t="s">
        <v>199</v>
      </c>
      <c r="C132" s="218"/>
      <c r="D132" s="218"/>
      <c r="E132" s="219" t="s">
        <v>224</v>
      </c>
      <c r="F132" s="218"/>
      <c r="G132" s="218"/>
      <c r="H132" s="218"/>
      <c r="I132" s="218"/>
      <c r="J132" s="218"/>
      <c r="K132" s="218" t="s">
        <v>225</v>
      </c>
      <c r="L132" s="218"/>
      <c r="M132" s="218"/>
      <c r="N132" s="218"/>
      <c r="O132" s="218"/>
      <c r="P132" s="218"/>
      <c r="Q132" s="218"/>
      <c r="R132" s="236" t="s">
        <v>226</v>
      </c>
      <c r="S132" s="236"/>
      <c r="T132" s="236"/>
      <c r="AH132" s="1"/>
      <c r="AJ132" s="123"/>
      <c r="AK132" s="123"/>
      <c r="AL132" s="123"/>
      <c r="AM132" s="215"/>
      <c r="AN132" s="215"/>
    </row>
    <row r="133" spans="1:40" ht="18" customHeight="1" x14ac:dyDescent="0.25">
      <c r="B133" s="217" t="s">
        <v>22</v>
      </c>
      <c r="C133" s="218"/>
      <c r="D133" s="218"/>
      <c r="E133" s="221" t="s">
        <v>227</v>
      </c>
      <c r="F133" s="218"/>
      <c r="G133" s="218"/>
      <c r="H133" s="218"/>
      <c r="I133" s="218"/>
      <c r="J133" s="218"/>
      <c r="K133" s="218" t="s">
        <v>228</v>
      </c>
      <c r="L133" s="218"/>
      <c r="M133" s="218"/>
      <c r="N133" s="218"/>
      <c r="O133" s="218"/>
      <c r="P133" s="218"/>
      <c r="Q133" s="218"/>
      <c r="R133" s="218"/>
      <c r="S133" s="218"/>
      <c r="T133" s="220"/>
      <c r="AH133" s="1"/>
      <c r="AJ133" s="123"/>
      <c r="AK133" s="123"/>
      <c r="AL133" s="123"/>
      <c r="AM133" s="215"/>
      <c r="AN133" s="215"/>
    </row>
    <row r="134" spans="1:40" ht="18" customHeight="1" x14ac:dyDescent="0.25">
      <c r="B134" s="217" t="s">
        <v>205</v>
      </c>
      <c r="C134" s="218"/>
      <c r="D134" s="218"/>
      <c r="E134" s="221" t="s">
        <v>229</v>
      </c>
      <c r="F134" s="218"/>
      <c r="G134" s="218"/>
      <c r="H134" s="218"/>
      <c r="I134" s="218"/>
      <c r="J134" s="218"/>
      <c r="K134" s="218" t="s">
        <v>230</v>
      </c>
      <c r="L134" s="229"/>
      <c r="M134" s="229"/>
      <c r="N134" s="229"/>
      <c r="O134" s="229"/>
      <c r="P134" s="229"/>
      <c r="Q134" s="229"/>
      <c r="R134" s="229"/>
      <c r="S134" s="229"/>
      <c r="T134" s="230"/>
      <c r="U134" s="108"/>
      <c r="V134" s="108"/>
      <c r="AH134" s="1"/>
      <c r="AJ134" s="123"/>
      <c r="AK134" s="123"/>
      <c r="AL134" s="123"/>
      <c r="AM134" s="215"/>
      <c r="AN134" s="215"/>
    </row>
    <row r="135" spans="1:40" ht="18" customHeight="1" x14ac:dyDescent="0.2">
      <c r="T135" s="108"/>
      <c r="U135" s="108"/>
      <c r="V135" s="108"/>
      <c r="AH135" s="1"/>
      <c r="AJ135" s="123"/>
      <c r="AK135" s="123"/>
      <c r="AL135" s="123"/>
      <c r="AM135" s="215"/>
      <c r="AN135" s="215"/>
    </row>
    <row r="136" spans="1:40" ht="18" customHeight="1" x14ac:dyDescent="0.2">
      <c r="B136" s="1845" t="s">
        <v>44</v>
      </c>
      <c r="C136" s="1731">
        <v>1</v>
      </c>
      <c r="D136" s="1731">
        <v>2</v>
      </c>
      <c r="E136" s="1732">
        <v>3</v>
      </c>
      <c r="F136" s="1732">
        <v>4</v>
      </c>
      <c r="G136" s="1731">
        <v>5</v>
      </c>
      <c r="H136" s="1731">
        <v>6</v>
      </c>
      <c r="I136" s="1731">
        <v>7</v>
      </c>
      <c r="J136" s="1731">
        <v>8</v>
      </c>
      <c r="K136" s="1731">
        <v>9</v>
      </c>
      <c r="L136" s="1732">
        <v>10</v>
      </c>
      <c r="M136" s="1732">
        <v>11</v>
      </c>
      <c r="N136" s="1731">
        <v>12</v>
      </c>
      <c r="O136" s="1731">
        <v>13</v>
      </c>
      <c r="P136" s="1731">
        <v>14</v>
      </c>
      <c r="Q136" s="1731">
        <v>15</v>
      </c>
      <c r="R136" s="1731">
        <v>16</v>
      </c>
      <c r="S136" s="1732">
        <v>17</v>
      </c>
      <c r="T136" s="1732">
        <v>18</v>
      </c>
      <c r="U136" s="1731">
        <v>19</v>
      </c>
      <c r="V136" s="1731">
        <v>20</v>
      </c>
      <c r="W136" s="1731">
        <v>21</v>
      </c>
      <c r="X136" s="1731">
        <v>22</v>
      </c>
      <c r="Y136" s="1731">
        <v>23</v>
      </c>
      <c r="Z136" s="1732">
        <v>24</v>
      </c>
      <c r="AA136" s="1732">
        <v>25</v>
      </c>
      <c r="AB136" s="1847">
        <v>26</v>
      </c>
      <c r="AC136" s="1731">
        <v>27</v>
      </c>
      <c r="AD136" s="1731">
        <v>28</v>
      </c>
      <c r="AE136" s="1731">
        <v>29</v>
      </c>
      <c r="AF136" s="1731">
        <v>30</v>
      </c>
      <c r="AG136" s="1732">
        <v>31</v>
      </c>
      <c r="AH136" s="1"/>
      <c r="AJ136" s="1151" t="s">
        <v>41</v>
      </c>
      <c r="AK136" s="1151" t="s">
        <v>62</v>
      </c>
      <c r="AL136" s="1151" t="s">
        <v>63</v>
      </c>
      <c r="AM136" s="1151" t="s">
        <v>64</v>
      </c>
      <c r="AN136" s="1151" t="s">
        <v>65</v>
      </c>
    </row>
    <row r="137" spans="1:40" ht="18" customHeight="1" x14ac:dyDescent="0.2">
      <c r="B137" s="1848" t="s">
        <v>231</v>
      </c>
      <c r="C137" s="1849" t="s">
        <v>162</v>
      </c>
      <c r="D137" s="1849" t="s">
        <v>162</v>
      </c>
      <c r="E137" s="1849" t="s">
        <v>163</v>
      </c>
      <c r="F137" s="1849" t="s">
        <v>164</v>
      </c>
      <c r="G137" s="1849" t="s">
        <v>50</v>
      </c>
      <c r="H137" s="1849" t="s">
        <v>50</v>
      </c>
      <c r="I137" s="1849" t="s">
        <v>50</v>
      </c>
      <c r="J137" s="1849" t="s">
        <v>50</v>
      </c>
      <c r="K137" s="1849" t="s">
        <v>50</v>
      </c>
      <c r="L137" s="1849"/>
      <c r="M137" s="1849"/>
      <c r="N137" s="1849" t="s">
        <v>162</v>
      </c>
      <c r="O137" s="1849" t="s">
        <v>162</v>
      </c>
      <c r="P137" s="1849" t="s">
        <v>162</v>
      </c>
      <c r="Q137" s="1849" t="s">
        <v>162</v>
      </c>
      <c r="R137" s="1849" t="s">
        <v>162</v>
      </c>
      <c r="S137" s="1849" t="s">
        <v>163</v>
      </c>
      <c r="T137" s="1849" t="s">
        <v>164</v>
      </c>
      <c r="U137" s="1817" t="s">
        <v>50</v>
      </c>
      <c r="V137" s="1839" t="s">
        <v>50</v>
      </c>
      <c r="W137" s="1850" t="s">
        <v>50</v>
      </c>
      <c r="X137" s="1850" t="s">
        <v>50</v>
      </c>
      <c r="Y137" s="1839" t="s">
        <v>50</v>
      </c>
      <c r="Z137" s="1839"/>
      <c r="AA137" s="1817"/>
      <c r="AB137" s="1851" t="s">
        <v>162</v>
      </c>
      <c r="AC137" s="1817" t="s">
        <v>162</v>
      </c>
      <c r="AD137" s="1817" t="s">
        <v>162</v>
      </c>
      <c r="AE137" s="1817" t="s">
        <v>162</v>
      </c>
      <c r="AF137" s="1817" t="s">
        <v>162</v>
      </c>
      <c r="AG137" s="1817" t="s">
        <v>163</v>
      </c>
      <c r="AH137" s="1"/>
      <c r="AJ137" s="638">
        <v>161</v>
      </c>
      <c r="AK137" s="638"/>
      <c r="AL137" s="638">
        <f>IF(AJ137="","",SUM(AJ137:AK137))</f>
        <v>161</v>
      </c>
      <c r="AM137" s="639">
        <f>IF(AJ137="","",AL137-AJ137)</f>
        <v>0</v>
      </c>
      <c r="AN137" s="639">
        <f>IF(AM137="","",AM137+'Juli 2024'!AN134)</f>
        <v>-24.330000000000013</v>
      </c>
    </row>
    <row r="138" spans="1:40" ht="18" customHeight="1" x14ac:dyDescent="0.2">
      <c r="B138" s="863" t="s">
        <v>0</v>
      </c>
      <c r="C138" s="635" t="s">
        <v>50</v>
      </c>
      <c r="D138" s="635" t="s">
        <v>50</v>
      </c>
      <c r="E138" s="635"/>
      <c r="F138" s="636"/>
      <c r="G138" s="636" t="s">
        <v>162</v>
      </c>
      <c r="H138" s="636" t="s">
        <v>162</v>
      </c>
      <c r="I138" s="636" t="s">
        <v>162</v>
      </c>
      <c r="J138" s="636" t="s">
        <v>162</v>
      </c>
      <c r="K138" s="636" t="s">
        <v>162</v>
      </c>
      <c r="L138" s="636" t="s">
        <v>163</v>
      </c>
      <c r="M138" s="636" t="s">
        <v>164</v>
      </c>
      <c r="N138" s="636" t="s">
        <v>50</v>
      </c>
      <c r="O138" s="635" t="s">
        <v>50</v>
      </c>
      <c r="P138" s="635" t="s">
        <v>50</v>
      </c>
      <c r="Q138" s="635" t="s">
        <v>50</v>
      </c>
      <c r="R138" s="635" t="s">
        <v>50</v>
      </c>
      <c r="S138" s="635"/>
      <c r="T138" s="636"/>
      <c r="U138" s="636" t="s">
        <v>162</v>
      </c>
      <c r="V138" s="636" t="s">
        <v>162</v>
      </c>
      <c r="W138" s="636" t="s">
        <v>162</v>
      </c>
      <c r="X138" s="636" t="s">
        <v>162</v>
      </c>
      <c r="Y138" s="636" t="s">
        <v>162</v>
      </c>
      <c r="Z138" s="636" t="s">
        <v>163</v>
      </c>
      <c r="AA138" s="636" t="s">
        <v>164</v>
      </c>
      <c r="AB138" s="636" t="s">
        <v>50</v>
      </c>
      <c r="AC138" s="635" t="s">
        <v>50</v>
      </c>
      <c r="AD138" s="635" t="s">
        <v>50</v>
      </c>
      <c r="AE138" s="635" t="s">
        <v>50</v>
      </c>
      <c r="AF138" s="635" t="s">
        <v>50</v>
      </c>
      <c r="AG138" s="635"/>
      <c r="AH138" s="1"/>
      <c r="AJ138" s="638">
        <f>$AJ$12</f>
        <v>160.33000000000001</v>
      </c>
      <c r="AK138" s="638"/>
      <c r="AL138" s="638">
        <f>IF(AJ138="","",SUM(AJ138:AK138))</f>
        <v>160.33000000000001</v>
      </c>
      <c r="AM138" s="639">
        <f>IF(AJ138="","",AL138-AJ138)</f>
        <v>0</v>
      </c>
      <c r="AN138" s="639">
        <f>IF(AM138="","",AM138+'Juli 2024'!AN135)</f>
        <v>0</v>
      </c>
    </row>
    <row r="139" spans="1:40" ht="18" customHeight="1" x14ac:dyDescent="0.2">
      <c r="B139" s="864" t="s">
        <v>0</v>
      </c>
      <c r="C139" s="1363" t="s">
        <v>50</v>
      </c>
      <c r="D139" s="1363" t="s">
        <v>149</v>
      </c>
      <c r="E139" s="1363" t="s">
        <v>150</v>
      </c>
      <c r="F139" s="1363" t="s">
        <v>71</v>
      </c>
      <c r="G139" s="1363" t="s">
        <v>50</v>
      </c>
      <c r="H139" s="1363" t="s">
        <v>50</v>
      </c>
      <c r="I139" s="1363" t="s">
        <v>50</v>
      </c>
      <c r="J139" s="1363" t="s">
        <v>50</v>
      </c>
      <c r="K139" s="1363" t="s">
        <v>149</v>
      </c>
      <c r="L139" s="1363" t="s">
        <v>150</v>
      </c>
      <c r="M139" s="1363" t="s">
        <v>71</v>
      </c>
      <c r="N139" s="1363" t="s">
        <v>50</v>
      </c>
      <c r="O139" s="1363" t="s">
        <v>50</v>
      </c>
      <c r="P139" s="1363" t="s">
        <v>50</v>
      </c>
      <c r="Q139" s="1363" t="s">
        <v>50</v>
      </c>
      <c r="R139" s="1363" t="s">
        <v>149</v>
      </c>
      <c r="S139" s="1363" t="s">
        <v>150</v>
      </c>
      <c r="T139" s="1363" t="s">
        <v>71</v>
      </c>
      <c r="U139" s="1363" t="s">
        <v>50</v>
      </c>
      <c r="V139" s="1363" t="s">
        <v>50</v>
      </c>
      <c r="W139" s="1363" t="s">
        <v>50</v>
      </c>
      <c r="X139" s="1363" t="s">
        <v>50</v>
      </c>
      <c r="Y139" s="1363" t="s">
        <v>149</v>
      </c>
      <c r="Z139" s="1363" t="s">
        <v>150</v>
      </c>
      <c r="AA139" s="1363" t="s">
        <v>71</v>
      </c>
      <c r="AB139" s="1363" t="s">
        <v>50</v>
      </c>
      <c r="AC139" s="1363" t="s">
        <v>50</v>
      </c>
      <c r="AD139" s="1363" t="s">
        <v>50</v>
      </c>
      <c r="AE139" s="1363" t="s">
        <v>50</v>
      </c>
      <c r="AF139" s="1363" t="s">
        <v>149</v>
      </c>
      <c r="AG139" s="1363" t="s">
        <v>150</v>
      </c>
      <c r="AH139" s="1"/>
      <c r="AJ139" s="123"/>
      <c r="AK139" s="123"/>
      <c r="AL139" s="123"/>
      <c r="AM139" s="215"/>
      <c r="AN139" s="215"/>
    </row>
    <row r="140" spans="1:40" ht="18" customHeight="1" x14ac:dyDescent="0.2">
      <c r="B140" s="127"/>
      <c r="C140" s="128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28"/>
      <c r="AH140" s="1"/>
    </row>
    <row r="141" spans="1:40" ht="18" customHeight="1" x14ac:dyDescent="0.2">
      <c r="A141" s="107" t="s">
        <v>232</v>
      </c>
    </row>
    <row r="142" spans="1:40" ht="18" customHeight="1" x14ac:dyDescent="0.2">
      <c r="B142" s="1852" t="s">
        <v>233</v>
      </c>
      <c r="C142" s="1853"/>
      <c r="D142" s="1765" t="s">
        <v>17</v>
      </c>
      <c r="E142" s="1765"/>
      <c r="F142" s="1854"/>
      <c r="G142" s="1853"/>
      <c r="H142" s="1765" t="s">
        <v>18</v>
      </c>
      <c r="I142" s="1765"/>
      <c r="J142" s="1854"/>
      <c r="K142" s="1853"/>
      <c r="L142" s="1765" t="s">
        <v>19</v>
      </c>
      <c r="M142" s="1765"/>
      <c r="N142" s="1854"/>
      <c r="O142" s="1853"/>
      <c r="P142" s="1765" t="s">
        <v>20</v>
      </c>
      <c r="Q142" s="1765"/>
      <c r="R142" s="1854"/>
      <c r="S142" s="1853"/>
      <c r="T142" s="1765" t="s">
        <v>21</v>
      </c>
      <c r="U142" s="1765"/>
      <c r="V142" s="1854"/>
      <c r="W142" s="1853"/>
      <c r="X142" s="1765" t="s">
        <v>22</v>
      </c>
      <c r="Y142" s="1765"/>
      <c r="Z142" s="1854"/>
      <c r="AA142" s="1853"/>
      <c r="AB142" s="1765" t="s">
        <v>23</v>
      </c>
      <c r="AC142" s="1765"/>
      <c r="AD142" s="1765"/>
      <c r="AE142" s="1765" t="s">
        <v>234</v>
      </c>
      <c r="AF142" s="1765"/>
      <c r="AG142" s="1765"/>
      <c r="AH142" s="1765"/>
      <c r="AI142" s="1855"/>
    </row>
    <row r="143" spans="1:40" ht="18" customHeight="1" x14ac:dyDescent="0.2">
      <c r="B143" s="1856" t="s">
        <v>235</v>
      </c>
      <c r="C143" s="1857" t="s">
        <v>10</v>
      </c>
      <c r="D143" s="1765"/>
      <c r="E143" s="1769"/>
      <c r="F143" s="1858"/>
      <c r="G143" s="1857" t="s">
        <v>10</v>
      </c>
      <c r="H143" s="1859"/>
      <c r="I143" s="1769"/>
      <c r="J143" s="1858"/>
      <c r="K143" s="1860" t="s">
        <v>10</v>
      </c>
      <c r="L143" s="1765"/>
      <c r="M143" s="1765"/>
      <c r="N143" s="1854"/>
      <c r="O143" s="1860" t="s">
        <v>10</v>
      </c>
      <c r="P143" s="1861"/>
      <c r="Q143" s="1769"/>
      <c r="R143" s="1858"/>
      <c r="S143" s="1857" t="s">
        <v>10</v>
      </c>
      <c r="T143" s="1769"/>
      <c r="U143" s="1769"/>
      <c r="V143" s="1769"/>
      <c r="W143" s="1862"/>
      <c r="X143" s="1863"/>
      <c r="Y143" s="1863"/>
      <c r="Z143" s="1864"/>
      <c r="AA143" s="1769"/>
      <c r="AB143" s="1769"/>
      <c r="AC143" s="1769"/>
      <c r="AD143" s="1769"/>
      <c r="AE143" s="1865">
        <v>37</v>
      </c>
      <c r="AF143" s="1765"/>
      <c r="AG143" s="1769"/>
      <c r="AH143" s="1769"/>
      <c r="AI143" s="1770"/>
    </row>
    <row r="144" spans="1:40" ht="18" customHeight="1" x14ac:dyDescent="0.2">
      <c r="B144" s="1401" t="s">
        <v>236</v>
      </c>
      <c r="C144" s="1372" t="s">
        <v>237</v>
      </c>
      <c r="D144" s="1121"/>
      <c r="E144" s="1121"/>
      <c r="F144" s="1237"/>
      <c r="G144" s="1372" t="s">
        <v>238</v>
      </c>
      <c r="H144" s="1244"/>
      <c r="I144" s="1121"/>
      <c r="J144" s="1237"/>
      <c r="K144" s="1372" t="s">
        <v>239</v>
      </c>
      <c r="L144" s="1244" t="s">
        <v>240</v>
      </c>
      <c r="M144" s="1121"/>
      <c r="N144" s="1237"/>
      <c r="O144" s="1372" t="s">
        <v>239</v>
      </c>
      <c r="P144" s="1244" t="s">
        <v>240</v>
      </c>
      <c r="Q144" s="1121"/>
      <c r="R144" s="1237"/>
      <c r="S144" s="1372" t="s">
        <v>241</v>
      </c>
      <c r="T144" s="1121"/>
      <c r="U144" s="1121"/>
      <c r="V144" s="1237"/>
      <c r="W144" s="457" t="s">
        <v>143</v>
      </c>
      <c r="X144" s="875" t="s">
        <v>242</v>
      </c>
      <c r="Y144" s="467"/>
      <c r="Z144" s="467"/>
      <c r="AA144" s="1402" t="s">
        <v>143</v>
      </c>
      <c r="AB144" s="1244" t="s">
        <v>242</v>
      </c>
      <c r="AC144" s="1402"/>
      <c r="AD144" s="1402"/>
      <c r="AE144" s="1402">
        <v>68</v>
      </c>
      <c r="AF144" s="1121"/>
      <c r="AG144" s="1121"/>
      <c r="AH144" s="1121"/>
      <c r="AI144" s="1403"/>
    </row>
    <row r="145" spans="1:35" ht="18" customHeight="1" x14ac:dyDescent="0.2">
      <c r="B145" s="1401" t="s">
        <v>243</v>
      </c>
      <c r="C145" s="1404" t="s">
        <v>244</v>
      </c>
      <c r="D145" s="1121"/>
      <c r="E145" s="1121"/>
      <c r="F145" s="1237"/>
      <c r="G145" s="1244" t="s">
        <v>244</v>
      </c>
      <c r="H145" s="1244"/>
      <c r="I145" s="1121"/>
      <c r="J145" s="1237"/>
      <c r="K145" s="1244" t="s">
        <v>244</v>
      </c>
      <c r="L145" s="1121"/>
      <c r="M145" s="1121"/>
      <c r="N145" s="1237"/>
      <c r="O145" s="1244" t="s">
        <v>244</v>
      </c>
      <c r="P145" s="1244"/>
      <c r="Q145" s="1121"/>
      <c r="R145" s="1237"/>
      <c r="S145" s="1244" t="s">
        <v>244</v>
      </c>
      <c r="T145" s="1121"/>
      <c r="U145" s="1121"/>
      <c r="V145" s="1237"/>
      <c r="W145" s="1402"/>
      <c r="X145" s="1121"/>
      <c r="Y145" s="1121"/>
      <c r="Z145" s="1237"/>
      <c r="AA145" s="1402"/>
      <c r="AB145" s="1121"/>
      <c r="AC145" s="1121"/>
      <c r="AD145" s="1121"/>
      <c r="AE145" s="1402">
        <v>0</v>
      </c>
      <c r="AF145" s="1121"/>
      <c r="AG145" s="1121"/>
      <c r="AH145" s="1121"/>
      <c r="AI145" s="1403"/>
    </row>
    <row r="146" spans="1:35" ht="18" customHeight="1" x14ac:dyDescent="0.2">
      <c r="B146" s="1405" t="s">
        <v>245</v>
      </c>
      <c r="C146" s="1406" t="s">
        <v>10</v>
      </c>
      <c r="D146" s="199"/>
      <c r="E146" s="1247"/>
      <c r="F146" s="1249"/>
      <c r="G146" s="1406" t="s">
        <v>10</v>
      </c>
      <c r="H146" s="201"/>
      <c r="I146" s="1247"/>
      <c r="J146" s="1249"/>
      <c r="K146" s="1406" t="s">
        <v>10</v>
      </c>
      <c r="L146" s="199"/>
      <c r="M146" s="1247"/>
      <c r="N146" s="1249"/>
      <c r="O146" s="1406" t="s">
        <v>10</v>
      </c>
      <c r="P146" s="1251"/>
      <c r="Q146" s="1247"/>
      <c r="R146" s="1249"/>
      <c r="S146" s="1406" t="s">
        <v>10</v>
      </c>
      <c r="T146" s="1247"/>
      <c r="U146" s="1247"/>
      <c r="V146" s="1247"/>
      <c r="W146" s="1407"/>
      <c r="X146" s="1247"/>
      <c r="Y146" s="1247"/>
      <c r="Z146" s="1408"/>
      <c r="AA146" s="1247"/>
      <c r="AB146" s="1247"/>
      <c r="AC146" s="1247"/>
      <c r="AD146" s="1247"/>
      <c r="AE146" s="1374">
        <v>37</v>
      </c>
      <c r="AF146" s="1247"/>
      <c r="AG146" s="1247"/>
      <c r="AH146" s="1247"/>
      <c r="AI146" s="1254"/>
    </row>
    <row r="147" spans="1:35" ht="18" customHeight="1" x14ac:dyDescent="0.2">
      <c r="D147" s="467"/>
    </row>
    <row r="148" spans="1:35" ht="18" customHeight="1" x14ac:dyDescent="0.2">
      <c r="A148" s="1130"/>
      <c r="B148" s="1130" t="s">
        <v>44</v>
      </c>
      <c r="C148" s="1731">
        <v>1</v>
      </c>
      <c r="D148" s="1731">
        <v>2</v>
      </c>
      <c r="E148" s="1732">
        <v>3</v>
      </c>
      <c r="F148" s="1732">
        <v>4</v>
      </c>
      <c r="G148" s="1731">
        <v>5</v>
      </c>
      <c r="H148" s="1731">
        <v>6</v>
      </c>
      <c r="I148" s="1731">
        <v>7</v>
      </c>
      <c r="J148" s="1731">
        <v>8</v>
      </c>
      <c r="K148" s="1731">
        <v>9</v>
      </c>
      <c r="L148" s="1732">
        <v>10</v>
      </c>
      <c r="M148" s="1732">
        <v>11</v>
      </c>
      <c r="N148" s="1731">
        <v>12</v>
      </c>
      <c r="O148" s="1731">
        <v>13</v>
      </c>
      <c r="P148" s="1731">
        <v>14</v>
      </c>
      <c r="Q148" s="1731">
        <v>15</v>
      </c>
      <c r="R148" s="1731">
        <v>16</v>
      </c>
      <c r="S148" s="1732">
        <v>17</v>
      </c>
      <c r="T148" s="1732">
        <v>18</v>
      </c>
      <c r="U148" s="1731">
        <v>19</v>
      </c>
      <c r="V148" s="1731">
        <v>20</v>
      </c>
      <c r="W148" s="1731">
        <v>21</v>
      </c>
      <c r="X148" s="1731">
        <v>22</v>
      </c>
      <c r="Y148" s="1731">
        <v>23</v>
      </c>
      <c r="Z148" s="1732">
        <v>24</v>
      </c>
      <c r="AA148" s="1732">
        <v>25</v>
      </c>
      <c r="AB148" s="1731">
        <v>26</v>
      </c>
      <c r="AC148" s="1731">
        <v>27</v>
      </c>
      <c r="AD148" s="1731">
        <v>28</v>
      </c>
      <c r="AE148" s="1731">
        <v>29</v>
      </c>
      <c r="AF148" s="1731">
        <v>30</v>
      </c>
      <c r="AG148" s="1732">
        <v>31</v>
      </c>
      <c r="AH148" s="315"/>
      <c r="AI148" s="73"/>
    </row>
    <row r="149" spans="1:35" ht="18" customHeight="1" x14ac:dyDescent="0.2">
      <c r="A149" s="1866">
        <v>1</v>
      </c>
      <c r="B149" s="1867" t="s">
        <v>246</v>
      </c>
      <c r="C149" s="1868" t="s">
        <v>172</v>
      </c>
      <c r="D149" s="1868" t="s">
        <v>172</v>
      </c>
      <c r="E149" s="1868"/>
      <c r="F149" s="1869"/>
      <c r="G149" s="1869" t="s">
        <v>172</v>
      </c>
      <c r="H149" s="1868" t="s">
        <v>172</v>
      </c>
      <c r="I149" s="1868" t="s">
        <v>172</v>
      </c>
      <c r="J149" s="1868" t="s">
        <v>172</v>
      </c>
      <c r="K149" s="1868" t="s">
        <v>172</v>
      </c>
      <c r="L149" s="1868"/>
      <c r="M149" s="1868"/>
      <c r="N149" s="1868" t="s">
        <v>142</v>
      </c>
      <c r="O149" s="1868" t="s">
        <v>142</v>
      </c>
      <c r="P149" s="1868" t="s">
        <v>142</v>
      </c>
      <c r="Q149" s="1868" t="s">
        <v>142</v>
      </c>
      <c r="R149" s="1868" t="s">
        <v>142</v>
      </c>
      <c r="S149" s="1868" t="s">
        <v>143</v>
      </c>
      <c r="T149" s="1868" t="s">
        <v>143</v>
      </c>
      <c r="U149" s="1868" t="s">
        <v>50</v>
      </c>
      <c r="V149" s="1868" t="s">
        <v>50</v>
      </c>
      <c r="W149" s="1868" t="s">
        <v>50</v>
      </c>
      <c r="X149" s="1870" t="s">
        <v>50</v>
      </c>
      <c r="Y149" s="1868" t="s">
        <v>50</v>
      </c>
      <c r="Z149" s="1868"/>
      <c r="AA149" s="1868"/>
      <c r="AB149" s="1868" t="s">
        <v>172</v>
      </c>
      <c r="AC149" s="1868" t="s">
        <v>172</v>
      </c>
      <c r="AD149" s="1868" t="s">
        <v>172</v>
      </c>
      <c r="AE149" s="1868" t="s">
        <v>172</v>
      </c>
      <c r="AF149" s="1868" t="s">
        <v>172</v>
      </c>
      <c r="AG149" s="1871"/>
      <c r="AH149" s="112"/>
      <c r="AI149" s="67"/>
    </row>
    <row r="150" spans="1:35" ht="18" customHeight="1" x14ac:dyDescent="0.2">
      <c r="A150" s="1415">
        <v>2</v>
      </c>
      <c r="B150" s="1416" t="s">
        <v>170</v>
      </c>
      <c r="C150" s="1223" t="s">
        <v>50</v>
      </c>
      <c r="D150" s="1223" t="s">
        <v>50</v>
      </c>
      <c r="E150" s="1223"/>
      <c r="F150" s="1185"/>
      <c r="G150" s="1185" t="s">
        <v>172</v>
      </c>
      <c r="H150" s="1174" t="s">
        <v>172</v>
      </c>
      <c r="I150" s="1174" t="s">
        <v>172</v>
      </c>
      <c r="J150" s="1174" t="s">
        <v>172</v>
      </c>
      <c r="K150" s="1333" t="s">
        <v>172</v>
      </c>
      <c r="L150" s="1333"/>
      <c r="M150" s="1174"/>
      <c r="N150" s="1174" t="s">
        <v>172</v>
      </c>
      <c r="O150" s="1174" t="s">
        <v>172</v>
      </c>
      <c r="P150" s="1174" t="s">
        <v>172</v>
      </c>
      <c r="Q150" s="1174" t="s">
        <v>172</v>
      </c>
      <c r="R150" s="1174" t="s">
        <v>172</v>
      </c>
      <c r="S150" s="1174"/>
      <c r="T150" s="1333"/>
      <c r="U150" s="1174" t="s">
        <v>142</v>
      </c>
      <c r="V150" s="1185" t="s">
        <v>142</v>
      </c>
      <c r="W150" s="1185" t="s">
        <v>142</v>
      </c>
      <c r="X150" s="1185" t="s">
        <v>142</v>
      </c>
      <c r="Y150" s="1185" t="s">
        <v>142</v>
      </c>
      <c r="Z150" s="1185" t="s">
        <v>143</v>
      </c>
      <c r="AA150" s="1185" t="s">
        <v>143</v>
      </c>
      <c r="AB150" s="1185" t="s">
        <v>50</v>
      </c>
      <c r="AC150" s="1181" t="s">
        <v>50</v>
      </c>
      <c r="AD150" s="1223" t="s">
        <v>50</v>
      </c>
      <c r="AE150" s="1223" t="s">
        <v>50</v>
      </c>
      <c r="AF150" s="1223" t="s">
        <v>50</v>
      </c>
      <c r="AG150" s="1177"/>
      <c r="AH150" s="112"/>
      <c r="AI150" s="67"/>
    </row>
    <row r="151" spans="1:35" ht="18" customHeight="1" x14ac:dyDescent="0.2">
      <c r="A151" s="1415">
        <v>3</v>
      </c>
      <c r="B151" s="1416" t="s">
        <v>167</v>
      </c>
      <c r="C151" s="1174" t="s">
        <v>142</v>
      </c>
      <c r="D151" s="1174" t="s">
        <v>142</v>
      </c>
      <c r="E151" s="1174" t="s">
        <v>143</v>
      </c>
      <c r="F151" s="1174" t="s">
        <v>143</v>
      </c>
      <c r="G151" s="1174" t="s">
        <v>50</v>
      </c>
      <c r="H151" s="1174" t="s">
        <v>50</v>
      </c>
      <c r="I151" s="1174" t="s">
        <v>50</v>
      </c>
      <c r="J151" s="1174" t="s">
        <v>50</v>
      </c>
      <c r="K151" s="1174" t="s">
        <v>50</v>
      </c>
      <c r="L151" s="1174"/>
      <c r="M151" s="1174"/>
      <c r="N151" s="1174" t="s">
        <v>172</v>
      </c>
      <c r="O151" s="1174" t="s">
        <v>172</v>
      </c>
      <c r="P151" s="1174" t="s">
        <v>172</v>
      </c>
      <c r="Q151" s="1174" t="s">
        <v>172</v>
      </c>
      <c r="R151" s="1174" t="s">
        <v>172</v>
      </c>
      <c r="S151" s="1174"/>
      <c r="T151" s="1174"/>
      <c r="U151" s="1174" t="s">
        <v>172</v>
      </c>
      <c r="V151" s="1174" t="s">
        <v>172</v>
      </c>
      <c r="W151" s="1174" t="s">
        <v>172</v>
      </c>
      <c r="X151" s="1174" t="s">
        <v>172</v>
      </c>
      <c r="Y151" s="1174" t="s">
        <v>172</v>
      </c>
      <c r="Z151" s="1174"/>
      <c r="AA151" s="1174"/>
      <c r="AB151" s="1174" t="s">
        <v>142</v>
      </c>
      <c r="AC151" s="1174" t="s">
        <v>142</v>
      </c>
      <c r="AD151" s="1174" t="s">
        <v>142</v>
      </c>
      <c r="AE151" s="1174" t="s">
        <v>142</v>
      </c>
      <c r="AF151" s="1174" t="s">
        <v>142</v>
      </c>
      <c r="AG151" s="1177" t="s">
        <v>143</v>
      </c>
      <c r="AH151" s="112"/>
      <c r="AI151" s="67"/>
    </row>
    <row r="152" spans="1:35" ht="18" customHeight="1" x14ac:dyDescent="0.2">
      <c r="A152" s="1417">
        <v>4</v>
      </c>
      <c r="B152" s="1217" t="s">
        <v>246</v>
      </c>
      <c r="C152" s="1418" t="s">
        <v>172</v>
      </c>
      <c r="D152" s="1418" t="s">
        <v>172</v>
      </c>
      <c r="E152" s="1418" t="s">
        <v>0</v>
      </c>
      <c r="F152" s="1418" t="s">
        <v>0</v>
      </c>
      <c r="G152" s="1220" t="s">
        <v>142</v>
      </c>
      <c r="H152" s="1220" t="s">
        <v>142</v>
      </c>
      <c r="I152" s="1220" t="s">
        <v>142</v>
      </c>
      <c r="J152" s="1220" t="s">
        <v>142</v>
      </c>
      <c r="K152" s="1418" t="s">
        <v>142</v>
      </c>
      <c r="L152" s="1418" t="s">
        <v>143</v>
      </c>
      <c r="M152" s="1220" t="s">
        <v>143</v>
      </c>
      <c r="N152" s="1418" t="s">
        <v>50</v>
      </c>
      <c r="O152" s="1220" t="s">
        <v>50</v>
      </c>
      <c r="P152" s="1220" t="s">
        <v>50</v>
      </c>
      <c r="Q152" s="1220" t="s">
        <v>50</v>
      </c>
      <c r="R152" s="1220" t="s">
        <v>50</v>
      </c>
      <c r="S152" s="1220"/>
      <c r="T152" s="1418"/>
      <c r="U152" s="1418" t="s">
        <v>172</v>
      </c>
      <c r="V152" s="1418" t="s">
        <v>172</v>
      </c>
      <c r="W152" s="1418" t="s">
        <v>172</v>
      </c>
      <c r="X152" s="1418" t="s">
        <v>172</v>
      </c>
      <c r="Y152" s="1418" t="s">
        <v>172</v>
      </c>
      <c r="Z152" s="1418"/>
      <c r="AA152" s="1418"/>
      <c r="AB152" s="1418" t="s">
        <v>172</v>
      </c>
      <c r="AC152" s="1418" t="s">
        <v>172</v>
      </c>
      <c r="AD152" s="1418" t="s">
        <v>172</v>
      </c>
      <c r="AE152" s="1418" t="s">
        <v>172</v>
      </c>
      <c r="AF152" s="1418" t="s">
        <v>172</v>
      </c>
      <c r="AG152" s="1222" t="s">
        <v>0</v>
      </c>
      <c r="AH152" s="112"/>
      <c r="AI152" s="67"/>
    </row>
    <row r="153" spans="1:35" ht="18" customHeight="1" x14ac:dyDescent="0.2">
      <c r="A153" s="129"/>
      <c r="B153" s="123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  <c r="Y153" s="130"/>
      <c r="Z153" s="130"/>
      <c r="AA153" s="130"/>
      <c r="AB153" s="130"/>
      <c r="AC153" s="130"/>
      <c r="AD153" s="130"/>
      <c r="AE153" s="130"/>
      <c r="AF153" s="130"/>
      <c r="AG153" s="131"/>
      <c r="AH153" s="124"/>
      <c r="AI153" s="67"/>
    </row>
    <row r="154" spans="1:35" ht="18" customHeight="1" x14ac:dyDescent="0.2">
      <c r="A154" s="48"/>
      <c r="B154" s="1872" t="s">
        <v>247</v>
      </c>
      <c r="C154" s="1865"/>
      <c r="D154" s="1873" t="s">
        <v>17</v>
      </c>
      <c r="E154" s="1874"/>
      <c r="F154" s="1865"/>
      <c r="G154" s="1875" t="s">
        <v>18</v>
      </c>
      <c r="H154" s="1858"/>
      <c r="I154" s="1876"/>
      <c r="J154" s="1875" t="s">
        <v>19</v>
      </c>
      <c r="K154" s="1877"/>
      <c r="L154" s="1876"/>
      <c r="M154" s="1878" t="s">
        <v>20</v>
      </c>
      <c r="N154" s="1877"/>
      <c r="O154" s="1876"/>
      <c r="P154" s="1875" t="s">
        <v>21</v>
      </c>
      <c r="Q154" s="1879"/>
      <c r="R154" s="1876"/>
      <c r="S154" s="1875" t="s">
        <v>22</v>
      </c>
      <c r="T154" s="1880"/>
      <c r="U154" s="1876"/>
      <c r="V154" s="1875" t="s">
        <v>23</v>
      </c>
      <c r="W154" s="1879"/>
      <c r="X154" s="1881" t="s">
        <v>234</v>
      </c>
      <c r="Y154" s="1882"/>
      <c r="Z154" s="1882"/>
      <c r="AA154" s="1883"/>
      <c r="AB154" s="1860" t="s">
        <v>126</v>
      </c>
      <c r="AC154" s="1884"/>
      <c r="AD154" s="1884"/>
      <c r="AE154" s="1885"/>
      <c r="AF154" s="1885"/>
      <c r="AG154" s="1886"/>
      <c r="AH154" s="124"/>
      <c r="AI154" s="67"/>
    </row>
    <row r="155" spans="1:35" ht="18" customHeight="1" x14ac:dyDescent="0.2">
      <c r="A155" s="48"/>
      <c r="B155" s="1430" t="s">
        <v>248</v>
      </c>
      <c r="C155" s="1431" t="s">
        <v>249</v>
      </c>
      <c r="D155" s="1124"/>
      <c r="E155" s="1125"/>
      <c r="F155" s="1431" t="s">
        <v>249</v>
      </c>
      <c r="G155" s="1124"/>
      <c r="H155" s="1125"/>
      <c r="I155" s="1431" t="s">
        <v>249</v>
      </c>
      <c r="J155" s="1124"/>
      <c r="K155" s="1125"/>
      <c r="L155" s="1431" t="s">
        <v>249</v>
      </c>
      <c r="M155" s="1124"/>
      <c r="N155" s="1125"/>
      <c r="O155" s="1431" t="s">
        <v>250</v>
      </c>
      <c r="P155" s="1124"/>
      <c r="Q155" s="1125"/>
      <c r="R155" s="1431"/>
      <c r="S155" s="1124"/>
      <c r="T155" s="1125"/>
      <c r="U155" s="1431"/>
      <c r="V155" s="1124"/>
      <c r="W155" s="1125"/>
      <c r="X155" s="1431"/>
      <c r="Y155" s="1432"/>
      <c r="Z155" s="1432"/>
      <c r="AA155" s="1432"/>
      <c r="AB155" s="1120"/>
      <c r="AC155" s="1432"/>
      <c r="AD155" s="1432"/>
      <c r="AE155" s="1432"/>
      <c r="AF155" s="1432"/>
      <c r="AG155" s="1433"/>
      <c r="AH155" s="124"/>
      <c r="AI155" s="67"/>
    </row>
    <row r="156" spans="1:35" ht="18" customHeight="1" thickBot="1" x14ac:dyDescent="0.25">
      <c r="A156" s="48"/>
      <c r="B156" s="4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124"/>
      <c r="AI156" s="67"/>
    </row>
    <row r="157" spans="1:35" ht="18" customHeight="1" thickBot="1" x14ac:dyDescent="0.25">
      <c r="A157" s="1434" t="s">
        <v>43</v>
      </c>
      <c r="B157" s="1256" t="s">
        <v>44</v>
      </c>
      <c r="C157" s="1731">
        <v>1</v>
      </c>
      <c r="D157" s="1731">
        <v>2</v>
      </c>
      <c r="E157" s="1732">
        <v>3</v>
      </c>
      <c r="F157" s="1732">
        <v>4</v>
      </c>
      <c r="G157" s="1731">
        <v>5</v>
      </c>
      <c r="H157" s="1731">
        <v>6</v>
      </c>
      <c r="I157" s="1731">
        <v>7</v>
      </c>
      <c r="J157" s="1731">
        <v>8</v>
      </c>
      <c r="K157" s="1731">
        <v>9</v>
      </c>
      <c r="L157" s="1732">
        <v>10</v>
      </c>
      <c r="M157" s="1732">
        <v>11</v>
      </c>
      <c r="N157" s="1731">
        <v>12</v>
      </c>
      <c r="O157" s="1731">
        <v>13</v>
      </c>
      <c r="P157" s="1731">
        <v>14</v>
      </c>
      <c r="Q157" s="1731">
        <v>15</v>
      </c>
      <c r="R157" s="1731">
        <v>16</v>
      </c>
      <c r="S157" s="1732">
        <v>17</v>
      </c>
      <c r="T157" s="1732">
        <v>18</v>
      </c>
      <c r="U157" s="1731">
        <v>19</v>
      </c>
      <c r="V157" s="1731">
        <v>20</v>
      </c>
      <c r="W157" s="1731">
        <v>21</v>
      </c>
      <c r="X157" s="1731">
        <v>22</v>
      </c>
      <c r="Y157" s="1731">
        <v>23</v>
      </c>
      <c r="Z157" s="1732">
        <v>24</v>
      </c>
      <c r="AA157" s="1732">
        <v>25</v>
      </c>
      <c r="AB157" s="1731">
        <v>26</v>
      </c>
      <c r="AC157" s="1731">
        <v>27</v>
      </c>
      <c r="AD157" s="1731">
        <v>28</v>
      </c>
      <c r="AE157" s="1731">
        <v>29</v>
      </c>
      <c r="AF157" s="1731">
        <v>30</v>
      </c>
      <c r="AG157" s="1732">
        <v>31</v>
      </c>
      <c r="AH157" s="124"/>
      <c r="AI157" s="67"/>
    </row>
    <row r="158" spans="1:35" ht="18" customHeight="1" x14ac:dyDescent="0.2">
      <c r="A158" s="1887">
        <v>8520</v>
      </c>
      <c r="B158" s="1888" t="s">
        <v>251</v>
      </c>
      <c r="C158" s="1749" t="s">
        <v>252</v>
      </c>
      <c r="D158" s="1749" t="s">
        <v>252</v>
      </c>
      <c r="E158" s="1749"/>
      <c r="F158" s="1749"/>
      <c r="G158" s="1749" t="s">
        <v>252</v>
      </c>
      <c r="H158" s="1749" t="s">
        <v>252</v>
      </c>
      <c r="I158" s="1749" t="s">
        <v>252</v>
      </c>
      <c r="J158" s="1749" t="s">
        <v>252</v>
      </c>
      <c r="K158" s="1749" t="s">
        <v>252</v>
      </c>
      <c r="L158" s="1749"/>
      <c r="M158" s="1749"/>
      <c r="N158" s="1749" t="s">
        <v>252</v>
      </c>
      <c r="O158" s="1749" t="s">
        <v>252</v>
      </c>
      <c r="P158" s="1749" t="s">
        <v>252</v>
      </c>
      <c r="Q158" s="1749" t="s">
        <v>252</v>
      </c>
      <c r="R158" s="1749" t="s">
        <v>252</v>
      </c>
      <c r="S158" s="1749"/>
      <c r="T158" s="1749"/>
      <c r="U158" s="1749" t="s">
        <v>252</v>
      </c>
      <c r="V158" s="1749" t="s">
        <v>252</v>
      </c>
      <c r="W158" s="1749" t="s">
        <v>252</v>
      </c>
      <c r="X158" s="1790" t="s">
        <v>252</v>
      </c>
      <c r="Y158" s="1749" t="s">
        <v>252</v>
      </c>
      <c r="Z158" s="1749"/>
      <c r="AA158" s="1749"/>
      <c r="AB158" s="1749" t="s">
        <v>252</v>
      </c>
      <c r="AC158" s="1749" t="s">
        <v>252</v>
      </c>
      <c r="AD158" s="1749" t="s">
        <v>252</v>
      </c>
      <c r="AE158" s="1889" t="s">
        <v>24</v>
      </c>
      <c r="AF158" s="1749" t="s">
        <v>252</v>
      </c>
      <c r="AG158" s="1871"/>
      <c r="AH158" s="124"/>
      <c r="AI158" s="67"/>
    </row>
    <row r="159" spans="1:35" ht="18" customHeight="1" x14ac:dyDescent="0.2">
      <c r="A159" s="136"/>
      <c r="B159" s="135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4"/>
      <c r="AI159" s="67"/>
    </row>
    <row r="160" spans="1:35" ht="18" customHeight="1" x14ac:dyDescent="0.2">
      <c r="AH160" s="67"/>
      <c r="AI160" s="67"/>
    </row>
    <row r="161" spans="1:39" ht="18" customHeight="1" x14ac:dyDescent="0.2">
      <c r="A161" s="107" t="s">
        <v>254</v>
      </c>
      <c r="B161" s="108"/>
      <c r="C161" s="108"/>
      <c r="D161" s="109"/>
      <c r="E161" s="109"/>
      <c r="F161" s="109"/>
      <c r="G161" s="65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8"/>
      <c r="AI161" s="108"/>
    </row>
    <row r="162" spans="1:39" ht="18" customHeight="1" x14ac:dyDescent="0.2">
      <c r="A162" s="107"/>
      <c r="B162" s="1872" t="s">
        <v>255</v>
      </c>
      <c r="C162" s="1890"/>
      <c r="D162" s="1891" t="s">
        <v>17</v>
      </c>
      <c r="E162" s="1892"/>
      <c r="F162" s="1893"/>
      <c r="G162" s="1890"/>
      <c r="H162" s="1891" t="s">
        <v>18</v>
      </c>
      <c r="I162" s="1892"/>
      <c r="J162" s="1893"/>
      <c r="K162" s="1890"/>
      <c r="L162" s="1891" t="s">
        <v>19</v>
      </c>
      <c r="M162" s="1892"/>
      <c r="N162" s="1893"/>
      <c r="O162" s="1890"/>
      <c r="P162" s="1891" t="s">
        <v>20</v>
      </c>
      <c r="Q162" s="1892"/>
      <c r="R162" s="1893"/>
      <c r="S162" s="1890"/>
      <c r="T162" s="1891" t="s">
        <v>21</v>
      </c>
      <c r="U162" s="1892"/>
      <c r="V162" s="1893"/>
      <c r="W162" s="1890"/>
      <c r="X162" s="1891" t="s">
        <v>22</v>
      </c>
      <c r="Y162" s="1892"/>
      <c r="Z162" s="1893"/>
      <c r="AA162" s="1890"/>
      <c r="AB162" s="1891" t="s">
        <v>23</v>
      </c>
      <c r="AC162" s="1892"/>
      <c r="AD162" s="1892"/>
      <c r="AE162" s="1894" t="s">
        <v>126</v>
      </c>
      <c r="AF162" s="1892"/>
      <c r="AG162" s="1892"/>
      <c r="AH162" s="1892"/>
      <c r="AI162" s="1895"/>
    </row>
    <row r="163" spans="1:39" ht="18" customHeight="1" x14ac:dyDescent="0.2">
      <c r="A163" s="107"/>
      <c r="B163" s="1444" t="s">
        <v>235</v>
      </c>
      <c r="C163" s="1445">
        <v>69</v>
      </c>
      <c r="D163" s="1446" t="s">
        <v>256</v>
      </c>
      <c r="E163" s="1446"/>
      <c r="F163" s="1447"/>
      <c r="G163" s="1445">
        <v>69</v>
      </c>
      <c r="H163" s="1446" t="s">
        <v>256</v>
      </c>
      <c r="I163" s="1446"/>
      <c r="J163" s="1447"/>
      <c r="K163" s="1445">
        <v>69</v>
      </c>
      <c r="L163" s="1446" t="s">
        <v>256</v>
      </c>
      <c r="M163" s="1446"/>
      <c r="N163" s="1447"/>
      <c r="O163" s="1445">
        <v>69</v>
      </c>
      <c r="P163" s="1446" t="s">
        <v>256</v>
      </c>
      <c r="Q163" s="1446"/>
      <c r="R163" s="1447"/>
      <c r="S163" s="1445">
        <v>69</v>
      </c>
      <c r="T163" s="1446" t="s">
        <v>256</v>
      </c>
      <c r="U163" s="1446"/>
      <c r="V163" s="1447"/>
      <c r="W163" s="1445"/>
      <c r="X163" s="1448"/>
      <c r="Y163" s="1448"/>
      <c r="Z163" s="1449"/>
      <c r="AA163" s="1445"/>
      <c r="AB163" s="1446"/>
      <c r="AC163" s="1446"/>
      <c r="AD163" s="1302"/>
      <c r="AE163" s="1450">
        <v>35</v>
      </c>
      <c r="AF163" s="1446"/>
      <c r="AG163" s="1446"/>
      <c r="AH163" s="1302"/>
      <c r="AI163" s="1451"/>
    </row>
    <row r="164" spans="1:39" ht="18" customHeight="1" x14ac:dyDescent="0.2">
      <c r="A164" s="107"/>
      <c r="B164" s="1444" t="s">
        <v>236</v>
      </c>
      <c r="C164" s="1445">
        <v>79</v>
      </c>
      <c r="D164" s="1446" t="s">
        <v>257</v>
      </c>
      <c r="E164" s="1446"/>
      <c r="F164" s="1447"/>
      <c r="G164" s="1445">
        <v>79</v>
      </c>
      <c r="H164" s="1446" t="s">
        <v>257</v>
      </c>
      <c r="I164" s="1446"/>
      <c r="J164" s="1447"/>
      <c r="K164" s="1445">
        <v>79</v>
      </c>
      <c r="L164" s="1446" t="s">
        <v>257</v>
      </c>
      <c r="M164" s="1446"/>
      <c r="N164" s="1447"/>
      <c r="O164" s="1445">
        <v>79</v>
      </c>
      <c r="P164" s="1446" t="s">
        <v>257</v>
      </c>
      <c r="Q164" s="1446"/>
      <c r="R164" s="1447"/>
      <c r="S164" s="1445">
        <v>79</v>
      </c>
      <c r="T164" s="1446" t="s">
        <v>257</v>
      </c>
      <c r="U164" s="1446"/>
      <c r="V164" s="1447"/>
      <c r="W164" s="1445"/>
      <c r="X164" s="1446"/>
      <c r="Y164" s="1446"/>
      <c r="Z164" s="1447"/>
      <c r="AA164" s="1446"/>
      <c r="AB164" s="1446"/>
      <c r="AC164" s="1446"/>
      <c r="AD164" s="1302"/>
      <c r="AE164" s="1450">
        <v>40</v>
      </c>
      <c r="AF164" s="1446"/>
      <c r="AG164" s="1446"/>
      <c r="AH164" s="1302"/>
      <c r="AI164" s="1451"/>
    </row>
    <row r="165" spans="1:39" ht="18" customHeight="1" x14ac:dyDescent="0.2">
      <c r="A165" s="107"/>
      <c r="B165" s="1444" t="s">
        <v>243</v>
      </c>
      <c r="C165" s="1445">
        <v>89</v>
      </c>
      <c r="D165" s="1446" t="s">
        <v>258</v>
      </c>
      <c r="E165" s="1446"/>
      <c r="F165" s="1447"/>
      <c r="G165" s="1445">
        <v>89</v>
      </c>
      <c r="H165" s="1446" t="s">
        <v>258</v>
      </c>
      <c r="I165" s="1446"/>
      <c r="J165" s="1447"/>
      <c r="K165" s="1445">
        <v>89</v>
      </c>
      <c r="L165" s="1446" t="s">
        <v>258</v>
      </c>
      <c r="M165" s="1446"/>
      <c r="N165" s="1447"/>
      <c r="O165" s="1445">
        <v>89</v>
      </c>
      <c r="P165" s="1446" t="s">
        <v>258</v>
      </c>
      <c r="Q165" s="1446" t="s">
        <v>435</v>
      </c>
      <c r="R165" s="1447"/>
      <c r="S165" s="1445">
        <v>89</v>
      </c>
      <c r="T165" s="1446" t="s">
        <v>259</v>
      </c>
      <c r="U165" s="1446"/>
      <c r="V165" s="1447"/>
      <c r="W165" s="1452"/>
      <c r="X165" s="1453" t="s">
        <v>260</v>
      </c>
      <c r="Y165" s="1453"/>
      <c r="Z165" s="1454"/>
      <c r="AA165" s="1452"/>
      <c r="AB165" s="1453"/>
      <c r="AC165" s="1453"/>
      <c r="AD165" s="1304"/>
      <c r="AE165" s="1450">
        <v>44</v>
      </c>
      <c r="AF165" s="1446"/>
      <c r="AG165" s="1446"/>
      <c r="AH165" s="1302"/>
      <c r="AI165" s="1451"/>
    </row>
    <row r="166" spans="1:39" ht="18" customHeight="1" x14ac:dyDescent="0.2">
      <c r="A166" s="107"/>
      <c r="B166" s="19" t="s">
        <v>245</v>
      </c>
      <c r="C166" s="1452">
        <v>99</v>
      </c>
      <c r="D166" s="1453" t="s">
        <v>261</v>
      </c>
      <c r="E166" s="1453"/>
      <c r="F166" s="1454"/>
      <c r="G166" s="1452">
        <v>99</v>
      </c>
      <c r="H166" s="1453" t="s">
        <v>261</v>
      </c>
      <c r="I166" s="1453"/>
      <c r="J166" s="1454"/>
      <c r="K166" s="1452">
        <v>99</v>
      </c>
      <c r="L166" s="1453" t="s">
        <v>261</v>
      </c>
      <c r="M166" s="1453"/>
      <c r="N166" s="1454"/>
      <c r="O166" s="1452">
        <v>99</v>
      </c>
      <c r="P166" s="1453" t="s">
        <v>261</v>
      </c>
      <c r="Q166" s="1453"/>
      <c r="R166" s="1454"/>
      <c r="S166" s="1452">
        <v>99</v>
      </c>
      <c r="T166" s="1453" t="s">
        <v>244</v>
      </c>
      <c r="U166" s="1453"/>
      <c r="V166" s="1304"/>
      <c r="W166" s="1303"/>
      <c r="X166" s="1304"/>
      <c r="Y166" s="1453"/>
      <c r="Z166" s="1454"/>
      <c r="AA166" s="1303"/>
      <c r="AB166" s="1304"/>
      <c r="AC166" s="1453"/>
      <c r="AD166" s="1454"/>
      <c r="AE166" s="1455" t="s">
        <v>0</v>
      </c>
      <c r="AF166" s="1453"/>
      <c r="AG166" s="1453"/>
      <c r="AH166" s="1304"/>
      <c r="AI166" s="1456"/>
    </row>
    <row r="167" spans="1:39" ht="18" customHeight="1" x14ac:dyDescent="0.2">
      <c r="A167" s="107"/>
      <c r="B167" s="1457" t="s">
        <v>262</v>
      </c>
      <c r="C167" s="1458" t="s">
        <v>77</v>
      </c>
      <c r="D167" s="1459" t="s">
        <v>263</v>
      </c>
      <c r="E167" s="1460"/>
      <c r="F167" s="1249"/>
      <c r="G167" s="1458" t="s">
        <v>77</v>
      </c>
      <c r="H167" s="1459" t="s">
        <v>263</v>
      </c>
      <c r="I167" s="1247"/>
      <c r="J167" s="1460"/>
      <c r="K167" s="1458" t="s">
        <v>77</v>
      </c>
      <c r="L167" s="1459" t="s">
        <v>263</v>
      </c>
      <c r="M167" s="1460"/>
      <c r="N167" s="1461"/>
      <c r="O167" s="1458" t="s">
        <v>77</v>
      </c>
      <c r="P167" s="1459" t="s">
        <v>263</v>
      </c>
      <c r="Q167" s="1460"/>
      <c r="R167" s="1459"/>
      <c r="S167" s="1458" t="s">
        <v>77</v>
      </c>
      <c r="T167" s="1251" t="s">
        <v>264</v>
      </c>
      <c r="U167" s="1459"/>
      <c r="V167" s="1461"/>
      <c r="W167" s="1460"/>
      <c r="X167" s="1459"/>
      <c r="Y167" s="1459"/>
      <c r="Z167" s="1459"/>
      <c r="AA167" s="1462"/>
      <c r="AB167" s="1463"/>
      <c r="AC167" s="1459"/>
      <c r="AD167" s="1464"/>
      <c r="AE167" s="1459"/>
      <c r="AF167" s="1459"/>
      <c r="AG167" s="1459"/>
      <c r="AH167" s="1465"/>
      <c r="AI167" s="1483"/>
    </row>
    <row r="168" spans="1:39" ht="18" customHeight="1" x14ac:dyDescent="0.2">
      <c r="A168" s="68"/>
      <c r="B168" s="107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8"/>
      <c r="AI168" s="108"/>
    </row>
    <row r="169" spans="1:39" ht="18" customHeight="1" x14ac:dyDescent="0.2">
      <c r="A169" s="1434"/>
      <c r="B169" s="1256" t="s">
        <v>44</v>
      </c>
      <c r="C169" s="1731">
        <v>1</v>
      </c>
      <c r="D169" s="1731">
        <v>2</v>
      </c>
      <c r="E169" s="1732">
        <v>3</v>
      </c>
      <c r="F169" s="1732">
        <v>4</v>
      </c>
      <c r="G169" s="1731">
        <v>5</v>
      </c>
      <c r="H169" s="1731">
        <v>6</v>
      </c>
      <c r="I169" s="1731">
        <v>7</v>
      </c>
      <c r="J169" s="1731">
        <v>8</v>
      </c>
      <c r="K169" s="1731">
        <v>9</v>
      </c>
      <c r="L169" s="1732">
        <v>10</v>
      </c>
      <c r="M169" s="1732">
        <v>11</v>
      </c>
      <c r="N169" s="1731">
        <v>12</v>
      </c>
      <c r="O169" s="1731">
        <v>13</v>
      </c>
      <c r="P169" s="1731">
        <v>14</v>
      </c>
      <c r="Q169" s="1731">
        <v>15</v>
      </c>
      <c r="R169" s="1731">
        <v>16</v>
      </c>
      <c r="S169" s="1732">
        <v>17</v>
      </c>
      <c r="T169" s="1732">
        <v>18</v>
      </c>
      <c r="U169" s="1731">
        <v>19</v>
      </c>
      <c r="V169" s="1731">
        <v>20</v>
      </c>
      <c r="W169" s="1731">
        <v>21</v>
      </c>
      <c r="X169" s="1731">
        <v>22</v>
      </c>
      <c r="Y169" s="1731">
        <v>23</v>
      </c>
      <c r="Z169" s="1732">
        <v>24</v>
      </c>
      <c r="AA169" s="1732">
        <v>25</v>
      </c>
      <c r="AB169" s="1731">
        <v>26</v>
      </c>
      <c r="AC169" s="1731">
        <v>27</v>
      </c>
      <c r="AD169" s="1731">
        <v>28</v>
      </c>
      <c r="AE169" s="1731">
        <v>29</v>
      </c>
      <c r="AF169" s="1731">
        <v>30</v>
      </c>
      <c r="AG169" s="1732">
        <v>31</v>
      </c>
      <c r="AH169" s="315"/>
      <c r="AI169" s="73"/>
    </row>
    <row r="170" spans="1:39" ht="18" customHeight="1" x14ac:dyDescent="0.2">
      <c r="A170" s="1866">
        <v>1</v>
      </c>
      <c r="B170" s="1896" t="s">
        <v>265</v>
      </c>
      <c r="C170" s="1897">
        <v>79</v>
      </c>
      <c r="D170" s="1898">
        <v>79</v>
      </c>
      <c r="E170" s="1868"/>
      <c r="F170" s="1868"/>
      <c r="G170" s="1899">
        <v>89</v>
      </c>
      <c r="H170" s="1897">
        <v>89</v>
      </c>
      <c r="I170" s="1899">
        <v>89</v>
      </c>
      <c r="J170" s="1899">
        <v>89</v>
      </c>
      <c r="K170" s="1897">
        <v>89</v>
      </c>
      <c r="L170" s="1899">
        <v>89</v>
      </c>
      <c r="M170" s="1868"/>
      <c r="N170" s="1900">
        <v>99</v>
      </c>
      <c r="O170" s="1900">
        <v>99</v>
      </c>
      <c r="P170" s="1900">
        <v>99</v>
      </c>
      <c r="Q170" s="1900">
        <v>99</v>
      </c>
      <c r="R170" s="1900" t="s">
        <v>50</v>
      </c>
      <c r="S170" s="1900"/>
      <c r="T170" s="1900"/>
      <c r="U170" s="1900" t="s">
        <v>77</v>
      </c>
      <c r="V170" s="1900" t="s">
        <v>77</v>
      </c>
      <c r="W170" s="1900" t="s">
        <v>77</v>
      </c>
      <c r="X170" s="1900" t="s">
        <v>77</v>
      </c>
      <c r="Y170" s="1900" t="s">
        <v>77</v>
      </c>
      <c r="Z170" s="1900"/>
      <c r="AA170" s="1900"/>
      <c r="AB170" s="1900">
        <v>69</v>
      </c>
      <c r="AC170" s="1900">
        <v>69</v>
      </c>
      <c r="AD170" s="1900">
        <v>69</v>
      </c>
      <c r="AE170" s="1900">
        <v>69</v>
      </c>
      <c r="AF170" s="1900">
        <v>69</v>
      </c>
      <c r="AG170" s="1901"/>
      <c r="AH170" s="124"/>
      <c r="AI170" s="67"/>
    </row>
    <row r="171" spans="1:39" ht="18" customHeight="1" x14ac:dyDescent="0.2">
      <c r="A171" s="1415">
        <v>2</v>
      </c>
      <c r="B171" s="1472" t="s">
        <v>266</v>
      </c>
      <c r="C171" s="1702">
        <v>89</v>
      </c>
      <c r="D171" s="1702">
        <v>89</v>
      </c>
      <c r="E171" s="1702">
        <v>89</v>
      </c>
      <c r="F171" s="1702"/>
      <c r="G171" s="1182">
        <v>99</v>
      </c>
      <c r="H171" s="1223">
        <v>99</v>
      </c>
      <c r="I171" s="1179">
        <v>99</v>
      </c>
      <c r="J171" s="1223">
        <v>99</v>
      </c>
      <c r="K171" s="1176" t="s">
        <v>157</v>
      </c>
      <c r="L171" s="1174"/>
      <c r="M171" s="1174"/>
      <c r="N171" s="1223" t="s">
        <v>77</v>
      </c>
      <c r="O171" s="1223" t="s">
        <v>77</v>
      </c>
      <c r="P171" s="1223" t="s">
        <v>77</v>
      </c>
      <c r="Q171" s="1223" t="s">
        <v>77</v>
      </c>
      <c r="R171" s="1322" t="s">
        <v>77</v>
      </c>
      <c r="S171" s="1223"/>
      <c r="T171" s="1174"/>
      <c r="U171" s="1223">
        <v>69</v>
      </c>
      <c r="V171" s="1223">
        <v>69</v>
      </c>
      <c r="W171" s="1176">
        <v>69</v>
      </c>
      <c r="X171" s="1175">
        <v>69</v>
      </c>
      <c r="Y171" s="1223">
        <v>69</v>
      </c>
      <c r="Z171" s="1223"/>
      <c r="AA171" s="1174"/>
      <c r="AB171" s="1175">
        <v>79</v>
      </c>
      <c r="AC171" s="1185">
        <v>79</v>
      </c>
      <c r="AD171" s="1185">
        <v>79</v>
      </c>
      <c r="AE171" s="1175">
        <v>79</v>
      </c>
      <c r="AF171" s="1185">
        <v>79</v>
      </c>
      <c r="AG171" s="1321"/>
      <c r="AH171" s="302"/>
      <c r="AI171" s="122"/>
    </row>
    <row r="172" spans="1:39" ht="18" customHeight="1" x14ac:dyDescent="0.2">
      <c r="A172" s="1415">
        <v>3</v>
      </c>
      <c r="B172" s="1472" t="s">
        <v>267</v>
      </c>
      <c r="C172" s="1473">
        <v>99</v>
      </c>
      <c r="D172" s="1174" t="s">
        <v>50</v>
      </c>
      <c r="E172" s="1174"/>
      <c r="F172" s="1473"/>
      <c r="G172" s="1325" t="s">
        <v>77</v>
      </c>
      <c r="H172" s="1325" t="s">
        <v>77</v>
      </c>
      <c r="I172" s="1179" t="s">
        <v>77</v>
      </c>
      <c r="J172" s="1473" t="s">
        <v>77</v>
      </c>
      <c r="K172" s="1473" t="s">
        <v>77</v>
      </c>
      <c r="L172" s="1902" t="s">
        <v>290</v>
      </c>
      <c r="M172" s="1473"/>
      <c r="N172" s="1223">
        <v>69</v>
      </c>
      <c r="O172" s="1325">
        <v>69</v>
      </c>
      <c r="P172" s="1325">
        <v>69</v>
      </c>
      <c r="Q172" s="1185">
        <v>69</v>
      </c>
      <c r="R172" s="1903">
        <v>69</v>
      </c>
      <c r="S172" s="1185"/>
      <c r="T172" s="1185"/>
      <c r="U172" s="1186">
        <v>79</v>
      </c>
      <c r="V172" s="1186">
        <v>79</v>
      </c>
      <c r="W172" s="1186">
        <v>79</v>
      </c>
      <c r="X172" s="1186">
        <v>79</v>
      </c>
      <c r="Y172" s="1186">
        <v>79</v>
      </c>
      <c r="Z172" s="1186"/>
      <c r="AA172" s="1186"/>
      <c r="AB172" s="1186">
        <v>89</v>
      </c>
      <c r="AC172" s="1186">
        <v>89</v>
      </c>
      <c r="AD172" s="1186">
        <v>89</v>
      </c>
      <c r="AE172" s="1186">
        <v>89</v>
      </c>
      <c r="AF172" s="1186">
        <v>89</v>
      </c>
      <c r="AG172" s="1340">
        <v>89</v>
      </c>
      <c r="AH172" s="124"/>
      <c r="AI172" s="67"/>
      <c r="AM172" s="286" t="s">
        <v>0</v>
      </c>
    </row>
    <row r="173" spans="1:39" ht="18" customHeight="1" x14ac:dyDescent="0.2">
      <c r="A173" s="1415">
        <v>4</v>
      </c>
      <c r="B173" s="1472" t="s">
        <v>269</v>
      </c>
      <c r="C173" s="1174" t="s">
        <v>152</v>
      </c>
      <c r="D173" s="1174" t="s">
        <v>152</v>
      </c>
      <c r="E173" s="1174"/>
      <c r="F173" s="1174"/>
      <c r="G173" s="1186">
        <v>69</v>
      </c>
      <c r="H173" s="1186">
        <v>69</v>
      </c>
      <c r="I173" s="1186">
        <v>69</v>
      </c>
      <c r="J173" s="1186">
        <v>69</v>
      </c>
      <c r="K173" s="1186">
        <v>69</v>
      </c>
      <c r="L173" s="1186"/>
      <c r="M173" s="1186"/>
      <c r="N173" s="1186">
        <v>79</v>
      </c>
      <c r="O173" s="1186">
        <v>79</v>
      </c>
      <c r="P173" s="1186">
        <v>79</v>
      </c>
      <c r="Q173" s="1186">
        <v>79</v>
      </c>
      <c r="R173" s="1186">
        <v>79</v>
      </c>
      <c r="S173" s="1186"/>
      <c r="T173" s="1186"/>
      <c r="U173" s="1262" t="s">
        <v>268</v>
      </c>
      <c r="V173" s="1904">
        <v>89</v>
      </c>
      <c r="W173" s="1904">
        <v>89</v>
      </c>
      <c r="X173" s="1175">
        <v>89</v>
      </c>
      <c r="Y173" s="1379">
        <v>89</v>
      </c>
      <c r="Z173" s="1379">
        <v>89</v>
      </c>
      <c r="AA173" s="1174"/>
      <c r="AB173" s="1175">
        <v>99</v>
      </c>
      <c r="AC173" s="1176">
        <v>99</v>
      </c>
      <c r="AD173" s="1174">
        <v>99</v>
      </c>
      <c r="AE173" s="1175">
        <v>99</v>
      </c>
      <c r="AF173" s="1379" t="s">
        <v>50</v>
      </c>
      <c r="AG173" s="1321"/>
      <c r="AH173" s="124"/>
      <c r="AI173" s="67"/>
    </row>
    <row r="174" spans="1:39" ht="18" customHeight="1" thickBot="1" x14ac:dyDescent="0.25">
      <c r="A174" s="1417">
        <v>5</v>
      </c>
      <c r="B174" s="1274" t="s">
        <v>270</v>
      </c>
      <c r="C174" s="1269">
        <v>69</v>
      </c>
      <c r="D174" s="1269">
        <v>69</v>
      </c>
      <c r="E174" s="1269"/>
      <c r="F174" s="1269"/>
      <c r="G174" s="1774">
        <v>79</v>
      </c>
      <c r="H174" s="1774">
        <v>79</v>
      </c>
      <c r="I174" s="1221">
        <v>79</v>
      </c>
      <c r="J174" s="1221">
        <v>79</v>
      </c>
      <c r="K174" s="1221">
        <v>79</v>
      </c>
      <c r="L174" s="1220"/>
      <c r="M174" s="1905"/>
      <c r="N174" s="1221">
        <v>89</v>
      </c>
      <c r="O174" s="1786">
        <v>89</v>
      </c>
      <c r="P174" s="1786">
        <v>89</v>
      </c>
      <c r="Q174" s="1786">
        <v>89</v>
      </c>
      <c r="R174" s="1774">
        <v>89</v>
      </c>
      <c r="S174" s="1220">
        <v>89</v>
      </c>
      <c r="T174" s="1218"/>
      <c r="U174" s="1381">
        <v>99</v>
      </c>
      <c r="V174" s="1381">
        <v>99</v>
      </c>
      <c r="W174" s="1176">
        <v>99</v>
      </c>
      <c r="X174" s="1175">
        <v>99</v>
      </c>
      <c r="Y174" s="1381" t="s">
        <v>50</v>
      </c>
      <c r="Z174" s="1381"/>
      <c r="AA174" s="1268"/>
      <c r="AB174" s="1906" t="s">
        <v>77</v>
      </c>
      <c r="AC174" s="1220" t="s">
        <v>77</v>
      </c>
      <c r="AD174" s="1220" t="s">
        <v>77</v>
      </c>
      <c r="AE174" s="1175" t="s">
        <v>77</v>
      </c>
      <c r="AF174" s="1220" t="s">
        <v>77</v>
      </c>
      <c r="AG174" s="1477"/>
      <c r="AH174" s="124"/>
      <c r="AI174" s="67"/>
    </row>
    <row r="175" spans="1:39" ht="18" customHeight="1" x14ac:dyDescent="0.2">
      <c r="A175" s="129"/>
      <c r="B175" s="127"/>
      <c r="C175" s="314"/>
      <c r="D175" s="314"/>
      <c r="E175" s="314"/>
      <c r="F175" s="123"/>
      <c r="G175" s="134"/>
      <c r="H175" s="134"/>
      <c r="I175" s="134"/>
      <c r="J175" s="134"/>
      <c r="K175" s="134"/>
      <c r="L175" s="123"/>
      <c r="M175" s="123"/>
      <c r="N175" s="314"/>
      <c r="O175" s="314"/>
      <c r="P175" s="314"/>
      <c r="Q175" s="314"/>
      <c r="R175" s="314"/>
      <c r="S175" s="123"/>
      <c r="T175" s="298"/>
      <c r="U175" s="314"/>
      <c r="V175" s="314"/>
      <c r="W175" s="314"/>
      <c r="X175" s="314"/>
      <c r="Y175" s="314"/>
      <c r="Z175" s="300"/>
      <c r="AA175" s="300"/>
      <c r="AB175" s="314"/>
      <c r="AC175" s="314"/>
      <c r="AD175" s="314"/>
      <c r="AE175" s="314"/>
      <c r="AF175" s="314"/>
      <c r="AG175" s="300"/>
      <c r="AH175" s="124"/>
      <c r="AI175" s="1478"/>
    </row>
    <row r="176" spans="1:39" ht="18" customHeight="1" x14ac:dyDescent="0.2">
      <c r="A176" s="69"/>
      <c r="B176" s="70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7"/>
      <c r="AI176" s="67"/>
    </row>
    <row r="177" spans="1:35" ht="18" customHeight="1" x14ac:dyDescent="0.2">
      <c r="A177" s="107" t="s">
        <v>271</v>
      </c>
      <c r="B177" s="108"/>
      <c r="C177" s="108"/>
      <c r="D177" s="109"/>
      <c r="E177" s="109"/>
      <c r="F177" s="109"/>
      <c r="G177" s="65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8"/>
      <c r="AI177" s="108"/>
    </row>
    <row r="178" spans="1:35" ht="18" customHeight="1" x14ac:dyDescent="0.2">
      <c r="A178" s="107"/>
      <c r="B178" s="1872" t="s">
        <v>255</v>
      </c>
      <c r="C178" s="1890"/>
      <c r="D178" s="1891" t="s">
        <v>17</v>
      </c>
      <c r="E178" s="1892"/>
      <c r="F178" s="1893"/>
      <c r="G178" s="1890"/>
      <c r="H178" s="1891" t="s">
        <v>18</v>
      </c>
      <c r="I178" s="1892"/>
      <c r="J178" s="1893"/>
      <c r="K178" s="1890"/>
      <c r="L178" s="1891" t="s">
        <v>19</v>
      </c>
      <c r="M178" s="1892"/>
      <c r="N178" s="1893"/>
      <c r="O178" s="1890"/>
      <c r="P178" s="1891" t="s">
        <v>20</v>
      </c>
      <c r="Q178" s="1892"/>
      <c r="R178" s="1893"/>
      <c r="S178" s="1890"/>
      <c r="T178" s="1891" t="s">
        <v>21</v>
      </c>
      <c r="U178" s="1892"/>
      <c r="V178" s="1893"/>
      <c r="W178" s="1890"/>
      <c r="X178" s="1891" t="s">
        <v>22</v>
      </c>
      <c r="Y178" s="1892"/>
      <c r="Z178" s="1893"/>
      <c r="AA178" s="1890"/>
      <c r="AB178" s="1891" t="s">
        <v>23</v>
      </c>
      <c r="AC178" s="1892"/>
      <c r="AD178" s="1892"/>
      <c r="AE178" s="1894" t="s">
        <v>126</v>
      </c>
      <c r="AF178" s="1892"/>
      <c r="AG178" s="1892"/>
      <c r="AH178" s="1892"/>
      <c r="AI178" s="1895"/>
    </row>
    <row r="179" spans="1:35" ht="18" customHeight="1" x14ac:dyDescent="0.2">
      <c r="A179" s="107"/>
      <c r="B179" s="1444" t="s">
        <v>272</v>
      </c>
      <c r="C179" s="1301" t="s">
        <v>273</v>
      </c>
      <c r="D179" s="1446"/>
      <c r="E179" s="1446"/>
      <c r="F179" s="1447"/>
      <c r="G179" s="1301" t="s">
        <v>273</v>
      </c>
      <c r="H179" s="1446"/>
      <c r="I179" s="1446"/>
      <c r="J179" s="1447"/>
      <c r="K179" s="1301" t="s">
        <v>273</v>
      </c>
      <c r="L179" s="1446"/>
      <c r="M179" s="1446"/>
      <c r="N179" s="1447"/>
      <c r="O179" s="1301" t="s">
        <v>274</v>
      </c>
      <c r="P179" s="1446"/>
      <c r="Q179" s="1446"/>
      <c r="R179" s="1447"/>
      <c r="S179" s="1301" t="s">
        <v>275</v>
      </c>
      <c r="T179" s="1446"/>
      <c r="U179" s="1446"/>
      <c r="V179" s="1447"/>
      <c r="W179" s="1301" t="s">
        <v>276</v>
      </c>
      <c r="X179" s="1448"/>
      <c r="Y179" s="1448"/>
      <c r="Z179" s="1449"/>
      <c r="AA179" s="1301" t="s">
        <v>276</v>
      </c>
      <c r="AB179" s="1446"/>
      <c r="AC179" s="1446"/>
      <c r="AD179" s="1302"/>
      <c r="AE179" s="1450">
        <v>68</v>
      </c>
      <c r="AF179" s="948"/>
      <c r="AG179" s="948"/>
      <c r="AH179" s="948"/>
      <c r="AI179" s="949"/>
    </row>
    <row r="180" spans="1:35" ht="18" customHeight="1" x14ac:dyDescent="0.2">
      <c r="A180" s="107"/>
      <c r="B180" s="1444"/>
      <c r="C180" s="1301" t="s">
        <v>244</v>
      </c>
      <c r="D180" s="1446"/>
      <c r="E180" s="1446"/>
      <c r="F180" s="1447"/>
      <c r="G180" s="1301" t="s">
        <v>244</v>
      </c>
      <c r="H180" s="1446"/>
      <c r="I180" s="1446"/>
      <c r="J180" s="1447"/>
      <c r="K180" s="1301" t="s">
        <v>244</v>
      </c>
      <c r="L180" s="1446"/>
      <c r="M180" s="1446"/>
      <c r="N180" s="1447"/>
      <c r="O180" s="1301" t="s">
        <v>244</v>
      </c>
      <c r="P180" s="1446"/>
      <c r="Q180" s="1446"/>
      <c r="R180" s="1447"/>
      <c r="S180" s="1301" t="s">
        <v>244</v>
      </c>
      <c r="T180" s="1446"/>
      <c r="U180" s="1446"/>
      <c r="V180" s="1447"/>
      <c r="W180" s="1301" t="s">
        <v>244</v>
      </c>
      <c r="X180" s="1446"/>
      <c r="Y180" s="1446"/>
      <c r="Z180" s="1447"/>
      <c r="AA180" s="1446" t="s">
        <v>244</v>
      </c>
      <c r="AB180" s="1446"/>
      <c r="AC180" s="1446"/>
      <c r="AD180" s="1302"/>
      <c r="AE180" s="1450">
        <v>0</v>
      </c>
      <c r="AF180" s="948"/>
      <c r="AG180" s="948"/>
      <c r="AH180" s="948"/>
      <c r="AI180" s="949"/>
    </row>
    <row r="181" spans="1:35" ht="18" customHeight="1" x14ac:dyDescent="0.2">
      <c r="A181" s="107"/>
      <c r="B181" s="1444" t="s">
        <v>277</v>
      </c>
      <c r="C181" s="1301" t="s">
        <v>274</v>
      </c>
      <c r="D181" s="1446"/>
      <c r="E181" s="1446"/>
      <c r="F181" s="1447"/>
      <c r="G181" s="1301" t="s">
        <v>274</v>
      </c>
      <c r="H181" s="1446"/>
      <c r="I181" s="1446"/>
      <c r="J181" s="1447"/>
      <c r="K181" s="1301" t="s">
        <v>274</v>
      </c>
      <c r="L181" s="1446"/>
      <c r="M181" s="1446"/>
      <c r="N181" s="1447"/>
      <c r="O181" s="1301" t="s">
        <v>273</v>
      </c>
      <c r="P181" s="1446"/>
      <c r="Q181" s="1446"/>
      <c r="R181" s="1447"/>
      <c r="S181" s="1301" t="s">
        <v>273</v>
      </c>
      <c r="T181" s="1446"/>
      <c r="U181" s="1446"/>
      <c r="V181" s="1447"/>
      <c r="W181" s="1301" t="s">
        <v>275</v>
      </c>
      <c r="X181" s="1448"/>
      <c r="Y181" s="1448"/>
      <c r="Z181" s="1449"/>
      <c r="AA181" s="1301" t="s">
        <v>275</v>
      </c>
      <c r="AB181" s="1446"/>
      <c r="AC181" s="1446"/>
      <c r="AD181" s="1302"/>
      <c r="AE181" s="1450">
        <v>68</v>
      </c>
      <c r="AF181" s="1446"/>
      <c r="AG181" s="1446" t="s">
        <v>0</v>
      </c>
      <c r="AH181" s="1302"/>
      <c r="AI181" s="1451"/>
    </row>
    <row r="182" spans="1:35" ht="18" customHeight="1" x14ac:dyDescent="0.2">
      <c r="A182" s="107"/>
      <c r="B182" s="1444"/>
      <c r="C182" s="1301" t="s">
        <v>244</v>
      </c>
      <c r="D182" s="1446"/>
      <c r="E182" s="1446"/>
      <c r="F182" s="1447"/>
      <c r="G182" s="1301" t="s">
        <v>244</v>
      </c>
      <c r="H182" s="1446"/>
      <c r="I182" s="1446"/>
      <c r="J182" s="1447"/>
      <c r="K182" s="1301" t="s">
        <v>244</v>
      </c>
      <c r="L182" s="1446"/>
      <c r="M182" s="1446"/>
      <c r="N182" s="1447"/>
      <c r="O182" s="1301" t="s">
        <v>244</v>
      </c>
      <c r="P182" s="1446"/>
      <c r="Q182" s="1446"/>
      <c r="R182" s="1447"/>
      <c r="S182" s="1301" t="s">
        <v>244</v>
      </c>
      <c r="T182" s="1446"/>
      <c r="U182" s="1446"/>
      <c r="V182" s="1447"/>
      <c r="W182" s="1301" t="s">
        <v>244</v>
      </c>
      <c r="X182" s="1446"/>
      <c r="Y182" s="1446"/>
      <c r="Z182" s="1447"/>
      <c r="AA182" s="1446" t="s">
        <v>244</v>
      </c>
      <c r="AB182" s="1446"/>
      <c r="AC182" s="1446"/>
      <c r="AD182" s="1302"/>
      <c r="AE182" s="1450">
        <v>0</v>
      </c>
      <c r="AF182" s="1446"/>
      <c r="AG182" s="1446"/>
      <c r="AH182" s="1302"/>
      <c r="AI182" s="1451"/>
    </row>
    <row r="183" spans="1:35" ht="18" customHeight="1" x14ac:dyDescent="0.2">
      <c r="A183" s="107"/>
      <c r="B183" s="1444" t="s">
        <v>278</v>
      </c>
      <c r="C183" s="1301" t="s">
        <v>273</v>
      </c>
      <c r="D183" s="1446"/>
      <c r="E183" s="1446"/>
      <c r="F183" s="1447"/>
      <c r="G183" s="1301" t="s">
        <v>273</v>
      </c>
      <c r="H183" s="1446"/>
      <c r="I183" s="1446"/>
      <c r="J183" s="1447"/>
      <c r="K183" s="1301" t="s">
        <v>273</v>
      </c>
      <c r="L183" s="1446"/>
      <c r="M183" s="1446"/>
      <c r="N183" s="1447"/>
      <c r="O183" s="1301" t="s">
        <v>273</v>
      </c>
      <c r="P183" s="1446"/>
      <c r="Q183" s="1446"/>
      <c r="R183" s="1447"/>
      <c r="S183" s="1301" t="s">
        <v>273</v>
      </c>
      <c r="T183" s="1446"/>
      <c r="U183" s="1446"/>
      <c r="V183" s="1447"/>
      <c r="W183" s="1301" t="s">
        <v>279</v>
      </c>
      <c r="X183" s="1453"/>
      <c r="Y183" s="1453"/>
      <c r="Z183" s="1454"/>
      <c r="AA183" s="1301" t="s">
        <v>279</v>
      </c>
      <c r="AB183" s="1453"/>
      <c r="AC183" s="1453"/>
      <c r="AD183" s="1304"/>
      <c r="AE183" s="1450">
        <v>68</v>
      </c>
      <c r="AF183" s="1446"/>
      <c r="AG183" s="1446"/>
      <c r="AH183" s="1302"/>
      <c r="AI183" s="1451"/>
    </row>
    <row r="184" spans="1:35" ht="18" customHeight="1" x14ac:dyDescent="0.2">
      <c r="A184" s="107"/>
      <c r="B184" s="1444"/>
      <c r="C184" s="1479" t="s">
        <v>244</v>
      </c>
      <c r="D184" s="1480"/>
      <c r="E184" s="1480"/>
      <c r="F184" s="1481"/>
      <c r="G184" s="1479" t="s">
        <v>244</v>
      </c>
      <c r="H184" s="1480"/>
      <c r="I184" s="1480"/>
      <c r="J184" s="1481"/>
      <c r="K184" s="1479" t="s">
        <v>244</v>
      </c>
      <c r="L184" s="1480"/>
      <c r="M184" s="1480"/>
      <c r="N184" s="1481"/>
      <c r="O184" s="1479" t="s">
        <v>244</v>
      </c>
      <c r="P184" s="1480"/>
      <c r="Q184" s="1480"/>
      <c r="R184" s="1481"/>
      <c r="S184" s="1479" t="s">
        <v>244</v>
      </c>
      <c r="T184" s="1480"/>
      <c r="U184" s="1480"/>
      <c r="V184" s="1465"/>
      <c r="W184" s="1479" t="s">
        <v>244</v>
      </c>
      <c r="X184" s="1465"/>
      <c r="Y184" s="1480"/>
      <c r="Z184" s="1481"/>
      <c r="AA184" s="1479" t="s">
        <v>244</v>
      </c>
      <c r="AB184" s="1465"/>
      <c r="AC184" s="1480"/>
      <c r="AD184" s="1481"/>
      <c r="AE184" s="1482" t="s">
        <v>280</v>
      </c>
      <c r="AF184" s="1480"/>
      <c r="AG184" s="1480"/>
      <c r="AH184" s="1465"/>
      <c r="AI184" s="1483"/>
    </row>
    <row r="185" spans="1:35" ht="18" customHeight="1" x14ac:dyDescent="0.2">
      <c r="A185" s="68"/>
      <c r="B185" s="107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8"/>
      <c r="AI185" s="108"/>
    </row>
    <row r="186" spans="1:35" ht="18" customHeight="1" x14ac:dyDescent="0.2">
      <c r="A186" s="1434"/>
      <c r="B186" s="1256" t="s">
        <v>44</v>
      </c>
      <c r="C186" s="1731">
        <v>1</v>
      </c>
      <c r="D186" s="1731">
        <v>2</v>
      </c>
      <c r="E186" s="1732">
        <v>3</v>
      </c>
      <c r="F186" s="1732">
        <v>4</v>
      </c>
      <c r="G186" s="1731">
        <v>5</v>
      </c>
      <c r="H186" s="1731">
        <v>6</v>
      </c>
      <c r="I186" s="1731">
        <v>7</v>
      </c>
      <c r="J186" s="1731">
        <v>8</v>
      </c>
      <c r="K186" s="1731">
        <v>9</v>
      </c>
      <c r="L186" s="1732">
        <v>10</v>
      </c>
      <c r="M186" s="1732">
        <v>11</v>
      </c>
      <c r="N186" s="1731">
        <v>12</v>
      </c>
      <c r="O186" s="1731">
        <v>13</v>
      </c>
      <c r="P186" s="1731">
        <v>14</v>
      </c>
      <c r="Q186" s="1731">
        <v>15</v>
      </c>
      <c r="R186" s="1731">
        <v>16</v>
      </c>
      <c r="S186" s="1732">
        <v>17</v>
      </c>
      <c r="T186" s="1732">
        <v>18</v>
      </c>
      <c r="U186" s="1731">
        <v>19</v>
      </c>
      <c r="V186" s="1731">
        <v>20</v>
      </c>
      <c r="W186" s="1731">
        <v>21</v>
      </c>
      <c r="X186" s="1731">
        <v>22</v>
      </c>
      <c r="Y186" s="1731">
        <v>23</v>
      </c>
      <c r="Z186" s="1732">
        <v>24</v>
      </c>
      <c r="AA186" s="1732">
        <v>25</v>
      </c>
      <c r="AB186" s="1731">
        <v>26</v>
      </c>
      <c r="AC186" s="1731">
        <v>27</v>
      </c>
      <c r="AD186" s="1731">
        <v>28</v>
      </c>
      <c r="AE186" s="1731">
        <v>29</v>
      </c>
      <c r="AF186" s="1731">
        <v>30</v>
      </c>
      <c r="AG186" s="1732">
        <v>31</v>
      </c>
      <c r="AH186" s="315"/>
      <c r="AI186" s="73"/>
    </row>
    <row r="187" spans="1:35" ht="18" customHeight="1" x14ac:dyDescent="0.2">
      <c r="A187" s="1907">
        <v>1</v>
      </c>
      <c r="B187" s="1908"/>
      <c r="C187" s="1817">
        <v>21</v>
      </c>
      <c r="D187" s="1817">
        <v>21</v>
      </c>
      <c r="E187" s="1817">
        <v>21</v>
      </c>
      <c r="F187" s="1817">
        <v>21</v>
      </c>
      <c r="G187" s="799" t="s">
        <v>50</v>
      </c>
      <c r="H187" s="799" t="s">
        <v>50</v>
      </c>
      <c r="I187" s="636" t="s">
        <v>50</v>
      </c>
      <c r="J187" s="636" t="s">
        <v>50</v>
      </c>
      <c r="K187" s="957" t="s">
        <v>50</v>
      </c>
      <c r="L187" s="1820"/>
      <c r="M187" s="1820"/>
      <c r="N187" s="1820">
        <v>22</v>
      </c>
      <c r="O187" s="1817">
        <v>22</v>
      </c>
      <c r="P187" s="1817">
        <v>22</v>
      </c>
      <c r="Q187" s="1817">
        <v>22</v>
      </c>
      <c r="R187" s="1817">
        <v>22</v>
      </c>
      <c r="S187" s="1817">
        <v>22</v>
      </c>
      <c r="T187" s="1817">
        <v>22</v>
      </c>
      <c r="U187" s="1820" t="s">
        <v>50</v>
      </c>
      <c r="V187" s="1817" t="s">
        <v>50</v>
      </c>
      <c r="W187" s="1817" t="s">
        <v>50</v>
      </c>
      <c r="X187" s="1817" t="s">
        <v>50</v>
      </c>
      <c r="Y187" s="1817" t="s">
        <v>50</v>
      </c>
      <c r="Z187" s="1820"/>
      <c r="AA187" s="1820"/>
      <c r="AB187" s="1820">
        <v>23</v>
      </c>
      <c r="AC187" s="1817">
        <v>23</v>
      </c>
      <c r="AD187" s="1817">
        <v>23</v>
      </c>
      <c r="AE187" s="1817">
        <v>23</v>
      </c>
      <c r="AF187" s="1817">
        <v>23</v>
      </c>
      <c r="AG187" s="1909">
        <v>23</v>
      </c>
      <c r="AH187" s="67"/>
      <c r="AI187" s="67"/>
    </row>
    <row r="188" spans="1:35" ht="18" customHeight="1" x14ac:dyDescent="0.2">
      <c r="A188" s="956">
        <v>2</v>
      </c>
      <c r="B188" s="748"/>
      <c r="C188" s="636">
        <v>22</v>
      </c>
      <c r="D188" s="636">
        <v>22</v>
      </c>
      <c r="E188" s="636">
        <v>22</v>
      </c>
      <c r="F188" s="636">
        <v>22</v>
      </c>
      <c r="G188" s="799" t="s">
        <v>50</v>
      </c>
      <c r="H188" s="799" t="s">
        <v>50</v>
      </c>
      <c r="I188" s="636" t="s">
        <v>50</v>
      </c>
      <c r="J188" s="636" t="s">
        <v>50</v>
      </c>
      <c r="K188" s="957" t="s">
        <v>50</v>
      </c>
      <c r="L188" s="635"/>
      <c r="M188" s="800"/>
      <c r="N188" s="800">
        <v>23</v>
      </c>
      <c r="O188" s="800">
        <v>23</v>
      </c>
      <c r="P188" s="635">
        <v>23</v>
      </c>
      <c r="Q188" s="636">
        <v>23</v>
      </c>
      <c r="R188" s="636">
        <v>23</v>
      </c>
      <c r="S188" s="635">
        <v>23</v>
      </c>
      <c r="T188" s="800">
        <v>23</v>
      </c>
      <c r="U188" s="1820" t="s">
        <v>50</v>
      </c>
      <c r="V188" s="1817" t="s">
        <v>50</v>
      </c>
      <c r="W188" s="1817" t="s">
        <v>50</v>
      </c>
      <c r="X188" s="1817" t="s">
        <v>50</v>
      </c>
      <c r="Y188" s="1817" t="s">
        <v>50</v>
      </c>
      <c r="Z188" s="635"/>
      <c r="AA188" s="800"/>
      <c r="AB188" s="800">
        <v>21</v>
      </c>
      <c r="AC188" s="800">
        <v>21</v>
      </c>
      <c r="AD188" s="800">
        <v>21</v>
      </c>
      <c r="AE188" s="800">
        <v>21</v>
      </c>
      <c r="AF188" s="800">
        <v>21</v>
      </c>
      <c r="AG188" s="819">
        <v>21</v>
      </c>
      <c r="AH188" s="67"/>
      <c r="AI188" s="67"/>
    </row>
    <row r="189" spans="1:35" ht="18" customHeight="1" x14ac:dyDescent="0.2">
      <c r="A189" s="956">
        <v>3</v>
      </c>
      <c r="B189" s="748"/>
      <c r="C189" s="636">
        <v>23</v>
      </c>
      <c r="D189" s="636">
        <v>23</v>
      </c>
      <c r="E189" s="636">
        <v>23</v>
      </c>
      <c r="F189" s="636">
        <v>23</v>
      </c>
      <c r="G189" s="799" t="s">
        <v>50</v>
      </c>
      <c r="H189" s="799" t="s">
        <v>50</v>
      </c>
      <c r="I189" s="636" t="s">
        <v>50</v>
      </c>
      <c r="J189" s="636" t="s">
        <v>50</v>
      </c>
      <c r="K189" s="957" t="s">
        <v>50</v>
      </c>
      <c r="L189" s="799"/>
      <c r="M189" s="799"/>
      <c r="N189" s="800">
        <v>21</v>
      </c>
      <c r="O189" s="800">
        <v>21</v>
      </c>
      <c r="P189" s="635">
        <v>21</v>
      </c>
      <c r="Q189" s="636">
        <v>21</v>
      </c>
      <c r="R189" s="636">
        <v>21</v>
      </c>
      <c r="S189" s="635">
        <v>21</v>
      </c>
      <c r="T189" s="636">
        <v>21</v>
      </c>
      <c r="U189" s="1820" t="s">
        <v>50</v>
      </c>
      <c r="V189" s="1817" t="s">
        <v>50</v>
      </c>
      <c r="W189" s="1817" t="s">
        <v>50</v>
      </c>
      <c r="X189" s="1817" t="s">
        <v>50</v>
      </c>
      <c r="Y189" s="1817" t="s">
        <v>50</v>
      </c>
      <c r="Z189" s="635"/>
      <c r="AA189" s="636"/>
      <c r="AB189" s="636">
        <v>22</v>
      </c>
      <c r="AC189" s="636">
        <v>22</v>
      </c>
      <c r="AD189" s="636">
        <v>22</v>
      </c>
      <c r="AE189" s="636">
        <v>22</v>
      </c>
      <c r="AF189" s="636">
        <v>22</v>
      </c>
      <c r="AG189" s="819">
        <v>22</v>
      </c>
      <c r="AH189" s="67"/>
      <c r="AI189" s="67"/>
    </row>
    <row r="190" spans="1:35" ht="18" customHeight="1" x14ac:dyDescent="0.2">
      <c r="A190" s="956">
        <v>4</v>
      </c>
      <c r="B190" s="958" t="s">
        <v>281</v>
      </c>
      <c r="C190" s="636" t="s">
        <v>50</v>
      </c>
      <c r="D190" s="636" t="s">
        <v>50</v>
      </c>
      <c r="E190" s="635"/>
      <c r="F190" s="636"/>
      <c r="G190" s="968">
        <v>21</v>
      </c>
      <c r="H190" s="968">
        <v>21</v>
      </c>
      <c r="I190" s="968">
        <v>21</v>
      </c>
      <c r="J190" s="968">
        <v>21</v>
      </c>
      <c r="K190" s="968">
        <v>21</v>
      </c>
      <c r="L190" s="968">
        <v>21</v>
      </c>
      <c r="M190" s="968">
        <v>21</v>
      </c>
      <c r="N190" s="968" t="s">
        <v>50</v>
      </c>
      <c r="O190" s="968" t="s">
        <v>50</v>
      </c>
      <c r="P190" s="968" t="s">
        <v>50</v>
      </c>
      <c r="Q190" s="968" t="s">
        <v>50</v>
      </c>
      <c r="R190" s="968" t="s">
        <v>50</v>
      </c>
      <c r="S190" s="968"/>
      <c r="T190" s="968"/>
      <c r="U190" s="1488">
        <v>22</v>
      </c>
      <c r="V190" s="1488">
        <v>22</v>
      </c>
      <c r="W190" s="1488">
        <v>22</v>
      </c>
      <c r="X190" s="1488">
        <v>22</v>
      </c>
      <c r="Y190" s="1488">
        <v>22</v>
      </c>
      <c r="Z190" s="1910">
        <v>22</v>
      </c>
      <c r="AA190" s="968">
        <v>22</v>
      </c>
      <c r="AB190" s="636" t="s">
        <v>50</v>
      </c>
      <c r="AC190" s="636" t="s">
        <v>50</v>
      </c>
      <c r="AD190" s="635" t="s">
        <v>50</v>
      </c>
      <c r="AE190" s="636" t="s">
        <v>50</v>
      </c>
      <c r="AF190" s="636" t="s">
        <v>50</v>
      </c>
      <c r="AG190" s="801"/>
      <c r="AH190" s="67"/>
      <c r="AI190" s="67"/>
    </row>
    <row r="191" spans="1:35" ht="18" customHeight="1" thickBot="1" x14ac:dyDescent="0.25">
      <c r="A191" s="956">
        <v>5</v>
      </c>
      <c r="B191" s="1386" t="s">
        <v>282</v>
      </c>
      <c r="C191" s="636" t="s">
        <v>50</v>
      </c>
      <c r="D191" s="1634">
        <v>23</v>
      </c>
      <c r="E191" s="1634" t="s">
        <v>179</v>
      </c>
      <c r="F191" s="1634">
        <v>23</v>
      </c>
      <c r="G191" s="636">
        <v>22</v>
      </c>
      <c r="H191" s="636">
        <v>22</v>
      </c>
      <c r="I191" s="802">
        <v>22</v>
      </c>
      <c r="J191" s="802">
        <v>22</v>
      </c>
      <c r="K191" s="802">
        <v>22</v>
      </c>
      <c r="L191" s="802">
        <v>22</v>
      </c>
      <c r="M191" s="802">
        <v>22</v>
      </c>
      <c r="N191" s="636" t="s">
        <v>50</v>
      </c>
      <c r="O191" s="636" t="s">
        <v>50</v>
      </c>
      <c r="P191" s="635" t="s">
        <v>50</v>
      </c>
      <c r="Q191" s="636" t="s">
        <v>50</v>
      </c>
      <c r="R191" s="636" t="s">
        <v>50</v>
      </c>
      <c r="S191" s="635"/>
      <c r="T191" s="636"/>
      <c r="U191" s="636">
        <v>23</v>
      </c>
      <c r="V191" s="800">
        <v>23</v>
      </c>
      <c r="W191" s="800">
        <v>23</v>
      </c>
      <c r="X191" s="805">
        <v>23</v>
      </c>
      <c r="Y191" s="805" t="s">
        <v>436</v>
      </c>
      <c r="Z191" s="1911">
        <v>21</v>
      </c>
      <c r="AA191" s="1911">
        <v>21</v>
      </c>
      <c r="AB191" s="636" t="s">
        <v>50</v>
      </c>
      <c r="AC191" s="800" t="s">
        <v>50</v>
      </c>
      <c r="AD191" s="800" t="s">
        <v>50</v>
      </c>
      <c r="AE191" s="800" t="s">
        <v>50</v>
      </c>
      <c r="AF191" s="800" t="s">
        <v>50</v>
      </c>
      <c r="AG191" s="801"/>
      <c r="AH191" s="67"/>
      <c r="AI191" s="67"/>
    </row>
    <row r="192" spans="1:35" ht="18" customHeight="1" thickBot="1" x14ac:dyDescent="0.25">
      <c r="A192" s="962">
        <v>6</v>
      </c>
      <c r="B192" s="1912" t="s">
        <v>283</v>
      </c>
      <c r="C192" s="1363" t="s">
        <v>50</v>
      </c>
      <c r="D192" s="862" t="s">
        <v>50</v>
      </c>
      <c r="E192" s="862" t="s">
        <v>0</v>
      </c>
      <c r="F192" s="862" t="s">
        <v>0</v>
      </c>
      <c r="G192" s="963">
        <v>23</v>
      </c>
      <c r="H192" s="963">
        <v>23</v>
      </c>
      <c r="I192" s="963">
        <v>23</v>
      </c>
      <c r="J192" s="963">
        <v>23</v>
      </c>
      <c r="K192" s="963">
        <v>23</v>
      </c>
      <c r="L192" s="963">
        <v>23</v>
      </c>
      <c r="M192" s="963">
        <v>23</v>
      </c>
      <c r="N192" s="1615">
        <v>21</v>
      </c>
      <c r="O192" s="1615">
        <v>21</v>
      </c>
      <c r="P192" s="1615">
        <v>21</v>
      </c>
      <c r="Q192" s="1615">
        <v>21</v>
      </c>
      <c r="R192" s="1615">
        <v>21</v>
      </c>
      <c r="S192" s="1615">
        <v>21</v>
      </c>
      <c r="T192" s="1615">
        <v>21</v>
      </c>
      <c r="U192" s="854">
        <v>21</v>
      </c>
      <c r="V192" s="854">
        <v>21</v>
      </c>
      <c r="W192" s="853">
        <v>21</v>
      </c>
      <c r="X192" s="1363">
        <v>21</v>
      </c>
      <c r="Y192" s="1363">
        <v>21</v>
      </c>
      <c r="Z192" s="1913">
        <v>21</v>
      </c>
      <c r="AA192" s="1913">
        <v>21</v>
      </c>
      <c r="AB192" s="854" t="s">
        <v>50</v>
      </c>
      <c r="AC192" s="854" t="s">
        <v>50</v>
      </c>
      <c r="AD192" s="853" t="s">
        <v>50</v>
      </c>
      <c r="AE192" s="1363" t="s">
        <v>50</v>
      </c>
      <c r="AF192" s="1363" t="s">
        <v>50</v>
      </c>
      <c r="AG192" s="1384"/>
      <c r="AH192" s="67"/>
      <c r="AI192" s="67"/>
    </row>
    <row r="193" spans="1:35" ht="18" customHeight="1" x14ac:dyDescent="0.2">
      <c r="A193" s="129"/>
      <c r="B193" s="127"/>
      <c r="C193" s="128"/>
      <c r="D193" s="128"/>
      <c r="E193" s="140"/>
      <c r="F193" s="128"/>
      <c r="G193" s="128"/>
      <c r="H193" s="145"/>
      <c r="I193" s="145"/>
      <c r="J193" s="145"/>
      <c r="K193" s="145"/>
      <c r="L193" s="145"/>
      <c r="M193" s="299"/>
      <c r="N193" s="302"/>
      <c r="O193" s="302"/>
      <c r="P193" s="134"/>
      <c r="Q193" s="123"/>
      <c r="R193" s="123"/>
      <c r="S193" s="134"/>
      <c r="T193" s="123"/>
      <c r="U193" s="123"/>
      <c r="V193" s="123"/>
      <c r="W193" s="123"/>
      <c r="X193" s="123"/>
      <c r="Y193" s="123"/>
      <c r="Z193" s="123"/>
      <c r="AA193" s="123"/>
      <c r="AB193" s="302"/>
      <c r="AC193" s="302"/>
      <c r="AD193" s="134"/>
      <c r="AE193" s="123"/>
      <c r="AF193" s="123"/>
      <c r="AG193" s="134"/>
      <c r="AH193" s="67"/>
      <c r="AI193" s="67"/>
    </row>
    <row r="194" spans="1:35" ht="18" customHeight="1" x14ac:dyDescent="0.2">
      <c r="A194" s="69"/>
      <c r="B194" s="70"/>
      <c r="C194" s="120"/>
      <c r="D194" s="120"/>
      <c r="E194" s="106"/>
      <c r="F194" s="120"/>
      <c r="G194" s="120"/>
      <c r="H194" s="120"/>
      <c r="I194" s="120"/>
      <c r="J194" s="120"/>
      <c r="K194" s="120"/>
      <c r="L194" s="120"/>
      <c r="P194" s="122"/>
      <c r="S194" s="122"/>
      <c r="AC194" s="313"/>
      <c r="AD194" s="313"/>
      <c r="AE194" s="313"/>
      <c r="AG194" s="122"/>
      <c r="AH194" s="67"/>
      <c r="AI194" s="67"/>
    </row>
    <row r="195" spans="1:35" ht="18" customHeight="1" x14ac:dyDescent="0.2">
      <c r="A195" s="103" t="s">
        <v>284</v>
      </c>
      <c r="D195" s="48"/>
      <c r="E195" s="48"/>
      <c r="F195" s="48"/>
      <c r="G195" s="65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</row>
    <row r="196" spans="1:35" ht="18" customHeight="1" x14ac:dyDescent="0.2">
      <c r="A196" s="1"/>
      <c r="B196" s="1872" t="s">
        <v>255</v>
      </c>
      <c r="C196" s="1865"/>
      <c r="D196" s="1891" t="s">
        <v>17</v>
      </c>
      <c r="E196" s="1769"/>
      <c r="F196" s="1858"/>
      <c r="G196" s="1865"/>
      <c r="H196" s="1891" t="s">
        <v>18</v>
      </c>
      <c r="I196" s="1769"/>
      <c r="J196" s="1858"/>
      <c r="K196" s="1865"/>
      <c r="L196" s="1891" t="s">
        <v>19</v>
      </c>
      <c r="M196" s="1769"/>
      <c r="N196" s="1858"/>
      <c r="O196" s="1865"/>
      <c r="P196" s="1891" t="s">
        <v>20</v>
      </c>
      <c r="Q196" s="1769"/>
      <c r="R196" s="1858"/>
      <c r="S196" s="1865"/>
      <c r="T196" s="1891" t="s">
        <v>21</v>
      </c>
      <c r="U196" s="1769"/>
      <c r="V196" s="1858"/>
      <c r="W196" s="1865"/>
      <c r="X196" s="1891" t="s">
        <v>22</v>
      </c>
      <c r="Y196" s="1769"/>
      <c r="Z196" s="1858"/>
      <c r="AA196" s="1865"/>
      <c r="AB196" s="1891" t="s">
        <v>23</v>
      </c>
      <c r="AC196" s="1769"/>
      <c r="AD196" s="1769"/>
      <c r="AE196" s="1894" t="s">
        <v>126</v>
      </c>
      <c r="AF196" s="1769"/>
      <c r="AG196" s="1769"/>
      <c r="AH196" s="1769"/>
      <c r="AI196" s="1770"/>
    </row>
    <row r="197" spans="1:35" ht="18" customHeight="1" x14ac:dyDescent="0.2">
      <c r="A197" s="1"/>
      <c r="B197" s="1444" t="s">
        <v>235</v>
      </c>
      <c r="C197" s="1301" t="s">
        <v>256</v>
      </c>
      <c r="D197" s="1121"/>
      <c r="E197" s="1121"/>
      <c r="F197" s="1447"/>
      <c r="G197" s="1301" t="s">
        <v>256</v>
      </c>
      <c r="H197" s="1121"/>
      <c r="I197" s="1121"/>
      <c r="J197" s="1447"/>
      <c r="K197" s="1301" t="s">
        <v>256</v>
      </c>
      <c r="L197" s="1121"/>
      <c r="M197" s="1121"/>
      <c r="N197" s="1447"/>
      <c r="O197" s="1301" t="s">
        <v>285</v>
      </c>
      <c r="P197" s="1121"/>
      <c r="Q197" s="1121"/>
      <c r="R197" s="1447"/>
      <c r="S197" s="1301" t="s">
        <v>244</v>
      </c>
      <c r="T197" s="1121"/>
      <c r="U197" s="1121"/>
      <c r="V197" s="1447"/>
      <c r="W197" s="1914"/>
      <c r="X197" s="1915"/>
      <c r="Y197" s="1915"/>
      <c r="Z197" s="1449"/>
      <c r="AA197" s="1445"/>
      <c r="AB197" s="1121"/>
      <c r="AC197" s="1121"/>
      <c r="AD197" s="1302"/>
      <c r="AE197" s="1450">
        <v>27</v>
      </c>
      <c r="AF197" s="1121"/>
      <c r="AG197" s="1121"/>
      <c r="AH197" s="1302"/>
      <c r="AI197" s="1403"/>
    </row>
    <row r="198" spans="1:35" ht="18" customHeight="1" x14ac:dyDescent="0.2">
      <c r="A198" s="1"/>
      <c r="B198" s="1444" t="s">
        <v>236</v>
      </c>
      <c r="C198" s="1301" t="s">
        <v>286</v>
      </c>
      <c r="D198" s="1121"/>
      <c r="E198" s="1121"/>
      <c r="F198" s="1447"/>
      <c r="G198" s="1301" t="s">
        <v>286</v>
      </c>
      <c r="H198" s="1121"/>
      <c r="I198" s="1121"/>
      <c r="J198" s="1447"/>
      <c r="K198" s="1301" t="s">
        <v>286</v>
      </c>
      <c r="L198" s="1121"/>
      <c r="M198" s="1121"/>
      <c r="N198" s="1447"/>
      <c r="O198" s="1301" t="s">
        <v>286</v>
      </c>
      <c r="P198" s="1121"/>
      <c r="Q198" s="1121"/>
      <c r="R198" s="1447"/>
      <c r="S198" s="1301" t="s">
        <v>256</v>
      </c>
      <c r="T198" s="1121"/>
      <c r="U198" s="1121"/>
      <c r="V198" s="1447"/>
      <c r="W198" s="1301"/>
      <c r="X198" s="1121"/>
      <c r="Y198" s="1121"/>
      <c r="Z198" s="1447"/>
      <c r="AA198" s="1121"/>
      <c r="AB198" s="1121"/>
      <c r="AC198" s="1121"/>
      <c r="AD198" s="1302"/>
      <c r="AE198" s="1450">
        <v>39</v>
      </c>
      <c r="AF198" s="1121"/>
      <c r="AG198" s="1121"/>
      <c r="AH198" s="1302"/>
      <c r="AI198" s="1403"/>
    </row>
    <row r="199" spans="1:35" ht="18" customHeight="1" x14ac:dyDescent="0.2">
      <c r="A199" s="1"/>
      <c r="B199" s="1444" t="s">
        <v>243</v>
      </c>
      <c r="C199" s="1301" t="s">
        <v>286</v>
      </c>
      <c r="D199" s="1121"/>
      <c r="E199" s="1121"/>
      <c r="F199" s="1447"/>
      <c r="G199" s="1301" t="s">
        <v>286</v>
      </c>
      <c r="H199" s="1121"/>
      <c r="I199" s="1121"/>
      <c r="J199" s="1447"/>
      <c r="K199" s="1301" t="s">
        <v>286</v>
      </c>
      <c r="L199" s="1121"/>
      <c r="M199" s="1121"/>
      <c r="N199" s="1447"/>
      <c r="O199" s="1301" t="s">
        <v>286</v>
      </c>
      <c r="P199" s="1121"/>
      <c r="Q199" s="1121"/>
      <c r="R199" s="1447"/>
      <c r="S199" s="1301" t="s">
        <v>286</v>
      </c>
      <c r="T199" s="1121"/>
      <c r="U199" s="1121"/>
      <c r="V199" s="1447"/>
      <c r="W199" s="1303" t="s">
        <v>260</v>
      </c>
      <c r="X199" s="1234"/>
      <c r="Y199" s="1234"/>
      <c r="Z199" s="1454"/>
      <c r="AA199" s="1452"/>
      <c r="AB199" s="1234"/>
      <c r="AC199" s="1234"/>
      <c r="AD199" s="1304"/>
      <c r="AE199" s="1450">
        <v>45</v>
      </c>
      <c r="AF199" s="1121"/>
      <c r="AG199" s="1121"/>
      <c r="AH199" s="1302"/>
      <c r="AI199" s="1403"/>
    </row>
    <row r="200" spans="1:35" ht="18" customHeight="1" x14ac:dyDescent="0.2">
      <c r="A200" s="1"/>
      <c r="B200" s="147" t="s">
        <v>245</v>
      </c>
      <c r="C200" s="1479"/>
      <c r="D200" s="1247"/>
      <c r="E200" s="1247"/>
      <c r="F200" s="1481"/>
      <c r="G200" s="1479"/>
      <c r="H200" s="1247"/>
      <c r="I200" s="1247"/>
      <c r="J200" s="1481"/>
      <c r="K200" s="1479"/>
      <c r="L200" s="1247"/>
      <c r="M200" s="1247"/>
      <c r="N200" s="1481"/>
      <c r="O200" s="1479"/>
      <c r="P200" s="1247"/>
      <c r="Q200" s="1247"/>
      <c r="R200" s="1481"/>
      <c r="S200" s="1479"/>
      <c r="T200" s="1247"/>
      <c r="U200" s="1247"/>
      <c r="V200" s="1465"/>
      <c r="W200" s="1479"/>
      <c r="X200" s="1465"/>
      <c r="Y200" s="1247"/>
      <c r="Z200" s="1481"/>
      <c r="AA200" s="1479"/>
      <c r="AB200" s="1465"/>
      <c r="AC200" s="1247"/>
      <c r="AD200" s="1481"/>
      <c r="AE200" s="1916"/>
      <c r="AF200" s="1247"/>
      <c r="AG200" s="1247"/>
      <c r="AH200" s="1465"/>
      <c r="AI200" s="1254"/>
    </row>
    <row r="201" spans="1:35" ht="18" customHeight="1" x14ac:dyDescent="0.2">
      <c r="A201" s="68"/>
      <c r="B201" s="1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</row>
    <row r="202" spans="1:35" ht="18" customHeight="1" x14ac:dyDescent="0.2">
      <c r="A202" s="1434"/>
      <c r="B202" s="1256" t="s">
        <v>44</v>
      </c>
      <c r="C202" s="1731">
        <v>1</v>
      </c>
      <c r="D202" s="1731">
        <v>2</v>
      </c>
      <c r="E202" s="1732">
        <v>3</v>
      </c>
      <c r="F202" s="1732">
        <v>4</v>
      </c>
      <c r="G202" s="1731">
        <v>5</v>
      </c>
      <c r="H202" s="1731">
        <v>6</v>
      </c>
      <c r="I202" s="1731">
        <v>7</v>
      </c>
      <c r="J202" s="1731">
        <v>8</v>
      </c>
      <c r="K202" s="1731">
        <v>9</v>
      </c>
      <c r="L202" s="1732">
        <v>10</v>
      </c>
      <c r="M202" s="1732">
        <v>11</v>
      </c>
      <c r="N202" s="1731">
        <v>12</v>
      </c>
      <c r="O202" s="1731">
        <v>13</v>
      </c>
      <c r="P202" s="1731">
        <v>14</v>
      </c>
      <c r="Q202" s="1731">
        <v>15</v>
      </c>
      <c r="R202" s="1731">
        <v>16</v>
      </c>
      <c r="S202" s="1732">
        <v>17</v>
      </c>
      <c r="T202" s="1732">
        <v>18</v>
      </c>
      <c r="U202" s="1731">
        <v>19</v>
      </c>
      <c r="V202" s="1731">
        <v>20</v>
      </c>
      <c r="W202" s="1731">
        <v>21</v>
      </c>
      <c r="X202" s="1731">
        <v>22</v>
      </c>
      <c r="Y202" s="1731">
        <v>23</v>
      </c>
      <c r="Z202" s="1732">
        <v>24</v>
      </c>
      <c r="AA202" s="1732">
        <v>25</v>
      </c>
      <c r="AB202" s="1731">
        <v>26</v>
      </c>
      <c r="AC202" s="1731">
        <v>27</v>
      </c>
      <c r="AD202" s="1731">
        <v>28</v>
      </c>
      <c r="AE202" s="1731">
        <v>29</v>
      </c>
      <c r="AF202" s="1731">
        <v>30</v>
      </c>
      <c r="AG202" s="1732">
        <v>31</v>
      </c>
      <c r="AH202" s="110"/>
      <c r="AI202" s="111"/>
    </row>
    <row r="203" spans="1:35" ht="18" customHeight="1" x14ac:dyDescent="0.2">
      <c r="A203" s="1866">
        <v>1</v>
      </c>
      <c r="B203" s="1917"/>
      <c r="C203" s="1918" t="s">
        <v>46</v>
      </c>
      <c r="D203" s="1918" t="s">
        <v>46</v>
      </c>
      <c r="E203" s="1918"/>
      <c r="F203" s="1918"/>
      <c r="G203" s="1918" t="s">
        <v>46</v>
      </c>
      <c r="H203" s="1918" t="s">
        <v>46</v>
      </c>
      <c r="I203" s="1918" t="s">
        <v>46</v>
      </c>
      <c r="J203" s="1918" t="s">
        <v>46</v>
      </c>
      <c r="K203" s="1918" t="s">
        <v>46</v>
      </c>
      <c r="L203" s="1918"/>
      <c r="M203" s="1918"/>
      <c r="N203" s="1868" t="s">
        <v>46</v>
      </c>
      <c r="O203" s="1868" t="s">
        <v>46</v>
      </c>
      <c r="P203" s="1919" t="s">
        <v>46</v>
      </c>
      <c r="Q203" s="1868" t="s">
        <v>46</v>
      </c>
      <c r="R203" s="1868" t="s">
        <v>46</v>
      </c>
      <c r="S203" s="1868"/>
      <c r="T203" s="1868"/>
      <c r="U203" s="1868" t="s">
        <v>46</v>
      </c>
      <c r="V203" s="1868" t="s">
        <v>46</v>
      </c>
      <c r="W203" s="1868" t="s">
        <v>46</v>
      </c>
      <c r="X203" s="1868" t="s">
        <v>46</v>
      </c>
      <c r="Y203" s="1868" t="s">
        <v>46</v>
      </c>
      <c r="Z203" s="1919"/>
      <c r="AA203" s="1868"/>
      <c r="AB203" s="1868" t="s">
        <v>46</v>
      </c>
      <c r="AC203" s="1868" t="s">
        <v>46</v>
      </c>
      <c r="AD203" s="1868" t="s">
        <v>46</v>
      </c>
      <c r="AE203" s="1868" t="s">
        <v>46</v>
      </c>
      <c r="AF203" s="1868" t="s">
        <v>46</v>
      </c>
      <c r="AG203" s="1871"/>
      <c r="AH203" s="132"/>
      <c r="AI203" s="116"/>
    </row>
    <row r="204" spans="1:35" ht="18" customHeight="1" x14ac:dyDescent="0.2">
      <c r="A204" s="1415">
        <v>2</v>
      </c>
      <c r="B204" s="1920" t="s">
        <v>287</v>
      </c>
      <c r="C204" s="1186" t="s">
        <v>289</v>
      </c>
      <c r="D204" s="1186" t="s">
        <v>289</v>
      </c>
      <c r="E204" s="1186"/>
      <c r="F204" s="1186"/>
      <c r="G204" s="1186" t="s">
        <v>290</v>
      </c>
      <c r="H204" s="1186" t="s">
        <v>290</v>
      </c>
      <c r="I204" s="1186" t="s">
        <v>290</v>
      </c>
      <c r="J204" s="1186" t="s">
        <v>290</v>
      </c>
      <c r="K204" s="1186" t="s">
        <v>290</v>
      </c>
      <c r="L204" s="1186" t="s">
        <v>290</v>
      </c>
      <c r="M204" s="1186"/>
      <c r="N204" s="1174" t="s">
        <v>288</v>
      </c>
      <c r="O204" s="1174" t="s">
        <v>288</v>
      </c>
      <c r="P204" s="1174" t="s">
        <v>288</v>
      </c>
      <c r="Q204" s="1174" t="s">
        <v>288</v>
      </c>
      <c r="R204" s="1174" t="s">
        <v>50</v>
      </c>
      <c r="S204" s="1174"/>
      <c r="T204" s="1174"/>
      <c r="U204" s="1262" t="s">
        <v>289</v>
      </c>
      <c r="V204" s="1262" t="s">
        <v>289</v>
      </c>
      <c r="W204" s="1262" t="s">
        <v>289</v>
      </c>
      <c r="X204" s="1262" t="s">
        <v>289</v>
      </c>
      <c r="Y204" s="1262" t="s">
        <v>289</v>
      </c>
      <c r="Z204" s="1262"/>
      <c r="AA204" s="1262" t="s">
        <v>405</v>
      </c>
      <c r="AB204" s="1174" t="s">
        <v>290</v>
      </c>
      <c r="AC204" s="1174" t="s">
        <v>290</v>
      </c>
      <c r="AD204" s="1174" t="s">
        <v>290</v>
      </c>
      <c r="AE204" s="1174" t="s">
        <v>290</v>
      </c>
      <c r="AF204" s="1174" t="s">
        <v>290</v>
      </c>
      <c r="AG204" s="1177" t="s">
        <v>290</v>
      </c>
      <c r="AH204" s="132"/>
      <c r="AI204" s="116"/>
    </row>
    <row r="205" spans="1:35" ht="18" customHeight="1" x14ac:dyDescent="0.2">
      <c r="A205" s="1415">
        <v>3</v>
      </c>
      <c r="B205" s="1921" t="s">
        <v>291</v>
      </c>
      <c r="C205" s="1174" t="s">
        <v>290</v>
      </c>
      <c r="D205" s="1174" t="s">
        <v>290</v>
      </c>
      <c r="E205" s="1174" t="s">
        <v>290</v>
      </c>
      <c r="F205" s="1174"/>
      <c r="G205" s="1174" t="s">
        <v>288</v>
      </c>
      <c r="H205" s="1174" t="s">
        <v>288</v>
      </c>
      <c r="I205" s="1174" t="s">
        <v>288</v>
      </c>
      <c r="J205" s="1174" t="s">
        <v>288</v>
      </c>
      <c r="K205" s="1174" t="s">
        <v>50</v>
      </c>
      <c r="L205" s="1174"/>
      <c r="M205" s="1174"/>
      <c r="N205" s="1174" t="s">
        <v>289</v>
      </c>
      <c r="O205" s="1174" t="s">
        <v>289</v>
      </c>
      <c r="P205" s="1174" t="s">
        <v>289</v>
      </c>
      <c r="Q205" s="1174" t="s">
        <v>289</v>
      </c>
      <c r="R205" s="1174" t="s">
        <v>289</v>
      </c>
      <c r="S205" s="1174"/>
      <c r="T205" s="1185"/>
      <c r="U205" s="1174" t="s">
        <v>290</v>
      </c>
      <c r="V205" s="1174" t="s">
        <v>290</v>
      </c>
      <c r="W205" s="1174" t="s">
        <v>290</v>
      </c>
      <c r="X205" s="1174" t="s">
        <v>290</v>
      </c>
      <c r="Y205" s="1174" t="s">
        <v>290</v>
      </c>
      <c r="Z205" s="1174" t="s">
        <v>290</v>
      </c>
      <c r="AA205" s="1174"/>
      <c r="AB205" s="1174" t="s">
        <v>288</v>
      </c>
      <c r="AC205" s="1174" t="s">
        <v>288</v>
      </c>
      <c r="AD205" s="1262" t="s">
        <v>288</v>
      </c>
      <c r="AE205" s="1262" t="s">
        <v>288</v>
      </c>
      <c r="AF205" s="1262" t="s">
        <v>50</v>
      </c>
      <c r="AG205" s="1177"/>
      <c r="AH205" s="132"/>
      <c r="AI205" s="116"/>
    </row>
    <row r="206" spans="1:35" ht="18" customHeight="1" x14ac:dyDescent="0.2">
      <c r="A206" s="1415">
        <v>4</v>
      </c>
      <c r="B206" s="1921"/>
      <c r="C206" s="1182"/>
      <c r="D206" s="1174"/>
      <c r="E206" s="1174"/>
      <c r="F206" s="1174"/>
      <c r="G206" s="1174"/>
      <c r="H206" s="1174"/>
      <c r="I206" s="1174"/>
      <c r="J206" s="1174"/>
      <c r="K206" s="1174"/>
      <c r="L206" s="1174"/>
      <c r="M206" s="1174"/>
      <c r="N206" s="1174"/>
      <c r="O206" s="1174"/>
      <c r="P206" s="1174"/>
      <c r="Q206" s="1174"/>
      <c r="R206" s="1174"/>
      <c r="S206" s="1174"/>
      <c r="T206" s="1174"/>
      <c r="U206" s="1174"/>
      <c r="V206" s="1174"/>
      <c r="W206" s="1182"/>
      <c r="X206" s="1174"/>
      <c r="Y206" s="1174"/>
      <c r="Z206" s="1174"/>
      <c r="AA206" s="1174"/>
      <c r="AB206" s="1174"/>
      <c r="AC206" s="1174"/>
      <c r="AD206" s="1174"/>
      <c r="AE206" s="1174"/>
      <c r="AF206" s="1174"/>
      <c r="AG206" s="1922"/>
      <c r="AH206" s="132"/>
      <c r="AI206" s="116"/>
    </row>
    <row r="207" spans="1:35" ht="18" customHeight="1" thickBot="1" x14ac:dyDescent="0.25">
      <c r="A207" s="1415">
        <v>5</v>
      </c>
      <c r="B207" s="1921" t="s">
        <v>292</v>
      </c>
      <c r="C207" s="1332" t="s">
        <v>46</v>
      </c>
      <c r="D207" s="1332" t="s">
        <v>46</v>
      </c>
      <c r="E207" s="1332"/>
      <c r="F207" s="1332"/>
      <c r="G207" s="1332" t="s">
        <v>46</v>
      </c>
      <c r="H207" s="1332" t="s">
        <v>46</v>
      </c>
      <c r="I207" s="1332" t="s">
        <v>46</v>
      </c>
      <c r="J207" s="1174" t="s">
        <v>46</v>
      </c>
      <c r="K207" s="1174" t="s">
        <v>46</v>
      </c>
      <c r="L207" s="1179"/>
      <c r="M207" s="1265"/>
      <c r="N207" s="1174" t="s">
        <v>46</v>
      </c>
      <c r="O207" s="1174" t="s">
        <v>46</v>
      </c>
      <c r="P207" s="1174" t="s">
        <v>46</v>
      </c>
      <c r="Q207" s="1179" t="s">
        <v>46</v>
      </c>
      <c r="R207" s="1174" t="s">
        <v>46</v>
      </c>
      <c r="S207" s="1174"/>
      <c r="T207" s="1174"/>
      <c r="U207" s="1174" t="s">
        <v>46</v>
      </c>
      <c r="V207" s="1174" t="s">
        <v>46</v>
      </c>
      <c r="W207" s="1185" t="s">
        <v>46</v>
      </c>
      <c r="X207" s="1174" t="s">
        <v>46</v>
      </c>
      <c r="Y207" s="1174" t="s">
        <v>46</v>
      </c>
      <c r="Z207" s="1174"/>
      <c r="AA207" s="1179"/>
      <c r="AB207" s="1174" t="s">
        <v>46</v>
      </c>
      <c r="AC207" s="1174" t="s">
        <v>46</v>
      </c>
      <c r="AD207" s="1174" t="s">
        <v>46</v>
      </c>
      <c r="AE207" s="1186" t="s">
        <v>46</v>
      </c>
      <c r="AF207" s="1186" t="s">
        <v>46</v>
      </c>
      <c r="AG207" s="1177"/>
      <c r="AH207" s="132"/>
      <c r="AI207" s="116"/>
    </row>
    <row r="208" spans="1:35" ht="18" customHeight="1" x14ac:dyDescent="0.2">
      <c r="A208" s="1415">
        <v>6</v>
      </c>
      <c r="B208" s="1178" t="s">
        <v>293</v>
      </c>
      <c r="C208" s="1186" t="s">
        <v>46</v>
      </c>
      <c r="D208" s="1186" t="s">
        <v>46</v>
      </c>
      <c r="E208" s="1186"/>
      <c r="F208" s="1186"/>
      <c r="G208" s="1186" t="s">
        <v>46</v>
      </c>
      <c r="H208" s="1186" t="s">
        <v>46</v>
      </c>
      <c r="I208" s="1186" t="s">
        <v>46</v>
      </c>
      <c r="J208" s="1174" t="s">
        <v>46</v>
      </c>
      <c r="K208" s="1174" t="s">
        <v>46</v>
      </c>
      <c r="L208" s="1179"/>
      <c r="M208" s="1174"/>
      <c r="N208" s="1174" t="s">
        <v>46</v>
      </c>
      <c r="O208" s="1174" t="s">
        <v>46</v>
      </c>
      <c r="P208" s="1174" t="s">
        <v>46</v>
      </c>
      <c r="Q208" s="1179" t="s">
        <v>46</v>
      </c>
      <c r="R208" s="1174" t="s">
        <v>46</v>
      </c>
      <c r="S208" s="1174"/>
      <c r="T208" s="1174"/>
      <c r="U208" s="1174" t="s">
        <v>46</v>
      </c>
      <c r="V208" s="1174" t="s">
        <v>46</v>
      </c>
      <c r="W208" s="1185" t="s">
        <v>46</v>
      </c>
      <c r="X208" s="1176" t="s">
        <v>46</v>
      </c>
      <c r="Y208" s="1174" t="s">
        <v>46</v>
      </c>
      <c r="Z208" s="1174"/>
      <c r="AA208" s="1179"/>
      <c r="AB208" s="1174" t="s">
        <v>46</v>
      </c>
      <c r="AC208" s="1174" t="s">
        <v>46</v>
      </c>
      <c r="AD208" s="1174" t="s">
        <v>46</v>
      </c>
      <c r="AE208" s="1923" t="s">
        <v>46</v>
      </c>
      <c r="AF208" s="1174" t="s">
        <v>46</v>
      </c>
      <c r="AG208" s="1321"/>
      <c r="AH208" s="124"/>
      <c r="AI208" s="67"/>
    </row>
    <row r="209" spans="1:36" ht="18" customHeight="1" x14ac:dyDescent="0.2">
      <c r="A209" s="1924">
        <v>7</v>
      </c>
      <c r="B209" s="1378" t="s">
        <v>412</v>
      </c>
      <c r="C209" s="1332" t="s">
        <v>46</v>
      </c>
      <c r="D209" s="1332" t="s">
        <v>46</v>
      </c>
      <c r="E209" s="1332"/>
      <c r="F209" s="1332"/>
      <c r="G209" s="1186" t="s">
        <v>46</v>
      </c>
      <c r="H209" s="1186" t="s">
        <v>46</v>
      </c>
      <c r="I209" s="1186" t="s">
        <v>46</v>
      </c>
      <c r="J209" s="1186" t="s">
        <v>46</v>
      </c>
      <c r="K209" s="1186" t="s">
        <v>46</v>
      </c>
      <c r="L209" s="1186"/>
      <c r="M209" s="1186"/>
      <c r="N209" s="1186" t="s">
        <v>46</v>
      </c>
      <c r="O209" s="1186" t="s">
        <v>46</v>
      </c>
      <c r="P209" s="1186" t="s">
        <v>46</v>
      </c>
      <c r="Q209" s="1186" t="s">
        <v>46</v>
      </c>
      <c r="R209" s="1186" t="s">
        <v>46</v>
      </c>
      <c r="S209" s="1186"/>
      <c r="T209" s="1186"/>
      <c r="U209" s="1186" t="s">
        <v>46</v>
      </c>
      <c r="V209" s="1186" t="s">
        <v>46</v>
      </c>
      <c r="W209" s="1186" t="s">
        <v>46</v>
      </c>
      <c r="X209" s="1186" t="s">
        <v>46</v>
      </c>
      <c r="Y209" s="1186" t="s">
        <v>46</v>
      </c>
      <c r="Z209" s="1186"/>
      <c r="AA209" s="1186"/>
      <c r="AB209" s="1174" t="s">
        <v>46</v>
      </c>
      <c r="AC209" s="1174" t="s">
        <v>46</v>
      </c>
      <c r="AD209" s="1174" t="s">
        <v>46</v>
      </c>
      <c r="AE209" s="1174" t="s">
        <v>46</v>
      </c>
      <c r="AF209" s="1174" t="s">
        <v>46</v>
      </c>
      <c r="AG209" s="1925"/>
      <c r="AH209" s="124"/>
      <c r="AI209" s="67"/>
    </row>
    <row r="210" spans="1:36" ht="18" customHeight="1" thickBot="1" x14ac:dyDescent="0.25">
      <c r="A210" s="1417">
        <v>8</v>
      </c>
      <c r="B210" s="1192" t="s">
        <v>413</v>
      </c>
      <c r="C210" s="1269" t="s">
        <v>46</v>
      </c>
      <c r="D210" s="1269" t="s">
        <v>50</v>
      </c>
      <c r="E210" s="1269"/>
      <c r="F210" s="1269"/>
      <c r="G210" s="1269" t="s">
        <v>46</v>
      </c>
      <c r="H210" s="1269" t="s">
        <v>46</v>
      </c>
      <c r="I210" s="1269"/>
      <c r="J210" s="1269" t="s">
        <v>46</v>
      </c>
      <c r="K210" s="1269" t="s">
        <v>50</v>
      </c>
      <c r="L210" s="1269"/>
      <c r="M210" s="1269"/>
      <c r="N210" s="1220" t="s">
        <v>46</v>
      </c>
      <c r="O210" s="1220" t="s">
        <v>46</v>
      </c>
      <c r="P210" s="1220"/>
      <c r="Q210" s="1220" t="s">
        <v>50</v>
      </c>
      <c r="R210" s="1220" t="s">
        <v>46</v>
      </c>
      <c r="S210" s="1220"/>
      <c r="T210" s="1220"/>
      <c r="U210" s="1220" t="s">
        <v>46</v>
      </c>
      <c r="V210" s="1220" t="s">
        <v>46</v>
      </c>
      <c r="W210" s="1220"/>
      <c r="X210" s="1220" t="s">
        <v>46</v>
      </c>
      <c r="Y210" s="1220" t="s">
        <v>50</v>
      </c>
      <c r="Z210" s="1220"/>
      <c r="AA210" s="1220"/>
      <c r="AB210" s="1220" t="s">
        <v>46</v>
      </c>
      <c r="AC210" s="1220" t="s">
        <v>46</v>
      </c>
      <c r="AD210" s="1220"/>
      <c r="AE210" s="1220" t="s">
        <v>46</v>
      </c>
      <c r="AF210" s="1220" t="s">
        <v>50</v>
      </c>
      <c r="AG210" s="1222"/>
      <c r="AH210" s="67"/>
      <c r="AI210" s="67"/>
    </row>
    <row r="211" spans="1:36" ht="18" customHeight="1" x14ac:dyDescent="0.2">
      <c r="A211" s="129"/>
      <c r="B211" s="127"/>
      <c r="C211" s="128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67"/>
      <c r="AI211" s="67"/>
    </row>
    <row r="212" spans="1:36" ht="18" customHeight="1" x14ac:dyDescent="0.2">
      <c r="A212" s="129"/>
      <c r="B212" s="127"/>
      <c r="C212" s="128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28"/>
      <c r="AH212" s="67"/>
      <c r="AI212" s="67"/>
    </row>
    <row r="213" spans="1:36" ht="18" customHeight="1" x14ac:dyDescent="0.2">
      <c r="A213" s="97" t="s">
        <v>294</v>
      </c>
      <c r="B213" s="48"/>
      <c r="C213" s="66"/>
      <c r="D213" s="48"/>
      <c r="E213" s="48"/>
      <c r="F213" s="66"/>
      <c r="G213" s="48"/>
      <c r="H213" s="48"/>
      <c r="I213" s="66"/>
      <c r="J213" s="66"/>
      <c r="K213" s="48"/>
      <c r="L213" s="66"/>
      <c r="M213" s="48"/>
      <c r="N213" s="48"/>
      <c r="O213" s="66"/>
      <c r="P213" s="48"/>
      <c r="Q213" s="66"/>
      <c r="R213" s="66"/>
      <c r="S213" s="48"/>
      <c r="T213" s="48"/>
      <c r="U213" s="66"/>
      <c r="V213" s="48"/>
      <c r="W213" s="66"/>
      <c r="X213" s="66"/>
      <c r="Y213" s="48"/>
      <c r="Z213" s="48"/>
      <c r="AA213" s="48"/>
      <c r="AB213" s="48"/>
      <c r="AC213" s="48"/>
      <c r="AD213" s="48"/>
      <c r="AE213" s="66"/>
      <c r="AF213" s="48"/>
      <c r="AG213" s="48"/>
      <c r="AH213" s="67"/>
      <c r="AI213" s="67"/>
    </row>
    <row r="214" spans="1:36" ht="18" customHeight="1" x14ac:dyDescent="0.2">
      <c r="A214" s="69"/>
      <c r="B214" s="1509" t="s">
        <v>295</v>
      </c>
      <c r="C214" s="1926"/>
      <c r="D214" s="224" t="s">
        <v>17</v>
      </c>
      <c r="E214" s="225"/>
      <c r="F214" s="1927"/>
      <c r="G214" s="1511"/>
      <c r="H214" s="224" t="s">
        <v>18</v>
      </c>
      <c r="I214" s="225"/>
      <c r="J214" s="1927"/>
      <c r="K214" s="1511"/>
      <c r="L214" s="224" t="s">
        <v>19</v>
      </c>
      <c r="M214" s="225"/>
      <c r="N214" s="1927"/>
      <c r="O214" s="1511"/>
      <c r="P214" s="224" t="s">
        <v>20</v>
      </c>
      <c r="Q214" s="225"/>
      <c r="R214" s="1927"/>
      <c r="S214" s="1511"/>
      <c r="T214" s="224" t="s">
        <v>21</v>
      </c>
      <c r="U214" s="225"/>
      <c r="V214" s="1927"/>
      <c r="W214" s="1511"/>
      <c r="X214" s="224" t="s">
        <v>22</v>
      </c>
      <c r="Y214" s="225"/>
      <c r="Z214" s="1927"/>
      <c r="AA214" s="1511"/>
      <c r="AB214" s="224" t="s">
        <v>23</v>
      </c>
      <c r="AC214" s="225"/>
      <c r="AD214" s="225"/>
      <c r="AE214" s="1512" t="s">
        <v>126</v>
      </c>
      <c r="AF214" s="225"/>
      <c r="AG214" s="225"/>
      <c r="AH214" s="225"/>
      <c r="AI214" s="1928"/>
    </row>
    <row r="215" spans="1:36" ht="18" customHeight="1" x14ac:dyDescent="0.2">
      <c r="A215" s="69"/>
      <c r="B215" s="1137" t="s">
        <v>296</v>
      </c>
      <c r="C215" s="1929" t="s">
        <v>297</v>
      </c>
      <c r="D215" s="1930" t="s">
        <v>298</v>
      </c>
      <c r="E215" s="1931"/>
      <c r="F215" s="1932"/>
      <c r="G215" s="1933"/>
      <c r="H215" s="1515" t="s">
        <v>298</v>
      </c>
      <c r="I215" s="1516"/>
      <c r="J215" s="1932"/>
      <c r="K215" s="1933"/>
      <c r="L215" s="1515" t="s">
        <v>298</v>
      </c>
      <c r="M215" s="1516"/>
      <c r="N215" s="1932"/>
      <c r="O215" s="1933"/>
      <c r="P215" s="1515" t="s">
        <v>299</v>
      </c>
      <c r="Q215" s="1516"/>
      <c r="R215" s="1932"/>
      <c r="S215" s="1933"/>
      <c r="T215" s="1515" t="s">
        <v>300</v>
      </c>
      <c r="U215" s="1516"/>
      <c r="V215" s="1932"/>
      <c r="W215" s="1934"/>
      <c r="X215" s="1517"/>
      <c r="Y215" s="1517"/>
      <c r="Z215" s="1935"/>
      <c r="AA215" s="1934"/>
      <c r="AB215" s="1517"/>
      <c r="AC215" s="1517"/>
      <c r="AD215" s="1517"/>
      <c r="AE215" s="1934"/>
      <c r="AF215" s="1517"/>
      <c r="AG215" s="1517"/>
      <c r="AH215" s="1519"/>
      <c r="AI215" s="1936"/>
    </row>
    <row r="216" spans="1:36" ht="18" customHeight="1" x14ac:dyDescent="0.2">
      <c r="A216" s="69"/>
      <c r="B216" s="1137" t="s">
        <v>301</v>
      </c>
      <c r="C216" s="1929" t="s">
        <v>174</v>
      </c>
      <c r="D216" s="1930" t="s">
        <v>298</v>
      </c>
      <c r="E216" s="1931"/>
      <c r="F216" s="1932"/>
      <c r="G216" s="1933"/>
      <c r="H216" s="1515" t="s">
        <v>298</v>
      </c>
      <c r="I216" s="1516"/>
      <c r="J216" s="1932"/>
      <c r="K216" s="1933"/>
      <c r="L216" s="1515" t="s">
        <v>302</v>
      </c>
      <c r="M216" s="1516"/>
      <c r="N216" s="1932"/>
      <c r="O216" s="1933"/>
      <c r="P216" s="1515" t="s">
        <v>303</v>
      </c>
      <c r="Q216" s="1516"/>
      <c r="R216" s="1932"/>
      <c r="S216" s="1933"/>
      <c r="T216" s="1515" t="s">
        <v>304</v>
      </c>
      <c r="U216" s="1516"/>
      <c r="V216" s="1932"/>
      <c r="W216" s="1934"/>
      <c r="X216" s="1517"/>
      <c r="Y216" s="1517"/>
      <c r="Z216" s="1935"/>
      <c r="AA216" s="1934"/>
      <c r="AB216" s="1517"/>
      <c r="AC216" s="1517"/>
      <c r="AD216" s="1517"/>
      <c r="AE216" s="1934"/>
      <c r="AF216" s="1517"/>
      <c r="AG216" s="1517"/>
      <c r="AH216" s="1519"/>
      <c r="AI216" s="1936"/>
    </row>
    <row r="217" spans="1:36" ht="18" customHeight="1" x14ac:dyDescent="0.2">
      <c r="A217" s="69"/>
      <c r="B217" s="1137" t="s">
        <v>305</v>
      </c>
      <c r="C217" s="1929" t="s">
        <v>154</v>
      </c>
      <c r="D217" s="1930" t="s">
        <v>306</v>
      </c>
      <c r="E217" s="1931"/>
      <c r="F217" s="1932"/>
      <c r="G217" s="1933"/>
      <c r="H217" s="1930" t="s">
        <v>306</v>
      </c>
      <c r="I217" s="1516"/>
      <c r="J217" s="1932"/>
      <c r="K217" s="1933"/>
      <c r="L217" s="1930" t="s">
        <v>306</v>
      </c>
      <c r="M217" s="1516"/>
      <c r="N217" s="1932"/>
      <c r="O217" s="1933"/>
      <c r="P217" s="1515" t="s">
        <v>307</v>
      </c>
      <c r="Q217" s="1516"/>
      <c r="R217" s="1932"/>
      <c r="S217" s="1933"/>
      <c r="T217" s="1515" t="s">
        <v>304</v>
      </c>
      <c r="U217" s="1516"/>
      <c r="V217" s="1932"/>
      <c r="W217" s="1934"/>
      <c r="X217" s="1517"/>
      <c r="Y217" s="1517"/>
      <c r="Z217" s="1935"/>
      <c r="AA217" s="1934"/>
      <c r="AB217" s="1517"/>
      <c r="AC217" s="1517"/>
      <c r="AD217" s="1517"/>
      <c r="AE217" s="1934"/>
      <c r="AF217" s="1517"/>
      <c r="AG217" s="1517"/>
      <c r="AH217" s="1519"/>
      <c r="AI217" s="1936"/>
    </row>
    <row r="218" spans="1:36" ht="18" customHeight="1" x14ac:dyDescent="0.2">
      <c r="A218" s="69"/>
      <c r="B218" s="1137" t="s">
        <v>308</v>
      </c>
      <c r="C218" s="1929" t="s">
        <v>309</v>
      </c>
      <c r="D218" s="1930" t="s">
        <v>310</v>
      </c>
      <c r="E218" s="1931"/>
      <c r="F218" s="1932"/>
      <c r="G218" s="1933"/>
      <c r="H218" s="1515" t="s">
        <v>298</v>
      </c>
      <c r="I218" s="1516"/>
      <c r="J218" s="1932"/>
      <c r="K218" s="1933"/>
      <c r="L218" s="1515" t="s">
        <v>298</v>
      </c>
      <c r="M218" s="1516"/>
      <c r="N218" s="1932"/>
      <c r="O218" s="1933"/>
      <c r="P218" s="1515" t="s">
        <v>311</v>
      </c>
      <c r="Q218" s="1516"/>
      <c r="R218" s="1932"/>
      <c r="S218" s="1933"/>
      <c r="T218" s="1515" t="s">
        <v>312</v>
      </c>
      <c r="U218" s="1516"/>
      <c r="V218" s="1932"/>
      <c r="W218" s="1934"/>
      <c r="X218" s="1517"/>
      <c r="Y218" s="1517"/>
      <c r="Z218" s="1935"/>
      <c r="AA218" s="1934"/>
      <c r="AB218" s="1517"/>
      <c r="AC218" s="1517"/>
      <c r="AD218" s="1517"/>
      <c r="AE218" s="1934"/>
      <c r="AF218" s="1517"/>
      <c r="AG218" s="1517"/>
      <c r="AH218" s="1519"/>
      <c r="AI218" s="1936"/>
    </row>
    <row r="219" spans="1:36" ht="18" customHeight="1" x14ac:dyDescent="0.2">
      <c r="A219" s="69"/>
      <c r="B219" s="1520" t="s">
        <v>313</v>
      </c>
      <c r="C219" s="1929" t="s">
        <v>160</v>
      </c>
      <c r="D219" s="1930" t="s">
        <v>314</v>
      </c>
      <c r="E219" s="1931"/>
      <c r="F219" s="1937"/>
      <c r="G219" s="1938"/>
      <c r="H219" s="1930" t="s">
        <v>314</v>
      </c>
      <c r="I219" s="1522"/>
      <c r="J219" s="1937"/>
      <c r="K219" s="1938"/>
      <c r="L219" s="1930" t="s">
        <v>314</v>
      </c>
      <c r="M219" s="1522"/>
      <c r="N219" s="1937"/>
      <c r="O219" s="1938"/>
      <c r="P219" s="1515" t="s">
        <v>315</v>
      </c>
      <c r="Q219" s="1522"/>
      <c r="R219" s="1937"/>
      <c r="S219" s="1938"/>
      <c r="T219" s="1515" t="s">
        <v>304</v>
      </c>
      <c r="U219" s="1522"/>
      <c r="V219" s="1140"/>
      <c r="W219" s="1523"/>
      <c r="X219" s="1366"/>
      <c r="Y219" s="1366"/>
      <c r="Z219" s="1008"/>
      <c r="AA219" s="1523"/>
      <c r="AB219" s="1366"/>
      <c r="AC219" s="1366"/>
      <c r="AD219" s="1366"/>
      <c r="AE219" s="1523"/>
      <c r="AF219" s="1366"/>
      <c r="AG219" s="1366"/>
      <c r="AH219" s="1524"/>
      <c r="AI219" s="1002"/>
    </row>
    <row r="220" spans="1:36" ht="18" customHeight="1" x14ac:dyDescent="0.2">
      <c r="A220" s="69"/>
      <c r="B220" s="1137" t="s">
        <v>316</v>
      </c>
      <c r="C220" s="1929" t="s">
        <v>168</v>
      </c>
      <c r="D220" s="1930" t="s">
        <v>317</v>
      </c>
      <c r="E220" s="1931"/>
      <c r="F220" s="1932"/>
      <c r="G220" s="1933"/>
      <c r="H220" s="1930" t="s">
        <v>317</v>
      </c>
      <c r="I220" s="1516"/>
      <c r="J220" s="1932"/>
      <c r="K220" s="1933"/>
      <c r="L220" s="1930" t="s">
        <v>317</v>
      </c>
      <c r="M220" s="1516"/>
      <c r="N220" s="1932"/>
      <c r="O220" s="1933"/>
      <c r="P220" s="1515" t="s">
        <v>318</v>
      </c>
      <c r="Q220" s="1516"/>
      <c r="R220" s="1932"/>
      <c r="S220" s="1933"/>
      <c r="T220" s="1515" t="s">
        <v>304</v>
      </c>
      <c r="U220" s="1516"/>
      <c r="V220" s="1932"/>
      <c r="W220" s="1934"/>
      <c r="X220" s="1517"/>
      <c r="Y220" s="1517"/>
      <c r="Z220" s="1142"/>
      <c r="AA220" s="1934"/>
      <c r="AB220" s="1517"/>
      <c r="AC220" s="1517"/>
      <c r="AD220" s="1517"/>
      <c r="AE220" s="1934"/>
      <c r="AF220" s="1517"/>
      <c r="AG220" s="1517"/>
      <c r="AH220" s="1519"/>
      <c r="AI220" s="1936"/>
    </row>
    <row r="221" spans="1:36" ht="18" customHeight="1" x14ac:dyDescent="0.2">
      <c r="A221" s="69"/>
      <c r="B221" s="1137" t="s">
        <v>319</v>
      </c>
      <c r="C221" s="1929" t="s">
        <v>158</v>
      </c>
      <c r="D221" s="1930" t="s">
        <v>320</v>
      </c>
      <c r="E221" s="1931"/>
      <c r="F221" s="1932"/>
      <c r="G221" s="1933"/>
      <c r="H221" s="1515" t="s">
        <v>320</v>
      </c>
      <c r="I221" s="1516"/>
      <c r="J221" s="1932"/>
      <c r="K221" s="1933"/>
      <c r="L221" s="1515" t="s">
        <v>320</v>
      </c>
      <c r="M221" s="1516"/>
      <c r="N221" s="1516"/>
      <c r="O221" s="1933"/>
      <c r="P221" s="1515" t="s">
        <v>320</v>
      </c>
      <c r="Q221" s="1516"/>
      <c r="R221" s="1516"/>
      <c r="S221" s="1933"/>
      <c r="T221" s="1515" t="s">
        <v>304</v>
      </c>
      <c r="U221" s="1516"/>
      <c r="V221" s="1932"/>
      <c r="W221" s="1137"/>
      <c r="X221" s="1517"/>
      <c r="Y221" s="1517"/>
      <c r="Z221" s="1142"/>
      <c r="AA221" s="1934"/>
      <c r="AB221" s="1517"/>
      <c r="AC221" s="1517"/>
      <c r="AD221" s="1517"/>
      <c r="AE221" s="1934"/>
      <c r="AF221" s="1517"/>
      <c r="AG221" s="1517"/>
      <c r="AH221" s="1519"/>
      <c r="AI221" s="1936"/>
    </row>
    <row r="222" spans="1:36" ht="18" customHeight="1" x14ac:dyDescent="0.2">
      <c r="A222" s="69"/>
      <c r="B222" s="1137" t="s">
        <v>321</v>
      </c>
      <c r="C222" s="1929" t="s">
        <v>322</v>
      </c>
      <c r="D222" s="1930" t="s">
        <v>320</v>
      </c>
      <c r="E222" s="1931"/>
      <c r="F222" s="1932"/>
      <c r="G222" s="1933"/>
      <c r="H222" s="1515" t="s">
        <v>320</v>
      </c>
      <c r="I222" s="1516"/>
      <c r="J222" s="1932"/>
      <c r="K222" s="1933"/>
      <c r="L222" s="1515" t="s">
        <v>320</v>
      </c>
      <c r="M222" s="1516"/>
      <c r="N222" s="1516"/>
      <c r="O222" s="1933"/>
      <c r="P222" s="1515" t="s">
        <v>320</v>
      </c>
      <c r="Q222" s="1516"/>
      <c r="R222" s="1516"/>
      <c r="S222" s="1933"/>
      <c r="T222" s="1515" t="s">
        <v>304</v>
      </c>
      <c r="U222" s="1516"/>
      <c r="V222" s="1932"/>
      <c r="W222" s="1137"/>
      <c r="X222" s="1517"/>
      <c r="Y222" s="1517"/>
      <c r="Z222" s="1935"/>
      <c r="AA222" s="1525"/>
      <c r="AB222" s="1517"/>
      <c r="AC222" s="1517"/>
      <c r="AD222" s="1517"/>
      <c r="AE222" s="1934"/>
      <c r="AF222" s="1517"/>
      <c r="AG222" s="1517"/>
      <c r="AH222" s="1519"/>
      <c r="AI222" s="1936"/>
    </row>
    <row r="223" spans="1:36" ht="18" customHeight="1" x14ac:dyDescent="0.2">
      <c r="A223" s="69"/>
      <c r="C223" s="260"/>
      <c r="D223" s="261"/>
      <c r="E223" s="261"/>
      <c r="F223" s="260"/>
      <c r="G223" s="262"/>
      <c r="H223" s="261"/>
      <c r="I223" s="260"/>
      <c r="J223" s="260"/>
      <c r="K223" s="262"/>
      <c r="L223" s="261"/>
      <c r="M223" s="260"/>
      <c r="N223" s="260"/>
      <c r="O223" s="262"/>
      <c r="P223" s="261"/>
      <c r="Q223" s="260"/>
      <c r="R223" s="260"/>
      <c r="S223" s="262"/>
      <c r="T223" s="261"/>
      <c r="U223" s="260"/>
      <c r="V223" s="260"/>
      <c r="AA223" s="122"/>
      <c r="AE223" s="122"/>
      <c r="AH223" s="67"/>
      <c r="AI223" s="67"/>
    </row>
    <row r="224" spans="1:36" ht="18" customHeight="1" x14ac:dyDescent="0.2">
      <c r="A224" s="69"/>
      <c r="B224" t="s">
        <v>0</v>
      </c>
      <c r="C224" s="122"/>
      <c r="F224" s="122"/>
      <c r="I224" s="122"/>
      <c r="J224" s="122"/>
      <c r="L224" s="122"/>
      <c r="O224" s="122"/>
      <c r="Q224" s="122"/>
      <c r="R224" s="122"/>
      <c r="U224" s="122"/>
      <c r="W224" s="122"/>
      <c r="X224" s="122"/>
      <c r="AE224" s="122"/>
      <c r="AH224" s="67"/>
      <c r="AI224" s="67"/>
      <c r="AJ224" s="123"/>
    </row>
    <row r="225" spans="1:37" ht="18" customHeight="1" x14ac:dyDescent="0.2">
      <c r="A225" s="69"/>
      <c r="B225" s="1509" t="s">
        <v>295</v>
      </c>
      <c r="C225" s="1939"/>
      <c r="D225" s="224" t="s">
        <v>17</v>
      </c>
      <c r="E225" s="225"/>
      <c r="F225" s="1927"/>
      <c r="G225" s="1511"/>
      <c r="H225" s="224" t="s">
        <v>18</v>
      </c>
      <c r="I225" s="225"/>
      <c r="J225" s="1927"/>
      <c r="K225" s="1511"/>
      <c r="L225" s="224" t="s">
        <v>19</v>
      </c>
      <c r="M225" s="225"/>
      <c r="N225" s="1927"/>
      <c r="O225" s="1511"/>
      <c r="P225" s="224" t="s">
        <v>20</v>
      </c>
      <c r="Q225" s="225"/>
      <c r="R225" s="1927"/>
      <c r="S225" s="1511"/>
      <c r="T225" s="224" t="s">
        <v>21</v>
      </c>
      <c r="U225" s="225"/>
      <c r="V225" s="1927"/>
      <c r="W225" s="1511"/>
      <c r="X225" s="224" t="s">
        <v>22</v>
      </c>
      <c r="Y225" s="225"/>
      <c r="Z225" s="1927"/>
      <c r="AA225" s="1511"/>
      <c r="AB225" s="224" t="s">
        <v>23</v>
      </c>
      <c r="AC225" s="225"/>
      <c r="AD225" s="225"/>
      <c r="AE225" s="1512" t="s">
        <v>126</v>
      </c>
      <c r="AF225" s="225"/>
      <c r="AG225" s="225"/>
      <c r="AH225" s="225"/>
      <c r="AI225" s="1928"/>
      <c r="AJ225" s="123"/>
    </row>
    <row r="226" spans="1:37" ht="18" customHeight="1" x14ac:dyDescent="0.2">
      <c r="A226" s="69"/>
      <c r="B226" s="1137" t="s">
        <v>296</v>
      </c>
      <c r="C226" s="1929" t="s">
        <v>297</v>
      </c>
      <c r="D226" s="1930" t="s">
        <v>324</v>
      </c>
      <c r="E226" s="1931"/>
      <c r="F226" s="1932"/>
      <c r="G226" s="1933"/>
      <c r="H226" s="1930" t="s">
        <v>324</v>
      </c>
      <c r="I226" s="1516"/>
      <c r="J226" s="1932"/>
      <c r="K226" s="1933"/>
      <c r="L226" s="1930" t="s">
        <v>324</v>
      </c>
      <c r="M226" s="1516"/>
      <c r="N226" s="1932"/>
      <c r="O226" s="1933"/>
      <c r="P226" s="1515" t="s">
        <v>325</v>
      </c>
      <c r="Q226" s="1516"/>
      <c r="R226" s="1932"/>
      <c r="S226" s="1933"/>
      <c r="T226" s="1515" t="s">
        <v>326</v>
      </c>
      <c r="U226" s="1516"/>
      <c r="V226" s="1932"/>
      <c r="W226" s="1940"/>
      <c r="X226" s="1142"/>
      <c r="Y226" s="1142"/>
      <c r="Z226" s="1140"/>
      <c r="AA226" s="1940"/>
      <c r="AB226" s="1142"/>
      <c r="AC226" s="1142"/>
      <c r="AD226" s="1142"/>
      <c r="AE226" s="1940"/>
      <c r="AF226" s="1142"/>
      <c r="AG226" s="1142"/>
      <c r="AH226" s="1519"/>
      <c r="AI226" s="1936"/>
      <c r="AJ226" s="123"/>
    </row>
    <row r="227" spans="1:37" ht="18" customHeight="1" x14ac:dyDescent="0.2">
      <c r="A227" s="69"/>
      <c r="B227" s="1137" t="s">
        <v>301</v>
      </c>
      <c r="C227" s="1929" t="s">
        <v>174</v>
      </c>
      <c r="D227" s="1930" t="s">
        <v>324</v>
      </c>
      <c r="E227" s="1931"/>
      <c r="F227" s="1932"/>
      <c r="G227" s="1933"/>
      <c r="H227" s="1930" t="s">
        <v>324</v>
      </c>
      <c r="I227" s="1516"/>
      <c r="J227" s="1932"/>
      <c r="K227" s="1933"/>
      <c r="L227" s="1515" t="s">
        <v>302</v>
      </c>
      <c r="M227" s="1516"/>
      <c r="N227" s="1932"/>
      <c r="O227" s="1933"/>
      <c r="P227" s="1515" t="s">
        <v>327</v>
      </c>
      <c r="Q227" s="1516"/>
      <c r="R227" s="1932"/>
      <c r="S227" s="1933"/>
      <c r="T227" s="1515" t="s">
        <v>328</v>
      </c>
      <c r="U227" s="1516"/>
      <c r="V227" s="1932"/>
      <c r="W227" s="1940"/>
      <c r="X227" s="1142"/>
      <c r="Y227" s="1142"/>
      <c r="Z227" s="1140"/>
      <c r="AA227" s="1940"/>
      <c r="AB227" s="1142"/>
      <c r="AC227" s="1142"/>
      <c r="AD227" s="1142"/>
      <c r="AE227" s="1940"/>
      <c r="AF227" s="1142"/>
      <c r="AG227" s="1142"/>
      <c r="AH227" s="1519"/>
      <c r="AI227" s="1936"/>
      <c r="AJ227" s="123"/>
    </row>
    <row r="228" spans="1:37" ht="18" customHeight="1" x14ac:dyDescent="0.2">
      <c r="A228" s="69"/>
      <c r="B228" s="1137" t="s">
        <v>305</v>
      </c>
      <c r="C228" s="1929" t="s">
        <v>154</v>
      </c>
      <c r="D228" s="1930" t="s">
        <v>324</v>
      </c>
      <c r="E228" s="1931"/>
      <c r="F228" s="1932"/>
      <c r="G228" s="1933"/>
      <c r="H228" s="1930" t="s">
        <v>324</v>
      </c>
      <c r="I228" s="1516"/>
      <c r="J228" s="1932"/>
      <c r="K228" s="1933"/>
      <c r="L228" s="1930" t="s">
        <v>324</v>
      </c>
      <c r="M228" s="1516"/>
      <c r="N228" s="1932"/>
      <c r="O228" s="1933"/>
      <c r="P228" s="1515" t="s">
        <v>329</v>
      </c>
      <c r="Q228" s="1516"/>
      <c r="R228" s="1932"/>
      <c r="S228" s="1933"/>
      <c r="T228" s="1515" t="s">
        <v>328</v>
      </c>
      <c r="U228" s="1516"/>
      <c r="V228" s="1932"/>
      <c r="W228" s="1940"/>
      <c r="X228" s="1142"/>
      <c r="Y228" s="1142"/>
      <c r="Z228" s="1140"/>
      <c r="AA228" s="1940"/>
      <c r="AB228" s="1142"/>
      <c r="AC228" s="1142"/>
      <c r="AD228" s="1142"/>
      <c r="AE228" s="1940"/>
      <c r="AF228" s="1142"/>
      <c r="AG228" s="1142"/>
      <c r="AH228" s="1519"/>
      <c r="AI228" s="1936"/>
      <c r="AJ228" s="123"/>
    </row>
    <row r="229" spans="1:37" ht="18" customHeight="1" x14ac:dyDescent="0.2">
      <c r="A229" s="69"/>
      <c r="B229" s="1137" t="s">
        <v>308</v>
      </c>
      <c r="C229" s="1929" t="s">
        <v>309</v>
      </c>
      <c r="D229" s="1930" t="s">
        <v>330</v>
      </c>
      <c r="E229" s="1931"/>
      <c r="F229" s="1932"/>
      <c r="G229" s="1933"/>
      <c r="H229" s="1930" t="s">
        <v>330</v>
      </c>
      <c r="I229" s="1516"/>
      <c r="J229" s="1932"/>
      <c r="K229" s="1933"/>
      <c r="L229" s="1930" t="s">
        <v>314</v>
      </c>
      <c r="M229" s="1516"/>
      <c r="N229" s="1932"/>
      <c r="O229" s="1933"/>
      <c r="P229" s="1515" t="s">
        <v>331</v>
      </c>
      <c r="Q229" s="1516"/>
      <c r="R229" s="1932"/>
      <c r="S229" s="1933"/>
      <c r="T229" s="1515" t="s">
        <v>326</v>
      </c>
      <c r="U229" s="1516"/>
      <c r="V229" s="1932"/>
      <c r="W229" s="1940"/>
      <c r="X229" s="1142"/>
      <c r="Y229" s="1142"/>
      <c r="Z229" s="1140"/>
      <c r="AA229" s="1940"/>
      <c r="AB229" s="1142"/>
      <c r="AC229" s="1142"/>
      <c r="AD229" s="1142"/>
      <c r="AE229" s="1940"/>
      <c r="AF229" s="1142"/>
      <c r="AG229" s="1142"/>
      <c r="AH229" s="1519"/>
      <c r="AI229" s="1936"/>
      <c r="AJ229" s="123"/>
    </row>
    <row r="230" spans="1:37" ht="18" customHeight="1" x14ac:dyDescent="0.2">
      <c r="A230" s="69"/>
      <c r="B230" s="1520" t="s">
        <v>313</v>
      </c>
      <c r="C230" s="1929" t="s">
        <v>160</v>
      </c>
      <c r="D230" s="1930" t="s">
        <v>324</v>
      </c>
      <c r="E230" s="1931"/>
      <c r="F230" s="1932"/>
      <c r="G230" s="1933"/>
      <c r="H230" s="1930" t="s">
        <v>324</v>
      </c>
      <c r="I230" s="1516"/>
      <c r="J230" s="1932"/>
      <c r="K230" s="1933"/>
      <c r="L230" s="1930" t="s">
        <v>324</v>
      </c>
      <c r="M230" s="1516"/>
      <c r="N230" s="1932"/>
      <c r="O230" s="1933"/>
      <c r="P230" s="1515" t="s">
        <v>329</v>
      </c>
      <c r="Q230" s="1516"/>
      <c r="R230" s="1932"/>
      <c r="S230" s="1933"/>
      <c r="T230" s="1515" t="s">
        <v>328</v>
      </c>
      <c r="U230" s="1516"/>
      <c r="V230" s="1932"/>
      <c r="W230" s="1523"/>
      <c r="X230" s="1366"/>
      <c r="Y230" s="1366"/>
      <c r="Z230" s="1008"/>
      <c r="AA230" s="1523"/>
      <c r="AB230" s="1366"/>
      <c r="AC230" s="1366"/>
      <c r="AD230" s="1366"/>
      <c r="AE230" s="1523"/>
      <c r="AF230" s="1366"/>
      <c r="AG230" s="1366"/>
      <c r="AH230" s="1524"/>
      <c r="AI230" s="1002"/>
      <c r="AJ230" s="123"/>
    </row>
    <row r="231" spans="1:37" ht="18" customHeight="1" x14ac:dyDescent="0.2">
      <c r="A231" s="69"/>
      <c r="B231" s="1137" t="s">
        <v>316</v>
      </c>
      <c r="C231" s="1929" t="s">
        <v>168</v>
      </c>
      <c r="D231" s="1930" t="s">
        <v>324</v>
      </c>
      <c r="E231" s="1931"/>
      <c r="F231" s="1932"/>
      <c r="G231" s="1933"/>
      <c r="H231" s="1930" t="s">
        <v>324</v>
      </c>
      <c r="I231" s="1516"/>
      <c r="J231" s="1932"/>
      <c r="K231" s="1933"/>
      <c r="L231" s="1930" t="s">
        <v>324</v>
      </c>
      <c r="M231" s="1516"/>
      <c r="N231" s="1932"/>
      <c r="O231" s="1933"/>
      <c r="P231" s="1515" t="s">
        <v>325</v>
      </c>
      <c r="Q231" s="1516"/>
      <c r="R231" s="1932"/>
      <c r="S231" s="1933"/>
      <c r="T231" s="1515" t="s">
        <v>326</v>
      </c>
      <c r="U231" s="1516"/>
      <c r="V231" s="1932"/>
      <c r="W231" s="1940"/>
      <c r="X231" s="1142"/>
      <c r="Y231" s="1142"/>
      <c r="Z231" s="1142"/>
      <c r="AA231" s="1940"/>
      <c r="AB231" s="1142"/>
      <c r="AC231" s="1142"/>
      <c r="AD231" s="1142"/>
      <c r="AE231" s="1940"/>
      <c r="AF231" s="1142"/>
      <c r="AG231" s="1142"/>
      <c r="AH231" s="1519"/>
      <c r="AI231" s="1936"/>
      <c r="AJ231" s="123"/>
    </row>
    <row r="232" spans="1:37" ht="18" customHeight="1" x14ac:dyDescent="0.2">
      <c r="A232" s="69"/>
      <c r="B232" s="1137" t="s">
        <v>321</v>
      </c>
      <c r="C232" s="1929" t="s">
        <v>322</v>
      </c>
      <c r="D232" s="1930" t="s">
        <v>320</v>
      </c>
      <c r="E232" s="1931"/>
      <c r="F232" s="1932"/>
      <c r="G232" s="1933"/>
      <c r="H232" s="1515" t="s">
        <v>320</v>
      </c>
      <c r="I232" s="1516"/>
      <c r="J232" s="1932"/>
      <c r="K232" s="1933"/>
      <c r="L232" s="1515" t="s">
        <v>320</v>
      </c>
      <c r="M232" s="1516"/>
      <c r="N232" s="1516"/>
      <c r="O232" s="1933"/>
      <c r="P232" s="1515" t="s">
        <v>320</v>
      </c>
      <c r="Q232" s="1516"/>
      <c r="R232" s="1516"/>
      <c r="S232" s="1933"/>
      <c r="T232" s="1515" t="s">
        <v>304</v>
      </c>
      <c r="U232" s="1516"/>
      <c r="V232" s="1932"/>
      <c r="W232" s="1137"/>
      <c r="X232" s="1142"/>
      <c r="Y232" s="1142"/>
      <c r="Z232" s="1140"/>
      <c r="AA232" s="1525"/>
      <c r="AB232" s="1142"/>
      <c r="AC232" s="1142"/>
      <c r="AD232" s="1142"/>
      <c r="AE232" s="1940"/>
      <c r="AF232" s="1142"/>
      <c r="AG232" s="1142"/>
      <c r="AH232" s="1519"/>
      <c r="AI232" s="1936"/>
      <c r="AJ232" s="123"/>
    </row>
    <row r="233" spans="1:37" ht="18" customHeight="1" x14ac:dyDescent="0.2">
      <c r="A233" s="69"/>
      <c r="B233" s="123"/>
      <c r="C233" s="253"/>
      <c r="D233" s="254"/>
      <c r="E233" s="254"/>
      <c r="F233" s="253"/>
      <c r="G233" s="255"/>
      <c r="H233" s="254"/>
      <c r="I233" s="253"/>
      <c r="J233" s="253"/>
      <c r="K233" s="255"/>
      <c r="L233" s="254"/>
      <c r="M233" s="253"/>
      <c r="N233" s="253"/>
      <c r="O233" s="255"/>
      <c r="P233" s="254"/>
      <c r="Q233" s="253"/>
      <c r="R233" s="253"/>
      <c r="S233" s="255"/>
      <c r="T233" s="254"/>
      <c r="U233" s="253"/>
      <c r="V233" s="253"/>
      <c r="W233" s="136"/>
      <c r="X233" s="136"/>
      <c r="Y233" s="136"/>
      <c r="Z233" s="136"/>
      <c r="AA233" s="137"/>
      <c r="AB233" s="136"/>
      <c r="AC233" s="136"/>
      <c r="AD233" s="136"/>
      <c r="AE233" s="137"/>
      <c r="AF233" s="136"/>
      <c r="AG233" s="136"/>
      <c r="AH233" s="124"/>
      <c r="AI233" s="124"/>
      <c r="AJ233" s="123"/>
    </row>
    <row r="234" spans="1:37" ht="18" customHeight="1" x14ac:dyDescent="0.2">
      <c r="A234" s="69"/>
      <c r="B234" s="133"/>
      <c r="C234" s="134"/>
      <c r="D234" s="135"/>
      <c r="E234" s="136"/>
      <c r="F234" s="136"/>
      <c r="G234" s="137"/>
      <c r="H234" s="135"/>
      <c r="I234" s="136"/>
      <c r="J234" s="136"/>
      <c r="K234" s="137"/>
      <c r="L234" s="135"/>
      <c r="M234" s="136"/>
      <c r="N234" s="136"/>
      <c r="O234" s="137"/>
      <c r="P234" s="127"/>
      <c r="Q234" s="136"/>
      <c r="R234" s="136"/>
      <c r="S234" s="137"/>
      <c r="T234" s="127"/>
      <c r="U234" s="136"/>
      <c r="V234" s="136"/>
      <c r="W234" s="136"/>
      <c r="X234" s="136"/>
      <c r="Y234" s="136"/>
      <c r="Z234" s="136"/>
      <c r="AA234" s="137"/>
      <c r="AB234" s="136"/>
      <c r="AC234" s="136"/>
      <c r="AD234" s="136"/>
      <c r="AE234" s="137"/>
      <c r="AF234" s="136"/>
      <c r="AG234" s="136"/>
      <c r="AH234" s="124"/>
      <c r="AI234" s="124"/>
      <c r="AJ234" s="123"/>
    </row>
    <row r="235" spans="1:37" ht="18" customHeight="1" x14ac:dyDescent="0.2">
      <c r="A235" s="96"/>
      <c r="B235" s="1527" t="s">
        <v>44</v>
      </c>
      <c r="C235" s="1731">
        <v>1</v>
      </c>
      <c r="D235" s="1731">
        <v>2</v>
      </c>
      <c r="E235" s="1732">
        <v>3</v>
      </c>
      <c r="F235" s="1732">
        <v>4</v>
      </c>
      <c r="G235" s="1731">
        <v>5</v>
      </c>
      <c r="H235" s="1731">
        <v>6</v>
      </c>
      <c r="I235" s="1731">
        <v>7</v>
      </c>
      <c r="J235" s="1731">
        <v>8</v>
      </c>
      <c r="K235" s="1731">
        <v>9</v>
      </c>
      <c r="L235" s="1732">
        <v>10</v>
      </c>
      <c r="M235" s="1732">
        <v>11</v>
      </c>
      <c r="N235" s="1731">
        <v>12</v>
      </c>
      <c r="O235" s="1731">
        <v>13</v>
      </c>
      <c r="P235" s="1731">
        <v>14</v>
      </c>
      <c r="Q235" s="1731">
        <v>15</v>
      </c>
      <c r="R235" s="1731">
        <v>16</v>
      </c>
      <c r="S235" s="1732">
        <v>17</v>
      </c>
      <c r="T235" s="1732">
        <v>18</v>
      </c>
      <c r="U235" s="1731">
        <v>19</v>
      </c>
      <c r="V235" s="1731">
        <v>20</v>
      </c>
      <c r="W235" s="1731">
        <v>21</v>
      </c>
      <c r="X235" s="1731">
        <v>22</v>
      </c>
      <c r="Y235" s="1731">
        <v>23</v>
      </c>
      <c r="Z235" s="1732">
        <v>24</v>
      </c>
      <c r="AA235" s="1732">
        <v>25</v>
      </c>
      <c r="AB235" s="1731">
        <v>26</v>
      </c>
      <c r="AC235" s="1731">
        <v>27</v>
      </c>
      <c r="AD235" s="1731">
        <v>28</v>
      </c>
      <c r="AE235" s="1731">
        <v>29</v>
      </c>
      <c r="AF235" s="1731">
        <v>30</v>
      </c>
      <c r="AG235" s="1732">
        <v>31</v>
      </c>
      <c r="AH235" s="117"/>
      <c r="AI235" s="111"/>
    </row>
    <row r="236" spans="1:37" ht="18" customHeight="1" x14ac:dyDescent="0.2">
      <c r="A236" s="69"/>
      <c r="B236" s="1011" t="s">
        <v>332</v>
      </c>
      <c r="C236" s="635" t="s">
        <v>309</v>
      </c>
      <c r="D236" s="833" t="s">
        <v>309</v>
      </c>
      <c r="E236" s="635"/>
      <c r="F236" s="635"/>
      <c r="G236" s="635" t="s">
        <v>309</v>
      </c>
      <c r="H236" s="635" t="s">
        <v>309</v>
      </c>
      <c r="I236" s="635" t="s">
        <v>309</v>
      </c>
      <c r="J236" s="635" t="s">
        <v>309</v>
      </c>
      <c r="K236" s="635" t="s">
        <v>309</v>
      </c>
      <c r="L236" s="635"/>
      <c r="M236" s="635"/>
      <c r="N236" s="635" t="s">
        <v>309</v>
      </c>
      <c r="O236" s="635" t="s">
        <v>309</v>
      </c>
      <c r="P236" s="635" t="s">
        <v>309</v>
      </c>
      <c r="Q236" s="635" t="s">
        <v>309</v>
      </c>
      <c r="R236" s="635" t="s">
        <v>309</v>
      </c>
      <c r="S236" s="635"/>
      <c r="T236" s="635"/>
      <c r="U236" s="968" t="s">
        <v>414</v>
      </c>
      <c r="V236" s="968" t="s">
        <v>414</v>
      </c>
      <c r="W236" s="968" t="s">
        <v>297</v>
      </c>
      <c r="X236" s="968" t="s">
        <v>414</v>
      </c>
      <c r="Y236" s="968" t="s">
        <v>414</v>
      </c>
      <c r="Z236" s="968"/>
      <c r="AA236" s="968"/>
      <c r="AB236" s="968" t="s">
        <v>414</v>
      </c>
      <c r="AC236" s="968" t="s">
        <v>414</v>
      </c>
      <c r="AD236" s="968" t="s">
        <v>297</v>
      </c>
      <c r="AE236" s="968" t="s">
        <v>414</v>
      </c>
      <c r="AF236" s="968" t="s">
        <v>414</v>
      </c>
      <c r="AG236" s="1910"/>
      <c r="AH236" s="116"/>
      <c r="AI236" s="116"/>
    </row>
    <row r="237" spans="1:37" ht="18" customHeight="1" x14ac:dyDescent="0.2">
      <c r="A237" s="69"/>
      <c r="B237" s="1011" t="s">
        <v>333</v>
      </c>
      <c r="C237" s="635" t="s">
        <v>174</v>
      </c>
      <c r="D237" s="635" t="s">
        <v>174</v>
      </c>
      <c r="E237" s="635"/>
      <c r="F237" s="635"/>
      <c r="G237" s="635" t="s">
        <v>174</v>
      </c>
      <c r="H237" s="635" t="s">
        <v>174</v>
      </c>
      <c r="I237" s="635" t="s">
        <v>174</v>
      </c>
      <c r="J237" s="635" t="s">
        <v>174</v>
      </c>
      <c r="K237" s="635" t="s">
        <v>174</v>
      </c>
      <c r="L237" s="635"/>
      <c r="M237" s="635"/>
      <c r="N237" s="635" t="s">
        <v>174</v>
      </c>
      <c r="O237" s="635" t="s">
        <v>174</v>
      </c>
      <c r="P237" s="635" t="s">
        <v>174</v>
      </c>
      <c r="Q237" s="635" t="s">
        <v>174</v>
      </c>
      <c r="R237" s="635" t="s">
        <v>174</v>
      </c>
      <c r="S237" s="635"/>
      <c r="T237" s="635"/>
      <c r="U237" s="635" t="s">
        <v>174</v>
      </c>
      <c r="V237" s="635" t="s">
        <v>174</v>
      </c>
      <c r="W237" s="635" t="s">
        <v>174</v>
      </c>
      <c r="X237" s="635" t="s">
        <v>174</v>
      </c>
      <c r="Y237" s="635" t="s">
        <v>174</v>
      </c>
      <c r="Z237" s="635"/>
      <c r="AA237" s="635"/>
      <c r="AB237" s="635" t="s">
        <v>174</v>
      </c>
      <c r="AC237" s="635" t="s">
        <v>174</v>
      </c>
      <c r="AD237" s="635" t="s">
        <v>174</v>
      </c>
      <c r="AE237" s="635" t="s">
        <v>174</v>
      </c>
      <c r="AF237" s="635" t="s">
        <v>174</v>
      </c>
      <c r="AG237" s="801"/>
      <c r="AH237" s="116"/>
      <c r="AI237" s="116"/>
    </row>
    <row r="238" spans="1:37" ht="18" customHeight="1" x14ac:dyDescent="0.2">
      <c r="A238" s="69"/>
      <c r="B238" s="1012" t="s">
        <v>334</v>
      </c>
      <c r="C238" s="635" t="s">
        <v>154</v>
      </c>
      <c r="D238" s="635" t="s">
        <v>154</v>
      </c>
      <c r="E238" s="635"/>
      <c r="F238" s="635"/>
      <c r="G238" s="635" t="s">
        <v>154</v>
      </c>
      <c r="H238" s="635" t="s">
        <v>154</v>
      </c>
      <c r="I238" s="635" t="s">
        <v>154</v>
      </c>
      <c r="J238" s="635" t="s">
        <v>154</v>
      </c>
      <c r="K238" s="635" t="s">
        <v>154</v>
      </c>
      <c r="L238" s="635"/>
      <c r="M238" s="635"/>
      <c r="N238" s="635" t="s">
        <v>154</v>
      </c>
      <c r="O238" s="635" t="s">
        <v>154</v>
      </c>
      <c r="P238" s="635" t="s">
        <v>154</v>
      </c>
      <c r="Q238" s="635" t="s">
        <v>154</v>
      </c>
      <c r="R238" s="635" t="s">
        <v>154</v>
      </c>
      <c r="S238" s="635"/>
      <c r="T238" s="635"/>
      <c r="U238" s="635" t="s">
        <v>154</v>
      </c>
      <c r="V238" s="635" t="s">
        <v>154</v>
      </c>
      <c r="W238" s="635" t="s">
        <v>154</v>
      </c>
      <c r="X238" s="635" t="s">
        <v>154</v>
      </c>
      <c r="Y238" s="635" t="s">
        <v>154</v>
      </c>
      <c r="Z238" s="635"/>
      <c r="AA238" s="635"/>
      <c r="AB238" s="635" t="s">
        <v>154</v>
      </c>
      <c r="AC238" s="635" t="s">
        <v>154</v>
      </c>
      <c r="AD238" s="799" t="s">
        <v>154</v>
      </c>
      <c r="AE238" s="635" t="s">
        <v>154</v>
      </c>
      <c r="AF238" s="635" t="s">
        <v>154</v>
      </c>
      <c r="AG238" s="801"/>
      <c r="AH238" s="116"/>
      <c r="AI238" s="116"/>
      <c r="AK238" t="s">
        <v>0</v>
      </c>
    </row>
    <row r="239" spans="1:37" ht="18" customHeight="1" x14ac:dyDescent="0.2">
      <c r="A239" s="69"/>
      <c r="B239" s="1011"/>
      <c r="C239" s="968" t="s">
        <v>309</v>
      </c>
      <c r="D239" s="968" t="s">
        <v>309</v>
      </c>
      <c r="E239" s="968"/>
      <c r="F239" s="968"/>
      <c r="G239" s="968" t="s">
        <v>309</v>
      </c>
      <c r="H239" s="968" t="s">
        <v>309</v>
      </c>
      <c r="I239" s="968" t="s">
        <v>309</v>
      </c>
      <c r="J239" s="968" t="s">
        <v>309</v>
      </c>
      <c r="K239" s="968" t="s">
        <v>309</v>
      </c>
      <c r="L239" s="968"/>
      <c r="M239" s="968"/>
      <c r="N239" s="968" t="s">
        <v>309</v>
      </c>
      <c r="O239" s="968" t="s">
        <v>309</v>
      </c>
      <c r="P239" s="968" t="s">
        <v>309</v>
      </c>
      <c r="Q239" s="968" t="s">
        <v>309</v>
      </c>
      <c r="R239" s="968" t="s">
        <v>309</v>
      </c>
      <c r="S239" s="968"/>
      <c r="T239" s="968"/>
      <c r="U239" s="635" t="s">
        <v>309</v>
      </c>
      <c r="V239" s="635" t="s">
        <v>309</v>
      </c>
      <c r="W239" s="635" t="s">
        <v>309</v>
      </c>
      <c r="X239" s="635" t="s">
        <v>309</v>
      </c>
      <c r="Y239" s="635" t="s">
        <v>309</v>
      </c>
      <c r="Z239" s="799"/>
      <c r="AA239" s="635"/>
      <c r="AB239" s="635" t="s">
        <v>309</v>
      </c>
      <c r="AC239" s="635" t="s">
        <v>309</v>
      </c>
      <c r="AD239" s="635" t="s">
        <v>309</v>
      </c>
      <c r="AE239" s="635" t="s">
        <v>309</v>
      </c>
      <c r="AF239" s="635" t="s">
        <v>309</v>
      </c>
      <c r="AG239" s="801"/>
      <c r="AH239" s="116"/>
      <c r="AI239" s="116"/>
    </row>
    <row r="240" spans="1:37" ht="18" customHeight="1" x14ac:dyDescent="0.2">
      <c r="A240" s="69"/>
      <c r="B240" s="764"/>
      <c r="C240" s="635" t="s">
        <v>160</v>
      </c>
      <c r="D240" s="635" t="s">
        <v>160</v>
      </c>
      <c r="E240" s="635"/>
      <c r="F240" s="635"/>
      <c r="G240" s="635" t="s">
        <v>160</v>
      </c>
      <c r="H240" s="635" t="s">
        <v>160</v>
      </c>
      <c r="I240" s="635" t="s">
        <v>160</v>
      </c>
      <c r="J240" s="635" t="s">
        <v>160</v>
      </c>
      <c r="K240" s="635" t="s">
        <v>160</v>
      </c>
      <c r="L240" s="635"/>
      <c r="M240" s="635"/>
      <c r="N240" s="635" t="s">
        <v>160</v>
      </c>
      <c r="O240" s="635" t="s">
        <v>160</v>
      </c>
      <c r="P240" s="635" t="s">
        <v>160</v>
      </c>
      <c r="Q240" s="635" t="s">
        <v>160</v>
      </c>
      <c r="R240" s="635" t="s">
        <v>160</v>
      </c>
      <c r="S240" s="635"/>
      <c r="T240" s="635"/>
      <c r="U240" s="635" t="s">
        <v>160</v>
      </c>
      <c r="V240" s="635" t="s">
        <v>160</v>
      </c>
      <c r="W240" s="635" t="s">
        <v>160</v>
      </c>
      <c r="X240" s="635" t="s">
        <v>160</v>
      </c>
      <c r="Y240" s="635" t="s">
        <v>160</v>
      </c>
      <c r="Z240" s="635"/>
      <c r="AA240" s="635"/>
      <c r="AB240" s="635" t="s">
        <v>160</v>
      </c>
      <c r="AC240" s="635" t="s">
        <v>160</v>
      </c>
      <c r="AD240" s="635" t="s">
        <v>160</v>
      </c>
      <c r="AE240" s="635" t="s">
        <v>160</v>
      </c>
      <c r="AF240" s="635" t="s">
        <v>160</v>
      </c>
      <c r="AG240" s="1941"/>
      <c r="AH240" s="116"/>
      <c r="AI240" s="116"/>
    </row>
    <row r="241" spans="1:35" ht="18" customHeight="1" x14ac:dyDescent="0.2">
      <c r="A241" s="69"/>
      <c r="B241" s="1011"/>
      <c r="C241" s="635" t="s">
        <v>168</v>
      </c>
      <c r="D241" s="635" t="s">
        <v>168</v>
      </c>
      <c r="E241" s="635"/>
      <c r="F241" s="635"/>
      <c r="G241" s="635" t="s">
        <v>168</v>
      </c>
      <c r="H241" s="635" t="s">
        <v>168</v>
      </c>
      <c r="I241" s="635" t="s">
        <v>168</v>
      </c>
      <c r="J241" s="635" t="s">
        <v>168</v>
      </c>
      <c r="K241" s="635" t="s">
        <v>168</v>
      </c>
      <c r="L241" s="635"/>
      <c r="M241" s="635"/>
      <c r="N241" s="635" t="s">
        <v>168</v>
      </c>
      <c r="O241" s="635" t="s">
        <v>168</v>
      </c>
      <c r="P241" s="635" t="s">
        <v>168</v>
      </c>
      <c r="Q241" s="635" t="s">
        <v>168</v>
      </c>
      <c r="R241" s="635" t="s">
        <v>168</v>
      </c>
      <c r="S241" s="635"/>
      <c r="T241" s="635"/>
      <c r="U241" s="635" t="s">
        <v>168</v>
      </c>
      <c r="V241" s="1942" t="s">
        <v>168</v>
      </c>
      <c r="W241" s="1942" t="s">
        <v>168</v>
      </c>
      <c r="X241" s="1942" t="s">
        <v>168</v>
      </c>
      <c r="Y241" s="1942" t="s">
        <v>168</v>
      </c>
      <c r="Z241" s="1942"/>
      <c r="AA241" s="1942"/>
      <c r="AB241" s="1942" t="s">
        <v>168</v>
      </c>
      <c r="AC241" s="635" t="s">
        <v>168</v>
      </c>
      <c r="AD241" s="635" t="s">
        <v>168</v>
      </c>
      <c r="AE241" s="635" t="s">
        <v>168</v>
      </c>
      <c r="AF241" s="635" t="s">
        <v>168</v>
      </c>
      <c r="AG241" s="801"/>
      <c r="AH241" s="116"/>
      <c r="AI241" s="116"/>
    </row>
    <row r="242" spans="1:35" ht="18" customHeight="1" x14ac:dyDescent="0.2">
      <c r="A242" s="69"/>
      <c r="B242" s="748"/>
      <c r="C242" s="635" t="s">
        <v>158</v>
      </c>
      <c r="D242" s="635" t="s">
        <v>158</v>
      </c>
      <c r="E242" s="635"/>
      <c r="F242" s="635"/>
      <c r="G242" s="635" t="s">
        <v>158</v>
      </c>
      <c r="H242" s="635" t="s">
        <v>158</v>
      </c>
      <c r="I242" s="635" t="s">
        <v>158</v>
      </c>
      <c r="J242" s="635" t="s">
        <v>158</v>
      </c>
      <c r="K242" s="635" t="s">
        <v>158</v>
      </c>
      <c r="L242" s="635"/>
      <c r="M242" s="635"/>
      <c r="N242" s="635" t="s">
        <v>158</v>
      </c>
      <c r="O242" s="635" t="s">
        <v>158</v>
      </c>
      <c r="P242" s="635" t="s">
        <v>158</v>
      </c>
      <c r="Q242" s="635" t="s">
        <v>158</v>
      </c>
      <c r="R242" s="635" t="s">
        <v>158</v>
      </c>
      <c r="S242" s="635"/>
      <c r="T242" s="635"/>
      <c r="U242" s="635" t="s">
        <v>158</v>
      </c>
      <c r="V242" s="635" t="s">
        <v>158</v>
      </c>
      <c r="W242" s="635" t="s">
        <v>158</v>
      </c>
      <c r="X242" s="635" t="s">
        <v>158</v>
      </c>
      <c r="Y242" s="635" t="s">
        <v>158</v>
      </c>
      <c r="Z242" s="635"/>
      <c r="AA242" s="635"/>
      <c r="AB242" s="635" t="s">
        <v>158</v>
      </c>
      <c r="AC242" s="635" t="s">
        <v>158</v>
      </c>
      <c r="AD242" s="635" t="s">
        <v>158</v>
      </c>
      <c r="AE242" s="635" t="s">
        <v>158</v>
      </c>
      <c r="AF242" s="635" t="s">
        <v>158</v>
      </c>
      <c r="AG242" s="801"/>
      <c r="AH242" s="116"/>
      <c r="AI242" s="116"/>
    </row>
    <row r="243" spans="1:35" ht="18" customHeight="1" x14ac:dyDescent="0.2">
      <c r="A243" s="69"/>
      <c r="B243" s="764" t="s">
        <v>337</v>
      </c>
      <c r="C243" s="968" t="s">
        <v>322</v>
      </c>
      <c r="D243" s="968" t="s">
        <v>322</v>
      </c>
      <c r="E243" s="968"/>
      <c r="F243" s="968"/>
      <c r="G243" s="968" t="s">
        <v>322</v>
      </c>
      <c r="H243" s="968" t="s">
        <v>322</v>
      </c>
      <c r="I243" s="968" t="s">
        <v>322</v>
      </c>
      <c r="J243" s="968" t="s">
        <v>322</v>
      </c>
      <c r="K243" s="968" t="s">
        <v>322</v>
      </c>
      <c r="L243" s="968"/>
      <c r="M243" s="968"/>
      <c r="N243" s="968" t="s">
        <v>322</v>
      </c>
      <c r="O243" s="968" t="s">
        <v>322</v>
      </c>
      <c r="P243" s="968" t="s">
        <v>322</v>
      </c>
      <c r="Q243" s="968" t="s">
        <v>322</v>
      </c>
      <c r="R243" s="968" t="s">
        <v>322</v>
      </c>
      <c r="S243" s="968"/>
      <c r="T243" s="968"/>
      <c r="U243" s="635" t="s">
        <v>322</v>
      </c>
      <c r="V243" s="635" t="s">
        <v>322</v>
      </c>
      <c r="W243" s="635" t="s">
        <v>322</v>
      </c>
      <c r="X243" s="635" t="s">
        <v>322</v>
      </c>
      <c r="Y243" s="635" t="s">
        <v>322</v>
      </c>
      <c r="Z243" s="635"/>
      <c r="AA243" s="635"/>
      <c r="AB243" s="635" t="s">
        <v>322</v>
      </c>
      <c r="AC243" s="635" t="s">
        <v>322</v>
      </c>
      <c r="AD243" s="635" t="s">
        <v>322</v>
      </c>
      <c r="AE243" s="635" t="s">
        <v>322</v>
      </c>
      <c r="AF243" s="635" t="s">
        <v>322</v>
      </c>
      <c r="AG243" s="801"/>
      <c r="AH243" s="67"/>
      <c r="AI243" s="67"/>
    </row>
    <row r="244" spans="1:35" ht="18" customHeight="1" x14ac:dyDescent="0.2">
      <c r="A244" s="96"/>
      <c r="B244" s="141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40"/>
      <c r="AF244" s="140"/>
      <c r="AG244" s="140"/>
      <c r="AH244" s="73"/>
    </row>
    <row r="245" spans="1:35" ht="18" customHeight="1" x14ac:dyDescent="0.2"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</row>
    <row r="246" spans="1:35" ht="18" customHeight="1" x14ac:dyDescent="0.2">
      <c r="A246" s="1" t="s">
        <v>339</v>
      </c>
      <c r="B246" s="37"/>
    </row>
    <row r="247" spans="1:35" ht="18" customHeight="1" x14ac:dyDescent="0.2">
      <c r="A247" s="1"/>
      <c r="B247" s="1014" t="s">
        <v>340</v>
      </c>
      <c r="C247" s="1943" t="s">
        <v>17</v>
      </c>
      <c r="D247" s="1859"/>
      <c r="E247" s="1859"/>
      <c r="F247" s="1859"/>
      <c r="G247" s="1943" t="s">
        <v>18</v>
      </c>
      <c r="H247" s="1859"/>
      <c r="I247" s="1859"/>
      <c r="J247" s="1859"/>
      <c r="K247" s="1943" t="s">
        <v>19</v>
      </c>
      <c r="L247" s="1859"/>
      <c r="M247" s="1859"/>
      <c r="N247" s="1859"/>
      <c r="O247" s="1943" t="s">
        <v>20</v>
      </c>
      <c r="P247" s="1859"/>
      <c r="Q247" s="1859"/>
      <c r="R247" s="1859"/>
      <c r="S247" s="1943" t="s">
        <v>21</v>
      </c>
      <c r="T247" s="1859"/>
      <c r="U247" s="1859"/>
      <c r="V247" s="1859"/>
      <c r="W247" s="1943" t="s">
        <v>22</v>
      </c>
      <c r="X247" s="1769"/>
      <c r="Y247" s="1859"/>
      <c r="Z247" s="1944"/>
      <c r="AA247" s="1943" t="s">
        <v>23</v>
      </c>
      <c r="AB247" s="1769"/>
      <c r="AC247" s="1859"/>
      <c r="AD247" s="1944"/>
      <c r="AE247" s="1945" t="s">
        <v>126</v>
      </c>
      <c r="AF247" s="1859"/>
      <c r="AG247" s="1859"/>
      <c r="AH247" s="1859"/>
      <c r="AI247" s="1770"/>
    </row>
    <row r="248" spans="1:35" ht="18" customHeight="1" x14ac:dyDescent="0.2">
      <c r="A248" s="1"/>
      <c r="B248" s="1946">
        <v>3701</v>
      </c>
      <c r="C248" s="70" t="s">
        <v>341</v>
      </c>
      <c r="D248" s="70"/>
      <c r="E248" s="70"/>
      <c r="F248" s="70"/>
      <c r="G248" s="1807" t="s">
        <v>342</v>
      </c>
      <c r="H248" s="70"/>
      <c r="I248" s="70"/>
      <c r="J248" s="70"/>
      <c r="K248" s="1807" t="s">
        <v>342</v>
      </c>
      <c r="L248" s="70"/>
      <c r="M248" s="70"/>
      <c r="N248" s="70"/>
      <c r="O248" s="1807" t="s">
        <v>342</v>
      </c>
      <c r="P248" s="70"/>
      <c r="Q248" s="70"/>
      <c r="R248" s="70"/>
      <c r="S248" s="1807" t="s">
        <v>343</v>
      </c>
      <c r="T248" s="70"/>
      <c r="U248" s="70"/>
      <c r="V248" s="70"/>
      <c r="W248" s="1372"/>
      <c r="X248" s="1947"/>
      <c r="Y248" s="1244"/>
      <c r="Z248" s="1948"/>
      <c r="AA248" s="1372"/>
      <c r="AB248" s="1947"/>
      <c r="AC248" s="1244"/>
      <c r="AD248" s="1948"/>
      <c r="AE248" s="1445"/>
      <c r="AF248" s="1244"/>
      <c r="AG248" s="1244"/>
      <c r="AH248" s="1244"/>
      <c r="AI248" s="1403"/>
    </row>
    <row r="249" spans="1:35" ht="18" customHeight="1" x14ac:dyDescent="0.2">
      <c r="B249" s="1014">
        <v>3700</v>
      </c>
      <c r="C249" s="1244" t="s">
        <v>249</v>
      </c>
      <c r="D249" s="1244"/>
      <c r="E249" s="1244"/>
      <c r="F249" s="1244"/>
      <c r="G249" s="1404" t="s">
        <v>249</v>
      </c>
      <c r="H249" s="1244"/>
      <c r="I249" s="1244"/>
      <c r="J249" s="1244"/>
      <c r="K249" s="1404" t="s">
        <v>249</v>
      </c>
      <c r="L249" s="1244"/>
      <c r="M249" s="1244"/>
      <c r="N249" s="1244"/>
      <c r="O249" s="1404" t="s">
        <v>249</v>
      </c>
      <c r="P249" s="1244"/>
      <c r="Q249" s="1244"/>
      <c r="R249" s="1244"/>
      <c r="S249" s="1404" t="s">
        <v>250</v>
      </c>
      <c r="T249" s="1244"/>
      <c r="U249" s="1244"/>
      <c r="V249" s="1244"/>
      <c r="W249" s="1372"/>
      <c r="X249" s="1244"/>
      <c r="Y249" s="1244"/>
      <c r="Z249" s="1447"/>
      <c r="AA249" s="1445"/>
      <c r="AB249" s="1244"/>
      <c r="AC249" s="1244"/>
      <c r="AD249" s="1302"/>
      <c r="AE249" s="1949"/>
      <c r="AF249" s="1244"/>
      <c r="AG249" s="1244"/>
      <c r="AH249" s="1302"/>
      <c r="AI249" s="1403"/>
    </row>
    <row r="250" spans="1:35" ht="18" customHeight="1" x14ac:dyDescent="0.2">
      <c r="A250" s="1"/>
      <c r="B250" s="1014">
        <v>8514</v>
      </c>
      <c r="C250" s="1244" t="s">
        <v>342</v>
      </c>
      <c r="D250" s="1244"/>
      <c r="E250" s="1244"/>
      <c r="F250" s="1244"/>
      <c r="G250" s="1404" t="s">
        <v>342</v>
      </c>
      <c r="H250" s="1244"/>
      <c r="I250" s="1244"/>
      <c r="J250" s="1244"/>
      <c r="K250" s="1404" t="s">
        <v>342</v>
      </c>
      <c r="L250" s="1244"/>
      <c r="M250" s="1244"/>
      <c r="N250" s="1244"/>
      <c r="O250" s="1404" t="s">
        <v>342</v>
      </c>
      <c r="P250" s="1244"/>
      <c r="Q250" s="1244"/>
      <c r="R250" s="1244"/>
      <c r="S250" s="1404" t="s">
        <v>344</v>
      </c>
      <c r="T250" s="1244"/>
      <c r="U250" s="1244"/>
      <c r="V250" s="1244"/>
      <c r="W250" s="1372"/>
      <c r="X250" s="1244"/>
      <c r="Y250" s="1244"/>
      <c r="Z250" s="1447"/>
      <c r="AA250" s="1301"/>
      <c r="AB250" s="1244"/>
      <c r="AC250" s="1244"/>
      <c r="AD250" s="1302"/>
      <c r="AE250" s="1301"/>
      <c r="AF250" s="1244"/>
      <c r="AG250" s="1244"/>
      <c r="AH250" s="1302"/>
      <c r="AI250" s="1403"/>
    </row>
    <row r="251" spans="1:35" ht="18" customHeight="1" x14ac:dyDescent="0.2">
      <c r="A251" s="1"/>
      <c r="B251" s="1014">
        <v>8500</v>
      </c>
      <c r="C251" s="875" t="s">
        <v>345</v>
      </c>
      <c r="D251" s="875"/>
      <c r="E251" s="875"/>
      <c r="F251" s="875"/>
      <c r="G251" s="1022" t="s">
        <v>345</v>
      </c>
      <c r="H251" s="875"/>
      <c r="I251" s="875"/>
      <c r="J251" s="875"/>
      <c r="K251" s="1022" t="s">
        <v>345</v>
      </c>
      <c r="L251" s="875"/>
      <c r="M251" s="875"/>
      <c r="N251" s="875"/>
      <c r="O251" s="1022" t="s">
        <v>345</v>
      </c>
      <c r="P251" s="875"/>
      <c r="Q251" s="875"/>
      <c r="R251" s="875"/>
      <c r="S251" s="1022" t="s">
        <v>346</v>
      </c>
      <c r="T251" s="875"/>
      <c r="U251" s="875"/>
      <c r="V251" s="875"/>
      <c r="W251" s="1372"/>
      <c r="X251" s="875"/>
      <c r="Y251" s="875"/>
      <c r="Z251" s="1023"/>
      <c r="AA251" s="1024"/>
      <c r="AB251" s="875"/>
      <c r="AC251" s="875"/>
      <c r="AD251" s="1023"/>
      <c r="AE251" s="1024"/>
      <c r="AF251" s="875"/>
      <c r="AG251" s="875"/>
      <c r="AH251" s="1025"/>
      <c r="AI251" s="1026"/>
    </row>
    <row r="252" spans="1:35" ht="18" customHeight="1" x14ac:dyDescent="0.2">
      <c r="A252" s="1"/>
      <c r="B252" s="1014">
        <v>8514</v>
      </c>
      <c r="C252" s="1027" t="s">
        <v>342</v>
      </c>
      <c r="D252" s="1027"/>
      <c r="E252" s="1027"/>
      <c r="F252" s="1027"/>
      <c r="G252" s="1028" t="s">
        <v>342</v>
      </c>
      <c r="H252" s="1027"/>
      <c r="I252" s="1027"/>
      <c r="J252" s="1027"/>
      <c r="K252" s="1028" t="s">
        <v>342</v>
      </c>
      <c r="L252" s="1027"/>
      <c r="M252" s="1027"/>
      <c r="N252" s="1027"/>
      <c r="O252" s="1028" t="s">
        <v>342</v>
      </c>
      <c r="P252" s="1027"/>
      <c r="Q252" s="1027"/>
      <c r="R252" s="1027"/>
      <c r="S252" s="1028" t="s">
        <v>344</v>
      </c>
      <c r="T252" s="1027"/>
      <c r="U252" s="1027"/>
      <c r="V252" s="1027"/>
      <c r="W252" s="1950"/>
      <c r="X252" s="1030"/>
      <c r="Y252" s="875"/>
      <c r="Z252" s="1031"/>
      <c r="AA252" s="1032"/>
      <c r="AB252" s="1030"/>
      <c r="AC252" s="875"/>
      <c r="AD252" s="875"/>
      <c r="AE252" s="1033"/>
      <c r="AF252" s="875"/>
      <c r="AG252" s="875"/>
      <c r="AH252" s="875"/>
      <c r="AI252" s="1026"/>
    </row>
    <row r="253" spans="1:35" ht="18" customHeight="1" x14ac:dyDescent="0.2">
      <c r="A253" s="1"/>
      <c r="B253" s="1034" t="s">
        <v>347</v>
      </c>
      <c r="C253" s="1251" t="s">
        <v>10</v>
      </c>
      <c r="D253" s="1251"/>
      <c r="E253" s="1251"/>
      <c r="F253" s="1251"/>
      <c r="G253" s="1951" t="s">
        <v>10</v>
      </c>
      <c r="H253" s="1251"/>
      <c r="I253" s="1251"/>
      <c r="J253" s="1251"/>
      <c r="K253" s="1406" t="s">
        <v>10</v>
      </c>
      <c r="L253" s="1251"/>
      <c r="M253" s="1251"/>
      <c r="N253" s="1251"/>
      <c r="O253" s="1951" t="s">
        <v>10</v>
      </c>
      <c r="P253" s="1251"/>
      <c r="Q253" s="1251"/>
      <c r="R253" s="1251"/>
      <c r="S253" s="1951" t="s">
        <v>10</v>
      </c>
      <c r="T253" s="1251"/>
      <c r="U253" s="1251"/>
      <c r="V253" s="1251"/>
      <c r="W253" s="1406"/>
      <c r="X253" s="1251"/>
      <c r="Y253" s="1251"/>
      <c r="Z253" s="1481"/>
      <c r="AA253" s="1458"/>
      <c r="AB253" s="1251"/>
      <c r="AC253" s="1251"/>
      <c r="AD253" s="1465"/>
      <c r="AE253" s="1952"/>
      <c r="AF253" s="1251"/>
      <c r="AG253" s="1251"/>
      <c r="AH253" s="1465"/>
      <c r="AI253" s="1254"/>
    </row>
    <row r="254" spans="1:35" ht="18" customHeight="1" x14ac:dyDescent="0.2">
      <c r="A254" s="1"/>
      <c r="B254" s="5"/>
      <c r="C254" s="42"/>
      <c r="D254" s="70"/>
      <c r="E254" s="70"/>
      <c r="F254" s="46"/>
      <c r="G254" s="42"/>
      <c r="H254" s="70"/>
      <c r="I254" s="70"/>
      <c r="J254" s="46"/>
      <c r="K254" s="42"/>
      <c r="L254" s="70"/>
      <c r="M254" s="70"/>
      <c r="N254" s="46"/>
      <c r="O254" s="42"/>
      <c r="P254" s="70"/>
      <c r="Q254" s="70"/>
      <c r="R254" s="46"/>
      <c r="S254" s="42"/>
      <c r="T254" s="70"/>
      <c r="U254" s="70"/>
      <c r="V254" s="46"/>
      <c r="W254" s="46"/>
      <c r="Z254" s="46"/>
      <c r="AA254" s="46"/>
      <c r="AD254" s="46"/>
      <c r="AE254" s="46"/>
      <c r="AH254" s="46"/>
    </row>
    <row r="255" spans="1:35" ht="18" customHeight="1" x14ac:dyDescent="0.2">
      <c r="A255" s="1" t="s">
        <v>348</v>
      </c>
      <c r="B255" s="5"/>
      <c r="C255" s="42"/>
      <c r="D255" s="70"/>
      <c r="E255" s="70"/>
      <c r="F255" s="46"/>
      <c r="G255" s="42"/>
      <c r="H255" s="70"/>
      <c r="I255" s="70"/>
      <c r="J255" s="46"/>
      <c r="K255" s="42"/>
      <c r="L255" s="70"/>
      <c r="M255" s="70"/>
      <c r="N255" s="46"/>
      <c r="O255" s="42"/>
      <c r="P255" s="70"/>
      <c r="Q255" s="70"/>
      <c r="R255" s="46"/>
      <c r="S255" s="42"/>
      <c r="T255" s="70"/>
      <c r="U255" s="70"/>
      <c r="V255" s="46"/>
      <c r="W255" s="46"/>
      <c r="Z255" s="46"/>
      <c r="AA255" s="46"/>
      <c r="AD255" s="46"/>
      <c r="AE255" s="46"/>
      <c r="AH255" s="46"/>
    </row>
    <row r="256" spans="1:35" ht="18" customHeight="1" x14ac:dyDescent="0.2">
      <c r="A256" s="1434"/>
      <c r="B256" s="1256" t="s">
        <v>44</v>
      </c>
      <c r="C256" s="1731">
        <v>1</v>
      </c>
      <c r="D256" s="1731">
        <v>2</v>
      </c>
      <c r="E256" s="1732">
        <v>3</v>
      </c>
      <c r="F256" s="1732">
        <v>4</v>
      </c>
      <c r="G256" s="1731">
        <v>5</v>
      </c>
      <c r="H256" s="1731">
        <v>6</v>
      </c>
      <c r="I256" s="1731">
        <v>7</v>
      </c>
      <c r="J256" s="1731">
        <v>8</v>
      </c>
      <c r="K256" s="1731">
        <v>9</v>
      </c>
      <c r="L256" s="1732">
        <v>10</v>
      </c>
      <c r="M256" s="1732">
        <v>11</v>
      </c>
      <c r="N256" s="1731">
        <v>12</v>
      </c>
      <c r="O256" s="1731">
        <v>13</v>
      </c>
      <c r="P256" s="1731">
        <v>14</v>
      </c>
      <c r="Q256" s="1731">
        <v>15</v>
      </c>
      <c r="R256" s="1731">
        <v>16</v>
      </c>
      <c r="S256" s="1732">
        <v>17</v>
      </c>
      <c r="T256" s="1732">
        <v>18</v>
      </c>
      <c r="U256" s="1731">
        <v>19</v>
      </c>
      <c r="V256" s="1731">
        <v>20</v>
      </c>
      <c r="W256" s="1731">
        <v>21</v>
      </c>
      <c r="X256" s="1731">
        <v>22</v>
      </c>
      <c r="Y256" s="1731">
        <v>23</v>
      </c>
      <c r="Z256" s="1732">
        <v>24</v>
      </c>
      <c r="AA256" s="1732">
        <v>25</v>
      </c>
      <c r="AB256" s="1731">
        <v>26</v>
      </c>
      <c r="AC256" s="1731">
        <v>27</v>
      </c>
      <c r="AD256" s="1731">
        <v>28</v>
      </c>
      <c r="AE256" s="1731">
        <v>29</v>
      </c>
      <c r="AF256" s="1731">
        <v>30</v>
      </c>
      <c r="AG256" s="1732">
        <v>31</v>
      </c>
      <c r="AH256" s="110"/>
      <c r="AI256" s="111"/>
    </row>
    <row r="257" spans="1:35" ht="18" customHeight="1" x14ac:dyDescent="0.2">
      <c r="A257" s="1713"/>
      <c r="B257" s="1714" t="s">
        <v>349</v>
      </c>
      <c r="C257" s="1953" t="s">
        <v>46</v>
      </c>
      <c r="D257" s="1953" t="s">
        <v>46</v>
      </c>
      <c r="E257" s="1953"/>
      <c r="F257" s="1953"/>
      <c r="G257" s="1954" t="s">
        <v>46</v>
      </c>
      <c r="H257" s="1954" t="s">
        <v>46</v>
      </c>
      <c r="I257" s="1954" t="s">
        <v>46</v>
      </c>
      <c r="J257" s="1953" t="s">
        <v>46</v>
      </c>
      <c r="K257" s="1953" t="s">
        <v>46</v>
      </c>
      <c r="L257" s="1953"/>
      <c r="M257" s="1953"/>
      <c r="N257" s="1954" t="s">
        <v>46</v>
      </c>
      <c r="O257" s="1954" t="s">
        <v>46</v>
      </c>
      <c r="P257" s="1954" t="s">
        <v>46</v>
      </c>
      <c r="Q257" s="1953" t="s">
        <v>46</v>
      </c>
      <c r="R257" s="1953" t="s">
        <v>46</v>
      </c>
      <c r="S257" s="1953"/>
      <c r="T257" s="1953"/>
      <c r="U257" s="1954" t="s">
        <v>46</v>
      </c>
      <c r="V257" s="1954" t="s">
        <v>46</v>
      </c>
      <c r="W257" s="1954" t="s">
        <v>46</v>
      </c>
      <c r="X257" s="1953" t="s">
        <v>46</v>
      </c>
      <c r="Y257" s="1953" t="s">
        <v>46</v>
      </c>
      <c r="Z257" s="1953"/>
      <c r="AA257" s="1953"/>
      <c r="AB257" s="1954" t="s">
        <v>46</v>
      </c>
      <c r="AC257" s="1954" t="s">
        <v>46</v>
      </c>
      <c r="AD257" s="1954" t="s">
        <v>46</v>
      </c>
      <c r="AE257" s="1953" t="s">
        <v>46</v>
      </c>
      <c r="AF257" s="1953" t="s">
        <v>46</v>
      </c>
      <c r="AG257" s="1536"/>
      <c r="AH257" s="110"/>
      <c r="AI257" s="111"/>
    </row>
    <row r="258" spans="1:35" ht="18" customHeight="1" x14ac:dyDescent="0.2">
      <c r="A258" s="1039"/>
      <c r="B258" s="1040" t="s">
        <v>350</v>
      </c>
      <c r="C258" s="818"/>
      <c r="D258" s="818"/>
      <c r="E258" s="818"/>
      <c r="F258" s="818"/>
      <c r="G258" s="636"/>
      <c r="H258" s="636"/>
      <c r="I258" s="636"/>
      <c r="J258" s="818"/>
      <c r="K258" s="818"/>
      <c r="L258" s="818"/>
      <c r="M258" s="818"/>
      <c r="N258" s="636"/>
      <c r="O258" s="636"/>
      <c r="P258" s="636"/>
      <c r="Q258" s="818"/>
      <c r="R258" s="818"/>
      <c r="S258" s="818"/>
      <c r="T258" s="818"/>
      <c r="U258" s="636"/>
      <c r="V258" s="636"/>
      <c r="W258" s="636"/>
      <c r="X258" s="818"/>
      <c r="Y258" s="818"/>
      <c r="Z258" s="818"/>
      <c r="AA258" s="818"/>
      <c r="AB258" s="636"/>
      <c r="AC258" s="636"/>
      <c r="AD258" s="636"/>
      <c r="AE258" s="818"/>
      <c r="AF258" s="818"/>
      <c r="AG258" s="1041"/>
      <c r="AH258" s="110"/>
      <c r="AI258" s="111"/>
    </row>
    <row r="259" spans="1:35" ht="18" customHeight="1" x14ac:dyDescent="0.2">
      <c r="A259" s="1042">
        <v>8514</v>
      </c>
      <c r="B259" s="1043" t="s">
        <v>351</v>
      </c>
      <c r="C259" s="818" t="s">
        <v>46</v>
      </c>
      <c r="D259" s="818" t="s">
        <v>46</v>
      </c>
      <c r="E259" s="818"/>
      <c r="F259" s="818"/>
      <c r="G259" s="636" t="s">
        <v>46</v>
      </c>
      <c r="H259" s="636" t="s">
        <v>46</v>
      </c>
      <c r="I259" s="636" t="s">
        <v>46</v>
      </c>
      <c r="J259" s="818" t="s">
        <v>46</v>
      </c>
      <c r="K259" s="818" t="s">
        <v>46</v>
      </c>
      <c r="L259" s="818"/>
      <c r="M259" s="818"/>
      <c r="N259" s="636" t="s">
        <v>46</v>
      </c>
      <c r="O259" s="636" t="s">
        <v>46</v>
      </c>
      <c r="P259" s="636" t="s">
        <v>46</v>
      </c>
      <c r="Q259" s="818" t="s">
        <v>46</v>
      </c>
      <c r="R259" s="818" t="s">
        <v>46</v>
      </c>
      <c r="S259" s="818"/>
      <c r="T259" s="818"/>
      <c r="U259" s="636" t="s">
        <v>46</v>
      </c>
      <c r="V259" s="636" t="s">
        <v>46</v>
      </c>
      <c r="W259" s="636" t="s">
        <v>46</v>
      </c>
      <c r="X259" s="818" t="s">
        <v>46</v>
      </c>
      <c r="Y259" s="818" t="s">
        <v>46</v>
      </c>
      <c r="Z259" s="818"/>
      <c r="AA259" s="818"/>
      <c r="AB259" s="636" t="s">
        <v>46</v>
      </c>
      <c r="AC259" s="636" t="s">
        <v>46</v>
      </c>
      <c r="AD259" s="636" t="s">
        <v>46</v>
      </c>
      <c r="AE259" s="818" t="s">
        <v>46</v>
      </c>
      <c r="AF259" s="818" t="s">
        <v>46</v>
      </c>
      <c r="AG259" s="1041"/>
      <c r="AH259" s="115"/>
      <c r="AI259" s="116"/>
    </row>
    <row r="260" spans="1:35" ht="18" customHeight="1" x14ac:dyDescent="0.2">
      <c r="A260" s="1042">
        <v>3701</v>
      </c>
      <c r="B260" s="1044" t="s">
        <v>352</v>
      </c>
      <c r="C260" s="818"/>
      <c r="D260" s="818"/>
      <c r="E260" s="818"/>
      <c r="F260" s="818"/>
      <c r="G260" s="636"/>
      <c r="H260" s="636"/>
      <c r="I260" s="636"/>
      <c r="J260" s="818"/>
      <c r="K260" s="818"/>
      <c r="L260" s="818"/>
      <c r="M260" s="818"/>
      <c r="N260" s="636"/>
      <c r="O260" s="636"/>
      <c r="P260" s="636"/>
      <c r="Q260" s="818"/>
      <c r="R260" s="818"/>
      <c r="S260" s="818"/>
      <c r="T260" s="818"/>
      <c r="U260" s="636"/>
      <c r="V260" s="636"/>
      <c r="W260" s="636"/>
      <c r="X260" s="818"/>
      <c r="Y260" s="818"/>
      <c r="Z260" s="818"/>
      <c r="AA260" s="818"/>
      <c r="AB260" s="636"/>
      <c r="AC260" s="636"/>
      <c r="AD260" s="636"/>
      <c r="AE260" s="818"/>
      <c r="AF260" s="818"/>
      <c r="AG260" s="1041"/>
      <c r="AH260" s="115"/>
      <c r="AI260" s="116"/>
    </row>
    <row r="261" spans="1:35" ht="18" customHeight="1" x14ac:dyDescent="0.2">
      <c r="A261" s="1042">
        <v>3701</v>
      </c>
      <c r="B261" s="1012" t="s">
        <v>353</v>
      </c>
      <c r="C261" s="1488" t="s">
        <v>46</v>
      </c>
      <c r="D261" s="1488" t="s">
        <v>46</v>
      </c>
      <c r="E261" s="818"/>
      <c r="F261" s="818"/>
      <c r="G261" s="636" t="s">
        <v>46</v>
      </c>
      <c r="H261" s="636" t="s">
        <v>46</v>
      </c>
      <c r="I261" s="636" t="s">
        <v>46</v>
      </c>
      <c r="J261" s="818" t="s">
        <v>46</v>
      </c>
      <c r="K261" s="818" t="s">
        <v>46</v>
      </c>
      <c r="L261" s="818"/>
      <c r="M261" s="818"/>
      <c r="N261" s="635" t="s">
        <v>46</v>
      </c>
      <c r="O261" s="636" t="s">
        <v>46</v>
      </c>
      <c r="P261" s="636" t="s">
        <v>46</v>
      </c>
      <c r="Q261" s="818" t="s">
        <v>46</v>
      </c>
      <c r="R261" s="818" t="s">
        <v>46</v>
      </c>
      <c r="S261" s="818"/>
      <c r="T261" s="818"/>
      <c r="U261" s="636" t="s">
        <v>46</v>
      </c>
      <c r="V261" s="636" t="s">
        <v>46</v>
      </c>
      <c r="W261" s="636" t="s">
        <v>46</v>
      </c>
      <c r="X261" s="818" t="s">
        <v>46</v>
      </c>
      <c r="Y261" s="818" t="s">
        <v>46</v>
      </c>
      <c r="Z261" s="818"/>
      <c r="AA261" s="818"/>
      <c r="AB261" s="636" t="s">
        <v>46</v>
      </c>
      <c r="AC261" s="636" t="s">
        <v>46</v>
      </c>
      <c r="AD261" s="636" t="s">
        <v>46</v>
      </c>
      <c r="AE261" s="818" t="s">
        <v>46</v>
      </c>
      <c r="AF261" s="818" t="s">
        <v>46</v>
      </c>
      <c r="AG261" s="1041"/>
      <c r="AH261" s="115"/>
      <c r="AI261" s="116"/>
    </row>
    <row r="262" spans="1:35" ht="18" customHeight="1" x14ac:dyDescent="0.2">
      <c r="A262" s="1042">
        <v>3701</v>
      </c>
      <c r="B262" s="1012" t="s">
        <v>354</v>
      </c>
      <c r="C262" s="1488" t="s">
        <v>46</v>
      </c>
      <c r="D262" s="1488" t="s">
        <v>46</v>
      </c>
      <c r="E262" s="833"/>
      <c r="F262" s="833"/>
      <c r="G262" s="1047" t="s">
        <v>46</v>
      </c>
      <c r="H262" s="1047" t="s">
        <v>46</v>
      </c>
      <c r="I262" s="636" t="s">
        <v>46</v>
      </c>
      <c r="J262" s="818" t="s">
        <v>46</v>
      </c>
      <c r="K262" s="818" t="s">
        <v>46</v>
      </c>
      <c r="L262" s="818"/>
      <c r="M262" s="818"/>
      <c r="N262" s="635" t="s">
        <v>46</v>
      </c>
      <c r="O262" s="636" t="s">
        <v>46</v>
      </c>
      <c r="P262" s="636" t="s">
        <v>46</v>
      </c>
      <c r="Q262" s="1047" t="s">
        <v>46</v>
      </c>
      <c r="R262" s="818" t="s">
        <v>46</v>
      </c>
      <c r="S262" s="818"/>
      <c r="T262" s="818"/>
      <c r="U262" s="636" t="s">
        <v>46</v>
      </c>
      <c r="V262" s="636" t="s">
        <v>46</v>
      </c>
      <c r="W262" s="636" t="s">
        <v>46</v>
      </c>
      <c r="X262" s="818" t="s">
        <v>46</v>
      </c>
      <c r="Y262" s="818" t="s">
        <v>46</v>
      </c>
      <c r="Z262" s="818"/>
      <c r="AA262" s="818"/>
      <c r="AB262" s="636" t="s">
        <v>46</v>
      </c>
      <c r="AC262" s="636" t="s">
        <v>46</v>
      </c>
      <c r="AD262" s="636" t="s">
        <v>46</v>
      </c>
      <c r="AE262" s="818" t="s">
        <v>46</v>
      </c>
      <c r="AF262" s="818" t="s">
        <v>46</v>
      </c>
      <c r="AG262" s="1041"/>
      <c r="AH262" s="115"/>
      <c r="AI262" s="116"/>
    </row>
    <row r="263" spans="1:35" ht="18" customHeight="1" x14ac:dyDescent="0.2">
      <c r="A263" s="1042">
        <v>3701</v>
      </c>
      <c r="B263" s="1012" t="s">
        <v>355</v>
      </c>
      <c r="C263" s="818" t="s">
        <v>46</v>
      </c>
      <c r="D263" s="818" t="s">
        <v>46</v>
      </c>
      <c r="E263" s="818"/>
      <c r="F263" s="818"/>
      <c r="G263" s="636" t="s">
        <v>46</v>
      </c>
      <c r="H263" s="636" t="s">
        <v>46</v>
      </c>
      <c r="I263" s="636" t="s">
        <v>46</v>
      </c>
      <c r="J263" s="818" t="s">
        <v>46</v>
      </c>
      <c r="K263" s="968" t="s">
        <v>46</v>
      </c>
      <c r="L263" s="818"/>
      <c r="M263" s="818"/>
      <c r="N263" s="635" t="s">
        <v>46</v>
      </c>
      <c r="O263" s="636" t="s">
        <v>46</v>
      </c>
      <c r="P263" s="636" t="s">
        <v>46</v>
      </c>
      <c r="Q263" s="818" t="s">
        <v>46</v>
      </c>
      <c r="R263" s="818" t="s">
        <v>46</v>
      </c>
      <c r="S263" s="818"/>
      <c r="T263" s="818"/>
      <c r="U263" s="636" t="s">
        <v>46</v>
      </c>
      <c r="V263" s="636" t="s">
        <v>46</v>
      </c>
      <c r="W263" s="636" t="s">
        <v>46</v>
      </c>
      <c r="X263" s="818" t="s">
        <v>46</v>
      </c>
      <c r="Y263" s="818" t="s">
        <v>46</v>
      </c>
      <c r="Z263" s="818"/>
      <c r="AA263" s="818"/>
      <c r="AB263" s="636" t="s">
        <v>46</v>
      </c>
      <c r="AC263" s="636" t="s">
        <v>46</v>
      </c>
      <c r="AD263" s="636" t="s">
        <v>46</v>
      </c>
      <c r="AE263" s="818" t="s">
        <v>46</v>
      </c>
      <c r="AF263" s="818" t="s">
        <v>46</v>
      </c>
      <c r="AG263" s="1041"/>
      <c r="AH263" s="115"/>
      <c r="AI263" s="116"/>
    </row>
    <row r="264" spans="1:35" ht="18" customHeight="1" x14ac:dyDescent="0.2">
      <c r="A264" s="1042">
        <v>3701</v>
      </c>
      <c r="B264" s="1044" t="s">
        <v>357</v>
      </c>
      <c r="C264" s="818"/>
      <c r="D264" s="818"/>
      <c r="E264" s="818"/>
      <c r="F264" s="818"/>
      <c r="G264" s="636"/>
      <c r="H264" s="636"/>
      <c r="I264" s="636"/>
      <c r="J264" s="818"/>
      <c r="K264" s="818"/>
      <c r="L264" s="818"/>
      <c r="M264" s="818"/>
      <c r="N264" s="636"/>
      <c r="O264" s="636"/>
      <c r="P264" s="636"/>
      <c r="Q264" s="818"/>
      <c r="R264" s="818"/>
      <c r="S264" s="818"/>
      <c r="T264" s="818"/>
      <c r="U264" s="636"/>
      <c r="V264" s="636"/>
      <c r="W264" s="636"/>
      <c r="X264" s="818"/>
      <c r="Y264" s="818"/>
      <c r="Z264" s="818"/>
      <c r="AA264" s="818"/>
      <c r="AB264" s="636"/>
      <c r="AC264" s="636"/>
      <c r="AD264" s="636"/>
      <c r="AE264" s="818"/>
      <c r="AF264" s="818"/>
      <c r="AG264" s="1041"/>
      <c r="AH264" s="115"/>
      <c r="AI264" s="116"/>
    </row>
    <row r="265" spans="1:35" ht="18" customHeight="1" x14ac:dyDescent="0.2">
      <c r="A265" s="1042">
        <v>3701</v>
      </c>
      <c r="B265" s="1012" t="s">
        <v>358</v>
      </c>
      <c r="C265" s="1488" t="s">
        <v>46</v>
      </c>
      <c r="D265" s="1488" t="s">
        <v>46</v>
      </c>
      <c r="E265" s="818"/>
      <c r="F265" s="818"/>
      <c r="G265" s="636" t="s">
        <v>46</v>
      </c>
      <c r="H265" s="636" t="s">
        <v>46</v>
      </c>
      <c r="I265" s="636" t="s">
        <v>46</v>
      </c>
      <c r="J265" s="818" t="s">
        <v>46</v>
      </c>
      <c r="K265" s="818" t="s">
        <v>46</v>
      </c>
      <c r="L265" s="818"/>
      <c r="M265" s="818"/>
      <c r="N265" s="636" t="s">
        <v>46</v>
      </c>
      <c r="O265" s="636" t="s">
        <v>46</v>
      </c>
      <c r="P265" s="636" t="s">
        <v>46</v>
      </c>
      <c r="Q265" s="818" t="s">
        <v>46</v>
      </c>
      <c r="R265" s="818" t="s">
        <v>46</v>
      </c>
      <c r="S265" s="818"/>
      <c r="T265" s="818"/>
      <c r="U265" s="636" t="s">
        <v>46</v>
      </c>
      <c r="V265" s="636" t="s">
        <v>46</v>
      </c>
      <c r="W265" s="636" t="s">
        <v>46</v>
      </c>
      <c r="X265" s="818" t="s">
        <v>46</v>
      </c>
      <c r="Y265" s="818" t="s">
        <v>46</v>
      </c>
      <c r="Z265" s="818"/>
      <c r="AA265" s="818"/>
      <c r="AB265" s="636" t="s">
        <v>46</v>
      </c>
      <c r="AC265" s="636" t="s">
        <v>46</v>
      </c>
      <c r="AD265" s="636" t="s">
        <v>46</v>
      </c>
      <c r="AE265" s="818" t="s">
        <v>46</v>
      </c>
      <c r="AF265" s="818" t="s">
        <v>46</v>
      </c>
      <c r="AG265" s="1041"/>
      <c r="AH265" s="115"/>
      <c r="AI265" s="116"/>
    </row>
    <row r="266" spans="1:35" ht="18" customHeight="1" x14ac:dyDescent="0.2">
      <c r="A266" s="1042">
        <v>3701</v>
      </c>
      <c r="B266" s="1012" t="s">
        <v>359</v>
      </c>
      <c r="C266" s="1047" t="s">
        <v>46</v>
      </c>
      <c r="D266" s="1047" t="s">
        <v>46</v>
      </c>
      <c r="E266" s="818"/>
      <c r="F266" s="818"/>
      <c r="G266" s="636" t="s">
        <v>46</v>
      </c>
      <c r="H266" s="636" t="s">
        <v>46</v>
      </c>
      <c r="I266" s="636" t="s">
        <v>46</v>
      </c>
      <c r="J266" s="818" t="s">
        <v>46</v>
      </c>
      <c r="K266" s="818" t="s">
        <v>46</v>
      </c>
      <c r="L266" s="818"/>
      <c r="M266" s="818"/>
      <c r="N266" s="635" t="s">
        <v>46</v>
      </c>
      <c r="O266" s="636" t="s">
        <v>46</v>
      </c>
      <c r="P266" s="1047" t="s">
        <v>46</v>
      </c>
      <c r="Q266" s="1047" t="s">
        <v>46</v>
      </c>
      <c r="R266" s="1047" t="s">
        <v>46</v>
      </c>
      <c r="S266" s="818"/>
      <c r="T266" s="818"/>
      <c r="U266" s="636" t="s">
        <v>46</v>
      </c>
      <c r="V266" s="636" t="s">
        <v>46</v>
      </c>
      <c r="W266" s="636" t="s">
        <v>46</v>
      </c>
      <c r="X266" s="818" t="s">
        <v>46</v>
      </c>
      <c r="Y266" s="818" t="s">
        <v>46</v>
      </c>
      <c r="Z266" s="818"/>
      <c r="AA266" s="818"/>
      <c r="AB266" s="636" t="s">
        <v>46</v>
      </c>
      <c r="AC266" s="636" t="s">
        <v>46</v>
      </c>
      <c r="AD266" s="636" t="s">
        <v>46</v>
      </c>
      <c r="AE266" s="818" t="s">
        <v>46</v>
      </c>
      <c r="AF266" s="818" t="s">
        <v>46</v>
      </c>
      <c r="AG266" s="1041"/>
      <c r="AH266" s="115"/>
      <c r="AI266" s="116"/>
    </row>
    <row r="267" spans="1:35" ht="18" customHeight="1" x14ac:dyDescent="0.2">
      <c r="A267" s="1046">
        <v>3701</v>
      </c>
      <c r="B267" s="1012" t="s">
        <v>360</v>
      </c>
      <c r="C267" s="818" t="s">
        <v>46</v>
      </c>
      <c r="D267" s="818" t="s">
        <v>46</v>
      </c>
      <c r="E267" s="818"/>
      <c r="F267" s="818"/>
      <c r="G267" s="636" t="s">
        <v>46</v>
      </c>
      <c r="H267" s="636" t="s">
        <v>46</v>
      </c>
      <c r="I267" s="636" t="s">
        <v>46</v>
      </c>
      <c r="J267" s="818" t="s">
        <v>46</v>
      </c>
      <c r="K267" s="818" t="s">
        <v>46</v>
      </c>
      <c r="L267" s="818"/>
      <c r="M267" s="818"/>
      <c r="N267" s="1047" t="s">
        <v>46</v>
      </c>
      <c r="O267" s="799" t="s">
        <v>46</v>
      </c>
      <c r="P267" s="799" t="s">
        <v>46</v>
      </c>
      <c r="Q267" s="799" t="s">
        <v>46</v>
      </c>
      <c r="R267" s="799" t="s">
        <v>46</v>
      </c>
      <c r="S267" s="799"/>
      <c r="T267" s="799"/>
      <c r="U267" s="799" t="s">
        <v>46</v>
      </c>
      <c r="V267" s="636" t="s">
        <v>46</v>
      </c>
      <c r="W267" s="1047" t="s">
        <v>46</v>
      </c>
      <c r="X267" s="1047" t="s">
        <v>46</v>
      </c>
      <c r="Y267" s="1047" t="s">
        <v>46</v>
      </c>
      <c r="Z267" s="818"/>
      <c r="AA267" s="818"/>
      <c r="AB267" s="636" t="s">
        <v>46</v>
      </c>
      <c r="AC267" s="636" t="s">
        <v>46</v>
      </c>
      <c r="AD267" s="636" t="s">
        <v>46</v>
      </c>
      <c r="AE267" s="818" t="s">
        <v>46</v>
      </c>
      <c r="AF267" s="818" t="s">
        <v>46</v>
      </c>
      <c r="AG267" s="1041"/>
      <c r="AH267" s="115"/>
      <c r="AI267" s="116"/>
    </row>
    <row r="268" spans="1:35" ht="18" customHeight="1" x14ac:dyDescent="0.2">
      <c r="A268" s="1042">
        <v>3701</v>
      </c>
      <c r="B268" s="1012" t="s">
        <v>361</v>
      </c>
      <c r="C268" s="818" t="s">
        <v>46</v>
      </c>
      <c r="D268" s="818" t="s">
        <v>46</v>
      </c>
      <c r="E268" s="818"/>
      <c r="F268" s="818"/>
      <c r="G268" s="636" t="s">
        <v>46</v>
      </c>
      <c r="H268" s="636" t="s">
        <v>46</v>
      </c>
      <c r="I268" s="636" t="s">
        <v>46</v>
      </c>
      <c r="J268" s="818" t="s">
        <v>46</v>
      </c>
      <c r="K268" s="818" t="s">
        <v>46</v>
      </c>
      <c r="L268" s="818"/>
      <c r="M268" s="818"/>
      <c r="N268" s="636" t="s">
        <v>46</v>
      </c>
      <c r="O268" s="636" t="s">
        <v>46</v>
      </c>
      <c r="P268" s="636" t="s">
        <v>46</v>
      </c>
      <c r="Q268" s="818" t="s">
        <v>46</v>
      </c>
      <c r="R268" s="818" t="s">
        <v>46</v>
      </c>
      <c r="S268" s="818"/>
      <c r="T268" s="818"/>
      <c r="U268" s="636" t="s">
        <v>46</v>
      </c>
      <c r="V268" s="636" t="s">
        <v>46</v>
      </c>
      <c r="W268" s="636" t="s">
        <v>46</v>
      </c>
      <c r="X268" s="818" t="s">
        <v>46</v>
      </c>
      <c r="Y268" s="818" t="s">
        <v>46</v>
      </c>
      <c r="Z268" s="818"/>
      <c r="AA268" s="818"/>
      <c r="AB268" s="636" t="s">
        <v>46</v>
      </c>
      <c r="AC268" s="636" t="s">
        <v>46</v>
      </c>
      <c r="AD268" s="636" t="s">
        <v>46</v>
      </c>
      <c r="AE268" s="818" t="s">
        <v>46</v>
      </c>
      <c r="AF268" s="818" t="s">
        <v>46</v>
      </c>
      <c r="AG268" s="1041"/>
      <c r="AH268" s="115"/>
      <c r="AI268" s="116"/>
    </row>
    <row r="269" spans="1:35" ht="18" customHeight="1" x14ac:dyDescent="0.2">
      <c r="A269" s="1042">
        <v>3701</v>
      </c>
      <c r="B269" s="1012" t="s">
        <v>362</v>
      </c>
      <c r="C269" s="818" t="s">
        <v>46</v>
      </c>
      <c r="D269" s="818" t="s">
        <v>46</v>
      </c>
      <c r="E269" s="818"/>
      <c r="F269" s="818"/>
      <c r="G269" s="636" t="s">
        <v>46</v>
      </c>
      <c r="H269" s="636" t="s">
        <v>46</v>
      </c>
      <c r="I269" s="636" t="s">
        <v>46</v>
      </c>
      <c r="J269" s="818" t="s">
        <v>46</v>
      </c>
      <c r="K269" s="818" t="s">
        <v>46</v>
      </c>
      <c r="L269" s="818"/>
      <c r="M269" s="818"/>
      <c r="N269" s="636" t="s">
        <v>46</v>
      </c>
      <c r="O269" s="636" t="s">
        <v>46</v>
      </c>
      <c r="P269" s="636" t="s">
        <v>46</v>
      </c>
      <c r="Q269" s="818" t="s">
        <v>46</v>
      </c>
      <c r="R269" s="818" t="s">
        <v>46</v>
      </c>
      <c r="S269" s="818"/>
      <c r="T269" s="818"/>
      <c r="U269" s="805" t="s">
        <v>46</v>
      </c>
      <c r="V269" s="805" t="s">
        <v>46</v>
      </c>
      <c r="W269" s="805" t="s">
        <v>46</v>
      </c>
      <c r="X269" s="805" t="s">
        <v>46</v>
      </c>
      <c r="Y269" s="805" t="s">
        <v>46</v>
      </c>
      <c r="Z269" s="805"/>
      <c r="AA269" s="805"/>
      <c r="AB269" s="805" t="s">
        <v>46</v>
      </c>
      <c r="AC269" s="805" t="s">
        <v>46</v>
      </c>
      <c r="AD269" s="805" t="s">
        <v>46</v>
      </c>
      <c r="AE269" s="805" t="s">
        <v>46</v>
      </c>
      <c r="AF269" s="805" t="s">
        <v>46</v>
      </c>
      <c r="AG269" s="1041"/>
      <c r="AH269" s="115"/>
      <c r="AI269" s="116"/>
    </row>
    <row r="270" spans="1:35" ht="18" customHeight="1" x14ac:dyDescent="0.2">
      <c r="A270" s="1042"/>
      <c r="B270" s="1012" t="s">
        <v>363</v>
      </c>
      <c r="C270" s="818" t="s">
        <v>46</v>
      </c>
      <c r="D270" s="818" t="s">
        <v>46</v>
      </c>
      <c r="E270" s="818"/>
      <c r="F270" s="818"/>
      <c r="G270" s="636" t="s">
        <v>46</v>
      </c>
      <c r="H270" s="636" t="s">
        <v>46</v>
      </c>
      <c r="I270" s="636" t="s">
        <v>46</v>
      </c>
      <c r="J270" s="818" t="s">
        <v>46</v>
      </c>
      <c r="K270" s="818" t="s">
        <v>46</v>
      </c>
      <c r="L270" s="818"/>
      <c r="M270" s="818"/>
      <c r="N270" s="636" t="s">
        <v>46</v>
      </c>
      <c r="O270" s="636" t="s">
        <v>46</v>
      </c>
      <c r="P270" s="636" t="s">
        <v>46</v>
      </c>
      <c r="Q270" s="818" t="s">
        <v>46</v>
      </c>
      <c r="R270" s="818" t="s">
        <v>46</v>
      </c>
      <c r="S270" s="818"/>
      <c r="T270" s="818"/>
      <c r="U270" s="636" t="s">
        <v>46</v>
      </c>
      <c r="V270" s="636" t="s">
        <v>46</v>
      </c>
      <c r="W270" s="636" t="s">
        <v>46</v>
      </c>
      <c r="X270" s="818" t="s">
        <v>46</v>
      </c>
      <c r="Y270" s="818" t="s">
        <v>46</v>
      </c>
      <c r="Z270" s="818"/>
      <c r="AA270" s="818"/>
      <c r="AB270" s="636" t="s">
        <v>46</v>
      </c>
      <c r="AC270" s="636" t="s">
        <v>46</v>
      </c>
      <c r="AD270" s="636" t="s">
        <v>46</v>
      </c>
      <c r="AE270" s="818" t="s">
        <v>46</v>
      </c>
      <c r="AF270" s="818" t="s">
        <v>46</v>
      </c>
      <c r="AG270" s="1041"/>
      <c r="AH270" s="115"/>
      <c r="AI270" s="116"/>
    </row>
    <row r="271" spans="1:35" ht="18" customHeight="1" x14ac:dyDescent="0.2">
      <c r="A271" s="1042"/>
      <c r="B271" s="1012" t="s">
        <v>364</v>
      </c>
      <c r="C271" s="1488" t="s">
        <v>46</v>
      </c>
      <c r="D271" s="1488" t="s">
        <v>46</v>
      </c>
      <c r="E271" s="818"/>
      <c r="F271" s="818"/>
      <c r="G271" s="636" t="s">
        <v>46</v>
      </c>
      <c r="H271" s="636" t="s">
        <v>46</v>
      </c>
      <c r="I271" s="636" t="s">
        <v>46</v>
      </c>
      <c r="J271" s="818" t="s">
        <v>46</v>
      </c>
      <c r="K271" s="818" t="s">
        <v>46</v>
      </c>
      <c r="L271" s="818"/>
      <c r="M271" s="818"/>
      <c r="N271" s="636" t="s">
        <v>46</v>
      </c>
      <c r="O271" s="636" t="s">
        <v>46</v>
      </c>
      <c r="P271" s="636" t="s">
        <v>46</v>
      </c>
      <c r="Q271" s="818" t="s">
        <v>46</v>
      </c>
      <c r="R271" s="818" t="s">
        <v>46</v>
      </c>
      <c r="S271" s="818"/>
      <c r="T271" s="818"/>
      <c r="U271" s="636" t="s">
        <v>46</v>
      </c>
      <c r="V271" s="636" t="s">
        <v>46</v>
      </c>
      <c r="W271" s="636" t="s">
        <v>46</v>
      </c>
      <c r="X271" s="818" t="s">
        <v>46</v>
      </c>
      <c r="Y271" s="818" t="s">
        <v>46</v>
      </c>
      <c r="Z271" s="818"/>
      <c r="AA271" s="818"/>
      <c r="AB271" s="636" t="s">
        <v>46</v>
      </c>
      <c r="AC271" s="636" t="s">
        <v>46</v>
      </c>
      <c r="AD271" s="636" t="s">
        <v>46</v>
      </c>
      <c r="AE271" s="818" t="s">
        <v>46</v>
      </c>
      <c r="AF271" s="818" t="s">
        <v>46</v>
      </c>
      <c r="AG271" s="1041"/>
      <c r="AH271" s="115"/>
      <c r="AI271" s="116"/>
    </row>
    <row r="272" spans="1:35" ht="18" customHeight="1" x14ac:dyDescent="0.2">
      <c r="A272" s="1042"/>
      <c r="B272" s="1012" t="s">
        <v>365</v>
      </c>
      <c r="C272" s="818" t="s">
        <v>46</v>
      </c>
      <c r="D272" s="818" t="s">
        <v>46</v>
      </c>
      <c r="E272" s="818"/>
      <c r="F272" s="818"/>
      <c r="G272" s="636" t="s">
        <v>46</v>
      </c>
      <c r="H272" s="636" t="s">
        <v>46</v>
      </c>
      <c r="I272" s="636" t="s">
        <v>46</v>
      </c>
      <c r="J272" s="818" t="s">
        <v>46</v>
      </c>
      <c r="K272" s="818" t="s">
        <v>46</v>
      </c>
      <c r="L272" s="818"/>
      <c r="M272" s="818"/>
      <c r="N272" s="636" t="s">
        <v>46</v>
      </c>
      <c r="O272" s="636" t="s">
        <v>46</v>
      </c>
      <c r="P272" s="636" t="s">
        <v>46</v>
      </c>
      <c r="Q272" s="818" t="s">
        <v>46</v>
      </c>
      <c r="R272" s="818" t="s">
        <v>46</v>
      </c>
      <c r="S272" s="818"/>
      <c r="T272" s="818"/>
      <c r="U272" s="636" t="s">
        <v>46</v>
      </c>
      <c r="V272" s="636" t="s">
        <v>46</v>
      </c>
      <c r="W272" s="636" t="s">
        <v>46</v>
      </c>
      <c r="X272" s="818" t="s">
        <v>46</v>
      </c>
      <c r="Y272" s="818" t="s">
        <v>46</v>
      </c>
      <c r="Z272" s="818"/>
      <c r="AA272" s="818"/>
      <c r="AB272" s="636" t="s">
        <v>46</v>
      </c>
      <c r="AC272" s="636" t="s">
        <v>46</v>
      </c>
      <c r="AD272" s="636" t="s">
        <v>46</v>
      </c>
      <c r="AE272" s="818" t="s">
        <v>46</v>
      </c>
      <c r="AF272" s="818" t="s">
        <v>46</v>
      </c>
      <c r="AG272" s="1041"/>
      <c r="AH272" s="115"/>
      <c r="AI272" s="116"/>
    </row>
    <row r="273" spans="1:35" ht="18" customHeight="1" x14ac:dyDescent="0.2">
      <c r="A273" s="1042"/>
      <c r="B273" s="1044" t="s">
        <v>366</v>
      </c>
      <c r="C273" s="818"/>
      <c r="D273" s="818"/>
      <c r="E273" s="818"/>
      <c r="F273" s="818"/>
      <c r="G273" s="636"/>
      <c r="H273" s="636"/>
      <c r="I273" s="636"/>
      <c r="J273" s="818"/>
      <c r="K273" s="818"/>
      <c r="L273" s="818"/>
      <c r="M273" s="818"/>
      <c r="N273" s="636"/>
      <c r="O273" s="636"/>
      <c r="P273" s="636"/>
      <c r="Q273" s="818"/>
      <c r="R273" s="818"/>
      <c r="S273" s="818"/>
      <c r="T273" s="818"/>
      <c r="U273" s="636"/>
      <c r="V273" s="636"/>
      <c r="W273" s="636"/>
      <c r="X273" s="818"/>
      <c r="Y273" s="818"/>
      <c r="Z273" s="818"/>
      <c r="AA273" s="818"/>
      <c r="AB273" s="636"/>
      <c r="AC273" s="636"/>
      <c r="AD273" s="636"/>
      <c r="AE273" s="818"/>
      <c r="AF273" s="818"/>
      <c r="AG273" s="1041"/>
      <c r="AH273" s="115"/>
      <c r="AI273" s="116"/>
    </row>
    <row r="274" spans="1:35" ht="18" customHeight="1" x14ac:dyDescent="0.2">
      <c r="A274" s="1042"/>
      <c r="B274" s="1012" t="s">
        <v>367</v>
      </c>
      <c r="C274" s="1955" t="s">
        <v>46</v>
      </c>
      <c r="D274" s="818" t="s">
        <v>46</v>
      </c>
      <c r="E274" s="818"/>
      <c r="F274" s="818"/>
      <c r="G274" s="636" t="s">
        <v>46</v>
      </c>
      <c r="H274" s="636" t="s">
        <v>46</v>
      </c>
      <c r="I274" s="636" t="s">
        <v>46</v>
      </c>
      <c r="J274" s="818" t="s">
        <v>46</v>
      </c>
      <c r="K274" s="818" t="s">
        <v>46</v>
      </c>
      <c r="L274" s="818"/>
      <c r="M274" s="818"/>
      <c r="N274" s="636" t="s">
        <v>46</v>
      </c>
      <c r="O274" s="968" t="s">
        <v>46</v>
      </c>
      <c r="P274" s="636" t="s">
        <v>46</v>
      </c>
      <c r="Q274" s="818" t="s">
        <v>46</v>
      </c>
      <c r="R274" s="818" t="s">
        <v>46</v>
      </c>
      <c r="S274" s="818"/>
      <c r="T274" s="818"/>
      <c r="U274" s="636" t="s">
        <v>46</v>
      </c>
      <c r="V274" s="636" t="s">
        <v>46</v>
      </c>
      <c r="W274" s="636" t="s">
        <v>46</v>
      </c>
      <c r="X274" s="818" t="s">
        <v>46</v>
      </c>
      <c r="Y274" s="818" t="s">
        <v>46</v>
      </c>
      <c r="Z274" s="818"/>
      <c r="AA274" s="818"/>
      <c r="AB274" s="636" t="s">
        <v>46</v>
      </c>
      <c r="AC274" s="636" t="s">
        <v>46</v>
      </c>
      <c r="AD274" s="636" t="s">
        <v>46</v>
      </c>
      <c r="AE274" s="818" t="s">
        <v>46</v>
      </c>
      <c r="AF274" s="818" t="s">
        <v>46</v>
      </c>
      <c r="AG274" s="1041"/>
      <c r="AH274" s="115"/>
      <c r="AI274" s="116"/>
    </row>
    <row r="275" spans="1:35" ht="18" customHeight="1" x14ac:dyDescent="0.2">
      <c r="A275" s="1042"/>
      <c r="B275" s="1012" t="s">
        <v>368</v>
      </c>
      <c r="C275" s="818" t="s">
        <v>46</v>
      </c>
      <c r="D275" s="818" t="s">
        <v>46</v>
      </c>
      <c r="E275" s="818"/>
      <c r="F275" s="818"/>
      <c r="G275" s="636" t="s">
        <v>46</v>
      </c>
      <c r="H275" s="636" t="s">
        <v>46</v>
      </c>
      <c r="I275" s="636" t="s">
        <v>46</v>
      </c>
      <c r="J275" s="818" t="s">
        <v>46</v>
      </c>
      <c r="K275" s="818" t="s">
        <v>46</v>
      </c>
      <c r="L275" s="818"/>
      <c r="M275" s="818"/>
      <c r="N275" s="805" t="s">
        <v>46</v>
      </c>
      <c r="O275" s="805" t="s">
        <v>46</v>
      </c>
      <c r="P275" s="805" t="s">
        <v>79</v>
      </c>
      <c r="Q275" s="818" t="s">
        <v>46</v>
      </c>
      <c r="R275" s="818" t="s">
        <v>46</v>
      </c>
      <c r="S275" s="818"/>
      <c r="T275" s="818"/>
      <c r="U275" s="636" t="s">
        <v>46</v>
      </c>
      <c r="V275" s="636" t="s">
        <v>46</v>
      </c>
      <c r="W275" s="636" t="s">
        <v>46</v>
      </c>
      <c r="X275" s="818" t="s">
        <v>46</v>
      </c>
      <c r="Y275" s="818" t="s">
        <v>46</v>
      </c>
      <c r="Z275" s="818"/>
      <c r="AA275" s="818"/>
      <c r="AB275" s="636" t="s">
        <v>46</v>
      </c>
      <c r="AC275" s="636" t="s">
        <v>46</v>
      </c>
      <c r="AD275" s="636" t="s">
        <v>46</v>
      </c>
      <c r="AE275" s="818" t="s">
        <v>46</v>
      </c>
      <c r="AF275" s="818" t="s">
        <v>46</v>
      </c>
      <c r="AG275" s="1041"/>
      <c r="AH275" s="115"/>
      <c r="AI275" s="116"/>
    </row>
    <row r="276" spans="1:35" ht="18" customHeight="1" x14ac:dyDescent="0.2">
      <c r="A276" s="1042"/>
      <c r="B276" s="1012"/>
      <c r="C276" s="818" t="s">
        <v>46</v>
      </c>
      <c r="D276" s="818" t="s">
        <v>46</v>
      </c>
      <c r="E276" s="818"/>
      <c r="F276" s="818"/>
      <c r="G276" s="636" t="s">
        <v>46</v>
      </c>
      <c r="H276" s="636" t="s">
        <v>46</v>
      </c>
      <c r="I276" s="636" t="s">
        <v>46</v>
      </c>
      <c r="J276" s="818" t="s">
        <v>46</v>
      </c>
      <c r="K276" s="818" t="s">
        <v>46</v>
      </c>
      <c r="L276" s="818"/>
      <c r="M276" s="818"/>
      <c r="N276" s="636" t="s">
        <v>46</v>
      </c>
      <c r="O276" s="636" t="s">
        <v>46</v>
      </c>
      <c r="P276" s="636" t="s">
        <v>46</v>
      </c>
      <c r="Q276" s="818" t="s">
        <v>46</v>
      </c>
      <c r="R276" s="818" t="s">
        <v>46</v>
      </c>
      <c r="S276" s="818"/>
      <c r="T276" s="818"/>
      <c r="U276" s="636" t="s">
        <v>46</v>
      </c>
      <c r="V276" s="636" t="s">
        <v>46</v>
      </c>
      <c r="W276" s="636" t="s">
        <v>46</v>
      </c>
      <c r="X276" s="818" t="s">
        <v>46</v>
      </c>
      <c r="Y276" s="818" t="s">
        <v>46</v>
      </c>
      <c r="Z276" s="818"/>
      <c r="AA276" s="818"/>
      <c r="AB276" s="636" t="s">
        <v>46</v>
      </c>
      <c r="AC276" s="636" t="s">
        <v>46</v>
      </c>
      <c r="AD276" s="636" t="s">
        <v>46</v>
      </c>
      <c r="AE276" s="818" t="s">
        <v>46</v>
      </c>
      <c r="AF276" s="818" t="s">
        <v>46</v>
      </c>
      <c r="AG276" s="1041"/>
      <c r="AH276" s="112"/>
      <c r="AI276" s="67"/>
    </row>
    <row r="277" spans="1:35" ht="18" customHeight="1" x14ac:dyDescent="0.2">
      <c r="A277" s="1042"/>
      <c r="B277" s="1012" t="s">
        <v>369</v>
      </c>
      <c r="C277" s="1488" t="s">
        <v>46</v>
      </c>
      <c r="D277" s="1488" t="s">
        <v>46</v>
      </c>
      <c r="E277" s="818"/>
      <c r="F277" s="818"/>
      <c r="G277" s="636" t="s">
        <v>46</v>
      </c>
      <c r="H277" s="636" t="s">
        <v>46</v>
      </c>
      <c r="I277" s="636" t="s">
        <v>46</v>
      </c>
      <c r="J277" s="818" t="s">
        <v>46</v>
      </c>
      <c r="K277" s="818" t="s">
        <v>46</v>
      </c>
      <c r="L277" s="818"/>
      <c r="M277" s="818"/>
      <c r="N277" s="636" t="s">
        <v>46</v>
      </c>
      <c r="O277" s="636" t="s">
        <v>46</v>
      </c>
      <c r="P277" s="636" t="s">
        <v>46</v>
      </c>
      <c r="Q277" s="818" t="s">
        <v>46</v>
      </c>
      <c r="R277" s="818" t="s">
        <v>46</v>
      </c>
      <c r="S277" s="818"/>
      <c r="T277" s="818"/>
      <c r="U277" s="636" t="s">
        <v>46</v>
      </c>
      <c r="V277" s="805" t="s">
        <v>46</v>
      </c>
      <c r="W277" s="805" t="s">
        <v>46</v>
      </c>
      <c r="X277" s="805" t="s">
        <v>46</v>
      </c>
      <c r="Y277" s="805" t="s">
        <v>46</v>
      </c>
      <c r="Z277" s="805"/>
      <c r="AA277" s="805"/>
      <c r="AB277" s="805" t="s">
        <v>79</v>
      </c>
      <c r="AC277" s="636" t="s">
        <v>46</v>
      </c>
      <c r="AD277" s="805" t="s">
        <v>46</v>
      </c>
      <c r="AE277" s="805" t="s">
        <v>79</v>
      </c>
      <c r="AF277" s="638" t="s">
        <v>46</v>
      </c>
      <c r="AG277" s="1041"/>
      <c r="AH277" s="112"/>
      <c r="AI277" s="67"/>
    </row>
    <row r="278" spans="1:35" ht="18" customHeight="1" x14ac:dyDescent="0.2">
      <c r="A278" s="638"/>
      <c r="B278" s="1956"/>
      <c r="C278" s="636"/>
      <c r="D278" s="636"/>
      <c r="E278" s="636"/>
      <c r="F278" s="636"/>
      <c r="G278" s="636"/>
      <c r="H278" s="636"/>
      <c r="I278" s="636"/>
      <c r="J278" s="636"/>
      <c r="K278" s="636"/>
      <c r="L278" s="636"/>
      <c r="M278" s="636"/>
      <c r="N278" s="636"/>
      <c r="O278" s="636"/>
      <c r="P278" s="636"/>
      <c r="Q278" s="636"/>
      <c r="R278" s="636"/>
      <c r="S278" s="636"/>
      <c r="T278" s="636"/>
      <c r="U278" s="636"/>
      <c r="V278" s="636"/>
      <c r="W278" s="636"/>
      <c r="X278" s="636"/>
      <c r="Y278" s="636"/>
      <c r="Z278" s="636"/>
      <c r="AA278" s="636"/>
      <c r="AB278" s="636"/>
      <c r="AC278" s="636"/>
      <c r="AD278" s="636"/>
      <c r="AE278" s="636"/>
      <c r="AF278" s="636"/>
      <c r="AG278" s="1041"/>
      <c r="AH278" s="112"/>
      <c r="AI278" s="67"/>
    </row>
    <row r="279" spans="1:35" ht="18" customHeight="1" x14ac:dyDescent="0.2">
      <c r="A279" s="638"/>
      <c r="B279" s="1012"/>
      <c r="C279" s="636"/>
      <c r="D279" s="636"/>
      <c r="E279" s="636"/>
      <c r="F279" s="636"/>
      <c r="G279" s="636"/>
      <c r="H279" s="636"/>
      <c r="I279" s="636"/>
      <c r="J279" s="636"/>
      <c r="K279" s="636"/>
      <c r="L279" s="636"/>
      <c r="M279" s="636"/>
      <c r="N279" s="799"/>
      <c r="O279" s="799"/>
      <c r="P279" s="799"/>
      <c r="Q279" s="800"/>
      <c r="R279" s="799"/>
      <c r="S279" s="636"/>
      <c r="T279" s="636"/>
      <c r="U279" s="799"/>
      <c r="V279" s="799"/>
      <c r="W279" s="799"/>
      <c r="X279" s="636"/>
      <c r="Y279" s="799"/>
      <c r="Z279" s="636"/>
      <c r="AA279" s="636"/>
      <c r="AB279" s="636"/>
      <c r="AC279" s="636"/>
      <c r="AD279" s="636"/>
      <c r="AE279" s="636"/>
      <c r="AF279" s="799"/>
      <c r="AG279" s="1053"/>
      <c r="AH279" s="112"/>
      <c r="AI279" s="67"/>
    </row>
    <row r="280" spans="1:35" ht="18" customHeight="1" x14ac:dyDescent="0.2">
      <c r="A280" s="638"/>
      <c r="B280" s="638"/>
      <c r="C280" s="636"/>
      <c r="D280" s="636"/>
      <c r="E280" s="636"/>
      <c r="F280" s="636"/>
      <c r="G280" s="636"/>
      <c r="H280" s="636"/>
      <c r="I280" s="636"/>
      <c r="J280" s="636"/>
      <c r="K280" s="636"/>
      <c r="L280" s="636"/>
      <c r="M280" s="636"/>
      <c r="N280" s="636"/>
      <c r="O280" s="636"/>
      <c r="P280" s="636"/>
      <c r="Q280" s="636"/>
      <c r="R280" s="636"/>
      <c r="S280" s="636"/>
      <c r="T280" s="636"/>
      <c r="U280" s="636"/>
      <c r="V280" s="636"/>
      <c r="W280" s="636"/>
      <c r="X280" s="636"/>
      <c r="Y280" s="636"/>
      <c r="Z280" s="636"/>
      <c r="AA280" s="636"/>
      <c r="AB280" s="636"/>
      <c r="AC280" s="636"/>
      <c r="AD280" s="636"/>
      <c r="AE280" s="636"/>
      <c r="AF280" s="636"/>
      <c r="AG280" s="1041"/>
      <c r="AH280" s="112"/>
      <c r="AI280" s="67"/>
    </row>
    <row r="281" spans="1:35" ht="18" customHeight="1" x14ac:dyDescent="0.2">
      <c r="A281" s="638"/>
      <c r="B281" s="638"/>
      <c r="C281" s="636"/>
      <c r="D281" s="636"/>
      <c r="E281" s="636"/>
      <c r="F281" s="636"/>
      <c r="G281" s="636"/>
      <c r="H281" s="1054"/>
      <c r="I281" s="636"/>
      <c r="J281" s="636"/>
      <c r="K281" s="636"/>
      <c r="L281" s="636"/>
      <c r="M281" s="636"/>
      <c r="N281" s="636"/>
      <c r="O281" s="636"/>
      <c r="P281" s="636"/>
      <c r="Q281" s="636"/>
      <c r="R281" s="636"/>
      <c r="S281" s="636"/>
      <c r="T281" s="636"/>
      <c r="U281" s="636"/>
      <c r="V281" s="636"/>
      <c r="W281" s="636"/>
      <c r="X281" s="636"/>
      <c r="Y281" s="636"/>
      <c r="Z281" s="636"/>
      <c r="AA281" s="636"/>
      <c r="AB281" s="636"/>
      <c r="AC281" s="636"/>
      <c r="AD281" s="636"/>
      <c r="AE281" s="636"/>
      <c r="AF281" s="636"/>
      <c r="AG281" s="1055"/>
      <c r="AH281" s="112"/>
      <c r="AI281" s="67"/>
    </row>
    <row r="282" spans="1:35" ht="18" customHeight="1" x14ac:dyDescent="0.2">
      <c r="A282" s="1042"/>
      <c r="B282" s="1056"/>
      <c r="C282" s="636"/>
      <c r="D282" s="636"/>
      <c r="E282" s="636"/>
      <c r="F282" s="636"/>
      <c r="G282" s="636"/>
      <c r="H282" s="636"/>
      <c r="I282" s="636"/>
      <c r="J282" s="636"/>
      <c r="K282" s="636"/>
      <c r="L282" s="636"/>
      <c r="M282" s="636"/>
      <c r="N282" s="636"/>
      <c r="O282" s="636"/>
      <c r="P282" s="636"/>
      <c r="Q282" s="636"/>
      <c r="R282" s="636"/>
      <c r="S282" s="636"/>
      <c r="T282" s="636"/>
      <c r="U282" s="636"/>
      <c r="V282" s="636"/>
      <c r="W282" s="636"/>
      <c r="X282" s="636"/>
      <c r="Y282" s="636"/>
      <c r="Z282" s="636"/>
      <c r="AA282" s="636"/>
      <c r="AB282" s="636"/>
      <c r="AC282" s="636"/>
      <c r="AD282" s="636"/>
      <c r="AE282" s="636"/>
      <c r="AF282" s="636"/>
      <c r="AG282" s="1055"/>
      <c r="AH282" s="112"/>
      <c r="AI282" s="67"/>
    </row>
    <row r="283" spans="1:35" ht="18" customHeight="1" x14ac:dyDescent="0.2">
      <c r="A283" s="1042"/>
      <c r="B283" s="1057"/>
      <c r="C283" s="636"/>
      <c r="D283" s="636"/>
      <c r="E283" s="636"/>
      <c r="F283" s="636"/>
      <c r="G283" s="636"/>
      <c r="H283" s="636"/>
      <c r="I283" s="636"/>
      <c r="J283" s="636"/>
      <c r="K283" s="636"/>
      <c r="L283" s="636"/>
      <c r="M283" s="636"/>
      <c r="N283" s="636"/>
      <c r="O283" s="636"/>
      <c r="P283" s="636"/>
      <c r="Q283" s="636"/>
      <c r="R283" s="636"/>
      <c r="S283" s="636"/>
      <c r="T283" s="636"/>
      <c r="U283" s="636"/>
      <c r="V283" s="636"/>
      <c r="W283" s="636"/>
      <c r="X283" s="636"/>
      <c r="Y283" s="636"/>
      <c r="Z283" s="636"/>
      <c r="AA283" s="636"/>
      <c r="AB283" s="636"/>
      <c r="AC283" s="636"/>
      <c r="AD283" s="636"/>
      <c r="AE283" s="636"/>
      <c r="AF283" s="636"/>
      <c r="AG283" s="1055"/>
      <c r="AH283" s="112"/>
      <c r="AI283" s="67"/>
    </row>
    <row r="284" spans="1:35" ht="18" customHeight="1" x14ac:dyDescent="0.2">
      <c r="A284" s="68"/>
      <c r="B284" s="74"/>
      <c r="C284" s="66"/>
      <c r="D284" s="66"/>
      <c r="E284" s="66"/>
      <c r="F284" s="66"/>
      <c r="G284" s="66"/>
      <c r="H284" s="66"/>
      <c r="I284" s="66"/>
      <c r="J284" s="66"/>
      <c r="L284" s="66"/>
      <c r="M284" s="66"/>
      <c r="N284" s="66"/>
      <c r="O284" s="66"/>
      <c r="P284" s="48"/>
      <c r="Q284" s="48"/>
      <c r="R284" s="48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7"/>
      <c r="AI284" s="67"/>
    </row>
    <row r="285" spans="1:35" ht="18" customHeight="1" x14ac:dyDescent="0.2"/>
    <row r="286" spans="1:35" ht="18" customHeight="1" x14ac:dyDescent="0.2"/>
    <row r="287" spans="1:35" ht="18" customHeight="1" x14ac:dyDescent="0.2"/>
    <row r="288" spans="1:35" ht="18" customHeight="1" x14ac:dyDescent="0.2">
      <c r="A288" s="103" t="s">
        <v>370</v>
      </c>
    </row>
    <row r="289" spans="1:35" ht="18" customHeight="1" x14ac:dyDescent="0.2">
      <c r="B289" s="1723" t="s">
        <v>340</v>
      </c>
      <c r="C289" s="1865"/>
      <c r="D289" s="1891" t="s">
        <v>17</v>
      </c>
      <c r="E289" s="1769"/>
      <c r="F289" s="1858"/>
      <c r="G289" s="1865"/>
      <c r="H289" s="1891" t="s">
        <v>18</v>
      </c>
      <c r="I289" s="1769"/>
      <c r="J289" s="1858"/>
      <c r="K289" s="1865"/>
      <c r="L289" s="1891" t="s">
        <v>19</v>
      </c>
      <c r="M289" s="1769"/>
      <c r="N289" s="1858"/>
      <c r="O289" s="1865"/>
      <c r="P289" s="1891" t="s">
        <v>20</v>
      </c>
      <c r="Q289" s="1769"/>
      <c r="R289" s="1858"/>
      <c r="S289" s="1865"/>
      <c r="T289" s="1891" t="s">
        <v>21</v>
      </c>
      <c r="U289" s="1769"/>
      <c r="V289" s="1858"/>
      <c r="W289" s="1865"/>
      <c r="X289" s="1891" t="s">
        <v>22</v>
      </c>
      <c r="Y289" s="1769"/>
      <c r="Z289" s="1858"/>
      <c r="AA289" s="1865"/>
      <c r="AB289" s="1891" t="s">
        <v>23</v>
      </c>
      <c r="AC289" s="1769"/>
      <c r="AD289" s="1769"/>
      <c r="AE289" s="1894" t="s">
        <v>126</v>
      </c>
      <c r="AF289" s="1769"/>
      <c r="AG289" s="1769"/>
      <c r="AH289" s="1769"/>
      <c r="AI289" s="1770"/>
    </row>
    <row r="290" spans="1:35" ht="18" customHeight="1" x14ac:dyDescent="0.2">
      <c r="B290" s="452"/>
      <c r="C290" s="1059" t="s">
        <v>371</v>
      </c>
      <c r="D290" s="1030"/>
      <c r="E290" s="1060"/>
      <c r="F290" s="1061"/>
      <c r="G290" s="1059" t="s">
        <v>371</v>
      </c>
      <c r="H290" s="1030"/>
      <c r="I290" s="1060"/>
      <c r="J290" s="1061"/>
      <c r="K290" s="1059" t="s">
        <v>371</v>
      </c>
      <c r="L290" s="1030"/>
      <c r="M290" s="1060"/>
      <c r="N290" s="1061"/>
      <c r="O290" s="1059" t="s">
        <v>371</v>
      </c>
      <c r="P290" s="1062"/>
      <c r="Q290" s="1060"/>
      <c r="R290" s="1061"/>
      <c r="S290" s="1063" t="s">
        <v>372</v>
      </c>
      <c r="T290" s="1030"/>
      <c r="U290" s="1060"/>
      <c r="V290" s="1061"/>
      <c r="W290" s="1032"/>
      <c r="X290" s="1030"/>
      <c r="Y290" s="875"/>
      <c r="Z290" s="1031"/>
      <c r="AA290" s="1032"/>
      <c r="AB290" s="1030"/>
      <c r="AC290" s="875"/>
      <c r="AD290" s="875"/>
      <c r="AE290" s="1033"/>
      <c r="AF290" s="875"/>
      <c r="AG290" s="467"/>
      <c r="AH290" s="467"/>
      <c r="AI290" s="1026"/>
    </row>
    <row r="291" spans="1:35" ht="18" customHeight="1" x14ac:dyDescent="0.2">
      <c r="A291" s="70"/>
      <c r="B291" s="1957"/>
      <c r="C291" s="1914" t="s">
        <v>258</v>
      </c>
      <c r="D291" s="1958"/>
      <c r="E291" s="1060"/>
      <c r="F291" s="1061"/>
      <c r="G291" s="1914" t="s">
        <v>258</v>
      </c>
      <c r="H291" s="1030"/>
      <c r="I291" s="1060"/>
      <c r="J291" s="1061"/>
      <c r="K291" s="1914" t="s">
        <v>258</v>
      </c>
      <c r="L291" s="1030"/>
      <c r="M291" s="1060"/>
      <c r="N291" s="1061"/>
      <c r="O291" s="1914" t="s">
        <v>258</v>
      </c>
      <c r="P291" s="1030"/>
      <c r="Q291" s="1060"/>
      <c r="R291" s="1061"/>
      <c r="S291" s="1059" t="s">
        <v>373</v>
      </c>
      <c r="T291" s="1030"/>
      <c r="U291" s="1060"/>
      <c r="V291" s="1061"/>
      <c r="W291" s="1032"/>
      <c r="X291" s="1030"/>
      <c r="Y291" s="875"/>
      <c r="Z291" s="1031"/>
      <c r="AA291" s="1032"/>
      <c r="AB291" s="1030"/>
      <c r="AC291" s="875"/>
      <c r="AD291" s="875"/>
      <c r="AE291" s="1033"/>
      <c r="AF291" s="875"/>
      <c r="AG291" s="467"/>
      <c r="AH291" s="467"/>
      <c r="AI291" s="1026"/>
    </row>
    <row r="292" spans="1:35" ht="18" customHeight="1" x14ac:dyDescent="0.2">
      <c r="B292" s="1957"/>
      <c r="C292" s="1914" t="s">
        <v>261</v>
      </c>
      <c r="D292" s="1958"/>
      <c r="E292" s="1060"/>
      <c r="F292" s="1061"/>
      <c r="G292" s="1914" t="s">
        <v>261</v>
      </c>
      <c r="H292" s="1030"/>
      <c r="I292" s="1060"/>
      <c r="J292" s="1061"/>
      <c r="K292" s="1914" t="s">
        <v>261</v>
      </c>
      <c r="L292" s="1030"/>
      <c r="M292" s="1060"/>
      <c r="N292" s="1061"/>
      <c r="O292" s="1914" t="s">
        <v>261</v>
      </c>
      <c r="P292" s="1030"/>
      <c r="Q292" s="1060"/>
      <c r="R292" s="1061"/>
      <c r="S292" s="1914" t="s">
        <v>256</v>
      </c>
      <c r="T292" s="1030"/>
      <c r="U292" s="1060"/>
      <c r="V292" s="1061"/>
      <c r="W292" s="1032"/>
      <c r="X292" s="1030"/>
      <c r="Y292" s="875"/>
      <c r="Z292" s="1031"/>
      <c r="AA292" s="1032"/>
      <c r="AB292" s="1030"/>
      <c r="AC292" s="875"/>
      <c r="AD292" s="875"/>
      <c r="AE292" s="1033"/>
      <c r="AF292" s="875"/>
      <c r="AG292" s="467"/>
      <c r="AH292" s="467"/>
      <c r="AI292" s="1026"/>
    </row>
    <row r="293" spans="1:35" ht="18" customHeight="1" x14ac:dyDescent="0.2">
      <c r="B293" s="1957"/>
      <c r="C293" s="1301"/>
      <c r="D293" s="1302"/>
      <c r="E293" s="875"/>
      <c r="F293" s="1031"/>
      <c r="G293" s="1301"/>
      <c r="H293" s="1302"/>
      <c r="I293" s="875"/>
      <c r="J293" s="1031"/>
      <c r="K293" s="1301"/>
      <c r="L293" s="1302"/>
      <c r="M293" s="875"/>
      <c r="N293" s="1031"/>
      <c r="O293" s="1301"/>
      <c r="P293" s="1302"/>
      <c r="Q293" s="875"/>
      <c r="R293" s="1031"/>
      <c r="S293" s="1301"/>
      <c r="T293" s="1302"/>
      <c r="U293" s="875"/>
      <c r="V293" s="1031"/>
      <c r="W293" s="1032"/>
      <c r="X293" s="1030"/>
      <c r="Y293" s="875"/>
      <c r="Z293" s="1031"/>
      <c r="AA293" s="1032"/>
      <c r="AB293" s="1030"/>
      <c r="AC293" s="875"/>
      <c r="AD293" s="875"/>
      <c r="AE293" s="1033"/>
      <c r="AF293" s="875"/>
      <c r="AG293" s="467"/>
      <c r="AH293" s="467"/>
      <c r="AI293" s="1026"/>
    </row>
    <row r="294" spans="1:35" ht="18" customHeight="1" x14ac:dyDescent="0.2">
      <c r="B294" s="1957"/>
      <c r="C294" s="1445"/>
      <c r="D294" s="1302"/>
      <c r="E294" s="875"/>
      <c r="F294" s="1031"/>
      <c r="G294" s="1030"/>
      <c r="H294" s="1030"/>
      <c r="I294" s="875"/>
      <c r="J294" s="1031"/>
      <c r="K294" s="1030"/>
      <c r="L294" s="1030"/>
      <c r="M294" s="875"/>
      <c r="N294" s="1031"/>
      <c r="O294" s="1030"/>
      <c r="P294" s="1030"/>
      <c r="Q294" s="875"/>
      <c r="R294" s="1031"/>
      <c r="S294" s="1030"/>
      <c r="T294" s="1030"/>
      <c r="U294" s="875"/>
      <c r="V294" s="1031"/>
      <c r="W294" s="1032"/>
      <c r="X294" s="1030"/>
      <c r="Y294" s="875"/>
      <c r="Z294" s="1031"/>
      <c r="AA294" s="1032"/>
      <c r="AB294" s="1030"/>
      <c r="AC294" s="875"/>
      <c r="AD294" s="875"/>
      <c r="AE294" s="1033"/>
      <c r="AF294" s="875"/>
      <c r="AG294" s="467"/>
      <c r="AH294" s="467"/>
      <c r="AI294" s="1026"/>
    </row>
    <row r="295" spans="1:35" ht="18" customHeight="1" x14ac:dyDescent="0.2">
      <c r="B295" s="1957" t="s">
        <v>235</v>
      </c>
      <c r="C295" s="1445" t="s">
        <v>10</v>
      </c>
      <c r="D295" s="1958"/>
      <c r="E295" s="1060"/>
      <c r="F295" s="1061"/>
      <c r="G295" s="1445" t="s">
        <v>10</v>
      </c>
      <c r="H295" s="1958"/>
      <c r="I295" s="1060"/>
      <c r="J295" s="1061"/>
      <c r="K295" s="1445" t="s">
        <v>10</v>
      </c>
      <c r="L295" s="1958"/>
      <c r="M295" s="1060"/>
      <c r="N295" s="1061"/>
      <c r="O295" s="1445" t="s">
        <v>10</v>
      </c>
      <c r="P295" s="1958"/>
      <c r="Q295" s="1060"/>
      <c r="R295" s="1061"/>
      <c r="S295" s="1030" t="s">
        <v>10</v>
      </c>
      <c r="T295" s="1030"/>
      <c r="U295" s="1060"/>
      <c r="V295" s="1061"/>
      <c r="W295" s="1032"/>
      <c r="X295" s="1030"/>
      <c r="Y295" s="875"/>
      <c r="Z295" s="1031"/>
      <c r="AA295" s="1032"/>
      <c r="AB295" s="1030"/>
      <c r="AC295" s="875"/>
      <c r="AD295" s="875"/>
      <c r="AE295" s="1033"/>
      <c r="AF295" s="875"/>
      <c r="AG295" s="467"/>
      <c r="AH295" s="467"/>
      <c r="AI295" s="1026"/>
    </row>
    <row r="296" spans="1:35" ht="18" customHeight="1" x14ac:dyDescent="0.2">
      <c r="B296" s="1957" t="s">
        <v>236</v>
      </c>
      <c r="C296" s="1445" t="s">
        <v>10</v>
      </c>
      <c r="D296" s="1958"/>
      <c r="E296" s="1060"/>
      <c r="F296" s="1061"/>
      <c r="G296" s="1445" t="s">
        <v>10</v>
      </c>
      <c r="H296" s="1958"/>
      <c r="I296" s="1060"/>
      <c r="J296" s="1061"/>
      <c r="K296" s="1445" t="s">
        <v>10</v>
      </c>
      <c r="L296" s="1958"/>
      <c r="M296" s="1060"/>
      <c r="N296" s="1061"/>
      <c r="O296" s="1445" t="s">
        <v>10</v>
      </c>
      <c r="P296" s="1958"/>
      <c r="Q296" s="1060"/>
      <c r="R296" s="1061"/>
      <c r="S296" s="1030" t="s">
        <v>10</v>
      </c>
      <c r="T296" s="1030"/>
      <c r="U296" s="1060"/>
      <c r="V296" s="1061"/>
      <c r="W296" s="1032"/>
      <c r="X296" s="1030"/>
      <c r="Y296" s="875"/>
      <c r="Z296" s="1031"/>
      <c r="AA296" s="1032"/>
      <c r="AB296" s="1030"/>
      <c r="AC296" s="875"/>
      <c r="AD296" s="875"/>
      <c r="AE296" s="1033"/>
      <c r="AF296" s="875"/>
      <c r="AG296" s="467"/>
      <c r="AH296" s="467"/>
      <c r="AI296" s="1026"/>
    </row>
    <row r="297" spans="1:35" ht="18" customHeight="1" x14ac:dyDescent="0.2">
      <c r="B297" s="1959" t="s">
        <v>243</v>
      </c>
      <c r="C297" s="1458" t="s">
        <v>10</v>
      </c>
      <c r="D297" s="1960"/>
      <c r="E297" s="205"/>
      <c r="F297" s="206"/>
      <c r="G297" s="1458" t="s">
        <v>10</v>
      </c>
      <c r="H297" s="1960"/>
      <c r="I297" s="205"/>
      <c r="J297" s="206"/>
      <c r="K297" s="1458" t="s">
        <v>10</v>
      </c>
      <c r="L297" s="1960"/>
      <c r="M297" s="205"/>
      <c r="N297" s="206"/>
      <c r="O297" s="1458" t="s">
        <v>10</v>
      </c>
      <c r="P297" s="1960"/>
      <c r="Q297" s="205"/>
      <c r="R297" s="206"/>
      <c r="S297" s="149" t="s">
        <v>10</v>
      </c>
      <c r="T297" s="149"/>
      <c r="U297" s="205"/>
      <c r="V297" s="206"/>
      <c r="W297" s="200"/>
      <c r="X297" s="149"/>
      <c r="Y297" s="201"/>
      <c r="Z297" s="202"/>
      <c r="AA297" s="203"/>
      <c r="AB297" s="149"/>
      <c r="AC297" s="201"/>
      <c r="AD297" s="201"/>
      <c r="AE297" s="204"/>
      <c r="AF297" s="201"/>
      <c r="AG297" s="199"/>
      <c r="AH297" s="199"/>
      <c r="AI297" s="146"/>
    </row>
    <row r="298" spans="1:35" ht="18" customHeight="1" x14ac:dyDescent="0.2">
      <c r="B298" s="37"/>
      <c r="C298" s="42"/>
      <c r="D298" s="5"/>
      <c r="G298" s="42"/>
      <c r="H298" s="5"/>
      <c r="K298" s="42"/>
      <c r="L298" s="5"/>
      <c r="O298" s="42"/>
      <c r="P298" s="5"/>
      <c r="S298" s="42"/>
      <c r="T298" s="42"/>
      <c r="X298" s="42"/>
      <c r="AB298" s="42"/>
      <c r="AE298" s="42"/>
    </row>
    <row r="299" spans="1:35" ht="18" customHeight="1" x14ac:dyDescent="0.2">
      <c r="A299" s="1068" t="s">
        <v>374</v>
      </c>
    </row>
    <row r="300" spans="1:35" ht="18" customHeight="1" x14ac:dyDescent="0.2">
      <c r="A300" s="1434"/>
      <c r="B300" s="1256" t="s">
        <v>44</v>
      </c>
      <c r="C300" s="1731">
        <v>1</v>
      </c>
      <c r="D300" s="1731">
        <v>2</v>
      </c>
      <c r="E300" s="1732">
        <v>3</v>
      </c>
      <c r="F300" s="1732">
        <v>4</v>
      </c>
      <c r="G300" s="1731">
        <v>5</v>
      </c>
      <c r="H300" s="1731">
        <v>6</v>
      </c>
      <c r="I300" s="1731">
        <v>7</v>
      </c>
      <c r="J300" s="1731">
        <v>8</v>
      </c>
      <c r="K300" s="1731">
        <v>9</v>
      </c>
      <c r="L300" s="1732">
        <v>10</v>
      </c>
      <c r="M300" s="1732">
        <v>11</v>
      </c>
      <c r="N300" s="1731">
        <v>12</v>
      </c>
      <c r="O300" s="1731">
        <v>13</v>
      </c>
      <c r="P300" s="1731">
        <v>14</v>
      </c>
      <c r="Q300" s="1731">
        <v>15</v>
      </c>
      <c r="R300" s="1731">
        <v>16</v>
      </c>
      <c r="S300" s="1732">
        <v>17</v>
      </c>
      <c r="T300" s="1732">
        <v>18</v>
      </c>
      <c r="U300" s="1731">
        <v>19</v>
      </c>
      <c r="V300" s="1731">
        <v>20</v>
      </c>
      <c r="W300" s="1731">
        <v>21</v>
      </c>
      <c r="X300" s="1731">
        <v>22</v>
      </c>
      <c r="Y300" s="1731">
        <v>23</v>
      </c>
      <c r="Z300" s="1732">
        <v>24</v>
      </c>
      <c r="AA300" s="1732">
        <v>25</v>
      </c>
      <c r="AB300" s="1731">
        <v>26</v>
      </c>
      <c r="AC300" s="1731">
        <v>27</v>
      </c>
      <c r="AD300" s="1731">
        <v>28</v>
      </c>
      <c r="AE300" s="1731">
        <v>29</v>
      </c>
      <c r="AF300" s="1731">
        <v>30</v>
      </c>
      <c r="AG300" s="1732">
        <v>31</v>
      </c>
      <c r="AH300" s="110"/>
      <c r="AI300" s="111"/>
    </row>
    <row r="301" spans="1:35" ht="18" customHeight="1" x14ac:dyDescent="0.2">
      <c r="A301" s="1961">
        <v>3702</v>
      </c>
      <c r="B301" s="1867" t="s">
        <v>375</v>
      </c>
      <c r="C301" s="818" t="s">
        <v>46</v>
      </c>
      <c r="D301" s="818" t="s">
        <v>46</v>
      </c>
      <c r="E301" s="818"/>
      <c r="F301" s="818"/>
      <c r="G301" s="636" t="s">
        <v>46</v>
      </c>
      <c r="H301" s="636" t="s">
        <v>46</v>
      </c>
      <c r="I301" s="636" t="s">
        <v>46</v>
      </c>
      <c r="J301" s="818" t="s">
        <v>46</v>
      </c>
      <c r="K301" s="818" t="s">
        <v>46</v>
      </c>
      <c r="L301" s="818"/>
      <c r="M301" s="818"/>
      <c r="N301" s="636" t="s">
        <v>46</v>
      </c>
      <c r="O301" s="636" t="s">
        <v>46</v>
      </c>
      <c r="P301" s="636" t="s">
        <v>46</v>
      </c>
      <c r="Q301" s="818" t="s">
        <v>46</v>
      </c>
      <c r="R301" s="818" t="s">
        <v>46</v>
      </c>
      <c r="S301" s="818"/>
      <c r="T301" s="818"/>
      <c r="U301" s="1488" t="s">
        <v>46</v>
      </c>
      <c r="V301" s="1488" t="s">
        <v>46</v>
      </c>
      <c r="W301" s="1488" t="s">
        <v>46</v>
      </c>
      <c r="X301" s="1488" t="s">
        <v>46</v>
      </c>
      <c r="Y301" s="1488" t="s">
        <v>46</v>
      </c>
      <c r="Z301" s="1488"/>
      <c r="AA301" s="1488"/>
      <c r="AB301" s="1488" t="s">
        <v>46</v>
      </c>
      <c r="AC301" s="1488" t="s">
        <v>46</v>
      </c>
      <c r="AD301" s="1488" t="s">
        <v>46</v>
      </c>
      <c r="AE301" s="1488" t="s">
        <v>46</v>
      </c>
      <c r="AF301" s="1488" t="s">
        <v>46</v>
      </c>
      <c r="AG301" s="1787"/>
      <c r="AH301" s="115"/>
      <c r="AI301" s="116"/>
    </row>
    <row r="302" spans="1:35" ht="18" customHeight="1" x14ac:dyDescent="0.2">
      <c r="A302" s="1172"/>
      <c r="B302" s="1134"/>
      <c r="C302" s="818" t="s">
        <v>46</v>
      </c>
      <c r="D302" s="818" t="s">
        <v>46</v>
      </c>
      <c r="E302" s="818"/>
      <c r="F302" s="818"/>
      <c r="G302" s="636" t="s">
        <v>46</v>
      </c>
      <c r="H302" s="636" t="s">
        <v>46</v>
      </c>
      <c r="I302" s="636" t="s">
        <v>46</v>
      </c>
      <c r="J302" s="818" t="s">
        <v>46</v>
      </c>
      <c r="K302" s="818" t="s">
        <v>46</v>
      </c>
      <c r="L302" s="818"/>
      <c r="M302" s="818"/>
      <c r="N302" s="636" t="s">
        <v>46</v>
      </c>
      <c r="O302" s="636" t="s">
        <v>46</v>
      </c>
      <c r="P302" s="636" t="s">
        <v>46</v>
      </c>
      <c r="Q302" s="818" t="s">
        <v>46</v>
      </c>
      <c r="R302" s="818" t="s">
        <v>46</v>
      </c>
      <c r="S302" s="818"/>
      <c r="T302" s="818"/>
      <c r="U302" s="636" t="s">
        <v>46</v>
      </c>
      <c r="V302" s="636" t="s">
        <v>46</v>
      </c>
      <c r="W302" s="636" t="s">
        <v>46</v>
      </c>
      <c r="X302" s="818" t="s">
        <v>46</v>
      </c>
      <c r="Y302" s="818" t="s">
        <v>46</v>
      </c>
      <c r="Z302" s="818"/>
      <c r="AA302" s="818"/>
      <c r="AB302" s="636" t="s">
        <v>46</v>
      </c>
      <c r="AC302" s="636" t="s">
        <v>46</v>
      </c>
      <c r="AD302" s="636" t="s">
        <v>46</v>
      </c>
      <c r="AE302" s="818" t="s">
        <v>46</v>
      </c>
      <c r="AF302" s="818" t="s">
        <v>46</v>
      </c>
      <c r="AG302" s="1177"/>
      <c r="AH302" s="115"/>
      <c r="AI302" s="116"/>
    </row>
    <row r="303" spans="1:35" ht="18" customHeight="1" x14ac:dyDescent="0.2">
      <c r="A303" s="1962"/>
      <c r="B303" s="1416"/>
      <c r="C303" s="818" t="s">
        <v>46</v>
      </c>
      <c r="D303" s="818" t="s">
        <v>46</v>
      </c>
      <c r="E303" s="818"/>
      <c r="F303" s="818"/>
      <c r="G303" s="636" t="s">
        <v>46</v>
      </c>
      <c r="H303" s="636" t="s">
        <v>46</v>
      </c>
      <c r="I303" s="636" t="s">
        <v>46</v>
      </c>
      <c r="J303" s="818" t="s">
        <v>46</v>
      </c>
      <c r="K303" s="818" t="s">
        <v>46</v>
      </c>
      <c r="L303" s="818"/>
      <c r="M303" s="818"/>
      <c r="N303" s="636" t="s">
        <v>46</v>
      </c>
      <c r="O303" s="636" t="s">
        <v>46</v>
      </c>
      <c r="P303" s="636" t="s">
        <v>46</v>
      </c>
      <c r="Q303" s="818" t="s">
        <v>46</v>
      </c>
      <c r="R303" s="818" t="s">
        <v>46</v>
      </c>
      <c r="S303" s="818"/>
      <c r="T303" s="818"/>
      <c r="U303" s="636" t="s">
        <v>46</v>
      </c>
      <c r="V303" s="636" t="s">
        <v>46</v>
      </c>
      <c r="W303" s="636" t="s">
        <v>46</v>
      </c>
      <c r="X303" s="818" t="s">
        <v>46</v>
      </c>
      <c r="Y303" s="818" t="s">
        <v>46</v>
      </c>
      <c r="Z303" s="818"/>
      <c r="AA303" s="818"/>
      <c r="AB303" s="636" t="s">
        <v>46</v>
      </c>
      <c r="AC303" s="636" t="s">
        <v>46</v>
      </c>
      <c r="AD303" s="636" t="s">
        <v>46</v>
      </c>
      <c r="AE303" s="818" t="s">
        <v>46</v>
      </c>
      <c r="AF303" s="818" t="s">
        <v>46</v>
      </c>
      <c r="AG303" s="1177"/>
      <c r="AH303" s="115"/>
      <c r="AI303" s="116"/>
    </row>
    <row r="304" spans="1:35" ht="18" customHeight="1" x14ac:dyDescent="0.2">
      <c r="A304" s="1963"/>
      <c r="B304" s="1964"/>
      <c r="C304" s="1174"/>
      <c r="D304" s="1174"/>
      <c r="E304" s="1174"/>
      <c r="F304" s="1174"/>
      <c r="G304" s="1174"/>
      <c r="H304" s="1174"/>
      <c r="I304" s="1174"/>
      <c r="J304" s="1174"/>
      <c r="K304" s="1174"/>
      <c r="L304" s="1174"/>
      <c r="M304" s="1174"/>
      <c r="N304" s="1174"/>
      <c r="O304" s="1174"/>
      <c r="P304" s="1174"/>
      <c r="Q304" s="1174"/>
      <c r="R304" s="1174"/>
      <c r="S304" s="1174"/>
      <c r="T304" s="1174"/>
      <c r="U304" s="1174"/>
      <c r="V304" s="1174"/>
      <c r="W304" s="1174"/>
      <c r="X304" s="1174"/>
      <c r="Y304" s="1174"/>
      <c r="Z304" s="1174"/>
      <c r="AA304" s="1174"/>
      <c r="AB304" s="1174"/>
      <c r="AC304" s="1174"/>
      <c r="AD304" s="1174"/>
      <c r="AE304" s="1174"/>
      <c r="AF304" s="1174"/>
      <c r="AG304" s="1177"/>
      <c r="AH304" s="115"/>
      <c r="AI304" s="116"/>
    </row>
    <row r="305" spans="1:36" ht="18" customHeight="1" x14ac:dyDescent="0.2">
      <c r="A305" s="1965"/>
      <c r="B305" s="1966" t="s">
        <v>376</v>
      </c>
      <c r="C305" s="1169"/>
      <c r="D305" s="1169"/>
      <c r="E305" s="1169"/>
      <c r="F305" s="1169"/>
      <c r="G305" s="1169"/>
      <c r="H305" s="1169"/>
      <c r="I305" s="1169"/>
      <c r="J305" s="1169"/>
      <c r="K305" s="1169"/>
      <c r="L305" s="1169"/>
      <c r="M305" s="1169"/>
      <c r="N305" s="1169"/>
      <c r="O305" s="1169"/>
      <c r="P305" s="1169"/>
      <c r="Q305" s="1169"/>
      <c r="R305" s="1169"/>
      <c r="S305" s="1169"/>
      <c r="T305" s="1169"/>
      <c r="U305" s="1169"/>
      <c r="V305" s="1169"/>
      <c r="W305" s="1169"/>
      <c r="X305" s="1169"/>
      <c r="Y305" s="1169"/>
      <c r="Z305" s="1169"/>
      <c r="AA305" s="1169"/>
      <c r="AB305" s="1169"/>
      <c r="AC305" s="1169"/>
      <c r="AD305" s="1169"/>
      <c r="AE305" s="1169"/>
      <c r="AF305" s="1169"/>
      <c r="AG305" s="1967"/>
      <c r="AH305" s="113"/>
      <c r="AI305" s="114"/>
    </row>
    <row r="306" spans="1:36" ht="18" customHeight="1" x14ac:dyDescent="0.2">
      <c r="A306" s="1962">
        <v>3702</v>
      </c>
      <c r="B306" s="1178" t="s">
        <v>377</v>
      </c>
      <c r="C306" s="1223" t="s">
        <v>378</v>
      </c>
      <c r="D306" s="1223" t="s">
        <v>378</v>
      </c>
      <c r="E306" s="1223"/>
      <c r="F306" s="1223"/>
      <c r="G306" s="1185" t="s">
        <v>378</v>
      </c>
      <c r="H306" s="1185" t="s">
        <v>378</v>
      </c>
      <c r="I306" s="1223" t="s">
        <v>378</v>
      </c>
      <c r="J306" s="1223" t="s">
        <v>378</v>
      </c>
      <c r="K306" s="1223" t="s">
        <v>378</v>
      </c>
      <c r="L306" s="1185"/>
      <c r="M306" s="1223"/>
      <c r="N306" s="1185" t="s">
        <v>378</v>
      </c>
      <c r="O306" s="1185" t="s">
        <v>378</v>
      </c>
      <c r="P306" s="1223" t="s">
        <v>378</v>
      </c>
      <c r="Q306" s="1223" t="s">
        <v>378</v>
      </c>
      <c r="R306" s="1223" t="s">
        <v>378</v>
      </c>
      <c r="S306" s="1223"/>
      <c r="T306" s="1223"/>
      <c r="U306" s="1185" t="s">
        <v>378</v>
      </c>
      <c r="V306" s="1185" t="s">
        <v>378</v>
      </c>
      <c r="W306" s="1223" t="s">
        <v>378</v>
      </c>
      <c r="X306" s="1223" t="s">
        <v>378</v>
      </c>
      <c r="Y306" s="1223" t="s">
        <v>378</v>
      </c>
      <c r="Z306" s="1223"/>
      <c r="AA306" s="1223"/>
      <c r="AB306" s="1185" t="s">
        <v>378</v>
      </c>
      <c r="AC306" s="1185" t="s">
        <v>378</v>
      </c>
      <c r="AD306" s="1223" t="s">
        <v>378</v>
      </c>
      <c r="AE306" s="1223" t="s">
        <v>378</v>
      </c>
      <c r="AF306" s="1223" t="s">
        <v>378</v>
      </c>
      <c r="AG306" s="1321"/>
      <c r="AH306" s="115"/>
      <c r="AI306" s="116"/>
    </row>
    <row r="307" spans="1:36" ht="18" customHeight="1" x14ac:dyDescent="0.2">
      <c r="A307" s="1962"/>
      <c r="B307" s="1178" t="s">
        <v>379</v>
      </c>
      <c r="C307" s="1186" t="s">
        <v>380</v>
      </c>
      <c r="D307" s="1186" t="s">
        <v>380</v>
      </c>
      <c r="E307" s="1186"/>
      <c r="F307" s="1186"/>
      <c r="G307" s="1186" t="s">
        <v>380</v>
      </c>
      <c r="H307" s="1186" t="s">
        <v>380</v>
      </c>
      <c r="I307" s="1186" t="s">
        <v>380</v>
      </c>
      <c r="J307" s="1186" t="s">
        <v>380</v>
      </c>
      <c r="K307" s="1186" t="s">
        <v>380</v>
      </c>
      <c r="L307" s="1186"/>
      <c r="M307" s="1186"/>
      <c r="N307" s="1186" t="s">
        <v>380</v>
      </c>
      <c r="O307" s="1186" t="s">
        <v>380</v>
      </c>
      <c r="P307" s="1186" t="s">
        <v>380</v>
      </c>
      <c r="Q307" s="1186" t="s">
        <v>380</v>
      </c>
      <c r="R307" s="1186" t="s">
        <v>380</v>
      </c>
      <c r="S307" s="1186"/>
      <c r="T307" s="1186"/>
      <c r="U307" s="1223" t="s">
        <v>380</v>
      </c>
      <c r="V307" s="1185" t="s">
        <v>380</v>
      </c>
      <c r="W307" s="1223" t="s">
        <v>380</v>
      </c>
      <c r="X307" s="1223" t="s">
        <v>380</v>
      </c>
      <c r="Y307" s="1223" t="s">
        <v>380</v>
      </c>
      <c r="Z307" s="1223"/>
      <c r="AA307" s="1223"/>
      <c r="AB307" s="1223" t="s">
        <v>380</v>
      </c>
      <c r="AC307" s="1185" t="s">
        <v>380</v>
      </c>
      <c r="AD307" s="1223" t="s">
        <v>380</v>
      </c>
      <c r="AE307" s="1223" t="s">
        <v>380</v>
      </c>
      <c r="AF307" s="1223" t="s">
        <v>380</v>
      </c>
      <c r="AG307" s="1968"/>
      <c r="AH307" s="115"/>
      <c r="AI307" s="116"/>
    </row>
    <row r="308" spans="1:36" ht="18" customHeight="1" x14ac:dyDescent="0.2">
      <c r="A308" s="1969"/>
      <c r="B308" s="1192" t="s">
        <v>381</v>
      </c>
      <c r="C308" s="1221" t="s">
        <v>382</v>
      </c>
      <c r="D308" s="1221" t="s">
        <v>382</v>
      </c>
      <c r="E308" s="1221"/>
      <c r="F308" s="1221"/>
      <c r="G308" s="1268" t="s">
        <v>382</v>
      </c>
      <c r="H308" s="1268" t="s">
        <v>382</v>
      </c>
      <c r="I308" s="1221" t="s">
        <v>382</v>
      </c>
      <c r="J308" s="1221" t="s">
        <v>382</v>
      </c>
      <c r="K308" s="1221" t="s">
        <v>382</v>
      </c>
      <c r="L308" s="1265"/>
      <c r="M308" s="1221"/>
      <c r="N308" s="1268" t="s">
        <v>382</v>
      </c>
      <c r="O308" s="1970" t="s">
        <v>382</v>
      </c>
      <c r="P308" s="1970" t="s">
        <v>382</v>
      </c>
      <c r="Q308" s="1970" t="s">
        <v>382</v>
      </c>
      <c r="R308" s="1221" t="s">
        <v>382</v>
      </c>
      <c r="S308" s="1221"/>
      <c r="T308" s="1221"/>
      <c r="U308" s="1268" t="s">
        <v>382</v>
      </c>
      <c r="V308" s="1268" t="s">
        <v>382</v>
      </c>
      <c r="W308" s="1221" t="s">
        <v>382</v>
      </c>
      <c r="X308" s="1221" t="s">
        <v>382</v>
      </c>
      <c r="Y308" s="1221" t="s">
        <v>382</v>
      </c>
      <c r="Z308" s="1221"/>
      <c r="AA308" s="1221"/>
      <c r="AB308" s="1268" t="s">
        <v>382</v>
      </c>
      <c r="AC308" s="1268" t="s">
        <v>382</v>
      </c>
      <c r="AD308" s="1221" t="s">
        <v>382</v>
      </c>
      <c r="AE308" s="1221" t="s">
        <v>382</v>
      </c>
      <c r="AF308" s="1221" t="s">
        <v>382</v>
      </c>
      <c r="AG308" s="1296"/>
      <c r="AH308" s="115"/>
      <c r="AI308" s="116"/>
    </row>
    <row r="309" spans="1:36" ht="18" customHeight="1" x14ac:dyDescent="0.2"/>
    <row r="310" spans="1:36" ht="18" customHeight="1" x14ac:dyDescent="0.2"/>
    <row r="311" spans="1:36" ht="18" customHeight="1" x14ac:dyDescent="0.2">
      <c r="A311" s="103" t="s">
        <v>383</v>
      </c>
    </row>
    <row r="312" spans="1:36" ht="18" customHeight="1" x14ac:dyDescent="0.2">
      <c r="A312" s="1"/>
      <c r="B312" s="1723" t="s">
        <v>340</v>
      </c>
      <c r="C312" s="1865"/>
      <c r="D312" s="1891" t="s">
        <v>17</v>
      </c>
      <c r="E312" s="1769"/>
      <c r="F312" s="1858"/>
      <c r="G312" s="1865"/>
      <c r="H312" s="1891" t="s">
        <v>18</v>
      </c>
      <c r="I312" s="1769"/>
      <c r="J312" s="1858"/>
      <c r="K312" s="1865"/>
      <c r="L312" s="1891" t="s">
        <v>19</v>
      </c>
      <c r="M312" s="1769"/>
      <c r="N312" s="1858"/>
      <c r="O312" s="1865"/>
      <c r="P312" s="1891" t="s">
        <v>20</v>
      </c>
      <c r="Q312" s="1769"/>
      <c r="R312" s="1858"/>
      <c r="S312" s="1865"/>
      <c r="T312" s="1891" t="s">
        <v>21</v>
      </c>
      <c r="U312" s="1769"/>
      <c r="V312" s="1858"/>
      <c r="W312" s="1865"/>
      <c r="X312" s="1891" t="s">
        <v>22</v>
      </c>
      <c r="Y312" s="1769"/>
      <c r="Z312" s="1858"/>
      <c r="AA312" s="1865"/>
      <c r="AB312" s="1891" t="s">
        <v>23</v>
      </c>
      <c r="AC312" s="1769"/>
      <c r="AD312" s="1769"/>
      <c r="AE312" s="1894" t="s">
        <v>126</v>
      </c>
      <c r="AF312" s="1769"/>
      <c r="AG312" s="1769"/>
      <c r="AH312" s="1769"/>
      <c r="AI312" s="1770"/>
    </row>
    <row r="313" spans="1:36" ht="18" customHeight="1" x14ac:dyDescent="0.2">
      <c r="A313" s="1"/>
      <c r="B313" s="452"/>
      <c r="C313" s="457"/>
      <c r="D313" s="1030"/>
      <c r="E313" s="467"/>
      <c r="F313" s="1077"/>
      <c r="G313" s="457"/>
      <c r="H313" s="1030"/>
      <c r="I313" s="467"/>
      <c r="J313" s="1077"/>
      <c r="K313" s="457"/>
      <c r="L313" s="1030"/>
      <c r="M313" s="467"/>
      <c r="N313" s="1077"/>
      <c r="O313" s="457"/>
      <c r="P313" s="1030"/>
      <c r="Q313" s="467"/>
      <c r="R313" s="1077"/>
      <c r="S313" s="457"/>
      <c r="T313" s="1030"/>
      <c r="U313" s="467"/>
      <c r="V313" s="1077"/>
      <c r="W313" s="457"/>
      <c r="X313" s="1030"/>
      <c r="Y313" s="467"/>
      <c r="Z313" s="1077"/>
      <c r="AA313" s="457"/>
      <c r="AB313" s="1030"/>
      <c r="AC313" s="467"/>
      <c r="AD313" s="467"/>
      <c r="AE313" s="1033"/>
      <c r="AF313" s="467"/>
      <c r="AG313" s="467"/>
      <c r="AH313" s="467"/>
      <c r="AI313" s="1026"/>
    </row>
    <row r="314" spans="1:36" ht="18" customHeight="1" x14ac:dyDescent="0.2">
      <c r="A314" s="70"/>
      <c r="B314" s="1957"/>
      <c r="C314" s="1301"/>
      <c r="D314" s="1121"/>
      <c r="E314" s="1121"/>
      <c r="F314" s="1447"/>
      <c r="G314" s="1301"/>
      <c r="H314" s="1121"/>
      <c r="I314" s="1121"/>
      <c r="J314" s="1447"/>
      <c r="K314" s="1301"/>
      <c r="L314" s="1121"/>
      <c r="M314" s="1121"/>
      <c r="N314" s="1447"/>
      <c r="O314" s="1301"/>
      <c r="P314" s="1121"/>
      <c r="Q314" s="1121"/>
      <c r="R314" s="1447"/>
      <c r="S314" s="1301"/>
      <c r="T314" s="1121"/>
      <c r="U314" s="1121"/>
      <c r="V314" s="1447"/>
      <c r="W314" s="1301"/>
      <c r="X314" s="1121"/>
      <c r="Y314" s="1121"/>
      <c r="Z314" s="1447"/>
      <c r="AA314" s="1445"/>
      <c r="AB314" s="1121"/>
      <c r="AC314" s="1121"/>
      <c r="AD314" s="1302"/>
      <c r="AE314" s="1971"/>
      <c r="AF314" s="1121"/>
      <c r="AG314" s="1121"/>
      <c r="AH314" s="1302"/>
      <c r="AI314" s="1403"/>
    </row>
    <row r="315" spans="1:36" ht="18" customHeight="1" x14ac:dyDescent="0.2">
      <c r="A315" s="1"/>
      <c r="B315" s="1457"/>
      <c r="C315" s="1458"/>
      <c r="D315" s="1247"/>
      <c r="E315" s="1247"/>
      <c r="F315" s="1481"/>
      <c r="G315" s="1458"/>
      <c r="H315" s="1247"/>
      <c r="I315" s="1247"/>
      <c r="J315" s="1481"/>
      <c r="K315" s="1458"/>
      <c r="L315" s="1247"/>
      <c r="M315" s="1247"/>
      <c r="N315" s="1481"/>
      <c r="O315" s="1458"/>
      <c r="P315" s="1247"/>
      <c r="Q315" s="1247"/>
      <c r="R315" s="1481"/>
      <c r="S315" s="1458"/>
      <c r="T315" s="1247"/>
      <c r="U315" s="1247"/>
      <c r="V315" s="1481"/>
      <c r="W315" s="1479"/>
      <c r="X315" s="1247"/>
      <c r="Y315" s="1247"/>
      <c r="Z315" s="1481"/>
      <c r="AA315" s="1479"/>
      <c r="AB315" s="1247"/>
      <c r="AC315" s="1247"/>
      <c r="AD315" s="1465"/>
      <c r="AE315" s="1479"/>
      <c r="AF315" s="1247"/>
      <c r="AG315" s="1247"/>
      <c r="AH315" s="1465"/>
      <c r="AI315" s="1254"/>
    </row>
    <row r="316" spans="1:36" ht="18" customHeight="1" x14ac:dyDescent="0.2">
      <c r="A316" s="1"/>
      <c r="B316" s="5"/>
      <c r="C316" s="42"/>
      <c r="F316" s="46"/>
      <c r="G316" s="42"/>
      <c r="J316" s="46"/>
      <c r="K316" s="42"/>
      <c r="N316" s="46"/>
      <c r="O316" s="42"/>
      <c r="R316" s="46"/>
      <c r="S316" s="42"/>
      <c r="V316" s="46"/>
      <c r="W316" s="46"/>
      <c r="Z316" s="46"/>
      <c r="AA316" s="46"/>
      <c r="AD316" s="46"/>
      <c r="AE316" s="46"/>
      <c r="AH316" s="46"/>
    </row>
    <row r="317" spans="1:36" ht="18" customHeight="1" x14ac:dyDescent="0.2">
      <c r="A317" s="103" t="s">
        <v>384</v>
      </c>
      <c r="B317" s="5"/>
      <c r="C317" s="42"/>
      <c r="F317" s="46"/>
      <c r="G317" s="42"/>
      <c r="J317" s="46"/>
      <c r="K317" s="42"/>
      <c r="N317" s="46"/>
      <c r="O317" s="42"/>
      <c r="R317" s="46"/>
      <c r="S317" s="42"/>
      <c r="V317" s="46"/>
      <c r="W317" s="46"/>
      <c r="Z317" s="46"/>
      <c r="AA317" s="46"/>
      <c r="AD317" s="46"/>
      <c r="AE317" s="46"/>
      <c r="AH317" s="208"/>
      <c r="AI317" s="123"/>
      <c r="AJ317" s="123"/>
    </row>
    <row r="318" spans="1:36" ht="18" customHeight="1" x14ac:dyDescent="0.2">
      <c r="A318" s="1434" t="s">
        <v>43</v>
      </c>
      <c r="B318" s="1256" t="s">
        <v>44</v>
      </c>
      <c r="C318" s="1731">
        <v>1</v>
      </c>
      <c r="D318" s="1731">
        <v>2</v>
      </c>
      <c r="E318" s="1732">
        <v>3</v>
      </c>
      <c r="F318" s="1732">
        <v>4</v>
      </c>
      <c r="G318" s="1731">
        <v>5</v>
      </c>
      <c r="H318" s="1731">
        <v>6</v>
      </c>
      <c r="I318" s="1731">
        <v>7</v>
      </c>
      <c r="J318" s="1731">
        <v>8</v>
      </c>
      <c r="K318" s="1731">
        <v>9</v>
      </c>
      <c r="L318" s="1732">
        <v>10</v>
      </c>
      <c r="M318" s="1732">
        <v>11</v>
      </c>
      <c r="N318" s="1731">
        <v>12</v>
      </c>
      <c r="O318" s="1731">
        <v>13</v>
      </c>
      <c r="P318" s="1731">
        <v>14</v>
      </c>
      <c r="Q318" s="1731">
        <v>15</v>
      </c>
      <c r="R318" s="1731">
        <v>16</v>
      </c>
      <c r="S318" s="1732">
        <v>17</v>
      </c>
      <c r="T318" s="1732">
        <v>18</v>
      </c>
      <c r="U318" s="1731">
        <v>19</v>
      </c>
      <c r="V318" s="1731">
        <v>20</v>
      </c>
      <c r="W318" s="1731">
        <v>21</v>
      </c>
      <c r="X318" s="1731">
        <v>22</v>
      </c>
      <c r="Y318" s="1731">
        <v>23</v>
      </c>
      <c r="Z318" s="1732">
        <v>24</v>
      </c>
      <c r="AA318" s="1732">
        <v>25</v>
      </c>
      <c r="AB318" s="1731">
        <v>26</v>
      </c>
      <c r="AC318" s="1731">
        <v>27</v>
      </c>
      <c r="AD318" s="1731">
        <v>28</v>
      </c>
      <c r="AE318" s="1731">
        <v>29</v>
      </c>
      <c r="AF318" s="1731">
        <v>30</v>
      </c>
      <c r="AG318" s="1732">
        <v>31</v>
      </c>
      <c r="AH318" s="209"/>
      <c r="AI318" s="210"/>
      <c r="AJ318" s="123"/>
    </row>
    <row r="319" spans="1:36" ht="18" customHeight="1" x14ac:dyDescent="0.2">
      <c r="A319" s="1725"/>
      <c r="B319" s="1726"/>
      <c r="C319" s="1817" t="s">
        <v>46</v>
      </c>
      <c r="D319" s="1817" t="s">
        <v>46</v>
      </c>
      <c r="E319" s="1817"/>
      <c r="F319" s="1817"/>
      <c r="G319" s="1817" t="s">
        <v>46</v>
      </c>
      <c r="H319" s="1817" t="s">
        <v>46</v>
      </c>
      <c r="I319" s="1817" t="s">
        <v>46</v>
      </c>
      <c r="J319" s="1817" t="s">
        <v>46</v>
      </c>
      <c r="K319" s="1817" t="s">
        <v>46</v>
      </c>
      <c r="L319" s="1817"/>
      <c r="M319" s="1817"/>
      <c r="N319" s="1817" t="s">
        <v>46</v>
      </c>
      <c r="O319" s="1817" t="s">
        <v>46</v>
      </c>
      <c r="P319" s="1817" t="s">
        <v>46</v>
      </c>
      <c r="Q319" s="1817" t="s">
        <v>46</v>
      </c>
      <c r="R319" s="1817" t="s">
        <v>46</v>
      </c>
      <c r="S319" s="1817"/>
      <c r="T319" s="1817"/>
      <c r="U319" s="1817" t="s">
        <v>46</v>
      </c>
      <c r="V319" s="1817" t="s">
        <v>46</v>
      </c>
      <c r="W319" s="1817" t="s">
        <v>46</v>
      </c>
      <c r="X319" s="1817" t="s">
        <v>46</v>
      </c>
      <c r="Y319" s="1817" t="s">
        <v>46</v>
      </c>
      <c r="Z319" s="1817"/>
      <c r="AA319" s="1817"/>
      <c r="AB319" s="1817" t="s">
        <v>46</v>
      </c>
      <c r="AC319" s="1817" t="s">
        <v>46</v>
      </c>
      <c r="AD319" s="1817" t="s">
        <v>46</v>
      </c>
      <c r="AE319" s="1817" t="s">
        <v>46</v>
      </c>
      <c r="AF319" s="1817" t="s">
        <v>46</v>
      </c>
      <c r="AG319" s="1909"/>
      <c r="AH319" s="211"/>
      <c r="AI319" s="212"/>
      <c r="AJ319" s="123"/>
    </row>
    <row r="320" spans="1:36" ht="18" customHeight="1" x14ac:dyDescent="0.2">
      <c r="A320" s="1081"/>
      <c r="B320" s="748" t="s">
        <v>385</v>
      </c>
      <c r="C320" s="636" t="s">
        <v>46</v>
      </c>
      <c r="D320" s="636" t="s">
        <v>46</v>
      </c>
      <c r="E320" s="636"/>
      <c r="F320" s="636"/>
      <c r="G320" s="636" t="s">
        <v>46</v>
      </c>
      <c r="H320" s="636" t="s">
        <v>46</v>
      </c>
      <c r="I320" s="636" t="s">
        <v>46</v>
      </c>
      <c r="J320" s="636" t="s">
        <v>46</v>
      </c>
      <c r="K320" s="636" t="s">
        <v>46</v>
      </c>
      <c r="L320" s="636"/>
      <c r="M320" s="636"/>
      <c r="N320" s="636" t="s">
        <v>46</v>
      </c>
      <c r="O320" s="636" t="s">
        <v>46</v>
      </c>
      <c r="P320" s="636" t="s">
        <v>46</v>
      </c>
      <c r="Q320" s="636" t="s">
        <v>46</v>
      </c>
      <c r="R320" s="636" t="s">
        <v>46</v>
      </c>
      <c r="S320" s="636"/>
      <c r="T320" s="636"/>
      <c r="U320" s="636" t="s">
        <v>46</v>
      </c>
      <c r="V320" s="636" t="s">
        <v>46</v>
      </c>
      <c r="W320" s="636" t="s">
        <v>46</v>
      </c>
      <c r="X320" s="636" t="s">
        <v>46</v>
      </c>
      <c r="Y320" s="636" t="s">
        <v>46</v>
      </c>
      <c r="Z320" s="636"/>
      <c r="AA320" s="636"/>
      <c r="AB320" s="636" t="s">
        <v>46</v>
      </c>
      <c r="AC320" s="636" t="s">
        <v>46</v>
      </c>
      <c r="AD320" s="636" t="s">
        <v>46</v>
      </c>
      <c r="AE320" s="636" t="s">
        <v>46</v>
      </c>
      <c r="AF320" s="636" t="s">
        <v>46</v>
      </c>
      <c r="AG320" s="1543"/>
      <c r="AH320" s="211"/>
      <c r="AI320" s="212"/>
      <c r="AJ320" s="123"/>
    </row>
    <row r="321" spans="1:36" ht="18" customHeight="1" x14ac:dyDescent="0.2">
      <c r="A321" s="1042"/>
      <c r="B321" s="748" t="s">
        <v>386</v>
      </c>
      <c r="C321" s="636" t="s">
        <v>46</v>
      </c>
      <c r="D321" s="636" t="s">
        <v>46</v>
      </c>
      <c r="E321" s="636"/>
      <c r="F321" s="636"/>
      <c r="G321" s="636" t="s">
        <v>46</v>
      </c>
      <c r="H321" s="636" t="s">
        <v>46</v>
      </c>
      <c r="I321" s="636" t="s">
        <v>46</v>
      </c>
      <c r="J321" s="636" t="s">
        <v>46</v>
      </c>
      <c r="K321" s="636" t="s">
        <v>46</v>
      </c>
      <c r="L321" s="636"/>
      <c r="M321" s="636"/>
      <c r="N321" s="636" t="s">
        <v>46</v>
      </c>
      <c r="O321" s="636" t="s">
        <v>46</v>
      </c>
      <c r="P321" s="636" t="s">
        <v>46</v>
      </c>
      <c r="Q321" s="636" t="s">
        <v>46</v>
      </c>
      <c r="R321" s="636" t="s">
        <v>46</v>
      </c>
      <c r="S321" s="636"/>
      <c r="T321" s="636"/>
      <c r="U321" s="636" t="s">
        <v>46</v>
      </c>
      <c r="V321" s="636" t="s">
        <v>46</v>
      </c>
      <c r="W321" s="636" t="s">
        <v>46</v>
      </c>
      <c r="X321" s="636" t="s">
        <v>46</v>
      </c>
      <c r="Y321" s="636" t="s">
        <v>46</v>
      </c>
      <c r="Z321" s="636"/>
      <c r="AA321" s="636"/>
      <c r="AB321" s="636" t="s">
        <v>46</v>
      </c>
      <c r="AC321" s="636" t="s">
        <v>46</v>
      </c>
      <c r="AD321" s="636" t="s">
        <v>46</v>
      </c>
      <c r="AE321" s="636" t="s">
        <v>46</v>
      </c>
      <c r="AF321" s="636" t="s">
        <v>46</v>
      </c>
      <c r="AG321" s="819"/>
      <c r="AH321" s="211"/>
      <c r="AI321" s="212"/>
      <c r="AJ321" s="123"/>
    </row>
    <row r="322" spans="1:36" ht="18" customHeight="1" x14ac:dyDescent="0.2">
      <c r="A322" s="1042"/>
      <c r="B322" s="748" t="s">
        <v>387</v>
      </c>
      <c r="C322" s="636" t="s">
        <v>46</v>
      </c>
      <c r="D322" s="636" t="s">
        <v>46</v>
      </c>
      <c r="E322" s="636"/>
      <c r="F322" s="636"/>
      <c r="G322" s="636" t="s">
        <v>46</v>
      </c>
      <c r="H322" s="799" t="s">
        <v>46</v>
      </c>
      <c r="I322" s="799" t="s">
        <v>46</v>
      </c>
      <c r="J322" s="636" t="s">
        <v>46</v>
      </c>
      <c r="K322" s="636" t="s">
        <v>46</v>
      </c>
      <c r="L322" s="636"/>
      <c r="M322" s="636"/>
      <c r="N322" s="636" t="s">
        <v>46</v>
      </c>
      <c r="O322" s="799" t="s">
        <v>46</v>
      </c>
      <c r="P322" s="799" t="s">
        <v>46</v>
      </c>
      <c r="Q322" s="636" t="s">
        <v>46</v>
      </c>
      <c r="R322" s="636" t="s">
        <v>46</v>
      </c>
      <c r="S322" s="636"/>
      <c r="T322" s="636"/>
      <c r="U322" s="636" t="s">
        <v>46</v>
      </c>
      <c r="V322" s="799" t="s">
        <v>46</v>
      </c>
      <c r="W322" s="799" t="s">
        <v>46</v>
      </c>
      <c r="X322" s="636" t="s">
        <v>46</v>
      </c>
      <c r="Y322" s="636" t="s">
        <v>46</v>
      </c>
      <c r="Z322" s="636"/>
      <c r="AA322" s="636"/>
      <c r="AB322" s="636" t="s">
        <v>46</v>
      </c>
      <c r="AC322" s="799" t="s">
        <v>46</v>
      </c>
      <c r="AD322" s="799" t="s">
        <v>46</v>
      </c>
      <c r="AE322" s="636" t="s">
        <v>46</v>
      </c>
      <c r="AF322" s="636" t="s">
        <v>46</v>
      </c>
      <c r="AG322" s="819"/>
      <c r="AH322" s="211"/>
      <c r="AI322" s="212"/>
      <c r="AJ322" s="123"/>
    </row>
    <row r="323" spans="1:36" ht="18" customHeight="1" x14ac:dyDescent="0.2">
      <c r="A323" s="1042"/>
      <c r="B323" s="748" t="s">
        <v>388</v>
      </c>
      <c r="C323" s="636" t="s">
        <v>46</v>
      </c>
      <c r="D323" s="636" t="s">
        <v>46</v>
      </c>
      <c r="E323" s="636"/>
      <c r="F323" s="636"/>
      <c r="G323" s="636" t="s">
        <v>46</v>
      </c>
      <c r="H323" s="636" t="s">
        <v>46</v>
      </c>
      <c r="I323" s="636" t="s">
        <v>46</v>
      </c>
      <c r="J323" s="636" t="s">
        <v>46</v>
      </c>
      <c r="K323" s="636" t="s">
        <v>46</v>
      </c>
      <c r="L323" s="636"/>
      <c r="M323" s="636"/>
      <c r="N323" s="636" t="s">
        <v>46</v>
      </c>
      <c r="O323" s="636" t="s">
        <v>46</v>
      </c>
      <c r="P323" s="636" t="s">
        <v>46</v>
      </c>
      <c r="Q323" s="636" t="s">
        <v>46</v>
      </c>
      <c r="R323" s="636" t="s">
        <v>46</v>
      </c>
      <c r="S323" s="636"/>
      <c r="T323" s="636"/>
      <c r="U323" s="636" t="s">
        <v>46</v>
      </c>
      <c r="V323" s="636" t="s">
        <v>46</v>
      </c>
      <c r="W323" s="636" t="s">
        <v>46</v>
      </c>
      <c r="X323" s="636" t="s">
        <v>46</v>
      </c>
      <c r="Y323" s="636" t="s">
        <v>46</v>
      </c>
      <c r="Z323" s="636"/>
      <c r="AA323" s="636"/>
      <c r="AB323" s="636" t="s">
        <v>46</v>
      </c>
      <c r="AC323" s="636" t="s">
        <v>46</v>
      </c>
      <c r="AD323" s="636" t="s">
        <v>46</v>
      </c>
      <c r="AE323" s="636" t="s">
        <v>46</v>
      </c>
      <c r="AF323" s="636" t="s">
        <v>46</v>
      </c>
      <c r="AG323" s="1543"/>
      <c r="AH323" s="211"/>
      <c r="AI323" s="212"/>
      <c r="AJ323" s="123"/>
    </row>
    <row r="324" spans="1:36" ht="18" customHeight="1" x14ac:dyDescent="0.2">
      <c r="A324" s="1042"/>
      <c r="B324" s="748" t="s">
        <v>389</v>
      </c>
      <c r="C324" s="636" t="s">
        <v>46</v>
      </c>
      <c r="D324" s="636" t="s">
        <v>46</v>
      </c>
      <c r="E324" s="636"/>
      <c r="F324" s="636"/>
      <c r="G324" s="636" t="s">
        <v>46</v>
      </c>
      <c r="H324" s="636" t="s">
        <v>46</v>
      </c>
      <c r="I324" s="636" t="s">
        <v>46</v>
      </c>
      <c r="J324" s="636" t="s">
        <v>46</v>
      </c>
      <c r="K324" s="636" t="s">
        <v>46</v>
      </c>
      <c r="L324" s="636"/>
      <c r="M324" s="636"/>
      <c r="N324" s="636" t="s">
        <v>46</v>
      </c>
      <c r="O324" s="636" t="s">
        <v>46</v>
      </c>
      <c r="P324" s="636" t="s">
        <v>46</v>
      </c>
      <c r="Q324" s="636" t="s">
        <v>46</v>
      </c>
      <c r="R324" s="636" t="s">
        <v>46</v>
      </c>
      <c r="S324" s="636"/>
      <c r="T324" s="636"/>
      <c r="U324" s="636" t="s">
        <v>46</v>
      </c>
      <c r="V324" s="636" t="s">
        <v>46</v>
      </c>
      <c r="W324" s="636" t="s">
        <v>46</v>
      </c>
      <c r="X324" s="636" t="s">
        <v>46</v>
      </c>
      <c r="Y324" s="636" t="s">
        <v>46</v>
      </c>
      <c r="Z324" s="636"/>
      <c r="AA324" s="636"/>
      <c r="AB324" s="636" t="s">
        <v>46</v>
      </c>
      <c r="AC324" s="636" t="s">
        <v>46</v>
      </c>
      <c r="AD324" s="636" t="s">
        <v>46</v>
      </c>
      <c r="AE324" s="636" t="s">
        <v>46</v>
      </c>
      <c r="AF324" s="636" t="s">
        <v>46</v>
      </c>
      <c r="AG324" s="801"/>
      <c r="AH324" s="211"/>
      <c r="AI324" s="212"/>
      <c r="AJ324" s="123"/>
    </row>
    <row r="325" spans="1:36" ht="18" customHeight="1" x14ac:dyDescent="0.2">
      <c r="A325" s="1042"/>
      <c r="B325" s="748" t="s">
        <v>390</v>
      </c>
      <c r="C325" s="636" t="s">
        <v>46</v>
      </c>
      <c r="D325" s="636" t="s">
        <v>46</v>
      </c>
      <c r="E325" s="636"/>
      <c r="F325" s="636"/>
      <c r="G325" s="636" t="s">
        <v>46</v>
      </c>
      <c r="H325" s="636" t="s">
        <v>46</v>
      </c>
      <c r="I325" s="636" t="s">
        <v>46</v>
      </c>
      <c r="J325" s="636" t="s">
        <v>46</v>
      </c>
      <c r="K325" s="636" t="s">
        <v>46</v>
      </c>
      <c r="L325" s="636"/>
      <c r="M325" s="636"/>
      <c r="N325" s="636" t="s">
        <v>46</v>
      </c>
      <c r="O325" s="636" t="s">
        <v>46</v>
      </c>
      <c r="P325" s="636" t="s">
        <v>46</v>
      </c>
      <c r="Q325" s="636" t="s">
        <v>46</v>
      </c>
      <c r="R325" s="636" t="s">
        <v>46</v>
      </c>
      <c r="S325" s="636"/>
      <c r="T325" s="636"/>
      <c r="U325" s="636" t="s">
        <v>46</v>
      </c>
      <c r="V325" s="636" t="s">
        <v>46</v>
      </c>
      <c r="W325" s="636" t="s">
        <v>46</v>
      </c>
      <c r="X325" s="636" t="s">
        <v>46</v>
      </c>
      <c r="Y325" s="636" t="s">
        <v>46</v>
      </c>
      <c r="Z325" s="636"/>
      <c r="AA325" s="636"/>
      <c r="AB325" s="636" t="s">
        <v>46</v>
      </c>
      <c r="AC325" s="636" t="s">
        <v>46</v>
      </c>
      <c r="AD325" s="636" t="s">
        <v>46</v>
      </c>
      <c r="AE325" s="636" t="s">
        <v>46</v>
      </c>
      <c r="AF325" s="636" t="s">
        <v>46</v>
      </c>
      <c r="AG325" s="801"/>
      <c r="AH325" s="211"/>
      <c r="AI325" s="212"/>
      <c r="AJ325" s="123"/>
    </row>
    <row r="326" spans="1:36" ht="18" customHeight="1" x14ac:dyDescent="0.2">
      <c r="A326" s="1042"/>
      <c r="B326" s="748" t="s">
        <v>391</v>
      </c>
      <c r="C326" s="636" t="s">
        <v>46</v>
      </c>
      <c r="D326" s="636" t="s">
        <v>46</v>
      </c>
      <c r="E326" s="636"/>
      <c r="F326" s="636"/>
      <c r="G326" s="636" t="s">
        <v>46</v>
      </c>
      <c r="H326" s="636" t="s">
        <v>46</v>
      </c>
      <c r="I326" s="636" t="s">
        <v>46</v>
      </c>
      <c r="J326" s="636" t="s">
        <v>46</v>
      </c>
      <c r="K326" s="636" t="s">
        <v>46</v>
      </c>
      <c r="L326" s="636"/>
      <c r="M326" s="636"/>
      <c r="N326" s="636" t="s">
        <v>46</v>
      </c>
      <c r="O326" s="636" t="s">
        <v>46</v>
      </c>
      <c r="P326" s="636" t="s">
        <v>46</v>
      </c>
      <c r="Q326" s="636" t="s">
        <v>46</v>
      </c>
      <c r="R326" s="636" t="s">
        <v>46</v>
      </c>
      <c r="S326" s="636"/>
      <c r="T326" s="636"/>
      <c r="U326" s="636" t="s">
        <v>46</v>
      </c>
      <c r="V326" s="636" t="s">
        <v>46</v>
      </c>
      <c r="W326" s="636" t="s">
        <v>46</v>
      </c>
      <c r="X326" s="636" t="s">
        <v>46</v>
      </c>
      <c r="Y326" s="636" t="s">
        <v>46</v>
      </c>
      <c r="Z326" s="636"/>
      <c r="AA326" s="636"/>
      <c r="AB326" s="636" t="s">
        <v>46</v>
      </c>
      <c r="AC326" s="636" t="s">
        <v>46</v>
      </c>
      <c r="AD326" s="636" t="s">
        <v>46</v>
      </c>
      <c r="AE326" s="636" t="s">
        <v>46</v>
      </c>
      <c r="AF326" s="636" t="s">
        <v>46</v>
      </c>
      <c r="AG326" s="801"/>
      <c r="AH326" s="211"/>
      <c r="AI326" s="212"/>
      <c r="AJ326" s="123"/>
    </row>
    <row r="327" spans="1:36" ht="18" customHeight="1" x14ac:dyDescent="0.2">
      <c r="A327" s="1042"/>
      <c r="B327" s="748" t="s">
        <v>392</v>
      </c>
      <c r="C327" s="636" t="s">
        <v>46</v>
      </c>
      <c r="D327" s="636" t="s">
        <v>46</v>
      </c>
      <c r="E327" s="636"/>
      <c r="F327" s="636"/>
      <c r="G327" s="636" t="s">
        <v>46</v>
      </c>
      <c r="H327" s="636" t="s">
        <v>46</v>
      </c>
      <c r="I327" s="636" t="s">
        <v>46</v>
      </c>
      <c r="J327" s="636" t="s">
        <v>46</v>
      </c>
      <c r="K327" s="636" t="s">
        <v>46</v>
      </c>
      <c r="L327" s="636"/>
      <c r="M327" s="636"/>
      <c r="N327" s="636" t="s">
        <v>46</v>
      </c>
      <c r="O327" s="636" t="s">
        <v>46</v>
      </c>
      <c r="P327" s="636" t="s">
        <v>46</v>
      </c>
      <c r="Q327" s="636" t="s">
        <v>46</v>
      </c>
      <c r="R327" s="636" t="s">
        <v>46</v>
      </c>
      <c r="S327" s="636"/>
      <c r="T327" s="636"/>
      <c r="U327" s="636" t="s">
        <v>46</v>
      </c>
      <c r="V327" s="636" t="s">
        <v>46</v>
      </c>
      <c r="W327" s="636" t="s">
        <v>46</v>
      </c>
      <c r="X327" s="636" t="s">
        <v>46</v>
      </c>
      <c r="Y327" s="636" t="s">
        <v>46</v>
      </c>
      <c r="Z327" s="636"/>
      <c r="AA327" s="636"/>
      <c r="AB327" s="636" t="s">
        <v>46</v>
      </c>
      <c r="AC327" s="636" t="s">
        <v>46</v>
      </c>
      <c r="AD327" s="636" t="s">
        <v>46</v>
      </c>
      <c r="AE327" s="636" t="s">
        <v>46</v>
      </c>
      <c r="AF327" s="636" t="s">
        <v>46</v>
      </c>
      <c r="AG327" s="801"/>
      <c r="AH327" s="211"/>
      <c r="AI327" s="212"/>
      <c r="AJ327" s="123"/>
    </row>
    <row r="328" spans="1:36" ht="18" customHeight="1" x14ac:dyDescent="0.2">
      <c r="A328" s="1042"/>
      <c r="B328" s="748" t="s">
        <v>393</v>
      </c>
      <c r="C328" s="957" t="s">
        <v>46</v>
      </c>
      <c r="D328" s="636" t="s">
        <v>46</v>
      </c>
      <c r="E328" s="636"/>
      <c r="F328" s="636"/>
      <c r="G328" s="636" t="s">
        <v>46</v>
      </c>
      <c r="H328" s="636" t="s">
        <v>46</v>
      </c>
      <c r="I328" s="636" t="s">
        <v>46</v>
      </c>
      <c r="J328" s="957" t="s">
        <v>46</v>
      </c>
      <c r="K328" s="636" t="s">
        <v>46</v>
      </c>
      <c r="L328" s="636"/>
      <c r="M328" s="636"/>
      <c r="N328" s="636" t="s">
        <v>46</v>
      </c>
      <c r="O328" s="636" t="s">
        <v>46</v>
      </c>
      <c r="P328" s="636" t="s">
        <v>46</v>
      </c>
      <c r="Q328" s="957" t="s">
        <v>46</v>
      </c>
      <c r="R328" s="636" t="s">
        <v>46</v>
      </c>
      <c r="S328" s="636"/>
      <c r="T328" s="636"/>
      <c r="U328" s="636" t="s">
        <v>46</v>
      </c>
      <c r="V328" s="636" t="s">
        <v>46</v>
      </c>
      <c r="W328" s="636" t="s">
        <v>46</v>
      </c>
      <c r="X328" s="957" t="s">
        <v>46</v>
      </c>
      <c r="Y328" s="636" t="s">
        <v>46</v>
      </c>
      <c r="Z328" s="636"/>
      <c r="AA328" s="636"/>
      <c r="AB328" s="636" t="s">
        <v>46</v>
      </c>
      <c r="AC328" s="636" t="s">
        <v>46</v>
      </c>
      <c r="AD328" s="636" t="s">
        <v>46</v>
      </c>
      <c r="AE328" s="957" t="s">
        <v>46</v>
      </c>
      <c r="AF328" s="636" t="s">
        <v>46</v>
      </c>
      <c r="AG328" s="801"/>
      <c r="AH328" s="211"/>
      <c r="AI328" s="212"/>
      <c r="AJ328" s="123"/>
    </row>
    <row r="329" spans="1:36" ht="18" customHeight="1" x14ac:dyDescent="0.2">
      <c r="A329" s="1544"/>
      <c r="B329" s="1545" t="s">
        <v>394</v>
      </c>
      <c r="C329" s="856" t="s">
        <v>46</v>
      </c>
      <c r="D329" s="856" t="s">
        <v>46</v>
      </c>
      <c r="E329" s="856"/>
      <c r="F329" s="856"/>
      <c r="G329" s="856" t="s">
        <v>46</v>
      </c>
      <c r="H329" s="856" t="s">
        <v>46</v>
      </c>
      <c r="I329" s="856" t="s">
        <v>46</v>
      </c>
      <c r="J329" s="856" t="s">
        <v>46</v>
      </c>
      <c r="K329" s="856" t="s">
        <v>46</v>
      </c>
      <c r="L329" s="856"/>
      <c r="M329" s="856"/>
      <c r="N329" s="856" t="s">
        <v>46</v>
      </c>
      <c r="O329" s="856" t="s">
        <v>46</v>
      </c>
      <c r="P329" s="856" t="s">
        <v>46</v>
      </c>
      <c r="Q329" s="856" t="s">
        <v>46</v>
      </c>
      <c r="R329" s="856" t="s">
        <v>46</v>
      </c>
      <c r="S329" s="856"/>
      <c r="T329" s="856"/>
      <c r="U329" s="856" t="s">
        <v>46</v>
      </c>
      <c r="V329" s="856" t="s">
        <v>46</v>
      </c>
      <c r="W329" s="856" t="s">
        <v>46</v>
      </c>
      <c r="X329" s="856" t="s">
        <v>46</v>
      </c>
      <c r="Y329" s="856" t="s">
        <v>46</v>
      </c>
      <c r="Z329" s="856"/>
      <c r="AA329" s="856"/>
      <c r="AB329" s="856" t="s">
        <v>46</v>
      </c>
      <c r="AC329" s="856" t="s">
        <v>46</v>
      </c>
      <c r="AD329" s="856" t="s">
        <v>46</v>
      </c>
      <c r="AE329" s="856" t="s">
        <v>46</v>
      </c>
      <c r="AF329" s="856" t="s">
        <v>46</v>
      </c>
      <c r="AG329" s="1972"/>
      <c r="AH329" s="211"/>
      <c r="AI329" s="212"/>
      <c r="AJ329" s="123"/>
    </row>
    <row r="330" spans="1:36" ht="18" customHeight="1" x14ac:dyDescent="0.2">
      <c r="A330" s="1042"/>
      <c r="B330" s="748"/>
      <c r="C330" s="636"/>
      <c r="D330" s="813"/>
      <c r="E330" s="636"/>
      <c r="F330" s="636"/>
      <c r="G330" s="636"/>
      <c r="H330" s="636"/>
      <c r="I330" s="636"/>
      <c r="J330" s="636"/>
      <c r="K330" s="636"/>
      <c r="L330" s="636"/>
      <c r="M330" s="636"/>
      <c r="N330" s="636"/>
      <c r="O330" s="636"/>
      <c r="P330" s="636"/>
      <c r="Q330" s="636"/>
      <c r="R330" s="636"/>
      <c r="S330" s="636"/>
      <c r="T330" s="636"/>
      <c r="U330" s="636"/>
      <c r="V330" s="636"/>
      <c r="W330" s="636"/>
      <c r="X330" s="636"/>
      <c r="Y330" s="636"/>
      <c r="Z330" s="636"/>
      <c r="AA330" s="636"/>
      <c r="AB330" s="636"/>
      <c r="AC330" s="636"/>
      <c r="AD330" s="636"/>
      <c r="AE330" s="636"/>
      <c r="AF330" s="636"/>
      <c r="AG330" s="801"/>
      <c r="AH330" s="211"/>
      <c r="AI330" s="212"/>
      <c r="AJ330" s="123"/>
    </row>
    <row r="331" spans="1:36" ht="18" customHeight="1" x14ac:dyDescent="0.2">
      <c r="A331" s="1084"/>
      <c r="B331" s="1085"/>
      <c r="C331" s="712"/>
      <c r="D331" s="712"/>
      <c r="E331" s="712"/>
      <c r="F331" s="712"/>
      <c r="G331" s="712"/>
      <c r="H331" s="712"/>
      <c r="I331" s="712"/>
      <c r="J331" s="712"/>
      <c r="K331" s="712"/>
      <c r="L331" s="712"/>
      <c r="M331" s="712"/>
      <c r="N331" s="711"/>
      <c r="O331" s="711"/>
      <c r="P331" s="712"/>
      <c r="Q331" s="712"/>
      <c r="R331" s="712"/>
      <c r="S331" s="712"/>
      <c r="T331" s="712"/>
      <c r="U331" s="712"/>
      <c r="V331" s="712"/>
      <c r="W331" s="712"/>
      <c r="X331" s="712"/>
      <c r="Y331" s="712"/>
      <c r="Z331" s="712"/>
      <c r="AA331" s="712"/>
      <c r="AB331" s="711"/>
      <c r="AC331" s="711"/>
      <c r="AD331" s="712"/>
      <c r="AE331" s="712"/>
      <c r="AF331" s="712"/>
      <c r="AG331" s="1086"/>
      <c r="AH331" s="211"/>
      <c r="AI331" s="213"/>
      <c r="AJ331" s="123"/>
    </row>
    <row r="332" spans="1:36" ht="18" customHeight="1" x14ac:dyDescent="0.2">
      <c r="A332" s="1087"/>
      <c r="B332" s="1088"/>
      <c r="C332" s="1973"/>
      <c r="D332" s="1974"/>
      <c r="E332" s="1974"/>
      <c r="F332" s="1974"/>
      <c r="G332" s="1974"/>
      <c r="H332" s="1974"/>
      <c r="I332" s="1974"/>
      <c r="J332" s="1974"/>
      <c r="K332" s="1974"/>
      <c r="L332" s="1974"/>
      <c r="M332" s="1974"/>
      <c r="N332" s="1975"/>
      <c r="O332" s="1975"/>
      <c r="P332" s="1974"/>
      <c r="Q332" s="1974"/>
      <c r="R332" s="1974"/>
      <c r="S332" s="1974"/>
      <c r="T332" s="1974"/>
      <c r="U332" s="1974"/>
      <c r="V332" s="1974"/>
      <c r="W332" s="1974"/>
      <c r="X332" s="1974"/>
      <c r="Y332" s="1974"/>
      <c r="Z332" s="1974"/>
      <c r="AA332" s="1974"/>
      <c r="AB332" s="1975"/>
      <c r="AC332" s="1975"/>
      <c r="AD332" s="1974"/>
      <c r="AE332" s="1974"/>
      <c r="AF332" s="1974"/>
      <c r="AG332" s="1976"/>
      <c r="AH332" s="211"/>
      <c r="AI332" s="213"/>
      <c r="AJ332" s="123"/>
    </row>
    <row r="333" spans="1:36" ht="18" customHeight="1" x14ac:dyDescent="0.2">
      <c r="AH333" s="123"/>
      <c r="AI333" s="123"/>
      <c r="AJ333" s="123"/>
    </row>
    <row r="334" spans="1:36" ht="18" customHeight="1" x14ac:dyDescent="0.2">
      <c r="AH334" s="123"/>
      <c r="AI334" s="123"/>
      <c r="AJ334" s="123"/>
    </row>
    <row r="335" spans="1:36" x14ac:dyDescent="0.2">
      <c r="AH335" s="123"/>
      <c r="AI335" s="123"/>
      <c r="AJ335" s="123"/>
    </row>
    <row r="336" spans="1:36" x14ac:dyDescent="0.2">
      <c r="AH336" s="123"/>
      <c r="AI336" s="123"/>
      <c r="AJ336" s="123"/>
    </row>
  </sheetData>
  <sheetProtection algorithmName="SHA-512" hashValue="khfZWFEymwuwGAVxnKpgAgJ78P334R6TXEL6W8zOQvM6UPEwUG1uZpliCrDcEkD0frDsh1SZQ5UfDnVa5A8/tA==" saltValue="86klQbsX8LDq/Qt4J2U5xg==" spinCount="100000" sheet="1" objects="1" scenarios="1"/>
  <mergeCells count="1">
    <mergeCell ref="T36:Z36"/>
  </mergeCells>
  <phoneticPr fontId="9" type="noConversion"/>
  <pageMargins left="0.7" right="0.7" top="0.75" bottom="0.75" header="0.3" footer="0.3"/>
  <pageSetup paperSize="9" scale="10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19">
    <pageSetUpPr fitToPage="1"/>
  </sheetPr>
  <dimension ref="A1:AN336"/>
  <sheetViews>
    <sheetView topLeftCell="B55" zoomScaleNormal="100" workbookViewId="0">
      <pane xSplit="1" topLeftCell="C1" activePane="topRight" state="frozen"/>
      <selection activeCell="B1" sqref="B1"/>
      <selection pane="topRight" activeCell="B128" sqref="A128:XFD128"/>
    </sheetView>
  </sheetViews>
  <sheetFormatPr defaultRowHeight="12" x14ac:dyDescent="0.2"/>
  <cols>
    <col min="1" max="1" width="0" hidden="1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9" max="40" width="11.85546875" customWidth="1"/>
  </cols>
  <sheetData>
    <row r="1" spans="1:38" ht="18" customHeight="1" x14ac:dyDescent="0.2">
      <c r="A1" t="s">
        <v>0</v>
      </c>
      <c r="B1" s="1" t="s">
        <v>1</v>
      </c>
    </row>
    <row r="2" spans="1:38" ht="18" customHeight="1" x14ac:dyDescent="0.2">
      <c r="B2" s="1977" t="s">
        <v>2</v>
      </c>
      <c r="C2" s="1978" t="s">
        <v>3</v>
      </c>
      <c r="D2" s="1979"/>
      <c r="E2" s="1980" t="s">
        <v>4</v>
      </c>
      <c r="F2" s="1981"/>
      <c r="G2" s="1982"/>
      <c r="H2" s="1982"/>
      <c r="I2" s="1982"/>
      <c r="J2" s="1982"/>
      <c r="K2" s="1983"/>
      <c r="L2" s="1984" t="s">
        <v>5</v>
      </c>
      <c r="M2" s="1985"/>
      <c r="N2" s="1986"/>
      <c r="O2" s="1987" t="s">
        <v>6</v>
      </c>
      <c r="P2" s="1988"/>
      <c r="Q2" s="1989"/>
      <c r="R2" s="1990"/>
      <c r="S2" s="1991" t="s">
        <v>7</v>
      </c>
      <c r="T2" s="1992"/>
      <c r="U2" s="1993"/>
      <c r="V2" s="1992"/>
      <c r="W2" s="1994" t="s">
        <v>8</v>
      </c>
      <c r="X2" s="1995"/>
      <c r="Y2" s="1996"/>
      <c r="Z2" s="105" t="s">
        <v>9</v>
      </c>
      <c r="AA2" s="1997"/>
      <c r="AB2" s="1998"/>
      <c r="AC2" s="1999"/>
      <c r="AD2" s="2000" t="s">
        <v>10</v>
      </c>
      <c r="AE2" s="2001"/>
      <c r="AF2" s="2001"/>
      <c r="AG2" s="2002"/>
    </row>
    <row r="3" spans="1:38" ht="18" customHeight="1" x14ac:dyDescent="0.2">
      <c r="A3" s="1"/>
      <c r="B3" s="2003" t="s">
        <v>10</v>
      </c>
      <c r="C3" s="2004" t="s">
        <v>10</v>
      </c>
      <c r="D3" s="2005"/>
      <c r="E3" s="543"/>
      <c r="F3" s="544"/>
      <c r="G3" s="544"/>
      <c r="H3" s="545" t="s">
        <v>10</v>
      </c>
      <c r="I3" s="546"/>
      <c r="J3" s="546"/>
      <c r="K3" s="547"/>
      <c r="L3" s="2006" t="s">
        <v>11</v>
      </c>
      <c r="M3" s="2007"/>
      <c r="N3" s="2008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2007"/>
      <c r="AA3" s="2007"/>
      <c r="AB3" s="2009"/>
      <c r="AC3" s="2010"/>
      <c r="AD3" s="2011" t="s">
        <v>13</v>
      </c>
      <c r="AE3" s="2012"/>
      <c r="AF3" s="2012"/>
      <c r="AG3" s="2013"/>
      <c r="AH3" s="2014" t="s">
        <v>14</v>
      </c>
      <c r="AI3" s="2014"/>
      <c r="AJ3" s="2014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2015"/>
      <c r="D5" s="2016" t="s">
        <v>17</v>
      </c>
      <c r="E5" s="2017"/>
      <c r="F5" s="2015"/>
      <c r="G5" s="2016" t="s">
        <v>18</v>
      </c>
      <c r="H5" s="2017"/>
      <c r="I5" s="2015"/>
      <c r="J5" s="2016" t="s">
        <v>19</v>
      </c>
      <c r="K5" s="2017"/>
      <c r="L5" s="2015"/>
      <c r="M5" s="2016" t="s">
        <v>20</v>
      </c>
      <c r="N5" s="2017"/>
      <c r="O5" s="2015"/>
      <c r="P5" s="2016" t="s">
        <v>21</v>
      </c>
      <c r="Q5" s="2017"/>
      <c r="R5" s="2015"/>
      <c r="S5" s="2016" t="s">
        <v>22</v>
      </c>
      <c r="T5" s="2018"/>
      <c r="U5" s="2019"/>
      <c r="V5" s="2020" t="s">
        <v>23</v>
      </c>
      <c r="W5" s="2018"/>
    </row>
    <row r="6" spans="1:38" ht="18" customHeight="1" x14ac:dyDescent="0.2">
      <c r="A6" s="2021"/>
      <c r="B6" s="2022" t="s">
        <v>24</v>
      </c>
      <c r="C6" s="2023" t="s">
        <v>25</v>
      </c>
      <c r="D6" s="1139"/>
      <c r="E6" s="1550"/>
      <c r="F6" s="1551" t="s">
        <v>25</v>
      </c>
      <c r="G6" s="1142"/>
      <c r="H6" s="1142"/>
      <c r="I6" s="2023" t="s">
        <v>26</v>
      </c>
      <c r="J6" s="1142"/>
      <c r="K6" s="1550"/>
      <c r="L6" s="1551" t="s">
        <v>26</v>
      </c>
      <c r="M6" s="1142"/>
      <c r="N6" s="1550"/>
      <c r="O6" s="1551" t="s">
        <v>27</v>
      </c>
      <c r="P6" s="1142"/>
      <c r="Q6" s="1550"/>
      <c r="R6" s="1142"/>
      <c r="S6" s="1142"/>
      <c r="T6" s="1142"/>
      <c r="U6" s="2022"/>
      <c r="V6" s="1142"/>
      <c r="W6" s="1550"/>
      <c r="X6" s="1142"/>
      <c r="Y6" s="1142"/>
      <c r="Z6" s="1142"/>
      <c r="AA6" s="1142"/>
      <c r="AB6" s="1143"/>
      <c r="AC6" s="1550"/>
      <c r="AD6" s="123"/>
      <c r="AE6" s="123"/>
      <c r="AF6" s="123"/>
      <c r="AG6" s="123"/>
    </row>
    <row r="7" spans="1:38" ht="18" customHeight="1" x14ac:dyDescent="0.2">
      <c r="A7" s="2021"/>
      <c r="B7" s="2022" t="s">
        <v>28</v>
      </c>
      <c r="C7" s="2023" t="s">
        <v>29</v>
      </c>
      <c r="D7" s="1142"/>
      <c r="E7" s="1550"/>
      <c r="F7" s="1551" t="s">
        <v>29</v>
      </c>
      <c r="G7" s="1142"/>
      <c r="H7" s="1142"/>
      <c r="I7" s="2023" t="s">
        <v>29</v>
      </c>
      <c r="J7" s="1142"/>
      <c r="K7" s="1550"/>
      <c r="L7" s="1551" t="s">
        <v>29</v>
      </c>
      <c r="M7" s="1142"/>
      <c r="N7" s="1550"/>
      <c r="O7" s="1551" t="s">
        <v>30</v>
      </c>
      <c r="P7" s="1142"/>
      <c r="Q7" s="1550"/>
      <c r="R7" s="1142"/>
      <c r="S7" s="1142"/>
      <c r="T7" s="1142"/>
      <c r="U7" s="2022"/>
      <c r="V7" s="1142"/>
      <c r="W7" s="1550"/>
      <c r="X7" s="1142"/>
      <c r="Y7" s="1142"/>
      <c r="Z7" s="1142"/>
      <c r="AA7" s="1142"/>
      <c r="AB7" s="1144"/>
      <c r="AC7" s="1550"/>
      <c r="AD7" s="123"/>
      <c r="AE7" s="123"/>
      <c r="AF7" s="123"/>
      <c r="AG7" s="123"/>
    </row>
    <row r="8" spans="1:38" ht="18" customHeight="1" x14ac:dyDescent="0.2">
      <c r="A8" s="2022"/>
      <c r="B8" s="2022" t="s">
        <v>31</v>
      </c>
      <c r="C8" s="2024" t="s">
        <v>32</v>
      </c>
      <c r="D8" s="1146"/>
      <c r="E8" s="1553"/>
      <c r="F8" s="1551" t="s">
        <v>33</v>
      </c>
      <c r="G8" s="1146"/>
      <c r="H8" s="1146"/>
      <c r="I8" s="2024" t="s">
        <v>33</v>
      </c>
      <c r="J8" s="1146"/>
      <c r="K8" s="1553"/>
      <c r="L8" s="1551" t="s">
        <v>33</v>
      </c>
      <c r="M8" s="1146"/>
      <c r="N8" s="1146"/>
      <c r="O8" s="2024" t="s">
        <v>34</v>
      </c>
      <c r="P8" s="1146"/>
      <c r="Q8" s="1553"/>
      <c r="R8" s="1148" t="s">
        <v>35</v>
      </c>
      <c r="S8" s="367"/>
      <c r="T8" s="367"/>
      <c r="U8" s="1149" t="s">
        <v>35</v>
      </c>
      <c r="V8" s="367"/>
      <c r="W8" s="1150"/>
      <c r="X8" s="1142"/>
      <c r="Y8" s="1142"/>
      <c r="Z8" s="1142"/>
      <c r="AA8" s="1142"/>
      <c r="AB8" s="1144"/>
      <c r="AC8" s="1550"/>
      <c r="AD8" s="123"/>
      <c r="AE8" s="123"/>
      <c r="AF8" s="123"/>
      <c r="AG8" s="123"/>
    </row>
    <row r="9" spans="1:38" ht="18" customHeight="1" x14ac:dyDescent="0.2">
      <c r="A9" s="2022"/>
      <c r="B9" s="2022" t="s">
        <v>36</v>
      </c>
      <c r="C9" s="2023" t="s">
        <v>37</v>
      </c>
      <c r="D9" s="1146"/>
      <c r="E9" s="1553"/>
      <c r="F9" s="1551" t="s">
        <v>37</v>
      </c>
      <c r="G9" s="1142"/>
      <c r="H9" s="1142"/>
      <c r="I9" s="2023" t="s">
        <v>37</v>
      </c>
      <c r="J9" s="1142"/>
      <c r="K9" s="1550"/>
      <c r="L9" s="1551" t="s">
        <v>37</v>
      </c>
      <c r="M9" s="1142"/>
      <c r="N9" s="1550"/>
      <c r="O9" s="1551" t="s">
        <v>38</v>
      </c>
      <c r="P9" s="1142"/>
      <c r="Q9" s="1550"/>
      <c r="R9" s="1551" t="s">
        <v>39</v>
      </c>
      <c r="S9" s="1142"/>
      <c r="T9" s="1142"/>
      <c r="U9" s="2023" t="s">
        <v>40</v>
      </c>
      <c r="V9" s="1142"/>
      <c r="W9" s="1550"/>
      <c r="X9" s="1142"/>
      <c r="Y9" s="1142"/>
      <c r="Z9" s="1142"/>
      <c r="AA9" s="1142"/>
      <c r="AB9" s="1144"/>
      <c r="AC9" s="1550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J11" s="2025" t="s">
        <v>41</v>
      </c>
    </row>
    <row r="12" spans="1:38" ht="18" customHeight="1" x14ac:dyDescent="0.2">
      <c r="AJ12" s="2025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</row>
    <row r="14" spans="1:38" ht="18" customHeight="1" x14ac:dyDescent="0.2">
      <c r="A14" s="393" t="s">
        <v>43</v>
      </c>
      <c r="B14" s="394" t="s">
        <v>44</v>
      </c>
      <c r="C14" s="396">
        <v>1</v>
      </c>
      <c r="D14" s="395">
        <v>2</v>
      </c>
      <c r="E14" s="395">
        <v>3</v>
      </c>
      <c r="F14" s="395">
        <v>4</v>
      </c>
      <c r="G14" s="395">
        <v>5</v>
      </c>
      <c r="H14" s="395">
        <v>6</v>
      </c>
      <c r="I14" s="396">
        <v>7</v>
      </c>
      <c r="J14" s="396">
        <v>8</v>
      </c>
      <c r="K14" s="395">
        <v>9</v>
      </c>
      <c r="L14" s="395">
        <v>10</v>
      </c>
      <c r="M14" s="395">
        <v>11</v>
      </c>
      <c r="N14" s="395">
        <v>12</v>
      </c>
      <c r="O14" s="395">
        <v>13</v>
      </c>
      <c r="P14" s="396">
        <v>14</v>
      </c>
      <c r="Q14" s="396">
        <v>15</v>
      </c>
      <c r="R14" s="395">
        <v>16</v>
      </c>
      <c r="S14" s="395">
        <v>17</v>
      </c>
      <c r="T14" s="395">
        <v>18</v>
      </c>
      <c r="U14" s="395">
        <v>19</v>
      </c>
      <c r="V14" s="395">
        <v>20</v>
      </c>
      <c r="W14" s="396">
        <v>21</v>
      </c>
      <c r="X14" s="396">
        <v>22</v>
      </c>
      <c r="Y14" s="395">
        <v>23</v>
      </c>
      <c r="Z14" s="395">
        <v>24</v>
      </c>
      <c r="AA14" s="395">
        <v>25</v>
      </c>
      <c r="AB14" s="395">
        <v>26</v>
      </c>
      <c r="AC14" s="395">
        <v>27</v>
      </c>
      <c r="AD14" s="396">
        <v>28</v>
      </c>
      <c r="AE14" s="396">
        <v>29</v>
      </c>
      <c r="AF14" s="395">
        <v>30</v>
      </c>
      <c r="AG14" s="2026"/>
    </row>
    <row r="15" spans="1:38" ht="18" customHeight="1" x14ac:dyDescent="0.2">
      <c r="A15" s="2027">
        <v>8500</v>
      </c>
      <c r="B15" s="2028" t="s">
        <v>437</v>
      </c>
      <c r="C15" s="2029"/>
      <c r="D15" s="1160" t="s">
        <v>46</v>
      </c>
      <c r="E15" s="1160" t="s">
        <v>46</v>
      </c>
      <c r="F15" s="1160" t="s">
        <v>46</v>
      </c>
      <c r="G15" s="1160" t="s">
        <v>46</v>
      </c>
      <c r="H15" s="1160" t="s">
        <v>46</v>
      </c>
      <c r="I15" s="2030"/>
      <c r="J15" s="2030"/>
      <c r="K15" s="2031" t="s">
        <v>46</v>
      </c>
      <c r="L15" s="1160" t="s">
        <v>46</v>
      </c>
      <c r="M15" s="1160" t="s">
        <v>46</v>
      </c>
      <c r="N15" s="1160" t="s">
        <v>46</v>
      </c>
      <c r="O15" s="1160" t="s">
        <v>46</v>
      </c>
      <c r="P15" s="2030"/>
      <c r="Q15" s="2030"/>
      <c r="R15" s="1160" t="s">
        <v>46</v>
      </c>
      <c r="S15" s="1160" t="s">
        <v>46</v>
      </c>
      <c r="T15" s="1160" t="s">
        <v>24</v>
      </c>
      <c r="U15" s="1160" t="s">
        <v>46</v>
      </c>
      <c r="V15" s="1160" t="s">
        <v>46</v>
      </c>
      <c r="W15" s="2030"/>
      <c r="X15" s="2032" t="s">
        <v>53</v>
      </c>
      <c r="Y15" s="1160" t="s">
        <v>46</v>
      </c>
      <c r="Z15" s="1160" t="s">
        <v>46</v>
      </c>
      <c r="AA15" s="1160" t="s">
        <v>46</v>
      </c>
      <c r="AB15" s="1160" t="s">
        <v>46</v>
      </c>
      <c r="AC15" s="1160" t="s">
        <v>46</v>
      </c>
      <c r="AD15" s="2030"/>
      <c r="AE15" s="2030"/>
      <c r="AF15" s="1160" t="s">
        <v>46</v>
      </c>
      <c r="AG15" s="2033"/>
      <c r="AL15" t="s">
        <v>0</v>
      </c>
    </row>
    <row r="16" spans="1:38" ht="18" customHeight="1" x14ac:dyDescent="0.2">
      <c r="A16" s="2034" t="s">
        <v>47</v>
      </c>
      <c r="B16" s="2035"/>
      <c r="C16" s="2035"/>
      <c r="D16" s="2035"/>
      <c r="E16" s="2035"/>
      <c r="F16" s="2035"/>
      <c r="G16" s="2035"/>
      <c r="H16" s="2035"/>
      <c r="I16" s="2035"/>
      <c r="J16" s="2035"/>
      <c r="K16" s="2035"/>
      <c r="L16" s="2035"/>
      <c r="M16" s="2035"/>
      <c r="N16" s="2035"/>
      <c r="O16" s="2035"/>
      <c r="P16" s="2035"/>
      <c r="Q16" s="2035"/>
      <c r="R16" s="2035"/>
      <c r="S16" s="2035"/>
      <c r="T16" s="2035"/>
      <c r="U16" s="2035"/>
      <c r="V16" s="2035"/>
      <c r="W16" s="2035"/>
      <c r="X16" s="2035"/>
      <c r="Y16" s="2035"/>
      <c r="Z16" s="2035"/>
      <c r="AA16" s="2035"/>
      <c r="AB16" s="2035"/>
      <c r="AC16" s="2035"/>
      <c r="AD16" s="2035"/>
      <c r="AE16" s="2035"/>
      <c r="AF16" s="2035"/>
      <c r="AG16" s="2035"/>
    </row>
    <row r="17" spans="1:40" ht="18" customHeight="1" x14ac:dyDescent="0.2">
      <c r="A17" s="2036">
        <v>8546</v>
      </c>
      <c r="B17" s="594" t="s">
        <v>438</v>
      </c>
      <c r="C17" s="596"/>
      <c r="D17" s="595" t="s">
        <v>51</v>
      </c>
      <c r="E17" s="595" t="s">
        <v>51</v>
      </c>
      <c r="F17" s="597" t="s">
        <v>51</v>
      </c>
      <c r="G17" s="597" t="s">
        <v>51</v>
      </c>
      <c r="H17" s="597" t="s">
        <v>51</v>
      </c>
      <c r="I17" s="595" t="s">
        <v>52</v>
      </c>
      <c r="J17" s="596" t="s">
        <v>52</v>
      </c>
      <c r="K17" s="597" t="s">
        <v>50</v>
      </c>
      <c r="L17" s="595" t="s">
        <v>50</v>
      </c>
      <c r="M17" s="595" t="s">
        <v>50</v>
      </c>
      <c r="N17" s="595" t="s">
        <v>50</v>
      </c>
      <c r="O17" s="595" t="s">
        <v>50</v>
      </c>
      <c r="P17" s="595" t="s">
        <v>53</v>
      </c>
      <c r="Q17" s="595" t="s">
        <v>53</v>
      </c>
      <c r="R17" s="595" t="s">
        <v>49</v>
      </c>
      <c r="S17" s="595" t="s">
        <v>49</v>
      </c>
      <c r="T17" s="595" t="s">
        <v>49</v>
      </c>
      <c r="U17" s="1741" t="s">
        <v>49</v>
      </c>
      <c r="V17" s="595" t="s">
        <v>49</v>
      </c>
      <c r="W17" s="595"/>
      <c r="X17" s="595"/>
      <c r="Y17" s="595" t="s">
        <v>50</v>
      </c>
      <c r="Z17" s="595" t="s">
        <v>50</v>
      </c>
      <c r="AA17" s="595" t="s">
        <v>50</v>
      </c>
      <c r="AB17" s="595" t="s">
        <v>50</v>
      </c>
      <c r="AC17" s="595" t="s">
        <v>50</v>
      </c>
      <c r="AD17" s="595" t="s">
        <v>0</v>
      </c>
      <c r="AE17" s="596"/>
      <c r="AF17" s="595" t="s">
        <v>51</v>
      </c>
      <c r="AG17" s="1171"/>
    </row>
    <row r="18" spans="1:40" ht="18" customHeight="1" x14ac:dyDescent="0.2">
      <c r="A18" s="2037">
        <v>8500</v>
      </c>
      <c r="B18" s="2038" t="s">
        <v>439</v>
      </c>
      <c r="C18" s="2039" t="s">
        <v>52</v>
      </c>
      <c r="D18" s="2039" t="s">
        <v>50</v>
      </c>
      <c r="E18" s="2039" t="s">
        <v>50</v>
      </c>
      <c r="F18" s="2039" t="s">
        <v>50</v>
      </c>
      <c r="G18" s="2039" t="s">
        <v>50</v>
      </c>
      <c r="H18" s="2039" t="s">
        <v>50</v>
      </c>
      <c r="I18" s="2039" t="s">
        <v>53</v>
      </c>
      <c r="J18" s="2039" t="s">
        <v>53</v>
      </c>
      <c r="K18" s="2040" t="s">
        <v>49</v>
      </c>
      <c r="L18" s="2040" t="s">
        <v>49</v>
      </c>
      <c r="M18" s="2040" t="s">
        <v>49</v>
      </c>
      <c r="N18" s="2040" t="s">
        <v>49</v>
      </c>
      <c r="O18" s="2040" t="s">
        <v>49</v>
      </c>
      <c r="P18" s="2040"/>
      <c r="Q18" s="2040"/>
      <c r="R18" s="2040" t="s">
        <v>50</v>
      </c>
      <c r="S18" s="2040" t="s">
        <v>50</v>
      </c>
      <c r="T18" s="2040" t="s">
        <v>50</v>
      </c>
      <c r="U18" s="2041">
        <v>9</v>
      </c>
      <c r="V18" s="2040" t="s">
        <v>50</v>
      </c>
      <c r="W18" s="2040"/>
      <c r="X18" s="2040"/>
      <c r="Y18" s="2041" t="s">
        <v>51</v>
      </c>
      <c r="Z18" s="2040" t="s">
        <v>51</v>
      </c>
      <c r="AA18" s="2040" t="s">
        <v>51</v>
      </c>
      <c r="AB18" s="2040" t="s">
        <v>51</v>
      </c>
      <c r="AC18" s="2019" t="s">
        <v>51</v>
      </c>
      <c r="AD18" s="2042" t="s">
        <v>52</v>
      </c>
      <c r="AE18" s="2019" t="s">
        <v>52</v>
      </c>
      <c r="AF18" s="2040" t="s">
        <v>50</v>
      </c>
      <c r="AG18" s="2043"/>
    </row>
    <row r="19" spans="1:40" ht="18" customHeight="1" x14ac:dyDescent="0.2">
      <c r="A19" s="2037">
        <v>8500</v>
      </c>
      <c r="B19" s="2044" t="s">
        <v>440</v>
      </c>
      <c r="C19" s="2045" t="s">
        <v>53</v>
      </c>
      <c r="D19" s="2046" t="s">
        <v>49</v>
      </c>
      <c r="E19" s="2046" t="s">
        <v>49</v>
      </c>
      <c r="F19" s="2046" t="s">
        <v>49</v>
      </c>
      <c r="G19" s="2046" t="s">
        <v>49</v>
      </c>
      <c r="H19" s="2046" t="s">
        <v>49</v>
      </c>
      <c r="I19" s="2047"/>
      <c r="J19" s="2046"/>
      <c r="K19" s="2046" t="s">
        <v>50</v>
      </c>
      <c r="L19" s="2046" t="s">
        <v>50</v>
      </c>
      <c r="M19" s="2046" t="s">
        <v>50</v>
      </c>
      <c r="N19" s="2040" t="s">
        <v>50</v>
      </c>
      <c r="O19" s="2040" t="s">
        <v>50</v>
      </c>
      <c r="P19" s="2045"/>
      <c r="Q19" s="2045"/>
      <c r="R19" s="2045" t="s">
        <v>51</v>
      </c>
      <c r="S19" s="2046" t="s">
        <v>51</v>
      </c>
      <c r="T19" s="2046" t="s">
        <v>51</v>
      </c>
      <c r="U19" s="2046" t="s">
        <v>51</v>
      </c>
      <c r="V19" s="2046" t="s">
        <v>51</v>
      </c>
      <c r="W19" s="2048" t="s">
        <v>52</v>
      </c>
      <c r="X19" s="2049" t="s">
        <v>52</v>
      </c>
      <c r="Y19" s="2050" t="s">
        <v>50</v>
      </c>
      <c r="Z19" s="2051" t="s">
        <v>50</v>
      </c>
      <c r="AA19" s="2052" t="s">
        <v>50</v>
      </c>
      <c r="AB19" s="2045" t="s">
        <v>50</v>
      </c>
      <c r="AC19" s="2045" t="s">
        <v>50</v>
      </c>
      <c r="AD19" s="2046" t="s">
        <v>53</v>
      </c>
      <c r="AE19" s="2045" t="s">
        <v>53</v>
      </c>
      <c r="AF19" s="2046" t="s">
        <v>49</v>
      </c>
      <c r="AG19" s="2053"/>
      <c r="AJ19" s="241"/>
      <c r="AK19" s="241"/>
      <c r="AL19" s="241"/>
      <c r="AM19" s="241"/>
      <c r="AN19" s="241"/>
    </row>
    <row r="20" spans="1:40" ht="18" customHeight="1" x14ac:dyDescent="0.2">
      <c r="A20" s="2037">
        <v>8546</v>
      </c>
      <c r="B20" s="2054" t="s">
        <v>10</v>
      </c>
      <c r="C20" s="2048"/>
      <c r="D20" s="2055" t="s">
        <v>50</v>
      </c>
      <c r="E20" s="2055" t="s">
        <v>50</v>
      </c>
      <c r="F20" s="2046" t="s">
        <v>50</v>
      </c>
      <c r="G20" s="2046" t="s">
        <v>50</v>
      </c>
      <c r="H20" s="2046" t="s">
        <v>50</v>
      </c>
      <c r="I20" s="2046"/>
      <c r="J20" s="2045"/>
      <c r="K20" s="2045" t="s">
        <v>51</v>
      </c>
      <c r="L20" s="2046" t="s">
        <v>51</v>
      </c>
      <c r="M20" s="2045" t="s">
        <v>51</v>
      </c>
      <c r="N20" s="2045" t="s">
        <v>51</v>
      </c>
      <c r="O20" s="2046" t="s">
        <v>51</v>
      </c>
      <c r="P20" s="2045" t="s">
        <v>52</v>
      </c>
      <c r="Q20" s="2045" t="s">
        <v>52</v>
      </c>
      <c r="R20" s="2045" t="s">
        <v>50</v>
      </c>
      <c r="S20" s="2045" t="s">
        <v>50</v>
      </c>
      <c r="T20" s="2045" t="s">
        <v>50</v>
      </c>
      <c r="U20" s="2040" t="s">
        <v>50</v>
      </c>
      <c r="V20" s="2040" t="s">
        <v>50</v>
      </c>
      <c r="W20" s="2046" t="s">
        <v>53</v>
      </c>
      <c r="X20" s="2046" t="s">
        <v>53</v>
      </c>
      <c r="Y20" s="2046" t="s">
        <v>49</v>
      </c>
      <c r="Z20" s="2046" t="s">
        <v>49</v>
      </c>
      <c r="AA20" s="2046" t="s">
        <v>49</v>
      </c>
      <c r="AB20" s="2046" t="s">
        <v>49</v>
      </c>
      <c r="AC20" s="2056" t="s">
        <v>49</v>
      </c>
      <c r="AD20" s="2046"/>
      <c r="AE20" s="2048"/>
      <c r="AF20" s="2055" t="s">
        <v>50</v>
      </c>
      <c r="AG20" s="2053"/>
      <c r="AJ20" s="123"/>
      <c r="AK20" s="123"/>
      <c r="AL20" s="123"/>
      <c r="AM20" s="215"/>
      <c r="AN20" s="215"/>
    </row>
    <row r="21" spans="1:40" ht="18" customHeight="1" x14ac:dyDescent="0.2">
      <c r="A21" s="2037">
        <v>8546</v>
      </c>
      <c r="B21" s="2044" t="s">
        <v>441</v>
      </c>
      <c r="C21" s="2046"/>
      <c r="D21" s="2048" t="s">
        <v>24</v>
      </c>
      <c r="E21" s="2046" t="s">
        <v>24</v>
      </c>
      <c r="F21" s="2045" t="s">
        <v>24</v>
      </c>
      <c r="G21" s="2046" t="s">
        <v>24</v>
      </c>
      <c r="H21" s="2046" t="s">
        <v>24</v>
      </c>
      <c r="I21" s="2048"/>
      <c r="J21" s="2046"/>
      <c r="K21" s="2046" t="s">
        <v>28</v>
      </c>
      <c r="L21" s="2046" t="s">
        <v>28</v>
      </c>
      <c r="M21" s="2046" t="s">
        <v>28</v>
      </c>
      <c r="N21" s="2046" t="s">
        <v>28</v>
      </c>
      <c r="O21" s="2046" t="s">
        <v>28</v>
      </c>
      <c r="P21" s="2057" t="s">
        <v>52</v>
      </c>
      <c r="Q21" s="2057" t="s">
        <v>52</v>
      </c>
      <c r="R21" s="2047" t="s">
        <v>24</v>
      </c>
      <c r="S21" s="2047" t="s">
        <v>24</v>
      </c>
      <c r="T21" s="2046" t="s">
        <v>24</v>
      </c>
      <c r="U21" s="2057" t="s">
        <v>24</v>
      </c>
      <c r="V21" s="2046" t="s">
        <v>24</v>
      </c>
      <c r="W21" s="2057" t="s">
        <v>53</v>
      </c>
      <c r="X21" s="2048"/>
      <c r="Y21" s="2046" t="s">
        <v>28</v>
      </c>
      <c r="Z21" s="2046" t="s">
        <v>28</v>
      </c>
      <c r="AA21" s="2046" t="s">
        <v>28</v>
      </c>
      <c r="AB21" s="2057" t="s">
        <v>28</v>
      </c>
      <c r="AC21" s="2057" t="s">
        <v>28</v>
      </c>
      <c r="AD21" s="2057" t="s">
        <v>52</v>
      </c>
      <c r="AE21" s="2057" t="s">
        <v>52</v>
      </c>
      <c r="AF21" s="2048" t="s">
        <v>24</v>
      </c>
      <c r="AG21" s="2053"/>
      <c r="AJ21" s="123"/>
      <c r="AK21" s="123"/>
      <c r="AL21" s="123"/>
      <c r="AM21" s="215"/>
      <c r="AN21" s="215"/>
    </row>
    <row r="22" spans="1:40" ht="18" customHeight="1" x14ac:dyDescent="0.2">
      <c r="A22" s="2058">
        <v>8546</v>
      </c>
      <c r="B22" s="2059" t="s">
        <v>442</v>
      </c>
      <c r="C22" s="2060"/>
      <c r="D22" s="2060" t="s">
        <v>28</v>
      </c>
      <c r="E22" s="2060" t="s">
        <v>28</v>
      </c>
      <c r="F22" s="2060" t="s">
        <v>28</v>
      </c>
      <c r="G22" s="2060" t="s">
        <v>28</v>
      </c>
      <c r="H22" s="2060" t="s">
        <v>28</v>
      </c>
      <c r="I22" s="2060"/>
      <c r="J22" s="2060"/>
      <c r="K22" s="2060" t="s">
        <v>24</v>
      </c>
      <c r="L22" s="2060" t="s">
        <v>24</v>
      </c>
      <c r="M22" s="2060" t="s">
        <v>24</v>
      </c>
      <c r="N22" s="2060" t="s">
        <v>24</v>
      </c>
      <c r="O22" s="2060" t="s">
        <v>24</v>
      </c>
      <c r="P22" s="2060" t="s">
        <v>0</v>
      </c>
      <c r="Q22" s="2060" t="s">
        <v>0</v>
      </c>
      <c r="R22" s="2061" t="s">
        <v>28</v>
      </c>
      <c r="S22" s="2061" t="s">
        <v>28</v>
      </c>
      <c r="T22" s="2061" t="s">
        <v>28</v>
      </c>
      <c r="U22" s="2061" t="s">
        <v>28</v>
      </c>
      <c r="V22" s="2061" t="s">
        <v>28</v>
      </c>
      <c r="W22" s="2061"/>
      <c r="X22" s="2061"/>
      <c r="Y22" s="2061" t="s">
        <v>24</v>
      </c>
      <c r="Z22" s="2061" t="s">
        <v>24</v>
      </c>
      <c r="AA22" s="2061" t="s">
        <v>24</v>
      </c>
      <c r="AB22" s="2061" t="s">
        <v>24</v>
      </c>
      <c r="AC22" s="2061" t="s">
        <v>24</v>
      </c>
      <c r="AD22" s="2061"/>
      <c r="AE22" s="2061"/>
      <c r="AF22" s="2062" t="s">
        <v>28</v>
      </c>
      <c r="AG22" s="2063"/>
      <c r="AJ22" s="123"/>
      <c r="AK22" s="123"/>
      <c r="AL22" s="123"/>
      <c r="AM22" s="215"/>
      <c r="AN22" s="215"/>
    </row>
    <row r="23" spans="1:40" ht="18" customHeight="1" x14ac:dyDescent="0.2">
      <c r="A23" s="397" t="s">
        <v>60</v>
      </c>
      <c r="B23" s="398"/>
      <c r="C23" s="398"/>
      <c r="D23" s="398"/>
      <c r="E23" s="398"/>
      <c r="F23" s="398"/>
      <c r="G23" s="398"/>
      <c r="H23" s="398"/>
      <c r="I23" s="398"/>
      <c r="J23" s="398"/>
      <c r="K23" s="398"/>
      <c r="L23" s="398"/>
      <c r="M23" s="398"/>
      <c r="N23" s="398"/>
      <c r="O23" s="398"/>
      <c r="P23" s="398"/>
      <c r="Q23" s="398"/>
      <c r="R23" s="398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398"/>
      <c r="AE23" s="398"/>
      <c r="AF23" s="398"/>
      <c r="AG23" s="398"/>
      <c r="AJ23" s="123"/>
      <c r="AK23" s="123"/>
      <c r="AL23" s="123"/>
      <c r="AM23" s="215"/>
      <c r="AN23" s="215"/>
    </row>
    <row r="24" spans="1:40" ht="18" customHeight="1" x14ac:dyDescent="0.2">
      <c r="A24" s="626">
        <v>8500</v>
      </c>
      <c r="B24" s="1888" t="s">
        <v>443</v>
      </c>
      <c r="C24" s="2064"/>
      <c r="D24" s="2065" t="s">
        <v>46</v>
      </c>
      <c r="E24" s="2065" t="s">
        <v>46</v>
      </c>
      <c r="F24" s="2065" t="s">
        <v>46</v>
      </c>
      <c r="G24" s="2066" t="s">
        <v>46</v>
      </c>
      <c r="H24" s="2066" t="s">
        <v>46</v>
      </c>
      <c r="I24" s="2067"/>
      <c r="J24" s="2064"/>
      <c r="K24" s="2065" t="s">
        <v>46</v>
      </c>
      <c r="L24" s="2065" t="s">
        <v>46</v>
      </c>
      <c r="M24" s="2065" t="s">
        <v>46</v>
      </c>
      <c r="N24" s="2068" t="s">
        <v>46</v>
      </c>
      <c r="O24" s="2066" t="s">
        <v>46</v>
      </c>
      <c r="P24" s="2065"/>
      <c r="Q24" s="2064"/>
      <c r="R24" s="2065" t="s">
        <v>46</v>
      </c>
      <c r="S24" s="2065" t="s">
        <v>46</v>
      </c>
      <c r="T24" s="2065" t="s">
        <v>46</v>
      </c>
      <c r="U24" s="2066" t="s">
        <v>46</v>
      </c>
      <c r="V24" s="2066" t="s">
        <v>46</v>
      </c>
      <c r="W24" s="2065"/>
      <c r="X24" s="2064"/>
      <c r="Y24" s="2065" t="s">
        <v>46</v>
      </c>
      <c r="Z24" s="2065" t="s">
        <v>46</v>
      </c>
      <c r="AA24" s="2069" t="s">
        <v>46</v>
      </c>
      <c r="AB24" s="1868" t="s">
        <v>46</v>
      </c>
      <c r="AC24" s="1868" t="s">
        <v>46</v>
      </c>
      <c r="AD24" s="2069"/>
      <c r="AE24" s="1919"/>
      <c r="AF24" s="2070" t="s">
        <v>46</v>
      </c>
      <c r="AG24" s="1871"/>
      <c r="AJ24" s="2025" t="s">
        <v>41</v>
      </c>
      <c r="AK24" s="2025" t="s">
        <v>62</v>
      </c>
      <c r="AL24" s="2025" t="s">
        <v>63</v>
      </c>
      <c r="AM24" s="2025" t="s">
        <v>64</v>
      </c>
      <c r="AN24" s="2025" t="s">
        <v>65</v>
      </c>
    </row>
    <row r="25" spans="1:40" ht="18" customHeight="1" x14ac:dyDescent="0.2">
      <c r="A25" s="626">
        <v>8500</v>
      </c>
      <c r="B25" s="2044" t="s">
        <v>67</v>
      </c>
      <c r="C25" s="2046"/>
      <c r="D25" s="2046" t="s">
        <v>309</v>
      </c>
      <c r="E25" s="2046" t="s">
        <v>309</v>
      </c>
      <c r="F25" s="2046" t="s">
        <v>309</v>
      </c>
      <c r="G25" s="2046" t="s">
        <v>309</v>
      </c>
      <c r="H25" s="2046" t="s">
        <v>309</v>
      </c>
      <c r="I25" s="2046"/>
      <c r="J25" s="2045"/>
      <c r="K25" s="2071" t="s">
        <v>46</v>
      </c>
      <c r="L25" s="2071" t="s">
        <v>46</v>
      </c>
      <c r="M25" s="2071" t="s">
        <v>46</v>
      </c>
      <c r="N25" s="2071" t="s">
        <v>46</v>
      </c>
      <c r="O25" s="2071" t="s">
        <v>46</v>
      </c>
      <c r="P25" s="2071"/>
      <c r="Q25" s="2071"/>
      <c r="R25" s="2071" t="s">
        <v>46</v>
      </c>
      <c r="S25" s="2071" t="s">
        <v>46</v>
      </c>
      <c r="T25" s="2071" t="s">
        <v>46</v>
      </c>
      <c r="U25" s="2071" t="s">
        <v>46</v>
      </c>
      <c r="V25" s="2071" t="s">
        <v>46</v>
      </c>
      <c r="W25" s="2071"/>
      <c r="X25" s="2071"/>
      <c r="Y25" s="2071" t="s">
        <v>46</v>
      </c>
      <c r="Z25" s="2071" t="s">
        <v>46</v>
      </c>
      <c r="AA25" s="2071" t="s">
        <v>46</v>
      </c>
      <c r="AB25" s="2071" t="s">
        <v>46</v>
      </c>
      <c r="AC25" s="2071" t="s">
        <v>46</v>
      </c>
      <c r="AD25" s="2071"/>
      <c r="AE25" s="2071"/>
      <c r="AF25" s="2040">
        <v>89</v>
      </c>
      <c r="AG25" s="2043"/>
      <c r="AH25" s="123"/>
      <c r="AJ25" s="2072">
        <v>152.75</v>
      </c>
      <c r="AK25" s="2072">
        <v>0</v>
      </c>
      <c r="AL25" s="2072">
        <f>IF(AJ25="","",SUM(AJ25:AK25))</f>
        <v>152.75</v>
      </c>
      <c r="AM25" s="2073">
        <f>IF(AJ25="","",AL25-_xlfn.SINGLE(NormTid))</f>
        <v>-7.5800000000000125</v>
      </c>
      <c r="AN25" s="2073">
        <f>IF(AM25="","",AM25+'August 2024'!AN25)</f>
        <v>-10.820000000000057</v>
      </c>
    </row>
    <row r="26" spans="1:40" ht="18" customHeight="1" thickBot="1" x14ac:dyDescent="0.25">
      <c r="A26" s="2074"/>
      <c r="B26" s="2019" t="s">
        <v>444</v>
      </c>
      <c r="C26" s="2050"/>
      <c r="D26" s="2075" t="s">
        <v>297</v>
      </c>
      <c r="E26" s="2076" t="s">
        <v>297</v>
      </c>
      <c r="F26" s="2076" t="s">
        <v>297</v>
      </c>
      <c r="G26" s="2076" t="s">
        <v>46</v>
      </c>
      <c r="H26" s="2076" t="s">
        <v>297</v>
      </c>
      <c r="I26" s="2040"/>
      <c r="J26" s="2055"/>
      <c r="K26" s="2055" t="s">
        <v>46</v>
      </c>
      <c r="L26" s="2055" t="s">
        <v>297</v>
      </c>
      <c r="M26" s="2055" t="s">
        <v>46</v>
      </c>
      <c r="N26" s="2055" t="s">
        <v>46</v>
      </c>
      <c r="O26" s="2040" t="s">
        <v>46</v>
      </c>
      <c r="P26" s="2040"/>
      <c r="Q26" s="2055"/>
      <c r="R26" s="2055" t="s">
        <v>46</v>
      </c>
      <c r="S26" s="2055" t="s">
        <v>46</v>
      </c>
      <c r="T26" s="2055" t="s">
        <v>46</v>
      </c>
      <c r="U26" s="2055" t="s">
        <v>46</v>
      </c>
      <c r="V26" s="2055" t="s">
        <v>46</v>
      </c>
      <c r="W26" s="2040"/>
      <c r="X26" s="2040"/>
      <c r="Y26" s="2055" t="s">
        <v>46</v>
      </c>
      <c r="Z26" s="2055" t="s">
        <v>46</v>
      </c>
      <c r="AA26" s="2055" t="s">
        <v>46</v>
      </c>
      <c r="AB26" s="2055" t="s">
        <v>297</v>
      </c>
      <c r="AC26" s="2040" t="s">
        <v>297</v>
      </c>
      <c r="AD26" s="2040"/>
      <c r="AE26" s="2040"/>
      <c r="AF26" s="2077" t="s">
        <v>297</v>
      </c>
      <c r="AG26" s="2078"/>
      <c r="AH26" s="123"/>
    </row>
    <row r="27" spans="1:40" ht="18" customHeight="1" x14ac:dyDescent="0.2">
      <c r="A27" s="2079"/>
      <c r="B27" s="2080" t="s">
        <v>445</v>
      </c>
      <c r="C27" s="2081"/>
      <c r="D27" s="2082" t="s">
        <v>46</v>
      </c>
      <c r="E27" s="2082" t="s">
        <v>46</v>
      </c>
      <c r="F27" s="2083" t="s">
        <v>46</v>
      </c>
      <c r="G27" s="2084" t="s">
        <v>46</v>
      </c>
      <c r="H27" s="2084" t="s">
        <v>46</v>
      </c>
      <c r="I27" s="2082"/>
      <c r="J27" s="2081"/>
      <c r="K27" s="2082">
        <v>3</v>
      </c>
      <c r="L27" s="2082">
        <v>3</v>
      </c>
      <c r="M27" s="2082" t="s">
        <v>46</v>
      </c>
      <c r="N27" s="2085" t="s">
        <v>46</v>
      </c>
      <c r="O27" s="2084">
        <v>1</v>
      </c>
      <c r="P27" s="2082"/>
      <c r="Q27" s="2081"/>
      <c r="R27" s="2082" t="s">
        <v>46</v>
      </c>
      <c r="S27" s="2086" t="s">
        <v>46</v>
      </c>
      <c r="T27" s="2082" t="s">
        <v>46</v>
      </c>
      <c r="U27" s="2084" t="s">
        <v>46</v>
      </c>
      <c r="V27" s="2084" t="s">
        <v>46</v>
      </c>
      <c r="W27" s="2082"/>
      <c r="X27" s="2081"/>
      <c r="Y27" s="2082" t="s">
        <v>46</v>
      </c>
      <c r="Z27" s="2082" t="s">
        <v>46</v>
      </c>
      <c r="AA27" s="2082" t="s">
        <v>46</v>
      </c>
      <c r="AB27" s="2084" t="s">
        <v>46</v>
      </c>
      <c r="AC27" s="2084" t="s">
        <v>46</v>
      </c>
      <c r="AD27" s="2082"/>
      <c r="AE27" s="2081"/>
      <c r="AF27" s="2082" t="s">
        <v>46</v>
      </c>
      <c r="AG27" s="2087"/>
      <c r="AH27" s="123"/>
    </row>
    <row r="28" spans="1:40" ht="18" customHeight="1" x14ac:dyDescent="0.2">
      <c r="A28" s="2088"/>
      <c r="B28" s="2089"/>
      <c r="C28" s="2090"/>
      <c r="D28" s="2091"/>
      <c r="E28" s="2091"/>
      <c r="F28" s="2091" t="s">
        <v>0</v>
      </c>
      <c r="G28" s="2089" t="s">
        <v>0</v>
      </c>
      <c r="H28" s="2089"/>
      <c r="I28" s="2092"/>
      <c r="J28" s="2093"/>
      <c r="K28" s="2094"/>
      <c r="L28" s="2094"/>
      <c r="M28" s="2094"/>
      <c r="N28" s="2094"/>
      <c r="O28" s="2094"/>
      <c r="P28" s="2094" t="s">
        <v>0</v>
      </c>
      <c r="Q28" s="2094" t="s">
        <v>0</v>
      </c>
      <c r="R28" s="2095"/>
      <c r="S28" s="2095"/>
      <c r="T28" s="2095" t="s">
        <v>0</v>
      </c>
      <c r="U28" s="2093"/>
      <c r="V28" s="2096"/>
      <c r="W28" s="2097"/>
      <c r="X28" s="2097" t="s">
        <v>0</v>
      </c>
      <c r="Y28" s="2097"/>
      <c r="Z28" s="2097"/>
      <c r="AA28" s="2097"/>
      <c r="AB28" s="2097"/>
      <c r="AC28" s="2098"/>
      <c r="AD28" s="2095"/>
      <c r="AE28" s="2093"/>
      <c r="AF28" s="2095"/>
      <c r="AG28" s="2099"/>
      <c r="AH28" s="123"/>
    </row>
    <row r="29" spans="1:40" ht="18" customHeight="1" x14ac:dyDescent="0.2">
      <c r="A29" s="245"/>
      <c r="B29" s="246"/>
      <c r="C29" s="247"/>
      <c r="D29" s="2045">
        <v>4</v>
      </c>
      <c r="E29" s="248" t="s">
        <v>0</v>
      </c>
      <c r="F29" s="248" t="s">
        <v>0</v>
      </c>
      <c r="G29" s="246"/>
      <c r="H29" s="246" t="s">
        <v>0</v>
      </c>
      <c r="I29" s="307"/>
      <c r="J29" s="298"/>
      <c r="K29" s="299">
        <v>21</v>
      </c>
      <c r="L29" s="299">
        <v>21</v>
      </c>
      <c r="M29" s="299">
        <v>21</v>
      </c>
      <c r="N29" s="299">
        <v>21</v>
      </c>
      <c r="O29" s="299">
        <v>21</v>
      </c>
      <c r="P29" s="299">
        <v>21</v>
      </c>
      <c r="Q29" s="299">
        <v>21</v>
      </c>
      <c r="R29" s="299" t="s">
        <v>0</v>
      </c>
      <c r="S29" s="299" t="s">
        <v>0</v>
      </c>
      <c r="T29" s="299"/>
      <c r="U29" s="250"/>
      <c r="V29" s="250"/>
      <c r="W29" s="250" t="s">
        <v>0</v>
      </c>
      <c r="X29" s="123" t="s">
        <v>0</v>
      </c>
      <c r="Y29" s="299"/>
      <c r="Z29" s="299"/>
      <c r="AA29" s="299"/>
      <c r="AB29" s="123"/>
      <c r="AC29" s="123" t="s">
        <v>0</v>
      </c>
      <c r="AD29" s="299" t="s">
        <v>0</v>
      </c>
      <c r="AE29" s="298" t="s">
        <v>0</v>
      </c>
      <c r="AF29" s="299" t="s">
        <v>0</v>
      </c>
      <c r="AG29" s="308">
        <v>89</v>
      </c>
      <c r="AH29" s="123"/>
    </row>
    <row r="30" spans="1:40" ht="18" customHeight="1" x14ac:dyDescent="0.2">
      <c r="A30" s="249"/>
      <c r="B30" s="250"/>
      <c r="C30" s="251"/>
      <c r="D30" s="252">
        <v>3</v>
      </c>
      <c r="E30" s="252"/>
      <c r="F30" s="252">
        <v>79</v>
      </c>
      <c r="G30" s="250"/>
      <c r="H30" s="250"/>
      <c r="I30" s="309" t="s">
        <v>0</v>
      </c>
      <c r="J30" s="298"/>
      <c r="K30" s="298"/>
      <c r="L30" s="298"/>
      <c r="M30" s="298"/>
      <c r="N30" s="298"/>
      <c r="O30" s="298">
        <v>9</v>
      </c>
      <c r="P30" s="298"/>
      <c r="Q30" s="298"/>
      <c r="R30" s="299"/>
      <c r="S30" s="299"/>
      <c r="T30" s="304"/>
      <c r="U30" s="250"/>
      <c r="V30" s="250"/>
      <c r="W30" s="250" t="s">
        <v>143</v>
      </c>
      <c r="X30" s="298" t="s">
        <v>104</v>
      </c>
      <c r="Y30" s="299"/>
      <c r="Z30" s="299"/>
      <c r="AA30" s="299"/>
      <c r="AB30" s="299"/>
      <c r="AC30" s="299"/>
      <c r="AD30" s="299"/>
      <c r="AE30" s="298"/>
      <c r="AF30" s="299" t="s">
        <v>0</v>
      </c>
      <c r="AG30" s="310"/>
      <c r="AH30" s="123"/>
    </row>
    <row r="31" spans="1:40" ht="18" customHeight="1" x14ac:dyDescent="0.2">
      <c r="A31" s="249"/>
      <c r="B31" s="250"/>
      <c r="C31" s="251"/>
      <c r="D31" s="252"/>
      <c r="E31" s="252"/>
      <c r="F31" s="252">
        <v>89</v>
      </c>
      <c r="G31" s="252"/>
      <c r="H31" s="252"/>
      <c r="I31" s="306"/>
      <c r="J31" s="305"/>
      <c r="K31" s="304"/>
      <c r="L31" s="303"/>
      <c r="M31" s="2100"/>
      <c r="N31" s="303"/>
      <c r="O31" s="303"/>
      <c r="P31" s="304"/>
      <c r="Q31" s="305"/>
      <c r="R31" s="304"/>
      <c r="S31" s="304"/>
      <c r="U31" s="250" t="s">
        <v>0</v>
      </c>
      <c r="V31" s="250" t="s">
        <v>0</v>
      </c>
      <c r="W31" s="250"/>
      <c r="X31" s="305"/>
      <c r="Y31" s="329">
        <v>1</v>
      </c>
      <c r="Z31" s="329">
        <v>1</v>
      </c>
      <c r="AA31" s="329">
        <v>1</v>
      </c>
      <c r="AB31" s="330"/>
      <c r="AC31" s="330"/>
      <c r="AD31" s="329"/>
      <c r="AE31" s="331"/>
      <c r="AF31" s="304"/>
      <c r="AG31" s="311"/>
      <c r="AH31" s="123"/>
    </row>
    <row r="32" spans="1:40" ht="18" customHeight="1" x14ac:dyDescent="0.2">
      <c r="A32" s="249"/>
      <c r="B32" s="250"/>
      <c r="C32" s="251"/>
      <c r="D32" s="252"/>
      <c r="E32" s="252"/>
      <c r="F32" s="252"/>
      <c r="G32" s="250"/>
      <c r="H32" s="250"/>
      <c r="I32" s="306"/>
      <c r="J32" s="312"/>
      <c r="K32" s="276"/>
      <c r="L32" s="276"/>
      <c r="M32" s="276"/>
      <c r="N32" s="276"/>
      <c r="O32" s="276"/>
      <c r="P32" s="276"/>
      <c r="Q32" s="312"/>
      <c r="R32" s="306"/>
      <c r="S32" s="306"/>
      <c r="T32" s="306"/>
      <c r="U32" s="250"/>
      <c r="V32" s="250"/>
      <c r="W32" s="250"/>
      <c r="X32" s="327"/>
      <c r="Y32" s="134"/>
      <c r="Z32" s="134"/>
      <c r="AA32" s="134"/>
      <c r="AB32" s="134"/>
      <c r="AC32" s="134"/>
      <c r="AD32" s="134"/>
      <c r="AE32" s="134"/>
      <c r="AF32" s="328"/>
      <c r="AG32" s="311"/>
      <c r="AH32" s="123"/>
    </row>
    <row r="33" spans="1:38" ht="18" customHeight="1" x14ac:dyDescent="0.2">
      <c r="A33" s="249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46"/>
      <c r="Z33" s="246"/>
      <c r="AA33" s="246"/>
      <c r="AB33" s="246"/>
      <c r="AC33" s="246"/>
      <c r="AD33" s="246"/>
      <c r="AE33" s="246"/>
      <c r="AF33" s="250"/>
      <c r="AG33" s="250"/>
    </row>
    <row r="34" spans="1:38" ht="18" customHeight="1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</row>
    <row r="35" spans="1:38" ht="12.75" x14ac:dyDescent="0.2">
      <c r="A35" s="103" t="s">
        <v>82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83</v>
      </c>
      <c r="R35" s="48" t="s">
        <v>0</v>
      </c>
      <c r="S35" s="48" t="s">
        <v>84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K35" s="1"/>
    </row>
    <row r="36" spans="1:38" ht="18" customHeight="1" x14ac:dyDescent="0.2">
      <c r="A36" s="1762" t="s">
        <v>85</v>
      </c>
      <c r="B36" s="1763"/>
      <c r="C36" s="1763"/>
      <c r="D36" s="2101" t="s">
        <v>86</v>
      </c>
      <c r="E36" s="1765"/>
      <c r="F36" s="1765"/>
      <c r="G36" s="1765"/>
      <c r="H36" s="1765"/>
      <c r="I36" s="1765"/>
      <c r="J36" s="1765"/>
      <c r="K36" s="1765"/>
      <c r="L36" s="1765"/>
      <c r="M36" s="1766" t="s">
        <v>87</v>
      </c>
      <c r="N36" s="1765"/>
      <c r="O36" s="1765"/>
      <c r="P36" s="1765"/>
      <c r="Q36" s="1765"/>
      <c r="R36" s="1765"/>
      <c r="S36" s="1767"/>
      <c r="T36" s="4979" t="s">
        <v>88</v>
      </c>
      <c r="U36" s="4980"/>
      <c r="V36" s="4980"/>
      <c r="W36" s="4980"/>
      <c r="X36" s="4980"/>
      <c r="Y36" s="4980"/>
      <c r="Z36" s="4981"/>
      <c r="AA36" s="2102" t="s">
        <v>89</v>
      </c>
      <c r="AB36" s="2103"/>
      <c r="AC36" s="2103"/>
      <c r="AD36" s="2103"/>
      <c r="AE36" s="2103"/>
      <c r="AF36" s="2103"/>
      <c r="AG36" s="2104"/>
      <c r="AK36" s="1"/>
    </row>
    <row r="37" spans="1:38" ht="18" customHeight="1" x14ac:dyDescent="0.2">
      <c r="A37" s="2105" t="s">
        <v>90</v>
      </c>
      <c r="B37" s="2106"/>
      <c r="C37" s="2106"/>
      <c r="D37" s="2107" t="s">
        <v>91</v>
      </c>
      <c r="E37" s="2108"/>
      <c r="F37" s="2007"/>
      <c r="G37" s="2007"/>
      <c r="H37" s="2007"/>
      <c r="I37" s="2007"/>
      <c r="J37" s="2007"/>
      <c r="K37" s="2007"/>
      <c r="L37" s="2109"/>
      <c r="M37" s="2110" t="s">
        <v>92</v>
      </c>
      <c r="N37" s="2106"/>
      <c r="O37" s="2111"/>
      <c r="P37" s="2106"/>
      <c r="Q37" s="2106"/>
      <c r="R37" s="2106"/>
      <c r="S37" s="2112"/>
      <c r="T37" s="2107" t="s">
        <v>93</v>
      </c>
      <c r="U37" s="2007"/>
      <c r="V37" s="2108"/>
      <c r="W37" s="2007"/>
      <c r="X37" s="2007"/>
      <c r="Y37" s="2007"/>
      <c r="Z37" s="2109"/>
      <c r="AA37" s="104" t="s">
        <v>94</v>
      </c>
      <c r="AD37" s="60"/>
      <c r="AF37" t="s">
        <v>0</v>
      </c>
      <c r="AG37" s="63"/>
      <c r="AK37" s="1"/>
    </row>
    <row r="38" spans="1:38" ht="18" customHeight="1" x14ac:dyDescent="0.2">
      <c r="A38" s="2113" t="s">
        <v>95</v>
      </c>
      <c r="B38" s="2007"/>
      <c r="C38" s="2007"/>
      <c r="D38" s="2114"/>
      <c r="E38" s="2007"/>
      <c r="F38" s="2007"/>
      <c r="G38" s="2109"/>
      <c r="H38" s="2115" t="s">
        <v>96</v>
      </c>
      <c r="I38" s="2007"/>
      <c r="J38" s="2007"/>
      <c r="K38" s="2007"/>
      <c r="L38" s="2007"/>
      <c r="M38" s="2116"/>
      <c r="N38" s="2007"/>
      <c r="O38" s="2007"/>
      <c r="P38" s="2007"/>
      <c r="Q38" s="2007"/>
      <c r="R38" s="2007"/>
      <c r="S38" s="2007"/>
      <c r="T38" s="2114"/>
      <c r="U38" s="103" t="s">
        <v>97</v>
      </c>
      <c r="AA38" s="2111"/>
      <c r="AB38" s="2106"/>
      <c r="AC38" s="2106"/>
      <c r="AD38" s="2106"/>
      <c r="AE38" s="2106"/>
      <c r="AF38" s="2106"/>
      <c r="AG38" s="2117"/>
      <c r="AJ38" t="s">
        <v>446</v>
      </c>
      <c r="AK38" s="42"/>
    </row>
    <row r="39" spans="1:38" ht="18" customHeight="1" x14ac:dyDescent="0.2">
      <c r="A39" s="2118" t="s">
        <v>98</v>
      </c>
      <c r="B39" s="2119"/>
      <c r="C39" s="2119"/>
      <c r="D39" s="2120"/>
      <c r="E39" s="2119"/>
      <c r="F39" s="2119"/>
      <c r="G39" s="2121"/>
      <c r="H39" s="2122" t="s">
        <v>99</v>
      </c>
      <c r="I39" s="2121"/>
      <c r="J39" s="2119"/>
      <c r="K39" s="2119"/>
      <c r="L39" s="2119"/>
      <c r="M39" s="2123"/>
      <c r="N39" s="2119"/>
      <c r="O39" s="2119"/>
      <c r="P39" s="2119"/>
      <c r="Q39" s="2124"/>
      <c r="R39" s="2124"/>
      <c r="S39" s="2124" t="s">
        <v>447</v>
      </c>
      <c r="T39" s="2120"/>
      <c r="U39" s="2125" t="s">
        <v>100</v>
      </c>
      <c r="V39" s="2119"/>
      <c r="W39" s="2119"/>
      <c r="X39" s="2119"/>
      <c r="Y39" s="2119"/>
      <c r="Z39" s="2119"/>
      <c r="AA39" s="2119"/>
      <c r="AB39" s="2119"/>
      <c r="AC39" s="2119"/>
      <c r="AD39" s="2119"/>
      <c r="AE39" s="2119"/>
      <c r="AF39" s="2119"/>
      <c r="AG39" s="2126"/>
      <c r="AK39" s="1"/>
    </row>
    <row r="40" spans="1:38" ht="18" customHeight="1" x14ac:dyDescent="0.2">
      <c r="B40" s="64" t="s">
        <v>42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</row>
    <row r="41" spans="1:38" ht="18" customHeight="1" x14ac:dyDescent="0.2">
      <c r="A41" s="2127" t="s">
        <v>43</v>
      </c>
      <c r="B41" s="2128" t="s">
        <v>448</v>
      </c>
      <c r="C41" s="396">
        <v>1</v>
      </c>
      <c r="D41" s="395">
        <v>2</v>
      </c>
      <c r="E41" s="395">
        <v>3</v>
      </c>
      <c r="F41" s="395">
        <v>4</v>
      </c>
      <c r="G41" s="395">
        <v>5</v>
      </c>
      <c r="H41" s="395">
        <v>6</v>
      </c>
      <c r="I41" s="396">
        <v>7</v>
      </c>
      <c r="J41" s="396">
        <v>8</v>
      </c>
      <c r="K41" s="395">
        <v>9</v>
      </c>
      <c r="L41" s="395">
        <v>10</v>
      </c>
      <c r="M41" s="395">
        <v>11</v>
      </c>
      <c r="N41" s="395">
        <v>12</v>
      </c>
      <c r="O41" s="395">
        <v>13</v>
      </c>
      <c r="P41" s="396">
        <v>14</v>
      </c>
      <c r="Q41" s="396">
        <v>15</v>
      </c>
      <c r="R41" s="395">
        <v>16</v>
      </c>
      <c r="S41" s="395">
        <v>17</v>
      </c>
      <c r="T41" s="395">
        <v>18</v>
      </c>
      <c r="U41" s="395">
        <v>19</v>
      </c>
      <c r="V41" s="395">
        <v>20</v>
      </c>
      <c r="W41" s="396">
        <v>21</v>
      </c>
      <c r="X41" s="396">
        <v>22</v>
      </c>
      <c r="Y41" s="395">
        <v>23</v>
      </c>
      <c r="Z41" s="395">
        <v>24</v>
      </c>
      <c r="AA41" s="395">
        <v>25</v>
      </c>
      <c r="AB41" s="395">
        <v>26</v>
      </c>
      <c r="AC41" s="395">
        <v>27</v>
      </c>
      <c r="AD41" s="396">
        <v>28</v>
      </c>
      <c r="AE41" s="396">
        <v>29</v>
      </c>
      <c r="AF41" s="395">
        <v>30</v>
      </c>
      <c r="AG41" s="2026"/>
      <c r="AL41" t="s">
        <v>0</v>
      </c>
    </row>
    <row r="42" spans="1:38" ht="18" customHeight="1" x14ac:dyDescent="0.2">
      <c r="A42" s="1771">
        <v>1</v>
      </c>
      <c r="B42" s="1888" t="s">
        <v>0</v>
      </c>
      <c r="C42" s="1897" t="s">
        <v>104</v>
      </c>
      <c r="D42" s="1868">
        <v>6</v>
      </c>
      <c r="E42" s="1897">
        <v>6</v>
      </c>
      <c r="F42" s="1897">
        <v>6</v>
      </c>
      <c r="G42" s="1897">
        <v>6</v>
      </c>
      <c r="H42" s="1897">
        <v>6</v>
      </c>
      <c r="I42" s="1897"/>
      <c r="J42" s="1868"/>
      <c r="K42" s="1897" t="s">
        <v>50</v>
      </c>
      <c r="L42" s="1897" t="s">
        <v>50</v>
      </c>
      <c r="M42" s="1897" t="s">
        <v>50</v>
      </c>
      <c r="N42" s="1897" t="s">
        <v>50</v>
      </c>
      <c r="O42" s="1868" t="s">
        <v>50</v>
      </c>
      <c r="P42" s="1897"/>
      <c r="Q42" s="1899"/>
      <c r="R42" s="1868">
        <v>5</v>
      </c>
      <c r="S42" s="1897">
        <v>5</v>
      </c>
      <c r="T42" s="1897">
        <v>5</v>
      </c>
      <c r="U42" s="1897">
        <v>5</v>
      </c>
      <c r="V42" s="1897">
        <v>5</v>
      </c>
      <c r="W42" s="1897"/>
      <c r="X42" s="1899"/>
      <c r="Y42" s="1899">
        <v>10</v>
      </c>
      <c r="Z42" s="1897">
        <v>10</v>
      </c>
      <c r="AA42" s="1897">
        <v>10</v>
      </c>
      <c r="AB42" s="1899">
        <v>10</v>
      </c>
      <c r="AC42" s="1899">
        <v>10</v>
      </c>
      <c r="AD42" s="1899" t="s">
        <v>106</v>
      </c>
      <c r="AE42" s="1897" t="s">
        <v>106</v>
      </c>
      <c r="AF42" s="1897" t="s">
        <v>50</v>
      </c>
      <c r="AG42" s="2129"/>
    </row>
    <row r="43" spans="1:38" ht="18" customHeight="1" thickBot="1" x14ac:dyDescent="0.25">
      <c r="A43" s="2130">
        <v>6</v>
      </c>
      <c r="B43" s="2044" t="s">
        <v>105</v>
      </c>
      <c r="C43" s="2050" t="s">
        <v>107</v>
      </c>
      <c r="D43" s="2131">
        <v>7</v>
      </c>
      <c r="E43" s="2131">
        <v>7</v>
      </c>
      <c r="F43" s="2131">
        <v>7</v>
      </c>
      <c r="G43" s="2131">
        <v>7</v>
      </c>
      <c r="H43" s="2131">
        <v>7</v>
      </c>
      <c r="I43" s="2050"/>
      <c r="J43" s="2050"/>
      <c r="K43" s="2057">
        <v>4</v>
      </c>
      <c r="L43" s="2050">
        <v>4</v>
      </c>
      <c r="M43" s="2050">
        <v>4</v>
      </c>
      <c r="N43" s="2050">
        <v>4</v>
      </c>
      <c r="O43" s="2050">
        <v>4</v>
      </c>
      <c r="P43" s="2050"/>
      <c r="Q43" s="2050"/>
      <c r="R43" s="2019">
        <v>3</v>
      </c>
      <c r="S43" s="2019">
        <v>3</v>
      </c>
      <c r="T43" s="2019">
        <v>3</v>
      </c>
      <c r="U43" s="2050">
        <v>3</v>
      </c>
      <c r="V43" s="2019">
        <v>3</v>
      </c>
      <c r="W43" s="2050"/>
      <c r="X43" s="2050"/>
      <c r="Y43" s="2019">
        <v>11</v>
      </c>
      <c r="Z43" s="2019">
        <v>11</v>
      </c>
      <c r="AA43" s="2019">
        <v>11</v>
      </c>
      <c r="AB43" s="2019">
        <v>11</v>
      </c>
      <c r="AC43" s="2132">
        <v>11</v>
      </c>
      <c r="AD43" s="2132" t="s">
        <v>109</v>
      </c>
      <c r="AE43" s="2132" t="s">
        <v>109</v>
      </c>
      <c r="AF43" s="2132" t="s">
        <v>102</v>
      </c>
      <c r="AG43" s="2043"/>
    </row>
    <row r="44" spans="1:38" ht="18" customHeight="1" thickBot="1" x14ac:dyDescent="0.25">
      <c r="A44" s="2133">
        <v>11</v>
      </c>
      <c r="B44" s="2059" t="s">
        <v>108</v>
      </c>
      <c r="C44" s="2134" t="s">
        <v>104</v>
      </c>
      <c r="D44" s="2134">
        <v>8</v>
      </c>
      <c r="E44" s="2134">
        <v>8</v>
      </c>
      <c r="F44" s="2134">
        <v>8</v>
      </c>
      <c r="G44" s="2134">
        <v>8</v>
      </c>
      <c r="H44" s="2134">
        <v>8</v>
      </c>
      <c r="I44" s="2135"/>
      <c r="J44" s="2135"/>
      <c r="K44" s="2136" t="s">
        <v>50</v>
      </c>
      <c r="L44" s="2136" t="s">
        <v>50</v>
      </c>
      <c r="M44" s="2137" t="s">
        <v>50</v>
      </c>
      <c r="N44" s="2138" t="s">
        <v>188</v>
      </c>
      <c r="O44" s="2136" t="s">
        <v>50</v>
      </c>
      <c r="P44" s="2135"/>
      <c r="Q44" s="2135"/>
      <c r="R44" s="1970">
        <v>1</v>
      </c>
      <c r="S44" s="1970" t="s">
        <v>396</v>
      </c>
      <c r="T44" s="2139">
        <v>1</v>
      </c>
      <c r="U44" s="1970">
        <v>1</v>
      </c>
      <c r="V44" s="1970" t="s">
        <v>396</v>
      </c>
      <c r="W44" s="2140"/>
      <c r="X44" s="2135"/>
      <c r="Y44" s="2135">
        <v>9</v>
      </c>
      <c r="Z44" s="2135">
        <v>9</v>
      </c>
      <c r="AA44" s="2135">
        <v>9</v>
      </c>
      <c r="AB44" s="2135">
        <v>9</v>
      </c>
      <c r="AC44" s="2135">
        <v>9</v>
      </c>
      <c r="AD44" s="2135" t="s">
        <v>70</v>
      </c>
      <c r="AE44" s="2141" t="s">
        <v>70</v>
      </c>
      <c r="AF44" s="2135" t="s">
        <v>50</v>
      </c>
      <c r="AG44" s="2142"/>
    </row>
    <row r="45" spans="1:38" ht="18" customHeight="1" x14ac:dyDescent="0.2">
      <c r="A45" s="1771">
        <v>2</v>
      </c>
      <c r="B45" s="1888" t="s">
        <v>0</v>
      </c>
      <c r="C45" s="2069"/>
      <c r="D45" s="2069" t="s">
        <v>50</v>
      </c>
      <c r="E45" s="2069" t="s">
        <v>50</v>
      </c>
      <c r="F45" s="1870" t="s">
        <v>50</v>
      </c>
      <c r="G45" s="1870" t="s">
        <v>50</v>
      </c>
      <c r="H45" s="1897" t="s">
        <v>50</v>
      </c>
      <c r="I45" s="1897"/>
      <c r="J45" s="1868"/>
      <c r="K45" s="1868">
        <v>5</v>
      </c>
      <c r="L45" s="1897">
        <v>5</v>
      </c>
      <c r="M45" s="1897">
        <v>5</v>
      </c>
      <c r="N45" s="1897">
        <v>5</v>
      </c>
      <c r="O45" s="1899">
        <v>5</v>
      </c>
      <c r="P45" s="1897"/>
      <c r="Q45" s="1899"/>
      <c r="R45" s="1899">
        <v>10</v>
      </c>
      <c r="S45" s="1868">
        <v>10</v>
      </c>
      <c r="T45" s="1899">
        <v>10</v>
      </c>
      <c r="U45" s="1899">
        <v>10</v>
      </c>
      <c r="V45" s="1899">
        <v>10</v>
      </c>
      <c r="W45" s="1899" t="s">
        <v>106</v>
      </c>
      <c r="X45" s="1899" t="s">
        <v>106</v>
      </c>
      <c r="Y45" s="1897" t="s">
        <v>50</v>
      </c>
      <c r="Z45" s="1897" t="s">
        <v>50</v>
      </c>
      <c r="AA45" s="1897" t="s">
        <v>50</v>
      </c>
      <c r="AB45" s="1897" t="s">
        <v>50</v>
      </c>
      <c r="AC45" s="1899" t="s">
        <v>50</v>
      </c>
      <c r="AD45" s="1899" t="s">
        <v>107</v>
      </c>
      <c r="AE45" s="1897" t="s">
        <v>107</v>
      </c>
      <c r="AF45" s="1897">
        <v>7</v>
      </c>
      <c r="AG45" s="2129"/>
    </row>
    <row r="46" spans="1:38" ht="18" customHeight="1" x14ac:dyDescent="0.2">
      <c r="A46" s="2130">
        <v>7</v>
      </c>
      <c r="B46" s="2044" t="s">
        <v>114</v>
      </c>
      <c r="C46" s="2143"/>
      <c r="D46" s="2045">
        <v>4</v>
      </c>
      <c r="E46" s="2045">
        <v>4</v>
      </c>
      <c r="F46" s="2045">
        <v>4</v>
      </c>
      <c r="G46" s="2144">
        <v>4</v>
      </c>
      <c r="H46" s="2144">
        <v>4</v>
      </c>
      <c r="I46" s="2040"/>
      <c r="J46" s="2055"/>
      <c r="K46" s="2071">
        <v>3</v>
      </c>
      <c r="L46" s="2071">
        <v>3</v>
      </c>
      <c r="M46" s="2071">
        <v>3</v>
      </c>
      <c r="N46" s="2071">
        <v>3</v>
      </c>
      <c r="O46" s="2071">
        <v>3</v>
      </c>
      <c r="P46" s="2071"/>
      <c r="Q46" s="2071"/>
      <c r="R46" s="2071">
        <v>11</v>
      </c>
      <c r="S46" s="2071">
        <v>11</v>
      </c>
      <c r="T46" s="2071">
        <v>11</v>
      </c>
      <c r="U46" s="2071">
        <v>11</v>
      </c>
      <c r="V46" s="2071">
        <v>11</v>
      </c>
      <c r="W46" s="2071" t="s">
        <v>109</v>
      </c>
      <c r="X46" s="2071" t="s">
        <v>109</v>
      </c>
      <c r="Y46" s="2071" t="s">
        <v>50</v>
      </c>
      <c r="Z46" s="2071" t="s">
        <v>50</v>
      </c>
      <c r="AA46" s="2071" t="s">
        <v>50</v>
      </c>
      <c r="AB46" s="2071" t="s">
        <v>50</v>
      </c>
      <c r="AC46" s="2071" t="s">
        <v>50</v>
      </c>
      <c r="AD46" s="2071" t="s">
        <v>104</v>
      </c>
      <c r="AE46" s="2071" t="s">
        <v>104</v>
      </c>
      <c r="AF46" s="2077">
        <v>8</v>
      </c>
      <c r="AG46" s="2078"/>
    </row>
    <row r="47" spans="1:38" ht="18" customHeight="1" x14ac:dyDescent="0.2">
      <c r="A47" s="2133">
        <v>12</v>
      </c>
      <c r="B47" s="2145" t="s">
        <v>115</v>
      </c>
      <c r="C47" s="2141"/>
      <c r="D47" s="2141" t="s">
        <v>50</v>
      </c>
      <c r="E47" s="2141" t="s">
        <v>50</v>
      </c>
      <c r="F47" s="2141" t="s">
        <v>50</v>
      </c>
      <c r="G47" s="2141" t="s">
        <v>50</v>
      </c>
      <c r="H47" s="2141" t="s">
        <v>50</v>
      </c>
      <c r="I47" s="2141"/>
      <c r="J47" s="2141"/>
      <c r="K47" s="2146">
        <v>1</v>
      </c>
      <c r="L47" s="2146">
        <v>1</v>
      </c>
      <c r="M47" s="2146">
        <v>1</v>
      </c>
      <c r="N47" s="2137">
        <v>1</v>
      </c>
      <c r="O47" s="2147">
        <v>5</v>
      </c>
      <c r="P47" s="2141"/>
      <c r="Q47" s="2141"/>
      <c r="R47" s="2141">
        <v>9</v>
      </c>
      <c r="S47" s="2141">
        <v>9</v>
      </c>
      <c r="T47" s="2141">
        <v>9</v>
      </c>
      <c r="U47" s="2075">
        <v>9</v>
      </c>
      <c r="V47" s="2141">
        <v>9</v>
      </c>
      <c r="W47" s="2141" t="s">
        <v>70</v>
      </c>
      <c r="X47" s="2141" t="s">
        <v>70</v>
      </c>
      <c r="Y47" s="2138">
        <v>8</v>
      </c>
      <c r="Z47" s="2141" t="s">
        <v>50</v>
      </c>
      <c r="AA47" s="2141" t="s">
        <v>50</v>
      </c>
      <c r="AB47" s="2138">
        <v>8</v>
      </c>
      <c r="AC47" s="2139" t="s">
        <v>50</v>
      </c>
      <c r="AD47" s="2134" t="s">
        <v>103</v>
      </c>
      <c r="AE47" s="2134" t="s">
        <v>104</v>
      </c>
      <c r="AF47" s="2141">
        <v>6</v>
      </c>
      <c r="AG47" s="2148"/>
    </row>
    <row r="48" spans="1:38" ht="18" customHeight="1" x14ac:dyDescent="0.2">
      <c r="A48" s="1771">
        <v>3</v>
      </c>
      <c r="B48" s="2149" t="s">
        <v>116</v>
      </c>
      <c r="C48" s="711"/>
      <c r="D48" s="466">
        <v>5</v>
      </c>
      <c r="E48" s="712">
        <v>5</v>
      </c>
      <c r="F48" s="712">
        <v>5</v>
      </c>
      <c r="G48" s="712">
        <v>5</v>
      </c>
      <c r="H48" s="712">
        <v>5</v>
      </c>
      <c r="I48" s="712"/>
      <c r="J48" s="597"/>
      <c r="K48" s="597">
        <v>10</v>
      </c>
      <c r="L48" s="597">
        <v>10</v>
      </c>
      <c r="M48" s="597">
        <v>10</v>
      </c>
      <c r="N48" s="597">
        <v>10</v>
      </c>
      <c r="O48" s="597">
        <v>10</v>
      </c>
      <c r="P48" s="597" t="s">
        <v>106</v>
      </c>
      <c r="Q48" s="597" t="s">
        <v>106</v>
      </c>
      <c r="R48" s="712" t="s">
        <v>50</v>
      </c>
      <c r="S48" s="712" t="s">
        <v>50</v>
      </c>
      <c r="T48" s="712" t="s">
        <v>50</v>
      </c>
      <c r="U48" s="712" t="s">
        <v>50</v>
      </c>
      <c r="V48" s="597" t="s">
        <v>50</v>
      </c>
      <c r="W48" s="597" t="s">
        <v>107</v>
      </c>
      <c r="X48" s="711" t="s">
        <v>107</v>
      </c>
      <c r="Y48" s="712">
        <v>7</v>
      </c>
      <c r="Z48" s="712">
        <v>7</v>
      </c>
      <c r="AA48" s="1741">
        <v>7</v>
      </c>
      <c r="AB48" s="712">
        <v>7</v>
      </c>
      <c r="AC48" s="596">
        <v>7</v>
      </c>
      <c r="AD48" s="712"/>
      <c r="AE48" s="712"/>
      <c r="AF48" s="712">
        <v>4</v>
      </c>
      <c r="AG48" s="1086"/>
    </row>
    <row r="49" spans="1:39" ht="18" customHeight="1" x14ac:dyDescent="0.2">
      <c r="A49" s="2130">
        <v>8</v>
      </c>
      <c r="B49" s="2044" t="s">
        <v>117</v>
      </c>
      <c r="C49" s="2055"/>
      <c r="D49" s="2055">
        <v>3</v>
      </c>
      <c r="E49" s="2055">
        <v>3</v>
      </c>
      <c r="F49" s="2057">
        <v>3</v>
      </c>
      <c r="G49" s="2055">
        <v>3</v>
      </c>
      <c r="H49" s="2055">
        <v>3</v>
      </c>
      <c r="I49" s="2047"/>
      <c r="J49" s="2055"/>
      <c r="K49" s="2055">
        <v>11</v>
      </c>
      <c r="L49" s="2055">
        <v>11</v>
      </c>
      <c r="M49" s="2055">
        <v>11</v>
      </c>
      <c r="N49" s="2045">
        <v>11</v>
      </c>
      <c r="O49" s="2055">
        <v>11</v>
      </c>
      <c r="P49" s="2055" t="s">
        <v>109</v>
      </c>
      <c r="Q49" s="2055" t="s">
        <v>109</v>
      </c>
      <c r="R49" s="2055" t="s">
        <v>50</v>
      </c>
      <c r="S49" s="2055" t="s">
        <v>50</v>
      </c>
      <c r="T49" s="2055" t="s">
        <v>50</v>
      </c>
      <c r="U49" s="2055" t="s">
        <v>50</v>
      </c>
      <c r="V49" s="2144" t="s">
        <v>50</v>
      </c>
      <c r="W49" s="2132" t="s">
        <v>104</v>
      </c>
      <c r="X49" s="2132" t="s">
        <v>104</v>
      </c>
      <c r="Y49" s="2132">
        <v>8</v>
      </c>
      <c r="Z49" s="2132">
        <v>8</v>
      </c>
      <c r="AA49" s="2132">
        <v>8</v>
      </c>
      <c r="AB49" s="2132" t="s">
        <v>418</v>
      </c>
      <c r="AC49" s="276">
        <v>8</v>
      </c>
      <c r="AD49" s="2045"/>
      <c r="AE49" s="2045"/>
      <c r="AF49" s="2143" t="s">
        <v>50</v>
      </c>
      <c r="AG49" s="2078"/>
    </row>
    <row r="50" spans="1:39" ht="18" customHeight="1" x14ac:dyDescent="0.2">
      <c r="A50" s="2133">
        <v>13</v>
      </c>
      <c r="B50" s="2059" t="s">
        <v>118</v>
      </c>
      <c r="C50" s="2150"/>
      <c r="D50" s="2151">
        <v>1</v>
      </c>
      <c r="E50" s="2139">
        <v>1</v>
      </c>
      <c r="F50" s="2139">
        <v>1</v>
      </c>
      <c r="G50" s="2139">
        <v>1</v>
      </c>
      <c r="H50" s="2139">
        <v>1</v>
      </c>
      <c r="I50" s="2135"/>
      <c r="J50" s="2150"/>
      <c r="K50" s="2061">
        <v>9</v>
      </c>
      <c r="L50" s="2061">
        <v>9</v>
      </c>
      <c r="M50" s="2061">
        <v>9</v>
      </c>
      <c r="N50" s="2061">
        <v>9</v>
      </c>
      <c r="O50" s="2061">
        <v>9</v>
      </c>
      <c r="P50" s="2061" t="s">
        <v>70</v>
      </c>
      <c r="Q50" s="2071" t="s">
        <v>70</v>
      </c>
      <c r="R50" s="2135" t="s">
        <v>50</v>
      </c>
      <c r="S50" s="2135" t="s">
        <v>50</v>
      </c>
      <c r="T50" s="2135" t="s">
        <v>50</v>
      </c>
      <c r="U50" s="2135" t="s">
        <v>50</v>
      </c>
      <c r="V50" s="2135" t="s">
        <v>50</v>
      </c>
      <c r="W50" s="2135" t="s">
        <v>103</v>
      </c>
      <c r="X50" s="2135" t="s">
        <v>104</v>
      </c>
      <c r="Y50" s="2150">
        <v>6</v>
      </c>
      <c r="Z50" s="2135">
        <v>6</v>
      </c>
      <c r="AA50" s="2135">
        <v>6</v>
      </c>
      <c r="AB50" s="2135">
        <v>6</v>
      </c>
      <c r="AC50" s="2135">
        <v>6</v>
      </c>
      <c r="AD50" s="2135"/>
      <c r="AE50" s="2150"/>
      <c r="AF50" s="2135" t="s">
        <v>50</v>
      </c>
      <c r="AG50" s="2142"/>
    </row>
    <row r="51" spans="1:39" ht="18" customHeight="1" x14ac:dyDescent="0.2">
      <c r="A51" s="1771">
        <v>4</v>
      </c>
      <c r="B51" s="1888" t="s">
        <v>119</v>
      </c>
      <c r="C51" s="1897"/>
      <c r="D51" s="2152">
        <v>10</v>
      </c>
      <c r="E51" s="2152">
        <v>10</v>
      </c>
      <c r="F51" s="2152">
        <v>10</v>
      </c>
      <c r="G51" s="2152">
        <v>10</v>
      </c>
      <c r="H51" s="2152">
        <v>10</v>
      </c>
      <c r="I51" s="2152" t="s">
        <v>106</v>
      </c>
      <c r="J51" s="2152" t="s">
        <v>106</v>
      </c>
      <c r="K51" s="1868" t="s">
        <v>50</v>
      </c>
      <c r="L51" s="1868" t="s">
        <v>50</v>
      </c>
      <c r="M51" s="1868" t="s">
        <v>50</v>
      </c>
      <c r="N51" s="1897" t="s">
        <v>50</v>
      </c>
      <c r="O51" s="1899" t="s">
        <v>50</v>
      </c>
      <c r="P51" s="1899" t="s">
        <v>107</v>
      </c>
      <c r="Q51" s="1899" t="s">
        <v>107</v>
      </c>
      <c r="R51" s="1899">
        <v>7</v>
      </c>
      <c r="S51" s="1899">
        <v>7</v>
      </c>
      <c r="T51" s="1897">
        <v>7</v>
      </c>
      <c r="U51" s="2153">
        <v>7</v>
      </c>
      <c r="V51" s="1870">
        <v>7</v>
      </c>
      <c r="W51" s="1870"/>
      <c r="X51" s="1870"/>
      <c r="Y51" s="2152">
        <v>4</v>
      </c>
      <c r="Z51" s="2152">
        <v>4</v>
      </c>
      <c r="AA51" s="2071">
        <v>4</v>
      </c>
      <c r="AB51" s="2071">
        <v>4</v>
      </c>
      <c r="AC51" s="2152">
        <v>4</v>
      </c>
      <c r="AD51" s="1897"/>
      <c r="AE51" s="1899"/>
      <c r="AF51" s="2154">
        <v>3</v>
      </c>
      <c r="AG51" s="2129"/>
    </row>
    <row r="52" spans="1:39" ht="18" customHeight="1" x14ac:dyDescent="0.2">
      <c r="A52" s="2130">
        <v>9</v>
      </c>
      <c r="B52" s="2044" t="s">
        <v>120</v>
      </c>
      <c r="C52" s="2144"/>
      <c r="D52" s="2144">
        <v>11</v>
      </c>
      <c r="E52" s="2144">
        <v>11</v>
      </c>
      <c r="F52" s="2144">
        <v>11</v>
      </c>
      <c r="G52" s="2144">
        <v>11</v>
      </c>
      <c r="H52" s="2144">
        <v>11</v>
      </c>
      <c r="I52" s="2144" t="s">
        <v>109</v>
      </c>
      <c r="J52" s="2144" t="s">
        <v>109</v>
      </c>
      <c r="K52" s="2144" t="s">
        <v>50</v>
      </c>
      <c r="L52" s="2144" t="s">
        <v>50</v>
      </c>
      <c r="M52" s="2144" t="s">
        <v>50</v>
      </c>
      <c r="N52" s="2144" t="s">
        <v>50</v>
      </c>
      <c r="O52" s="2144" t="s">
        <v>50</v>
      </c>
      <c r="P52" s="2144" t="s">
        <v>104</v>
      </c>
      <c r="Q52" s="2040" t="s">
        <v>104</v>
      </c>
      <c r="R52" s="2144">
        <v>8</v>
      </c>
      <c r="S52" s="2144">
        <v>8</v>
      </c>
      <c r="T52" s="2144">
        <v>8</v>
      </c>
      <c r="U52" s="2057">
        <v>8</v>
      </c>
      <c r="V52" s="2144">
        <v>8</v>
      </c>
      <c r="W52" s="2144"/>
      <c r="X52" s="2144"/>
      <c r="Y52" s="2144" t="s">
        <v>50</v>
      </c>
      <c r="Z52" s="2144" t="s">
        <v>50</v>
      </c>
      <c r="AA52" s="2144" t="s">
        <v>50</v>
      </c>
      <c r="AB52" s="2144" t="s">
        <v>50</v>
      </c>
      <c r="AC52" s="2144" t="s">
        <v>50</v>
      </c>
      <c r="AD52" s="2144"/>
      <c r="AE52" s="2144"/>
      <c r="AF52" s="2071">
        <v>1</v>
      </c>
      <c r="AG52" s="2078"/>
    </row>
    <row r="53" spans="1:39" ht="18" customHeight="1" x14ac:dyDescent="0.2">
      <c r="A53" s="2133">
        <v>14</v>
      </c>
      <c r="B53" s="2059" t="s">
        <v>121</v>
      </c>
      <c r="C53" s="2150"/>
      <c r="D53" s="2135">
        <v>9</v>
      </c>
      <c r="E53" s="2135">
        <v>9</v>
      </c>
      <c r="F53" s="2135">
        <v>9</v>
      </c>
      <c r="G53" s="2155">
        <v>9</v>
      </c>
      <c r="H53" s="2155">
        <v>9</v>
      </c>
      <c r="I53" s="2155" t="s">
        <v>70</v>
      </c>
      <c r="J53" s="2050" t="s">
        <v>70</v>
      </c>
      <c r="K53" s="2156" t="s">
        <v>179</v>
      </c>
      <c r="L53" s="2156" t="s">
        <v>179</v>
      </c>
      <c r="M53" s="2138" t="s">
        <v>179</v>
      </c>
      <c r="N53" s="2156" t="s">
        <v>179</v>
      </c>
      <c r="O53" s="2150" t="s">
        <v>50</v>
      </c>
      <c r="P53" s="2135" t="s">
        <v>103</v>
      </c>
      <c r="Q53" s="2135" t="s">
        <v>104</v>
      </c>
      <c r="R53" s="2150">
        <v>6</v>
      </c>
      <c r="S53" s="2138">
        <v>6</v>
      </c>
      <c r="T53" s="2135">
        <v>6</v>
      </c>
      <c r="U53" s="2157">
        <v>6</v>
      </c>
      <c r="V53" s="2157">
        <v>6</v>
      </c>
      <c r="W53" s="2135"/>
      <c r="X53" s="2150"/>
      <c r="Y53" s="2135" t="s">
        <v>50</v>
      </c>
      <c r="Z53" s="2156" t="s">
        <v>398</v>
      </c>
      <c r="AA53" s="2156" t="s">
        <v>398</v>
      </c>
      <c r="AB53" s="2135" t="s">
        <v>50</v>
      </c>
      <c r="AC53" s="2150" t="s">
        <v>50</v>
      </c>
      <c r="AD53" s="2135"/>
      <c r="AE53" s="2135"/>
      <c r="AF53" s="1970">
        <v>5</v>
      </c>
      <c r="AG53" s="2158"/>
      <c r="AK53" t="s">
        <v>0</v>
      </c>
    </row>
    <row r="54" spans="1:39" ht="18" customHeight="1" x14ac:dyDescent="0.2">
      <c r="A54" s="1771">
        <v>5</v>
      </c>
      <c r="B54" s="2044" t="s">
        <v>122</v>
      </c>
      <c r="C54" s="2152" t="s">
        <v>106</v>
      </c>
      <c r="D54" s="2152" t="s">
        <v>50</v>
      </c>
      <c r="E54" s="2152" t="s">
        <v>50</v>
      </c>
      <c r="F54" s="2152" t="s">
        <v>50</v>
      </c>
      <c r="G54" s="2152" t="s">
        <v>50</v>
      </c>
      <c r="H54" s="2152" t="s">
        <v>50</v>
      </c>
      <c r="I54" s="2152" t="s">
        <v>107</v>
      </c>
      <c r="J54" s="2152" t="s">
        <v>107</v>
      </c>
      <c r="K54" s="1897">
        <v>7</v>
      </c>
      <c r="L54" s="1897">
        <v>7</v>
      </c>
      <c r="M54" s="1897">
        <v>7</v>
      </c>
      <c r="N54" s="2159">
        <v>7</v>
      </c>
      <c r="O54" s="1868">
        <v>7</v>
      </c>
      <c r="P54" s="1897"/>
      <c r="Q54" s="1897"/>
      <c r="R54" s="1868">
        <v>4</v>
      </c>
      <c r="S54" s="1897">
        <v>4</v>
      </c>
      <c r="T54" s="1897">
        <v>4</v>
      </c>
      <c r="U54" s="1899">
        <v>4</v>
      </c>
      <c r="V54" s="2160">
        <v>4</v>
      </c>
      <c r="W54" s="1899"/>
      <c r="X54" s="1899"/>
      <c r="Y54" s="2161">
        <v>3</v>
      </c>
      <c r="Z54" s="2162">
        <v>3</v>
      </c>
      <c r="AA54" s="2162">
        <v>3</v>
      </c>
      <c r="AB54" s="2162">
        <v>3</v>
      </c>
      <c r="AC54" s="2162">
        <v>3</v>
      </c>
      <c r="AD54" s="1897"/>
      <c r="AE54" s="1897"/>
      <c r="AF54" s="1868">
        <v>11</v>
      </c>
      <c r="AG54" s="1871"/>
    </row>
    <row r="55" spans="1:39" ht="18" customHeight="1" x14ac:dyDescent="0.2">
      <c r="A55" s="2130">
        <v>10</v>
      </c>
      <c r="B55" s="2044" t="s">
        <v>123</v>
      </c>
      <c r="C55" s="2045" t="s">
        <v>109</v>
      </c>
      <c r="D55" s="2045" t="s">
        <v>50</v>
      </c>
      <c r="E55" s="2045" t="s">
        <v>50</v>
      </c>
      <c r="F55" s="2045" t="s">
        <v>50</v>
      </c>
      <c r="G55" s="2047" t="s">
        <v>50</v>
      </c>
      <c r="H55" s="2047" t="s">
        <v>50</v>
      </c>
      <c r="I55" s="2047" t="s">
        <v>104</v>
      </c>
      <c r="J55" s="2047" t="s">
        <v>104</v>
      </c>
      <c r="K55" s="2071">
        <v>8</v>
      </c>
      <c r="L55" s="2071">
        <v>8</v>
      </c>
      <c r="M55" s="2071">
        <v>8</v>
      </c>
      <c r="N55" s="2071">
        <v>8</v>
      </c>
      <c r="O55" s="2071">
        <v>8</v>
      </c>
      <c r="P55" s="2071"/>
      <c r="Q55" s="2071"/>
      <c r="R55" s="2071" t="s">
        <v>50</v>
      </c>
      <c r="S55" s="2071" t="s">
        <v>50</v>
      </c>
      <c r="T55" s="2071" t="s">
        <v>50</v>
      </c>
      <c r="U55" s="2071" t="s">
        <v>50</v>
      </c>
      <c r="V55" s="2071" t="s">
        <v>50</v>
      </c>
      <c r="W55" s="2071"/>
      <c r="X55" s="2071"/>
      <c r="Y55" s="2071">
        <v>1</v>
      </c>
      <c r="Z55" s="2071">
        <v>1</v>
      </c>
      <c r="AA55" s="2071">
        <v>1</v>
      </c>
      <c r="AB55" s="2071">
        <v>1</v>
      </c>
      <c r="AC55" s="2071">
        <v>1</v>
      </c>
      <c r="AD55" s="2071"/>
      <c r="AE55" s="2071"/>
      <c r="AF55" s="2144">
        <v>9</v>
      </c>
      <c r="AG55" s="2078"/>
    </row>
    <row r="56" spans="1:39" ht="18" customHeight="1" x14ac:dyDescent="0.2">
      <c r="A56" s="2133">
        <v>15</v>
      </c>
      <c r="B56" s="2059" t="s">
        <v>124</v>
      </c>
      <c r="C56" s="2050" t="s">
        <v>70</v>
      </c>
      <c r="D56" s="2135" t="s">
        <v>50</v>
      </c>
      <c r="E56" s="2135" t="s">
        <v>50</v>
      </c>
      <c r="F56" s="2155" t="s">
        <v>50</v>
      </c>
      <c r="G56" s="2155" t="s">
        <v>50</v>
      </c>
      <c r="H56" s="2155" t="s">
        <v>50</v>
      </c>
      <c r="I56" s="2155" t="s">
        <v>103</v>
      </c>
      <c r="J56" s="2155" t="s">
        <v>104</v>
      </c>
      <c r="K56" s="2150">
        <v>6</v>
      </c>
      <c r="L56" s="2135">
        <v>6</v>
      </c>
      <c r="M56" s="2135">
        <v>6</v>
      </c>
      <c r="N56" s="2135">
        <v>6</v>
      </c>
      <c r="O56" s="2141">
        <v>6</v>
      </c>
      <c r="P56" s="2141"/>
      <c r="Q56" s="2141"/>
      <c r="R56" s="2141" t="s">
        <v>50</v>
      </c>
      <c r="S56" s="2141" t="s">
        <v>50</v>
      </c>
      <c r="T56" s="2141" t="s">
        <v>50</v>
      </c>
      <c r="U56" s="2141" t="s">
        <v>50</v>
      </c>
      <c r="V56" s="2135" t="s">
        <v>50</v>
      </c>
      <c r="W56" s="2135"/>
      <c r="X56" s="2135"/>
      <c r="Y56" s="2150">
        <v>5</v>
      </c>
      <c r="Z56" s="2135">
        <v>5</v>
      </c>
      <c r="AA56" s="2135">
        <v>5</v>
      </c>
      <c r="AB56" s="2135">
        <v>5</v>
      </c>
      <c r="AC56" s="2135">
        <v>5</v>
      </c>
      <c r="AD56" s="2135"/>
      <c r="AE56" s="2150"/>
      <c r="AF56" s="2150">
        <v>10</v>
      </c>
      <c r="AG56" s="2163"/>
    </row>
    <row r="57" spans="1:39" ht="18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39" ht="18" customHeight="1" x14ac:dyDescent="0.2">
      <c r="A58" s="69"/>
      <c r="B58" s="42" t="s">
        <v>125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39" ht="18" customHeight="1" x14ac:dyDescent="0.2">
      <c r="A59" s="2020" t="s">
        <v>43</v>
      </c>
      <c r="B59" s="2020"/>
      <c r="C59" s="2019"/>
      <c r="D59" s="2020" t="s">
        <v>17</v>
      </c>
      <c r="E59" s="2018"/>
      <c r="F59" s="2019"/>
      <c r="G59" s="2020" t="s">
        <v>18</v>
      </c>
      <c r="H59" s="2018"/>
      <c r="I59" s="2019"/>
      <c r="J59" s="2020" t="s">
        <v>19</v>
      </c>
      <c r="K59" s="2018"/>
      <c r="L59" s="2019"/>
      <c r="M59" s="2020" t="s">
        <v>20</v>
      </c>
      <c r="N59" s="2018"/>
      <c r="O59" s="2019"/>
      <c r="P59" s="2020" t="s">
        <v>21</v>
      </c>
      <c r="Q59" s="2018"/>
      <c r="R59" s="2015"/>
      <c r="S59" s="2016" t="s">
        <v>22</v>
      </c>
      <c r="T59" s="2018"/>
      <c r="U59" s="2019"/>
      <c r="V59" s="2020" t="s">
        <v>23</v>
      </c>
      <c r="W59" s="2018"/>
      <c r="X59" s="2164" t="s">
        <v>126</v>
      </c>
      <c r="Y59" s="2018"/>
      <c r="Z59" s="2018"/>
      <c r="AA59" s="2165"/>
      <c r="AB59" s="2009"/>
      <c r="AC59" s="2009"/>
      <c r="AD59" s="2009"/>
      <c r="AE59" s="2009"/>
      <c r="AF59" s="2009"/>
      <c r="AG59" s="2010"/>
      <c r="AH59" s="1"/>
    </row>
    <row r="60" spans="1:39" ht="18" customHeight="1" x14ac:dyDescent="0.2">
      <c r="A60" s="2166">
        <v>8517</v>
      </c>
      <c r="B60" s="2167" t="s">
        <v>127</v>
      </c>
      <c r="C60" s="2168" t="s">
        <v>128</v>
      </c>
      <c r="D60" s="2169"/>
      <c r="E60" s="2008"/>
      <c r="F60" s="2168" t="s">
        <v>128</v>
      </c>
      <c r="G60" s="2169"/>
      <c r="H60" s="2008"/>
      <c r="I60" s="2168" t="s">
        <v>128</v>
      </c>
      <c r="J60" s="2169"/>
      <c r="K60" s="2008"/>
      <c r="L60" s="2168" t="s">
        <v>128</v>
      </c>
      <c r="M60" s="2169"/>
      <c r="N60" s="2008"/>
      <c r="O60" s="2168" t="s">
        <v>129</v>
      </c>
      <c r="P60" s="2169"/>
      <c r="Q60" s="2008"/>
      <c r="R60" s="2168"/>
      <c r="S60" s="2169"/>
      <c r="T60" s="2008"/>
      <c r="U60" s="2168" t="s">
        <v>130</v>
      </c>
      <c r="V60" s="2169"/>
      <c r="W60" s="2008"/>
      <c r="X60" s="2006"/>
      <c r="Y60" s="2009"/>
      <c r="Z60" s="2009"/>
      <c r="AA60" s="2009"/>
      <c r="AB60" s="2009"/>
      <c r="AC60" s="2009"/>
      <c r="AD60" s="2009"/>
      <c r="AE60" s="2009"/>
      <c r="AF60" s="2009"/>
      <c r="AG60" s="2010"/>
      <c r="AH60" s="1"/>
      <c r="AM60" t="s">
        <v>0</v>
      </c>
    </row>
    <row r="61" spans="1:39" ht="18" customHeight="1" x14ac:dyDescent="0.2">
      <c r="B61" s="2037" t="s">
        <v>131</v>
      </c>
      <c r="C61" s="2170" t="s">
        <v>132</v>
      </c>
      <c r="D61" s="2171"/>
      <c r="E61" s="2172"/>
      <c r="F61" s="2170" t="s">
        <v>132</v>
      </c>
      <c r="G61" s="2173"/>
      <c r="H61" s="2172"/>
      <c r="I61" s="2168" t="s">
        <v>132</v>
      </c>
      <c r="J61" s="2169"/>
      <c r="K61" s="2174"/>
      <c r="L61" s="2168" t="s">
        <v>132</v>
      </c>
      <c r="M61" s="2169"/>
      <c r="N61" s="2174"/>
      <c r="O61" s="2168" t="s">
        <v>133</v>
      </c>
      <c r="P61" s="2169"/>
      <c r="Q61" s="2008"/>
      <c r="R61" s="2175" t="s">
        <v>0</v>
      </c>
      <c r="S61" s="2169"/>
      <c r="T61" s="2174"/>
      <c r="U61" s="2169" t="s">
        <v>0</v>
      </c>
      <c r="V61" s="2169"/>
      <c r="W61" s="2008"/>
      <c r="X61" s="2176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39" ht="18" customHeight="1" x14ac:dyDescent="0.2">
      <c r="A62" s="2177"/>
      <c r="B62" s="2167" t="s">
        <v>134</v>
      </c>
      <c r="C62" s="2170" t="s">
        <v>135</v>
      </c>
      <c r="D62" s="2171"/>
      <c r="E62" s="2173"/>
      <c r="F62" s="2170" t="s">
        <v>135</v>
      </c>
      <c r="G62" s="2171"/>
      <c r="H62" s="2173"/>
      <c r="I62" s="2170" t="s">
        <v>135</v>
      </c>
      <c r="J62" s="2171"/>
      <c r="K62" s="2173"/>
      <c r="L62" s="2170" t="s">
        <v>135</v>
      </c>
      <c r="M62" s="2171"/>
      <c r="N62" s="2173"/>
      <c r="O62" s="2170" t="s">
        <v>136</v>
      </c>
      <c r="P62" s="2171"/>
      <c r="Q62" s="2173"/>
      <c r="R62" s="2178"/>
      <c r="S62" s="208"/>
      <c r="T62" s="2172"/>
      <c r="U62" s="2171"/>
      <c r="V62" s="2171"/>
      <c r="W62" s="2173"/>
      <c r="X62" s="2006"/>
      <c r="Y62" s="2009"/>
      <c r="Z62" s="2009"/>
      <c r="AA62" s="2009"/>
      <c r="AB62" s="2009"/>
      <c r="AC62" s="2009"/>
      <c r="AD62" s="2009"/>
      <c r="AE62" s="2009"/>
      <c r="AF62" s="2009"/>
      <c r="AG62" s="2010"/>
      <c r="AH62" s="1"/>
    </row>
    <row r="63" spans="1:39" ht="18" customHeight="1" x14ac:dyDescent="0.2">
      <c r="A63" s="2020"/>
      <c r="B63" s="2167"/>
      <c r="C63" s="2179"/>
      <c r="D63" s="1310"/>
      <c r="E63" s="1605"/>
      <c r="F63" s="2179"/>
      <c r="G63" s="1310"/>
      <c r="H63" s="1605"/>
      <c r="I63" s="2179"/>
      <c r="J63" s="1310"/>
      <c r="K63" s="1605"/>
      <c r="L63" s="2179"/>
      <c r="M63" s="1310"/>
      <c r="N63" s="1605"/>
      <c r="O63" s="2179"/>
      <c r="P63" s="1310"/>
      <c r="Q63" s="1605"/>
      <c r="R63" s="2179"/>
      <c r="S63" s="1310"/>
      <c r="T63" s="1605"/>
      <c r="U63" s="2179"/>
      <c r="V63" s="1310"/>
      <c r="W63" s="1605"/>
      <c r="X63" s="2008"/>
      <c r="Y63" s="2009"/>
      <c r="Z63" s="2009"/>
      <c r="AA63" s="2009"/>
      <c r="AB63" s="2009"/>
      <c r="AC63" s="2009"/>
      <c r="AD63" s="2009"/>
      <c r="AE63" s="2009"/>
      <c r="AF63" s="2009"/>
      <c r="AG63" s="2010"/>
      <c r="AH63" s="1"/>
      <c r="AJ63" t="s">
        <v>137</v>
      </c>
    </row>
    <row r="64" spans="1:39" ht="18" customHeight="1" x14ac:dyDescent="0.2">
      <c r="A64" s="37"/>
      <c r="B64" s="62"/>
      <c r="C64" s="46"/>
      <c r="D64" s="46"/>
      <c r="E64" s="6"/>
      <c r="F64" s="46"/>
      <c r="G64" s="46"/>
      <c r="H64" s="6"/>
      <c r="I64" s="46"/>
      <c r="J64" s="46"/>
      <c r="K64" s="6"/>
      <c r="L64" s="46"/>
      <c r="M64" s="46"/>
      <c r="N64" s="6"/>
      <c r="O64" s="46"/>
      <c r="P64" s="46"/>
      <c r="Q64" s="6"/>
      <c r="R64" s="46"/>
      <c r="S64" s="46"/>
      <c r="T64" s="6"/>
      <c r="U64" s="46"/>
      <c r="V64" s="46"/>
      <c r="W64" s="6"/>
      <c r="X64" s="6"/>
      <c r="Y64" s="48"/>
      <c r="Z64" s="48"/>
      <c r="AA64" s="48"/>
      <c r="AB64" s="48"/>
      <c r="AC64" s="48"/>
      <c r="AD64" s="48"/>
      <c r="AE64" s="48"/>
      <c r="AF64" s="48"/>
      <c r="AG64" s="48"/>
      <c r="AH64" s="1"/>
    </row>
    <row r="65" spans="1:40" ht="18" customHeight="1" thickBot="1" x14ac:dyDescent="0.25">
      <c r="A65" s="2180"/>
      <c r="B65" s="2181" t="s">
        <v>44</v>
      </c>
      <c r="C65" s="396">
        <v>1</v>
      </c>
      <c r="D65" s="395">
        <v>2</v>
      </c>
      <c r="E65" s="395">
        <v>3</v>
      </c>
      <c r="F65" s="395">
        <v>4</v>
      </c>
      <c r="G65" s="395">
        <v>5</v>
      </c>
      <c r="H65" s="395">
        <v>6</v>
      </c>
      <c r="I65" s="396">
        <v>7</v>
      </c>
      <c r="J65" s="396">
        <v>8</v>
      </c>
      <c r="K65" s="395">
        <v>9</v>
      </c>
      <c r="L65" s="395">
        <v>10</v>
      </c>
      <c r="M65" s="395">
        <v>11</v>
      </c>
      <c r="N65" s="395">
        <v>12</v>
      </c>
      <c r="O65" s="395">
        <v>13</v>
      </c>
      <c r="P65" s="396">
        <v>14</v>
      </c>
      <c r="Q65" s="396">
        <v>15</v>
      </c>
      <c r="R65" s="395">
        <v>16</v>
      </c>
      <c r="S65" s="395">
        <v>17</v>
      </c>
      <c r="T65" s="395">
        <v>18</v>
      </c>
      <c r="U65" s="395">
        <v>19</v>
      </c>
      <c r="V65" s="395">
        <v>20</v>
      </c>
      <c r="W65" s="396">
        <v>21</v>
      </c>
      <c r="X65" s="396">
        <v>22</v>
      </c>
      <c r="Y65" s="395">
        <v>23</v>
      </c>
      <c r="Z65" s="395">
        <v>24</v>
      </c>
      <c r="AA65" s="395">
        <v>25</v>
      </c>
      <c r="AB65" s="395">
        <v>26</v>
      </c>
      <c r="AC65" s="395">
        <v>27</v>
      </c>
      <c r="AD65" s="396">
        <v>28</v>
      </c>
      <c r="AE65" s="396">
        <v>29</v>
      </c>
      <c r="AF65" s="395">
        <v>30</v>
      </c>
      <c r="AG65" s="2026"/>
      <c r="AH65" s="1"/>
      <c r="AJ65" s="2025" t="s">
        <v>41</v>
      </c>
      <c r="AK65" s="2025" t="s">
        <v>62</v>
      </c>
      <c r="AL65" s="2025" t="s">
        <v>63</v>
      </c>
      <c r="AM65" s="2025" t="s">
        <v>64</v>
      </c>
      <c r="AN65" s="2025" t="s">
        <v>65</v>
      </c>
    </row>
    <row r="66" spans="1:40" ht="18" customHeight="1" thickBot="1" x14ac:dyDescent="0.25">
      <c r="A66" s="2182"/>
      <c r="B66" s="2183" t="s">
        <v>138</v>
      </c>
      <c r="C66" s="1868" t="s">
        <v>143</v>
      </c>
      <c r="D66" s="1868">
        <v>25</v>
      </c>
      <c r="E66" s="1868">
        <v>25</v>
      </c>
      <c r="F66" s="1868">
        <v>25</v>
      </c>
      <c r="G66" s="1868">
        <v>25</v>
      </c>
      <c r="H66" s="1868" t="s">
        <v>50</v>
      </c>
      <c r="I66" s="1868"/>
      <c r="J66" s="597" t="s">
        <v>0</v>
      </c>
      <c r="K66" s="2184" t="s">
        <v>142</v>
      </c>
      <c r="L66" s="2184" t="s">
        <v>142</v>
      </c>
      <c r="M66" s="2184" t="s">
        <v>142</v>
      </c>
      <c r="N66" s="2184" t="s">
        <v>142</v>
      </c>
      <c r="O66" s="2184" t="s">
        <v>142</v>
      </c>
      <c r="P66" s="2150"/>
      <c r="Q66" s="2150" t="s">
        <v>143</v>
      </c>
      <c r="R66" s="2057" t="s">
        <v>142</v>
      </c>
      <c r="S66" s="2057" t="s">
        <v>142</v>
      </c>
      <c r="T66" s="2057" t="s">
        <v>142</v>
      </c>
      <c r="U66" s="2019" t="s">
        <v>50</v>
      </c>
      <c r="V66" s="2100" t="s">
        <v>50</v>
      </c>
      <c r="W66" s="1868" t="s">
        <v>68</v>
      </c>
      <c r="X66" s="2153" t="s">
        <v>143</v>
      </c>
      <c r="Y66" s="1868" t="s">
        <v>50</v>
      </c>
      <c r="Z66" s="1870" t="s">
        <v>50</v>
      </c>
      <c r="AA66" s="2055" t="s">
        <v>50</v>
      </c>
      <c r="AB66" s="2055" t="s">
        <v>50</v>
      </c>
      <c r="AC66" s="2055" t="s">
        <v>50</v>
      </c>
      <c r="AD66" s="2144" t="s">
        <v>104</v>
      </c>
      <c r="AE66" s="2040" t="s">
        <v>104</v>
      </c>
      <c r="AF66" s="2185">
        <v>25</v>
      </c>
      <c r="AG66" s="2186"/>
      <c r="AH66" s="1"/>
      <c r="AJ66" s="638">
        <v>128</v>
      </c>
      <c r="AK66" s="638">
        <v>9.5</v>
      </c>
      <c r="AL66" s="638">
        <f>IF(AJ66="","",SUM(AJ66:AK66))</f>
        <v>137.5</v>
      </c>
      <c r="AM66" s="639">
        <f t="shared" ref="AM66:AM97" si="0">IF(AJ66="","",AL66-_xlfn.SINGLE(NormTid))</f>
        <v>-22.830000000000013</v>
      </c>
      <c r="AN66" s="639">
        <f>IF(AM66="","",AM66+'August 2024'!AN66)</f>
        <v>170.57999999999996</v>
      </c>
    </row>
    <row r="67" spans="1:40" ht="18" customHeight="1" x14ac:dyDescent="0.2">
      <c r="A67" s="748"/>
      <c r="B67" s="2187" t="s">
        <v>144</v>
      </c>
      <c r="C67" s="2055" t="s">
        <v>0</v>
      </c>
      <c r="D67" s="2188" t="s">
        <v>50</v>
      </c>
      <c r="E67" s="2055" t="s">
        <v>50</v>
      </c>
      <c r="F67" s="2055" t="s">
        <v>50</v>
      </c>
      <c r="G67" s="2055" t="s">
        <v>50</v>
      </c>
      <c r="H67" s="2040" t="s">
        <v>50</v>
      </c>
      <c r="I67" s="2040"/>
      <c r="J67" s="2040"/>
      <c r="K67" s="2189" t="s">
        <v>46</v>
      </c>
      <c r="L67" s="2189" t="s">
        <v>46</v>
      </c>
      <c r="M67" s="2190" t="s">
        <v>46</v>
      </c>
      <c r="N67" s="2190" t="s">
        <v>46</v>
      </c>
      <c r="O67" s="2190" t="s">
        <v>46</v>
      </c>
      <c r="P67" s="2190"/>
      <c r="Q67" s="2190"/>
      <c r="R67" s="2100">
        <v>26</v>
      </c>
      <c r="S67" s="2057">
        <v>26</v>
      </c>
      <c r="T67" s="2019">
        <v>26</v>
      </c>
      <c r="U67" s="2057">
        <v>26</v>
      </c>
      <c r="V67" s="2057">
        <v>26</v>
      </c>
      <c r="W67" s="2144" t="s">
        <v>68</v>
      </c>
      <c r="X67" s="2144"/>
      <c r="Y67" s="635" t="s">
        <v>142</v>
      </c>
      <c r="Z67" s="635" t="s">
        <v>142</v>
      </c>
      <c r="AA67" s="635" t="s">
        <v>142</v>
      </c>
      <c r="AB67" s="635" t="s">
        <v>142</v>
      </c>
      <c r="AC67" s="635" t="s">
        <v>142</v>
      </c>
      <c r="AD67" s="635" t="s">
        <v>143</v>
      </c>
      <c r="AE67" s="635" t="s">
        <v>143</v>
      </c>
      <c r="AF67" s="2057">
        <v>6</v>
      </c>
      <c r="AG67" s="2191"/>
      <c r="AH67" s="1"/>
      <c r="AJ67" s="638">
        <v>161</v>
      </c>
      <c r="AK67" s="638">
        <v>8.5</v>
      </c>
      <c r="AL67" s="638">
        <f t="shared" ref="AL67:AL97" si="1">IF(AJ67="","",SUM(AJ67:AK67))</f>
        <v>169.5</v>
      </c>
      <c r="AM67" s="639">
        <f t="shared" si="0"/>
        <v>9.1699999999999875</v>
      </c>
      <c r="AN67" s="639">
        <f>IF(AM67="","",AM67+'August 2024'!AN67)</f>
        <v>14.629999999999932</v>
      </c>
    </row>
    <row r="68" spans="1:40" ht="18" customHeight="1" x14ac:dyDescent="0.2">
      <c r="A68" s="748"/>
      <c r="B68" s="1912" t="s">
        <v>146</v>
      </c>
      <c r="C68" s="2132"/>
      <c r="D68" s="2132" t="s">
        <v>46</v>
      </c>
      <c r="E68" s="2132" t="s">
        <v>46</v>
      </c>
      <c r="F68" s="2132" t="s">
        <v>50</v>
      </c>
      <c r="G68" s="2132" t="s">
        <v>50</v>
      </c>
      <c r="H68" s="2132" t="s">
        <v>145</v>
      </c>
      <c r="I68" s="2132" t="s">
        <v>147</v>
      </c>
      <c r="J68" s="2132" t="s">
        <v>148</v>
      </c>
      <c r="K68" s="2132" t="s">
        <v>50</v>
      </c>
      <c r="L68" s="2132" t="s">
        <v>50</v>
      </c>
      <c r="M68" s="2132" t="s">
        <v>46</v>
      </c>
      <c r="N68" s="2132" t="s">
        <v>46</v>
      </c>
      <c r="O68" s="2132" t="s">
        <v>46</v>
      </c>
      <c r="P68" s="2132"/>
      <c r="Q68" s="2132"/>
      <c r="R68" s="2132" t="s">
        <v>46</v>
      </c>
      <c r="S68" s="2132" t="s">
        <v>46</v>
      </c>
      <c r="T68" s="2132" t="s">
        <v>24</v>
      </c>
      <c r="U68" s="2132" t="s">
        <v>46</v>
      </c>
      <c r="V68" s="2132" t="s">
        <v>46</v>
      </c>
      <c r="W68" s="2132"/>
      <c r="X68" s="2132"/>
      <c r="Y68" s="2132" t="s">
        <v>46</v>
      </c>
      <c r="Z68" s="2132" t="s">
        <v>46</v>
      </c>
      <c r="AA68" s="2132" t="s">
        <v>46</v>
      </c>
      <c r="AB68" s="2132" t="s">
        <v>46</v>
      </c>
      <c r="AC68" s="2132" t="s">
        <v>46</v>
      </c>
      <c r="AD68" s="2132"/>
      <c r="AE68" s="2132"/>
      <c r="AF68" s="2132" t="s">
        <v>46</v>
      </c>
      <c r="AG68" s="2191"/>
      <c r="AH68" s="1"/>
      <c r="AJ68" s="638">
        <v>155.75</v>
      </c>
      <c r="AK68" s="638">
        <v>2.5</v>
      </c>
      <c r="AL68" s="638">
        <f t="shared" si="1"/>
        <v>158.25</v>
      </c>
      <c r="AM68" s="639">
        <f t="shared" si="0"/>
        <v>-2.0800000000000125</v>
      </c>
      <c r="AN68" s="639">
        <f>IF(AM68="","",AM68+'August 2024'!AN68)</f>
        <v>24.729999999999926</v>
      </c>
    </row>
    <row r="69" spans="1:40" ht="18" customHeight="1" thickBot="1" x14ac:dyDescent="0.25">
      <c r="A69" s="748"/>
      <c r="B69" s="1912" t="s">
        <v>151</v>
      </c>
      <c r="C69" s="2040"/>
      <c r="D69" s="597">
        <v>10</v>
      </c>
      <c r="E69" s="597">
        <v>10</v>
      </c>
      <c r="F69" s="597">
        <v>10</v>
      </c>
      <c r="G69" s="597">
        <v>10</v>
      </c>
      <c r="H69" s="597">
        <v>10</v>
      </c>
      <c r="I69" s="597" t="s">
        <v>106</v>
      </c>
      <c r="J69" s="597" t="s">
        <v>0</v>
      </c>
      <c r="K69" s="2071" t="s">
        <v>46</v>
      </c>
      <c r="L69" s="2071" t="s">
        <v>46</v>
      </c>
      <c r="M69" s="2071" t="s">
        <v>46</v>
      </c>
      <c r="N69" s="2071" t="s">
        <v>46</v>
      </c>
      <c r="O69" s="2071" t="s">
        <v>46</v>
      </c>
      <c r="P69" s="2071"/>
      <c r="Q69" s="2071"/>
      <c r="R69" s="2071" t="s">
        <v>46</v>
      </c>
      <c r="S69" s="2071" t="s">
        <v>46</v>
      </c>
      <c r="T69" s="2071" t="s">
        <v>46</v>
      </c>
      <c r="U69" s="2071" t="s">
        <v>46</v>
      </c>
      <c r="V69" s="2071" t="s">
        <v>46</v>
      </c>
      <c r="W69" s="2071"/>
      <c r="X69" s="2071"/>
      <c r="Y69" s="2071" t="s">
        <v>46</v>
      </c>
      <c r="Z69" s="2071" t="s">
        <v>46</v>
      </c>
      <c r="AA69" s="2071" t="s">
        <v>46</v>
      </c>
      <c r="AB69" s="2071" t="s">
        <v>46</v>
      </c>
      <c r="AC69" s="2071" t="s">
        <v>46</v>
      </c>
      <c r="AD69" s="2071"/>
      <c r="AE69" s="2071"/>
      <c r="AF69" s="2055" t="s">
        <v>50</v>
      </c>
      <c r="AG69" s="2191"/>
      <c r="AH69" s="1"/>
      <c r="AJ69" s="638">
        <v>163</v>
      </c>
      <c r="AK69" s="638">
        <v>4.25</v>
      </c>
      <c r="AL69" s="638">
        <f t="shared" si="1"/>
        <v>167.25</v>
      </c>
      <c r="AM69" s="639">
        <f t="shared" si="0"/>
        <v>6.9199999999999875</v>
      </c>
      <c r="AN69" s="639">
        <f>IF(AM69="","",AM69+'August 2024'!AN69)</f>
        <v>49.579999999999949</v>
      </c>
    </row>
    <row r="70" spans="1:40" ht="18" customHeight="1" x14ac:dyDescent="0.2">
      <c r="A70" s="748"/>
      <c r="B70" s="1552" t="s">
        <v>155</v>
      </c>
      <c r="C70" s="2055" t="s">
        <v>141</v>
      </c>
      <c r="D70" s="2188" t="s">
        <v>50</v>
      </c>
      <c r="E70" s="2188" t="s">
        <v>50</v>
      </c>
      <c r="F70" s="2188" t="s">
        <v>50</v>
      </c>
      <c r="G70" s="2188" t="s">
        <v>154</v>
      </c>
      <c r="H70" s="2188" t="s">
        <v>50</v>
      </c>
      <c r="I70" s="252" t="s">
        <v>107</v>
      </c>
      <c r="J70" s="251" t="s">
        <v>107</v>
      </c>
      <c r="K70" s="2153">
        <v>8</v>
      </c>
      <c r="L70" s="2192">
        <v>8</v>
      </c>
      <c r="M70" s="2192">
        <v>8</v>
      </c>
      <c r="N70" s="2192">
        <v>8</v>
      </c>
      <c r="O70" s="2192">
        <v>8</v>
      </c>
      <c r="P70" s="1897"/>
      <c r="Q70" s="1899"/>
      <c r="R70" s="1899">
        <v>10</v>
      </c>
      <c r="S70" s="1868">
        <v>10</v>
      </c>
      <c r="T70" s="1899">
        <v>10</v>
      </c>
      <c r="U70" s="1899">
        <v>10</v>
      </c>
      <c r="V70" s="1899">
        <v>10</v>
      </c>
      <c r="W70" s="1899" t="s">
        <v>106</v>
      </c>
      <c r="X70" s="1899" t="s">
        <v>106</v>
      </c>
      <c r="Y70" s="1897" t="s">
        <v>50</v>
      </c>
      <c r="Z70" s="1897" t="s">
        <v>50</v>
      </c>
      <c r="AA70" s="1897" t="s">
        <v>50</v>
      </c>
      <c r="AB70" s="1897" t="s">
        <v>50</v>
      </c>
      <c r="AC70" s="1899" t="s">
        <v>50</v>
      </c>
      <c r="AD70" s="1899" t="s">
        <v>107</v>
      </c>
      <c r="AE70" s="1897" t="s">
        <v>107</v>
      </c>
      <c r="AF70" s="2152">
        <v>7</v>
      </c>
      <c r="AG70" s="2191"/>
      <c r="AH70" s="1"/>
      <c r="AJ70" s="638">
        <v>180</v>
      </c>
      <c r="AK70" s="638">
        <v>9.5</v>
      </c>
      <c r="AL70" s="638">
        <f t="shared" si="1"/>
        <v>189.5</v>
      </c>
      <c r="AM70" s="639">
        <f t="shared" si="0"/>
        <v>29.169999999999987</v>
      </c>
      <c r="AN70" s="639">
        <f>IF(AM70="","",AM70+'August 2024'!AN70)</f>
        <v>6.8299999999999415</v>
      </c>
    </row>
    <row r="71" spans="1:40" ht="18" customHeight="1" x14ac:dyDescent="0.2">
      <c r="A71" s="1614"/>
      <c r="B71" s="2187" t="s">
        <v>156</v>
      </c>
      <c r="C71" s="2055">
        <v>22</v>
      </c>
      <c r="D71" s="2055" t="s">
        <v>50</v>
      </c>
      <c r="E71" s="2055" t="s">
        <v>50</v>
      </c>
      <c r="F71" s="2055" t="s">
        <v>50</v>
      </c>
      <c r="G71" s="2055" t="s">
        <v>50</v>
      </c>
      <c r="H71" s="2040" t="s">
        <v>139</v>
      </c>
      <c r="I71" s="2040" t="s">
        <v>140</v>
      </c>
      <c r="J71" s="2040" t="s">
        <v>141</v>
      </c>
      <c r="K71" s="2055" t="s">
        <v>50</v>
      </c>
      <c r="L71" s="2055" t="s">
        <v>50</v>
      </c>
      <c r="M71" s="2045" t="s">
        <v>297</v>
      </c>
      <c r="N71" s="2055" t="s">
        <v>297</v>
      </c>
      <c r="O71" s="2040" t="s">
        <v>297</v>
      </c>
      <c r="P71" s="2040"/>
      <c r="Q71" s="2055">
        <v>26</v>
      </c>
      <c r="R71" s="2144" t="s">
        <v>297</v>
      </c>
      <c r="S71" s="2144" t="s">
        <v>297</v>
      </c>
      <c r="T71" s="2055" t="s">
        <v>297</v>
      </c>
      <c r="U71" s="2055" t="s">
        <v>297</v>
      </c>
      <c r="V71" s="2040" t="s">
        <v>297</v>
      </c>
      <c r="W71" s="2040" t="s">
        <v>68</v>
      </c>
      <c r="X71" s="2040" t="s">
        <v>68</v>
      </c>
      <c r="Y71" s="2100">
        <v>25</v>
      </c>
      <c r="Z71" s="2100">
        <v>25</v>
      </c>
      <c r="AA71" s="2100">
        <v>25</v>
      </c>
      <c r="AB71" s="2100">
        <v>25</v>
      </c>
      <c r="AC71" s="2100">
        <v>25</v>
      </c>
      <c r="AD71" s="2040"/>
      <c r="AE71" s="2055"/>
      <c r="AF71" s="2055">
        <v>7</v>
      </c>
      <c r="AG71" s="2043"/>
      <c r="AJ71" s="638">
        <v>146</v>
      </c>
      <c r="AK71" s="638">
        <v>8</v>
      </c>
      <c r="AL71" s="638">
        <f t="shared" si="1"/>
        <v>154</v>
      </c>
      <c r="AM71" s="639">
        <f t="shared" si="0"/>
        <v>-6.3300000000000125</v>
      </c>
      <c r="AN71" s="639">
        <f>IF(AM71="","",AM71+'August 2024'!AN71)</f>
        <v>9.3299999999999486</v>
      </c>
    </row>
    <row r="72" spans="1:40" ht="18" customHeight="1" x14ac:dyDescent="0.2">
      <c r="A72" s="368"/>
      <c r="B72" s="2187" t="s">
        <v>159</v>
      </c>
      <c r="C72" s="2040" t="s">
        <v>71</v>
      </c>
      <c r="D72" s="2040" t="s">
        <v>50</v>
      </c>
      <c r="E72" s="2040" t="s">
        <v>50</v>
      </c>
      <c r="F72" s="2193">
        <v>99</v>
      </c>
      <c r="G72" s="2055" t="s">
        <v>160</v>
      </c>
      <c r="H72" s="2194" t="s">
        <v>46</v>
      </c>
      <c r="I72" s="2047" t="s">
        <v>68</v>
      </c>
      <c r="J72" s="2047" t="s">
        <v>68</v>
      </c>
      <c r="K72" s="2071" t="s">
        <v>46</v>
      </c>
      <c r="L72" s="2071" t="s">
        <v>46</v>
      </c>
      <c r="M72" s="2071" t="s">
        <v>46</v>
      </c>
      <c r="N72" s="2071" t="s">
        <v>46</v>
      </c>
      <c r="O72" s="2071" t="s">
        <v>46</v>
      </c>
      <c r="P72" s="2071"/>
      <c r="Q72" s="2071"/>
      <c r="R72" s="2071" t="s">
        <v>46</v>
      </c>
      <c r="S72" s="2071" t="s">
        <v>46</v>
      </c>
      <c r="T72" s="2071" t="s">
        <v>46</v>
      </c>
      <c r="U72" s="2071" t="s">
        <v>46</v>
      </c>
      <c r="V72" s="2071" t="s">
        <v>46</v>
      </c>
      <c r="W72" s="2071"/>
      <c r="X72" s="2071"/>
      <c r="Y72" s="635" t="s">
        <v>162</v>
      </c>
      <c r="Z72" s="635" t="s">
        <v>162</v>
      </c>
      <c r="AA72" s="636" t="s">
        <v>162</v>
      </c>
      <c r="AB72" s="636" t="s">
        <v>162</v>
      </c>
      <c r="AC72" s="636" t="s">
        <v>162</v>
      </c>
      <c r="AD72" s="636" t="s">
        <v>163</v>
      </c>
      <c r="AE72" s="636" t="s">
        <v>164</v>
      </c>
      <c r="AF72" s="2055" t="s">
        <v>50</v>
      </c>
      <c r="AG72" s="2191"/>
      <c r="AH72" s="1"/>
      <c r="AJ72" s="638">
        <v>180.5</v>
      </c>
      <c r="AK72" s="638">
        <v>6.25</v>
      </c>
      <c r="AL72" s="638">
        <f t="shared" si="1"/>
        <v>186.75</v>
      </c>
      <c r="AM72" s="639">
        <f t="shared" si="0"/>
        <v>26.419999999999987</v>
      </c>
      <c r="AN72" s="639">
        <f>IF(AM72="","",AM72+'August 2024'!AN72)</f>
        <v>135.67999999999995</v>
      </c>
    </row>
    <row r="73" spans="1:40" ht="18" customHeight="1" x14ac:dyDescent="0.2">
      <c r="A73" s="764"/>
      <c r="B73" s="1552" t="s">
        <v>161</v>
      </c>
      <c r="C73" s="2071"/>
      <c r="D73" s="2071" t="s">
        <v>46</v>
      </c>
      <c r="E73" s="2071" t="s">
        <v>46</v>
      </c>
      <c r="F73" s="2071" t="s">
        <v>46</v>
      </c>
      <c r="G73" s="2071" t="s">
        <v>46</v>
      </c>
      <c r="H73" s="2071" t="s">
        <v>46</v>
      </c>
      <c r="I73" s="2071"/>
      <c r="J73" s="2071"/>
      <c r="K73" s="1634" t="s">
        <v>50</v>
      </c>
      <c r="L73" s="1634" t="s">
        <v>50</v>
      </c>
      <c r="M73" s="1842" t="s">
        <v>50</v>
      </c>
      <c r="N73" s="636" t="s">
        <v>50</v>
      </c>
      <c r="O73" s="635" t="s">
        <v>50</v>
      </c>
      <c r="P73" s="635"/>
      <c r="Q73" s="635"/>
      <c r="R73" s="635" t="s">
        <v>162</v>
      </c>
      <c r="S73" s="635" t="s">
        <v>162</v>
      </c>
      <c r="T73" s="636" t="s">
        <v>162</v>
      </c>
      <c r="U73" s="636" t="s">
        <v>162</v>
      </c>
      <c r="V73" s="636" t="s">
        <v>162</v>
      </c>
      <c r="W73" s="636" t="s">
        <v>163</v>
      </c>
      <c r="X73" s="636" t="s">
        <v>164</v>
      </c>
      <c r="Y73" s="636" t="s">
        <v>50</v>
      </c>
      <c r="Z73" s="636" t="s">
        <v>50</v>
      </c>
      <c r="AA73" s="636" t="s">
        <v>50</v>
      </c>
      <c r="AB73" s="636" t="s">
        <v>50</v>
      </c>
      <c r="AC73" s="635" t="s">
        <v>50</v>
      </c>
      <c r="AD73" s="635"/>
      <c r="AE73" s="635"/>
      <c r="AF73" s="635" t="s">
        <v>162</v>
      </c>
      <c r="AG73" s="2191"/>
      <c r="AH73" s="1"/>
      <c r="AJ73" s="638">
        <v>123</v>
      </c>
      <c r="AK73" s="638">
        <v>6.5</v>
      </c>
      <c r="AL73" s="638">
        <f t="shared" si="1"/>
        <v>129.5</v>
      </c>
      <c r="AM73" s="639">
        <f t="shared" si="0"/>
        <v>-30.830000000000013</v>
      </c>
      <c r="AN73" s="639">
        <f>IF(AM73="","",AM73+'August 2024'!AN73)</f>
        <v>-42.220000000000063</v>
      </c>
    </row>
    <row r="74" spans="1:40" ht="18" customHeight="1" x14ac:dyDescent="0.2">
      <c r="A74" s="764"/>
      <c r="B74" s="1552" t="s">
        <v>165</v>
      </c>
      <c r="C74" s="2100">
        <v>26</v>
      </c>
      <c r="D74" s="2100">
        <v>26</v>
      </c>
      <c r="E74" s="2100">
        <v>26</v>
      </c>
      <c r="F74" s="2100">
        <v>26</v>
      </c>
      <c r="G74" s="2100">
        <v>26</v>
      </c>
      <c r="H74" s="2100">
        <v>26</v>
      </c>
      <c r="I74" s="2100"/>
      <c r="J74" s="597" t="s">
        <v>106</v>
      </c>
      <c r="K74" s="2040" t="s">
        <v>50</v>
      </c>
      <c r="L74" s="2040" t="s">
        <v>50</v>
      </c>
      <c r="M74" s="2055">
        <v>3</v>
      </c>
      <c r="N74" s="2055">
        <v>3</v>
      </c>
      <c r="O74" s="2040">
        <v>3</v>
      </c>
      <c r="P74" s="2040"/>
      <c r="Q74" s="2040"/>
      <c r="R74" s="2055">
        <v>11</v>
      </c>
      <c r="S74" s="2055">
        <v>11</v>
      </c>
      <c r="T74" s="2055">
        <v>11</v>
      </c>
      <c r="U74" s="2045">
        <v>11</v>
      </c>
      <c r="V74" s="2055">
        <v>11</v>
      </c>
      <c r="W74" s="2055" t="s">
        <v>109</v>
      </c>
      <c r="X74" s="2055" t="s">
        <v>109</v>
      </c>
      <c r="Y74" s="636" t="s">
        <v>50</v>
      </c>
      <c r="Z74" s="636" t="s">
        <v>50</v>
      </c>
      <c r="AA74" s="636" t="s">
        <v>50</v>
      </c>
      <c r="AB74" s="636" t="s">
        <v>50</v>
      </c>
      <c r="AC74" s="636" t="s">
        <v>50</v>
      </c>
      <c r="AD74" s="2040"/>
      <c r="AE74" s="2040"/>
      <c r="AF74" s="2040">
        <v>26</v>
      </c>
      <c r="AG74" s="2043"/>
      <c r="AH74" s="1"/>
      <c r="AJ74" s="638">
        <v>153.5</v>
      </c>
      <c r="AK74" s="638">
        <v>9.75</v>
      </c>
      <c r="AL74" s="638">
        <f t="shared" si="1"/>
        <v>163.25</v>
      </c>
      <c r="AM74" s="639">
        <f t="shared" si="0"/>
        <v>2.9199999999999875</v>
      </c>
      <c r="AN74" s="639">
        <f>IF(AM74="","",AM74+'August 2024'!AN74)</f>
        <v>7.2299999999999329</v>
      </c>
    </row>
    <row r="75" spans="1:40" ht="18" customHeight="1" x14ac:dyDescent="0.2">
      <c r="A75" s="768"/>
      <c r="B75" s="1552" t="s">
        <v>166</v>
      </c>
      <c r="C75" s="2055"/>
      <c r="D75" s="2055" t="s">
        <v>160</v>
      </c>
      <c r="E75" s="2055" t="s">
        <v>160</v>
      </c>
      <c r="F75" s="2055" t="s">
        <v>160</v>
      </c>
      <c r="G75" s="2071" t="s">
        <v>160</v>
      </c>
      <c r="H75" s="2055" t="s">
        <v>160</v>
      </c>
      <c r="I75" s="2055"/>
      <c r="J75" s="2055"/>
      <c r="K75" s="2055" t="s">
        <v>160</v>
      </c>
      <c r="L75" s="2055" t="s">
        <v>160</v>
      </c>
      <c r="M75" s="2055" t="s">
        <v>160</v>
      </c>
      <c r="N75" s="2055" t="s">
        <v>160</v>
      </c>
      <c r="O75" s="2055" t="s">
        <v>160</v>
      </c>
      <c r="P75" s="2055"/>
      <c r="Q75" s="2055"/>
      <c r="R75" s="2055" t="s">
        <v>160</v>
      </c>
      <c r="S75" s="2055" t="s">
        <v>160</v>
      </c>
      <c r="T75" s="2055" t="s">
        <v>160</v>
      </c>
      <c r="U75" s="2055" t="s">
        <v>160</v>
      </c>
      <c r="V75" s="2055" t="s">
        <v>160</v>
      </c>
      <c r="W75" s="2055"/>
      <c r="X75" s="2055"/>
      <c r="Y75" s="2055" t="s">
        <v>160</v>
      </c>
      <c r="Z75" s="2195" t="s">
        <v>160</v>
      </c>
      <c r="AA75" s="2055" t="s">
        <v>160</v>
      </c>
      <c r="AB75" s="2055" t="s">
        <v>160</v>
      </c>
      <c r="AC75" s="2055" t="s">
        <v>160</v>
      </c>
      <c r="AD75" s="2055"/>
      <c r="AE75" s="2055"/>
      <c r="AF75" s="2196" t="s">
        <v>449</v>
      </c>
      <c r="AG75" s="2191"/>
      <c r="AH75" s="1"/>
      <c r="AJ75" s="638">
        <v>144.5</v>
      </c>
      <c r="AK75" s="638">
        <v>0</v>
      </c>
      <c r="AL75" s="638">
        <f t="shared" si="1"/>
        <v>144.5</v>
      </c>
      <c r="AM75" s="639">
        <f t="shared" si="0"/>
        <v>-15.830000000000013</v>
      </c>
      <c r="AN75" s="639">
        <f>IF(AM75="","",AM75+'August 2024'!AN75)</f>
        <v>-34.020000000000074</v>
      </c>
    </row>
    <row r="76" spans="1:40" ht="18" customHeight="1" x14ac:dyDescent="0.2">
      <c r="A76" s="768"/>
      <c r="B76" s="2197" t="s">
        <v>167</v>
      </c>
      <c r="C76" s="2198"/>
      <c r="D76" s="2198" t="s">
        <v>168</v>
      </c>
      <c r="E76" s="2198" t="s">
        <v>168</v>
      </c>
      <c r="F76" s="2198" t="s">
        <v>168</v>
      </c>
      <c r="G76" s="2198" t="s">
        <v>168</v>
      </c>
      <c r="H76" s="2198" t="s">
        <v>168</v>
      </c>
      <c r="I76" s="2198"/>
      <c r="J76" s="2198"/>
      <c r="K76" s="2199" t="s">
        <v>168</v>
      </c>
      <c r="L76" s="2199" t="s">
        <v>168</v>
      </c>
      <c r="M76" s="2199" t="s">
        <v>168</v>
      </c>
      <c r="N76" s="2199" t="s">
        <v>168</v>
      </c>
      <c r="O76" s="2199" t="s">
        <v>168</v>
      </c>
      <c r="P76" s="2199"/>
      <c r="Q76" s="2199" t="s">
        <v>0</v>
      </c>
      <c r="R76" s="2199" t="s">
        <v>168</v>
      </c>
      <c r="S76" s="2199" t="s">
        <v>168</v>
      </c>
      <c r="T76" s="2199" t="s">
        <v>168</v>
      </c>
      <c r="U76" s="2199" t="s">
        <v>168</v>
      </c>
      <c r="V76" s="2199" t="s">
        <v>168</v>
      </c>
      <c r="W76" s="2200"/>
      <c r="X76" s="2084"/>
      <c r="Y76" s="2199" t="s">
        <v>168</v>
      </c>
      <c r="Z76" s="2199" t="s">
        <v>168</v>
      </c>
      <c r="AA76" s="2199" t="s">
        <v>168</v>
      </c>
      <c r="AB76" s="2199" t="s">
        <v>168</v>
      </c>
      <c r="AC76" s="2199" t="s">
        <v>168</v>
      </c>
      <c r="AD76" s="2084"/>
      <c r="AE76" s="2084">
        <v>26</v>
      </c>
      <c r="AF76" s="2199" t="s">
        <v>168</v>
      </c>
      <c r="AG76" s="2201"/>
      <c r="AH76" s="1"/>
      <c r="AJ76" s="638">
        <v>166.5</v>
      </c>
      <c r="AK76" s="638">
        <v>0</v>
      </c>
      <c r="AL76" s="638">
        <f t="shared" si="1"/>
        <v>166.5</v>
      </c>
      <c r="AM76" s="639">
        <f t="shared" si="0"/>
        <v>6.1699999999999875</v>
      </c>
      <c r="AN76" s="639">
        <f>IF(AM76="","",AM76+'August 2024'!AN76)</f>
        <v>-1.2200000000000628</v>
      </c>
    </row>
    <row r="77" spans="1:40" ht="18" customHeight="1" x14ac:dyDescent="0.2">
      <c r="A77" s="768"/>
      <c r="B77" s="2197" t="s">
        <v>170</v>
      </c>
      <c r="C77" s="799"/>
      <c r="D77" s="1634" t="s">
        <v>142</v>
      </c>
      <c r="E77" s="2202" t="s">
        <v>142</v>
      </c>
      <c r="F77" s="2202" t="s">
        <v>142</v>
      </c>
      <c r="G77" s="1634" t="s">
        <v>142</v>
      </c>
      <c r="H77" s="636" t="s">
        <v>142</v>
      </c>
      <c r="I77" s="636" t="s">
        <v>143</v>
      </c>
      <c r="J77" s="636" t="s">
        <v>143</v>
      </c>
      <c r="K77" s="1634" t="s">
        <v>297</v>
      </c>
      <c r="L77" s="799" t="s">
        <v>50</v>
      </c>
      <c r="M77" s="799" t="s">
        <v>50</v>
      </c>
      <c r="N77" s="800" t="s">
        <v>50</v>
      </c>
      <c r="O77" s="799" t="s">
        <v>149</v>
      </c>
      <c r="P77" s="636" t="s">
        <v>150</v>
      </c>
      <c r="Q77" s="636" t="s">
        <v>71</v>
      </c>
      <c r="R77" s="635" t="s">
        <v>50</v>
      </c>
      <c r="S77" s="635" t="s">
        <v>50</v>
      </c>
      <c r="T77" s="800" t="s">
        <v>46</v>
      </c>
      <c r="U77" s="800" t="s">
        <v>142</v>
      </c>
      <c r="V77" s="638" t="s">
        <v>149</v>
      </c>
      <c r="W77" s="638" t="s">
        <v>150</v>
      </c>
      <c r="X77" s="638" t="s">
        <v>71</v>
      </c>
      <c r="Y77" s="635" t="s">
        <v>50</v>
      </c>
      <c r="Z77" s="635" t="s">
        <v>50</v>
      </c>
      <c r="AA77" s="799" t="s">
        <v>50</v>
      </c>
      <c r="AB77" s="799">
        <v>1</v>
      </c>
      <c r="AC77" s="636">
        <v>1</v>
      </c>
      <c r="AD77" s="636"/>
      <c r="AE77" s="636"/>
      <c r="AF77" s="811">
        <v>25</v>
      </c>
      <c r="AG77" s="635"/>
      <c r="AH77" s="1"/>
      <c r="AJ77" s="638">
        <v>167</v>
      </c>
      <c r="AK77" s="638">
        <v>12</v>
      </c>
      <c r="AL77" s="638">
        <f t="shared" si="1"/>
        <v>179</v>
      </c>
      <c r="AM77" s="639">
        <f t="shared" si="0"/>
        <v>18.669999999999987</v>
      </c>
      <c r="AN77" s="639">
        <f>IF(AM77="","",AM77+'August 2024'!AN77)</f>
        <v>29.279999999999937</v>
      </c>
    </row>
    <row r="78" spans="1:40" ht="18" customHeight="1" x14ac:dyDescent="0.2">
      <c r="A78" s="768"/>
      <c r="B78" s="2203" t="s">
        <v>176</v>
      </c>
      <c r="C78" s="961" t="s">
        <v>148</v>
      </c>
      <c r="D78" s="635" t="s">
        <v>162</v>
      </c>
      <c r="E78" s="635" t="s">
        <v>162</v>
      </c>
      <c r="F78" s="636" t="s">
        <v>162</v>
      </c>
      <c r="G78" s="636" t="s">
        <v>162</v>
      </c>
      <c r="H78" s="636" t="s">
        <v>162</v>
      </c>
      <c r="I78" s="636" t="s">
        <v>163</v>
      </c>
      <c r="J78" s="636" t="s">
        <v>164</v>
      </c>
      <c r="K78" s="799" t="s">
        <v>50</v>
      </c>
      <c r="L78" s="799" t="s">
        <v>50</v>
      </c>
      <c r="M78" s="799" t="s">
        <v>50</v>
      </c>
      <c r="N78" s="799" t="s">
        <v>50</v>
      </c>
      <c r="O78" s="636" t="s">
        <v>145</v>
      </c>
      <c r="P78" s="636" t="s">
        <v>147</v>
      </c>
      <c r="Q78" s="799" t="s">
        <v>148</v>
      </c>
      <c r="R78" s="799" t="s">
        <v>50</v>
      </c>
      <c r="S78" s="799" t="s">
        <v>50</v>
      </c>
      <c r="T78" s="799" t="s">
        <v>50</v>
      </c>
      <c r="U78" s="799" t="s">
        <v>46</v>
      </c>
      <c r="V78" s="638">
        <v>6</v>
      </c>
      <c r="W78" s="1634" t="s">
        <v>104</v>
      </c>
      <c r="X78" s="638"/>
      <c r="Y78" s="799" t="s">
        <v>297</v>
      </c>
      <c r="Z78" s="799" t="s">
        <v>297</v>
      </c>
      <c r="AA78" s="799" t="s">
        <v>297</v>
      </c>
      <c r="AB78" s="799" t="s">
        <v>50</v>
      </c>
      <c r="AC78" s="636" t="s">
        <v>145</v>
      </c>
      <c r="AD78" s="636" t="s">
        <v>147</v>
      </c>
      <c r="AE78" s="799" t="s">
        <v>148</v>
      </c>
      <c r="AF78" s="799" t="s">
        <v>50</v>
      </c>
      <c r="AG78" s="635"/>
      <c r="AH78" s="1"/>
      <c r="AJ78" s="638">
        <v>151.5</v>
      </c>
      <c r="AK78" s="638">
        <v>11</v>
      </c>
      <c r="AL78" s="638">
        <f t="shared" si="1"/>
        <v>162.5</v>
      </c>
      <c r="AM78" s="639">
        <f t="shared" si="0"/>
        <v>2.1699999999999875</v>
      </c>
      <c r="AN78" s="639">
        <f>IF(AM78="","",AM78+'August 2024'!AN78)</f>
        <v>22.029999999999944</v>
      </c>
    </row>
    <row r="79" spans="1:40" ht="18" customHeight="1" x14ac:dyDescent="0.2">
      <c r="A79" s="768"/>
      <c r="B79" s="1552" t="s">
        <v>177</v>
      </c>
      <c r="C79" s="799"/>
      <c r="D79" s="799">
        <v>99</v>
      </c>
      <c r="E79" s="636">
        <v>99</v>
      </c>
      <c r="F79" s="636" t="s">
        <v>50</v>
      </c>
      <c r="G79" s="636" t="s">
        <v>50</v>
      </c>
      <c r="H79" s="799" t="s">
        <v>149</v>
      </c>
      <c r="I79" s="636" t="s">
        <v>150</v>
      </c>
      <c r="J79" s="636" t="s">
        <v>71</v>
      </c>
      <c r="K79" s="638">
        <v>23</v>
      </c>
      <c r="L79" s="638">
        <v>23</v>
      </c>
      <c r="M79" s="2204">
        <v>23</v>
      </c>
      <c r="N79" s="638">
        <v>23</v>
      </c>
      <c r="O79" s="1013" t="s">
        <v>50</v>
      </c>
      <c r="P79" s="638"/>
      <c r="Q79" s="638"/>
      <c r="R79" s="2205" t="s">
        <v>142</v>
      </c>
      <c r="S79" s="2205" t="s">
        <v>142</v>
      </c>
      <c r="T79" s="2205" t="s">
        <v>142</v>
      </c>
      <c r="U79" s="2205" t="s">
        <v>142</v>
      </c>
      <c r="V79" s="2205" t="s">
        <v>142</v>
      </c>
      <c r="W79" s="638"/>
      <c r="X79" s="638"/>
      <c r="Y79" s="1013" t="s">
        <v>50</v>
      </c>
      <c r="Z79" s="799" t="s">
        <v>50</v>
      </c>
      <c r="AA79" s="799" t="s">
        <v>50</v>
      </c>
      <c r="AB79" s="799" t="s">
        <v>50</v>
      </c>
      <c r="AC79" s="799" t="s">
        <v>50</v>
      </c>
      <c r="AD79" s="1633"/>
      <c r="AE79" s="1633"/>
      <c r="AF79" s="2205">
        <v>89</v>
      </c>
      <c r="AG79" s="635"/>
      <c r="AH79" s="1"/>
      <c r="AJ79" s="638">
        <v>129.25</v>
      </c>
      <c r="AK79" s="638"/>
      <c r="AL79" s="638">
        <f t="shared" si="1"/>
        <v>129.25</v>
      </c>
      <c r="AM79" s="639">
        <f t="shared" si="0"/>
        <v>-31.080000000000013</v>
      </c>
      <c r="AN79" s="639">
        <f>IF(AM79="","",AM79+'August 2024'!AN79)</f>
        <v>-71.32000000000005</v>
      </c>
    </row>
    <row r="80" spans="1:40" ht="18" customHeight="1" thickBot="1" x14ac:dyDescent="0.25">
      <c r="A80" s="768"/>
      <c r="B80" s="1552" t="s">
        <v>450</v>
      </c>
      <c r="C80" s="712" t="s">
        <v>104</v>
      </c>
      <c r="D80" s="711">
        <v>6</v>
      </c>
      <c r="E80" s="712">
        <v>6</v>
      </c>
      <c r="F80" s="712">
        <v>6</v>
      </c>
      <c r="G80" s="712">
        <v>6</v>
      </c>
      <c r="H80" s="712">
        <v>6</v>
      </c>
      <c r="I80" s="712"/>
      <c r="J80" s="711"/>
      <c r="K80" s="712" t="s">
        <v>50</v>
      </c>
      <c r="L80" s="712" t="s">
        <v>50</v>
      </c>
      <c r="M80" s="712" t="s">
        <v>50</v>
      </c>
      <c r="N80" s="712" t="s">
        <v>50</v>
      </c>
      <c r="O80" s="711" t="s">
        <v>50</v>
      </c>
      <c r="P80" s="712"/>
      <c r="Q80" s="597"/>
      <c r="R80" s="711">
        <v>5</v>
      </c>
      <c r="S80" s="1741">
        <v>5</v>
      </c>
      <c r="T80" s="712">
        <v>5</v>
      </c>
      <c r="U80" s="1741">
        <v>5</v>
      </c>
      <c r="V80" s="712">
        <v>5</v>
      </c>
      <c r="W80" s="712"/>
      <c r="X80" s="597"/>
      <c r="Y80" s="597">
        <v>10</v>
      </c>
      <c r="Z80" s="712">
        <v>10</v>
      </c>
      <c r="AA80" s="712">
        <v>10</v>
      </c>
      <c r="AB80" s="597">
        <v>10</v>
      </c>
      <c r="AC80" s="597">
        <v>10</v>
      </c>
      <c r="AD80" s="597" t="s">
        <v>106</v>
      </c>
      <c r="AE80" s="712" t="s">
        <v>106</v>
      </c>
      <c r="AF80" s="712" t="s">
        <v>50</v>
      </c>
      <c r="AG80" s="1086"/>
      <c r="AH80" s="1"/>
      <c r="AJ80" s="638">
        <v>122</v>
      </c>
      <c r="AK80" s="638">
        <v>11.25</v>
      </c>
      <c r="AL80" s="638">
        <f t="shared" si="1"/>
        <v>133.25</v>
      </c>
      <c r="AM80" s="639">
        <f t="shared" si="0"/>
        <v>-27.080000000000013</v>
      </c>
      <c r="AN80" s="639">
        <f>IF(AM80="","",AM80+'August 2024'!AN80)</f>
        <v>-40.090000000000067</v>
      </c>
    </row>
    <row r="81" spans="1:40" ht="18" customHeight="1" x14ac:dyDescent="0.2">
      <c r="A81" s="768"/>
      <c r="B81" s="2206" t="s">
        <v>180</v>
      </c>
      <c r="C81" s="2085" t="s">
        <v>211</v>
      </c>
      <c r="D81" s="2200" t="s">
        <v>50</v>
      </c>
      <c r="E81" s="2085" t="s">
        <v>50</v>
      </c>
      <c r="F81" s="2085" t="s">
        <v>50</v>
      </c>
      <c r="G81" s="2199" t="s">
        <v>50</v>
      </c>
      <c r="H81" s="2199" t="s">
        <v>50</v>
      </c>
      <c r="I81" s="2085"/>
      <c r="J81" s="2200"/>
      <c r="K81" s="2207" t="s">
        <v>209</v>
      </c>
      <c r="L81" s="2207" t="s">
        <v>209</v>
      </c>
      <c r="M81" s="2208" t="s">
        <v>209</v>
      </c>
      <c r="N81" s="2207" t="s">
        <v>209</v>
      </c>
      <c r="O81" s="2207" t="s">
        <v>209</v>
      </c>
      <c r="P81" s="2208" t="s">
        <v>210</v>
      </c>
      <c r="Q81" s="2208" t="s">
        <v>211</v>
      </c>
      <c r="R81" s="2199" t="s">
        <v>50</v>
      </c>
      <c r="S81" s="2199" t="s">
        <v>50</v>
      </c>
      <c r="T81" s="2199" t="s">
        <v>50</v>
      </c>
      <c r="U81" s="2199" t="s">
        <v>50</v>
      </c>
      <c r="V81" s="2199" t="s">
        <v>50</v>
      </c>
      <c r="W81" s="2199"/>
      <c r="X81" s="2199"/>
      <c r="Y81" s="2209" t="s">
        <v>209</v>
      </c>
      <c r="Z81" s="2209" t="s">
        <v>209</v>
      </c>
      <c r="AA81" s="2210" t="s">
        <v>209</v>
      </c>
      <c r="AB81" s="2209" t="s">
        <v>209</v>
      </c>
      <c r="AC81" s="2209" t="s">
        <v>209</v>
      </c>
      <c r="AD81" s="2209" t="s">
        <v>210</v>
      </c>
      <c r="AE81" s="2211" t="s">
        <v>211</v>
      </c>
      <c r="AF81" s="2199" t="s">
        <v>50</v>
      </c>
      <c r="AG81" s="2087"/>
      <c r="AH81" s="1"/>
      <c r="AJ81" s="638">
        <v>143</v>
      </c>
      <c r="AK81" s="638">
        <v>11.75</v>
      </c>
      <c r="AL81" s="638">
        <f t="shared" si="1"/>
        <v>154.75</v>
      </c>
      <c r="AM81" s="639">
        <f t="shared" si="0"/>
        <v>-5.5800000000000125</v>
      </c>
      <c r="AN81" s="639">
        <f>IF(AM81="","",AM81+'August 2024'!AN81)</f>
        <v>10.67999999999995</v>
      </c>
    </row>
    <row r="82" spans="1:40" ht="18" customHeight="1" x14ac:dyDescent="0.2">
      <c r="A82" s="768"/>
      <c r="B82" s="748" t="s">
        <v>181</v>
      </c>
      <c r="C82" s="635" t="s">
        <v>46</v>
      </c>
      <c r="D82" s="635" t="s">
        <v>50</v>
      </c>
      <c r="E82" s="635" t="s">
        <v>50</v>
      </c>
      <c r="F82" s="799" t="s">
        <v>50</v>
      </c>
      <c r="G82" s="799" t="s">
        <v>50</v>
      </c>
      <c r="H82" s="636" t="s">
        <v>50</v>
      </c>
      <c r="I82" s="636"/>
      <c r="J82" s="636"/>
      <c r="K82" s="635" t="s">
        <v>46</v>
      </c>
      <c r="L82" s="635" t="s">
        <v>46</v>
      </c>
      <c r="M82" s="635" t="s">
        <v>46</v>
      </c>
      <c r="N82" s="635" t="s">
        <v>46</v>
      </c>
      <c r="O82" s="376" t="s">
        <v>72</v>
      </c>
      <c r="P82" s="2212" t="s">
        <v>70</v>
      </c>
      <c r="Q82" s="376" t="s">
        <v>70</v>
      </c>
      <c r="R82" s="636" t="s">
        <v>50</v>
      </c>
      <c r="S82" s="636" t="s">
        <v>50</v>
      </c>
      <c r="T82" s="812" t="s">
        <v>50</v>
      </c>
      <c r="U82" s="636" t="s">
        <v>50</v>
      </c>
      <c r="V82" s="799" t="s">
        <v>50</v>
      </c>
      <c r="W82" s="799"/>
      <c r="X82" s="799"/>
      <c r="Y82" s="635" t="s">
        <v>46</v>
      </c>
      <c r="Z82" s="635" t="s">
        <v>46</v>
      </c>
      <c r="AA82" s="635" t="s">
        <v>46</v>
      </c>
      <c r="AB82" s="635" t="s">
        <v>46</v>
      </c>
      <c r="AC82" s="636" t="s">
        <v>149</v>
      </c>
      <c r="AD82" s="2213" t="s">
        <v>150</v>
      </c>
      <c r="AE82" s="2214" t="s">
        <v>71</v>
      </c>
      <c r="AF82" s="635" t="s">
        <v>50</v>
      </c>
      <c r="AG82" s="2215"/>
      <c r="AH82" s="1"/>
      <c r="AJ82" s="638">
        <v>132.5</v>
      </c>
      <c r="AK82" s="638">
        <v>10.75</v>
      </c>
      <c r="AL82" s="638">
        <f t="shared" si="1"/>
        <v>143.25</v>
      </c>
      <c r="AM82" s="639">
        <f t="shared" si="0"/>
        <v>-17.080000000000013</v>
      </c>
      <c r="AN82" s="639">
        <f>IF(AM82="","",AM82+'August 2024'!AN82)</f>
        <v>-12.240000000000038</v>
      </c>
    </row>
    <row r="83" spans="1:40" ht="18" customHeight="1" x14ac:dyDescent="0.2">
      <c r="A83" s="768"/>
      <c r="B83" s="748" t="s">
        <v>101</v>
      </c>
      <c r="C83" s="636"/>
      <c r="D83" s="968" t="s">
        <v>46</v>
      </c>
      <c r="E83" s="968" t="s">
        <v>46</v>
      </c>
      <c r="F83" s="968"/>
      <c r="G83" s="968" t="s">
        <v>46</v>
      </c>
      <c r="H83" s="968" t="s">
        <v>46</v>
      </c>
      <c r="I83" s="968"/>
      <c r="J83" s="968"/>
      <c r="K83" s="968" t="s">
        <v>46</v>
      </c>
      <c r="L83" s="968" t="s">
        <v>46</v>
      </c>
      <c r="M83" s="968"/>
      <c r="N83" s="968" t="s">
        <v>46</v>
      </c>
      <c r="O83" s="968" t="s">
        <v>46</v>
      </c>
      <c r="P83" s="968"/>
      <c r="Q83" s="968"/>
      <c r="R83" s="968" t="s">
        <v>46</v>
      </c>
      <c r="S83" s="968" t="s">
        <v>46</v>
      </c>
      <c r="T83" s="968"/>
      <c r="U83" s="968" t="s">
        <v>46</v>
      </c>
      <c r="V83" s="968" t="s">
        <v>46</v>
      </c>
      <c r="W83" s="968"/>
      <c r="X83" s="968"/>
      <c r="Y83" s="636" t="s">
        <v>46</v>
      </c>
      <c r="Z83" s="636" t="s">
        <v>46</v>
      </c>
      <c r="AA83" s="833" t="s">
        <v>50</v>
      </c>
      <c r="AB83" s="636" t="s">
        <v>46</v>
      </c>
      <c r="AC83" s="810" t="s">
        <v>46</v>
      </c>
      <c r="AD83" s="833"/>
      <c r="AE83" s="833"/>
      <c r="AF83" s="810" t="s">
        <v>46</v>
      </c>
      <c r="AG83" s="833"/>
      <c r="AH83" s="1"/>
      <c r="AJ83" s="638">
        <v>155.75</v>
      </c>
      <c r="AK83" s="638"/>
      <c r="AL83" s="638">
        <f t="shared" si="1"/>
        <v>155.75</v>
      </c>
      <c r="AM83" s="639">
        <f t="shared" si="0"/>
        <v>-4.5800000000000125</v>
      </c>
      <c r="AN83" s="639">
        <f>IF(AM83="","",AM83+'August 2024'!AN83)</f>
        <v>-4.5800000000000125</v>
      </c>
    </row>
    <row r="84" spans="1:40" ht="18" customHeight="1" x14ac:dyDescent="0.2">
      <c r="A84" s="768"/>
      <c r="B84" s="764" t="s">
        <v>426</v>
      </c>
      <c r="C84" s="2216" t="s">
        <v>143</v>
      </c>
      <c r="D84" s="800" t="s">
        <v>50</v>
      </c>
      <c r="E84" s="800" t="s">
        <v>50</v>
      </c>
      <c r="F84" s="800" t="s">
        <v>50</v>
      </c>
      <c r="G84" s="2217" t="s">
        <v>46</v>
      </c>
      <c r="H84" s="2217" t="s">
        <v>46</v>
      </c>
      <c r="I84" s="635" t="s">
        <v>68</v>
      </c>
      <c r="J84" s="800" t="s">
        <v>68</v>
      </c>
      <c r="K84" s="2218" t="s">
        <v>142</v>
      </c>
      <c r="L84" s="2218" t="s">
        <v>142</v>
      </c>
      <c r="M84" s="2218" t="s">
        <v>142</v>
      </c>
      <c r="N84" s="811" t="s">
        <v>142</v>
      </c>
      <c r="O84" s="811" t="s">
        <v>142</v>
      </c>
      <c r="P84" s="811" t="s">
        <v>143</v>
      </c>
      <c r="Q84" s="805"/>
      <c r="R84" s="805" t="s">
        <v>50</v>
      </c>
      <c r="S84" s="805" t="s">
        <v>50</v>
      </c>
      <c r="T84" s="805" t="s">
        <v>50</v>
      </c>
      <c r="U84" s="805" t="s">
        <v>50</v>
      </c>
      <c r="V84" s="805" t="s">
        <v>50</v>
      </c>
      <c r="W84" s="805"/>
      <c r="X84" s="805"/>
      <c r="Y84" s="805" t="s">
        <v>142</v>
      </c>
      <c r="Z84" s="805" t="s">
        <v>142</v>
      </c>
      <c r="AA84" s="805" t="s">
        <v>422</v>
      </c>
      <c r="AB84" s="833" t="s">
        <v>50</v>
      </c>
      <c r="AC84" s="833">
        <v>79</v>
      </c>
      <c r="AD84" s="807"/>
      <c r="AE84" s="807"/>
      <c r="AF84" s="803" t="s">
        <v>451</v>
      </c>
      <c r="AG84" s="833"/>
      <c r="AH84" s="1"/>
      <c r="AJ84" s="638">
        <v>172</v>
      </c>
      <c r="AK84" s="638">
        <v>7.75</v>
      </c>
      <c r="AL84" s="638">
        <f t="shared" si="1"/>
        <v>179.75</v>
      </c>
      <c r="AM84" s="639">
        <f t="shared" si="0"/>
        <v>19.419999999999987</v>
      </c>
      <c r="AN84" s="639">
        <f>IF(AM84="","",AM84+'August 2024'!AN84)</f>
        <v>33.389999999999986</v>
      </c>
    </row>
    <row r="85" spans="1:40" ht="18" customHeight="1" x14ac:dyDescent="0.2">
      <c r="A85" s="2219"/>
      <c r="B85" s="748" t="s">
        <v>391</v>
      </c>
      <c r="C85" s="635"/>
      <c r="D85" s="2220" t="s">
        <v>162</v>
      </c>
      <c r="E85" s="2220" t="s">
        <v>72</v>
      </c>
      <c r="F85" s="811" t="s">
        <v>209</v>
      </c>
      <c r="G85" s="811" t="s">
        <v>209</v>
      </c>
      <c r="H85" s="635" t="s">
        <v>145</v>
      </c>
      <c r="I85" s="635" t="s">
        <v>147</v>
      </c>
      <c r="J85" s="636" t="s">
        <v>148</v>
      </c>
      <c r="K85" s="635" t="s">
        <v>50</v>
      </c>
      <c r="L85" s="635" t="s">
        <v>50</v>
      </c>
      <c r="M85" s="635" t="s">
        <v>50</v>
      </c>
      <c r="N85" s="635" t="s">
        <v>50</v>
      </c>
      <c r="O85" s="635" t="s">
        <v>50</v>
      </c>
      <c r="P85" s="636"/>
      <c r="Q85" s="636"/>
      <c r="R85" s="635" t="s">
        <v>50</v>
      </c>
      <c r="S85" s="635" t="s">
        <v>50</v>
      </c>
      <c r="T85" s="635" t="s">
        <v>50</v>
      </c>
      <c r="U85" s="635" t="s">
        <v>50</v>
      </c>
      <c r="V85" s="636" t="s">
        <v>145</v>
      </c>
      <c r="W85" s="636" t="s">
        <v>147</v>
      </c>
      <c r="X85" s="799" t="s">
        <v>148</v>
      </c>
      <c r="Y85" s="636">
        <v>22</v>
      </c>
      <c r="Z85" s="635" t="s">
        <v>401</v>
      </c>
      <c r="AA85" s="635" t="s">
        <v>401</v>
      </c>
      <c r="AB85" s="635" t="s">
        <v>401</v>
      </c>
      <c r="AC85" s="799" t="s">
        <v>50</v>
      </c>
      <c r="AD85" s="635" t="s">
        <v>0</v>
      </c>
      <c r="AE85" s="800" t="s">
        <v>0</v>
      </c>
      <c r="AF85" s="636">
        <v>1</v>
      </c>
      <c r="AG85" s="635"/>
      <c r="AH85" s="1"/>
      <c r="AJ85" s="638">
        <v>148</v>
      </c>
      <c r="AK85" s="638">
        <v>11.5</v>
      </c>
      <c r="AL85" s="638">
        <f>IF(AJ85="","",SUM(AJ85:AK85))</f>
        <v>159.5</v>
      </c>
      <c r="AM85" s="639">
        <f t="shared" si="0"/>
        <v>-0.83000000000001251</v>
      </c>
      <c r="AN85" s="639">
        <f>IF(AM85="","",AM85+'August 2024'!AN85)</f>
        <v>-6.3600000000000136</v>
      </c>
    </row>
    <row r="86" spans="1:40" ht="18" customHeight="1" x14ac:dyDescent="0.2">
      <c r="A86" s="2221"/>
      <c r="B86" s="748" t="s">
        <v>452</v>
      </c>
      <c r="C86" s="636"/>
      <c r="D86" s="636"/>
      <c r="E86" s="636"/>
      <c r="F86" s="636"/>
      <c r="G86" s="636"/>
      <c r="H86" s="636"/>
      <c r="I86" s="636"/>
      <c r="J86" s="636"/>
      <c r="K86" s="636"/>
      <c r="L86" s="636"/>
      <c r="M86" s="636"/>
      <c r="N86" s="636"/>
      <c r="O86" s="636"/>
      <c r="P86" s="636"/>
      <c r="Q86" s="636"/>
      <c r="R86" s="636"/>
      <c r="S86" s="811">
        <v>79</v>
      </c>
      <c r="T86" s="811">
        <v>79</v>
      </c>
      <c r="U86" s="811" t="s">
        <v>46</v>
      </c>
      <c r="V86" s="638">
        <v>4</v>
      </c>
      <c r="W86" s="636"/>
      <c r="X86" s="636"/>
      <c r="Y86" s="800">
        <v>4</v>
      </c>
      <c r="Z86" s="800">
        <v>4</v>
      </c>
      <c r="AA86" s="800">
        <v>4</v>
      </c>
      <c r="AB86" s="800">
        <v>4</v>
      </c>
      <c r="AC86" s="800">
        <v>4</v>
      </c>
      <c r="AD86" s="2213" t="s">
        <v>0</v>
      </c>
      <c r="AE86" s="2214" t="s">
        <v>0</v>
      </c>
      <c r="AF86" s="636" t="s">
        <v>50</v>
      </c>
      <c r="AG86" s="636"/>
      <c r="AH86" s="1"/>
      <c r="AJ86" s="638">
        <v>79.75</v>
      </c>
      <c r="AK86" s="638">
        <v>0</v>
      </c>
      <c r="AL86" s="638">
        <f>IF(AJ86="","",SUM(AJ86:AK86))</f>
        <v>79.75</v>
      </c>
      <c r="AM86" s="639">
        <f>IF(AJ86="","",AL86-80)</f>
        <v>-0.25</v>
      </c>
      <c r="AN86" s="639">
        <f>IF(AM86="","",AM86)</f>
        <v>-0.25</v>
      </c>
    </row>
    <row r="87" spans="1:40" ht="18" customHeight="1" x14ac:dyDescent="0.2">
      <c r="A87" s="2221"/>
      <c r="B87" s="748" t="s">
        <v>453</v>
      </c>
      <c r="C87" s="635"/>
      <c r="D87" s="800"/>
      <c r="E87" s="2220" t="s">
        <v>421</v>
      </c>
      <c r="F87" s="2220" t="s">
        <v>80</v>
      </c>
      <c r="G87" s="638" t="s">
        <v>80</v>
      </c>
      <c r="H87" s="638">
        <v>89</v>
      </c>
      <c r="I87" s="636"/>
      <c r="J87" s="636"/>
      <c r="K87" s="816">
        <v>21</v>
      </c>
      <c r="L87" s="816">
        <v>21</v>
      </c>
      <c r="M87" s="816">
        <v>21</v>
      </c>
      <c r="N87" s="816">
        <v>21</v>
      </c>
      <c r="O87" s="816">
        <v>21</v>
      </c>
      <c r="P87" s="816">
        <v>21</v>
      </c>
      <c r="Q87" s="816">
        <v>21</v>
      </c>
      <c r="R87" s="812" t="s">
        <v>50</v>
      </c>
      <c r="S87" s="812" t="s">
        <v>50</v>
      </c>
      <c r="T87" s="812" t="s">
        <v>50</v>
      </c>
      <c r="U87" s="812" t="s">
        <v>50</v>
      </c>
      <c r="V87" s="812" t="s">
        <v>50</v>
      </c>
      <c r="W87" s="635"/>
      <c r="X87" s="635"/>
      <c r="Y87" s="812" t="s">
        <v>50</v>
      </c>
      <c r="Z87" s="812" t="s">
        <v>50</v>
      </c>
      <c r="AA87" s="812" t="s">
        <v>50</v>
      </c>
      <c r="AB87" s="812">
        <v>79</v>
      </c>
      <c r="AC87" s="2222" t="s">
        <v>297</v>
      </c>
      <c r="AD87" s="2213" t="s">
        <v>0</v>
      </c>
      <c r="AE87" s="2214" t="s">
        <v>0</v>
      </c>
      <c r="AF87" s="2223" t="s">
        <v>297</v>
      </c>
      <c r="AG87" s="636"/>
      <c r="AH87" s="1"/>
      <c r="AJ87" s="638">
        <v>125.25</v>
      </c>
      <c r="AK87" s="638">
        <v>5.75</v>
      </c>
      <c r="AL87" s="638">
        <f>IF(AJ87="","",SUM(AJ87:AK87))</f>
        <v>131</v>
      </c>
      <c r="AM87" s="639">
        <f>IF(AJ87="","",AL87-_xlfn.SINGLE(NormTid))</f>
        <v>-29.330000000000013</v>
      </c>
      <c r="AN87" s="639">
        <f>IF(AM87="","",AM87)</f>
        <v>-29.330000000000013</v>
      </c>
    </row>
    <row r="88" spans="1:40" ht="18" customHeight="1" thickBot="1" x14ac:dyDescent="0.25">
      <c r="A88" s="2221"/>
      <c r="B88" s="2224"/>
      <c r="C88" s="140"/>
      <c r="D88" s="125"/>
      <c r="E88" s="123"/>
      <c r="F88" s="123"/>
      <c r="G88" s="123"/>
      <c r="H88" s="123"/>
      <c r="I88" s="128"/>
      <c r="J88" s="128"/>
      <c r="K88" s="123"/>
      <c r="L88" s="123"/>
      <c r="M88" s="123"/>
      <c r="N88" s="123"/>
      <c r="O88" s="123"/>
      <c r="P88" s="123"/>
      <c r="Q88" s="123"/>
      <c r="R88" s="323"/>
      <c r="S88" s="323"/>
      <c r="T88" s="323"/>
      <c r="U88" s="323"/>
      <c r="V88" s="323"/>
      <c r="W88" s="140"/>
      <c r="X88" s="140"/>
      <c r="Y88" s="323"/>
      <c r="Z88" s="323"/>
      <c r="AA88" s="323"/>
      <c r="AB88" s="323"/>
      <c r="AC88" s="323"/>
      <c r="AD88" s="299"/>
      <c r="AE88" s="298"/>
      <c r="AF88" s="140"/>
      <c r="AG88" s="128"/>
      <c r="AH88" s="1"/>
      <c r="AJ88" s="638"/>
      <c r="AK88" s="638"/>
      <c r="AL88" s="638"/>
      <c r="AM88" s="639"/>
      <c r="AN88" s="639"/>
    </row>
    <row r="89" spans="1:40" ht="18" customHeight="1" thickBot="1" x14ac:dyDescent="0.25">
      <c r="A89" s="242"/>
      <c r="B89" s="243" t="s">
        <v>182</v>
      </c>
      <c r="C89" s="324">
        <v>1</v>
      </c>
      <c r="D89" s="325">
        <v>2</v>
      </c>
      <c r="E89" s="325">
        <v>3</v>
      </c>
      <c r="F89" s="325">
        <v>4</v>
      </c>
      <c r="G89" s="325">
        <v>5</v>
      </c>
      <c r="H89" s="325">
        <v>6</v>
      </c>
      <c r="I89" s="324">
        <v>7</v>
      </c>
      <c r="J89" s="324">
        <v>8</v>
      </c>
      <c r="K89" s="325">
        <v>9</v>
      </c>
      <c r="L89" s="325">
        <v>10</v>
      </c>
      <c r="M89" s="325">
        <v>11</v>
      </c>
      <c r="N89" s="325">
        <v>12</v>
      </c>
      <c r="O89" s="325">
        <v>13</v>
      </c>
      <c r="P89" s="324">
        <v>14</v>
      </c>
      <c r="Q89" s="324">
        <v>15</v>
      </c>
      <c r="R89" s="325">
        <v>16</v>
      </c>
      <c r="S89" s="325">
        <v>17</v>
      </c>
      <c r="T89" s="325">
        <v>18</v>
      </c>
      <c r="U89" s="325">
        <v>19</v>
      </c>
      <c r="V89" s="325">
        <v>20</v>
      </c>
      <c r="W89" s="324">
        <v>21</v>
      </c>
      <c r="X89" s="324">
        <v>22</v>
      </c>
      <c r="Y89" s="325">
        <v>23</v>
      </c>
      <c r="Z89" s="325">
        <v>24</v>
      </c>
      <c r="AA89" s="325">
        <v>25</v>
      </c>
      <c r="AB89" s="325">
        <v>26</v>
      </c>
      <c r="AC89" s="325">
        <v>27</v>
      </c>
      <c r="AD89" s="324">
        <v>28</v>
      </c>
      <c r="AE89" s="324">
        <v>29</v>
      </c>
      <c r="AF89" s="325">
        <v>30</v>
      </c>
      <c r="AG89" s="326"/>
      <c r="AH89" s="1"/>
      <c r="AJ89" s="638"/>
      <c r="AK89" s="638"/>
      <c r="AL89" s="638"/>
      <c r="AM89" s="639"/>
      <c r="AN89" s="639"/>
    </row>
    <row r="90" spans="1:40" ht="18" customHeight="1" x14ac:dyDescent="0.2">
      <c r="A90" s="369"/>
      <c r="B90" s="371" t="s">
        <v>183</v>
      </c>
      <c r="C90" s="377">
        <v>21</v>
      </c>
      <c r="D90" s="377" t="s">
        <v>50</v>
      </c>
      <c r="E90" s="377" t="s">
        <v>50</v>
      </c>
      <c r="F90" s="377" t="s">
        <v>50</v>
      </c>
      <c r="G90" s="377">
        <v>99</v>
      </c>
      <c r="H90" s="370">
        <v>25</v>
      </c>
      <c r="I90" s="370"/>
      <c r="J90" s="370"/>
      <c r="K90" s="370">
        <v>25</v>
      </c>
      <c r="L90" s="370">
        <v>25</v>
      </c>
      <c r="M90" s="370">
        <v>25</v>
      </c>
      <c r="N90" s="370">
        <v>25</v>
      </c>
      <c r="O90" s="370">
        <v>25</v>
      </c>
      <c r="P90" s="370" t="s">
        <v>68</v>
      </c>
      <c r="Q90" s="370" t="s">
        <v>68</v>
      </c>
      <c r="R90" s="370">
        <v>25</v>
      </c>
      <c r="S90" s="370">
        <v>25</v>
      </c>
      <c r="T90" s="370">
        <v>25</v>
      </c>
      <c r="U90" s="378">
        <v>25</v>
      </c>
      <c r="V90" s="370">
        <v>25</v>
      </c>
      <c r="W90" s="370"/>
      <c r="X90" s="370"/>
      <c r="Y90" s="370">
        <v>3</v>
      </c>
      <c r="Z90" s="370">
        <v>3</v>
      </c>
      <c r="AA90" s="377">
        <v>3</v>
      </c>
      <c r="AB90" s="377">
        <v>3</v>
      </c>
      <c r="AC90" s="370">
        <v>3</v>
      </c>
      <c r="AD90" s="370"/>
      <c r="AE90" s="370"/>
      <c r="AF90" s="379" t="s">
        <v>142</v>
      </c>
      <c r="AG90" s="373"/>
      <c r="AH90" s="1"/>
      <c r="AJ90" s="638">
        <v>173.25</v>
      </c>
      <c r="AK90" s="638">
        <v>6.5</v>
      </c>
      <c r="AL90" s="638">
        <f t="shared" si="1"/>
        <v>179.75</v>
      </c>
      <c r="AM90" s="639">
        <f t="shared" si="0"/>
        <v>19.419999999999987</v>
      </c>
      <c r="AN90" s="639">
        <f>IF(AM90="","",AM90+'August 2024'!AN89)</f>
        <v>98.989999999999952</v>
      </c>
    </row>
    <row r="91" spans="1:40" ht="18" customHeight="1" x14ac:dyDescent="0.2">
      <c r="A91" s="768"/>
      <c r="B91" s="1552" t="s">
        <v>184</v>
      </c>
      <c r="C91" s="799">
        <v>23</v>
      </c>
      <c r="D91" s="799" t="s">
        <v>50</v>
      </c>
      <c r="E91" s="799" t="s">
        <v>50</v>
      </c>
      <c r="F91" s="799" t="s">
        <v>50</v>
      </c>
      <c r="G91" s="799" t="s">
        <v>50</v>
      </c>
      <c r="H91" s="799" t="s">
        <v>50</v>
      </c>
      <c r="I91" s="636"/>
      <c r="J91" s="799"/>
      <c r="K91" s="800">
        <v>22</v>
      </c>
      <c r="L91" s="1529">
        <v>22</v>
      </c>
      <c r="M91" s="1047">
        <v>22</v>
      </c>
      <c r="N91" s="800">
        <v>22</v>
      </c>
      <c r="O91" s="800">
        <v>22</v>
      </c>
      <c r="P91" s="635">
        <v>22</v>
      </c>
      <c r="Q91" s="636">
        <v>22</v>
      </c>
      <c r="R91" s="799" t="s">
        <v>50</v>
      </c>
      <c r="S91" s="799" t="s">
        <v>50</v>
      </c>
      <c r="T91" s="799" t="s">
        <v>50</v>
      </c>
      <c r="U91" s="799" t="s">
        <v>50</v>
      </c>
      <c r="V91" s="799" t="s">
        <v>50</v>
      </c>
      <c r="W91" s="636"/>
      <c r="X91" s="799"/>
      <c r="Y91" s="799">
        <v>23</v>
      </c>
      <c r="Z91" s="799">
        <v>23</v>
      </c>
      <c r="AA91" s="799">
        <v>23</v>
      </c>
      <c r="AB91" s="799">
        <v>23</v>
      </c>
      <c r="AC91" s="806">
        <v>23</v>
      </c>
      <c r="AD91" s="806">
        <v>23</v>
      </c>
      <c r="AE91" s="806">
        <v>23</v>
      </c>
      <c r="AF91" s="799" t="s">
        <v>50</v>
      </c>
      <c r="AG91" s="635"/>
      <c r="AH91" s="1"/>
      <c r="AJ91" s="638">
        <v>145</v>
      </c>
      <c r="AK91" s="638"/>
      <c r="AL91" s="638">
        <f t="shared" si="1"/>
        <v>145</v>
      </c>
      <c r="AM91" s="639">
        <f t="shared" si="0"/>
        <v>-15.330000000000013</v>
      </c>
      <c r="AN91" s="639">
        <f>IF(AM91="","",AM91+'August 2024'!AN90)</f>
        <v>-14.030000000000072</v>
      </c>
    </row>
    <row r="92" spans="1:40" ht="18" customHeight="1" x14ac:dyDescent="0.2">
      <c r="A92" s="768"/>
      <c r="B92" s="2187" t="s">
        <v>190</v>
      </c>
      <c r="C92" s="799"/>
      <c r="D92" s="799" t="s">
        <v>451</v>
      </c>
      <c r="E92" s="799" t="s">
        <v>451</v>
      </c>
      <c r="F92" s="799" t="s">
        <v>451</v>
      </c>
      <c r="G92" s="799" t="s">
        <v>451</v>
      </c>
      <c r="H92" s="799" t="s">
        <v>451</v>
      </c>
      <c r="I92" s="636"/>
      <c r="J92" s="799"/>
      <c r="K92" s="799" t="s">
        <v>451</v>
      </c>
      <c r="L92" s="799" t="s">
        <v>451</v>
      </c>
      <c r="M92" s="799" t="s">
        <v>451</v>
      </c>
      <c r="N92" s="799" t="s">
        <v>451</v>
      </c>
      <c r="O92" s="799" t="s">
        <v>451</v>
      </c>
      <c r="P92" s="636"/>
      <c r="Q92" s="799"/>
      <c r="R92" s="799" t="s">
        <v>451</v>
      </c>
      <c r="S92" s="799" t="s">
        <v>451</v>
      </c>
      <c r="T92" s="799" t="s">
        <v>451</v>
      </c>
      <c r="U92" s="799" t="s">
        <v>451</v>
      </c>
      <c r="V92" s="799" t="s">
        <v>451</v>
      </c>
      <c r="W92" s="636"/>
      <c r="X92" s="799"/>
      <c r="Y92" s="799" t="s">
        <v>451</v>
      </c>
      <c r="Z92" s="799" t="s">
        <v>451</v>
      </c>
      <c r="AA92" s="799" t="s">
        <v>451</v>
      </c>
      <c r="AB92" s="799" t="s">
        <v>451</v>
      </c>
      <c r="AC92" s="799" t="s">
        <v>451</v>
      </c>
      <c r="AD92" s="636"/>
      <c r="AE92" s="799"/>
      <c r="AF92" s="802" t="s">
        <v>451</v>
      </c>
      <c r="AG92" s="801"/>
      <c r="AH92" s="1"/>
      <c r="AJ92" s="638">
        <v>155.66</v>
      </c>
      <c r="AK92" s="638"/>
      <c r="AL92" s="638">
        <f t="shared" si="1"/>
        <v>155.66</v>
      </c>
      <c r="AM92" s="639">
        <f t="shared" si="0"/>
        <v>-4.6700000000000159</v>
      </c>
      <c r="AN92" s="639">
        <f>IF(AM92="","",AM92+'August 2024'!AN91)</f>
        <v>-76.600000000000051</v>
      </c>
    </row>
    <row r="93" spans="1:40" ht="18" customHeight="1" x14ac:dyDescent="0.2">
      <c r="A93" s="768"/>
      <c r="B93" s="275" t="s">
        <v>409</v>
      </c>
      <c r="C93" s="636"/>
      <c r="D93" s="372" t="s">
        <v>72</v>
      </c>
      <c r="E93" s="372" t="s">
        <v>72</v>
      </c>
      <c r="F93" s="372" t="s">
        <v>72</v>
      </c>
      <c r="G93" s="372" t="s">
        <v>72</v>
      </c>
      <c r="H93" s="372" t="s">
        <v>72</v>
      </c>
      <c r="I93" s="370" t="s">
        <v>73</v>
      </c>
      <c r="J93" s="370" t="s">
        <v>74</v>
      </c>
      <c r="K93" s="2040" t="s">
        <v>50</v>
      </c>
      <c r="L93" s="2040" t="s">
        <v>50</v>
      </c>
      <c r="M93" s="2040" t="s">
        <v>50</v>
      </c>
      <c r="N93" s="2040" t="s">
        <v>50</v>
      </c>
      <c r="O93" s="2040" t="s">
        <v>139</v>
      </c>
      <c r="P93" s="2040" t="s">
        <v>140</v>
      </c>
      <c r="Q93" s="2040" t="s">
        <v>141</v>
      </c>
      <c r="R93" s="2040" t="s">
        <v>50</v>
      </c>
      <c r="S93" s="2040" t="s">
        <v>50</v>
      </c>
      <c r="T93" s="2040" t="s">
        <v>50</v>
      </c>
      <c r="U93" s="2040" t="s">
        <v>50</v>
      </c>
      <c r="V93" s="2040" t="s">
        <v>139</v>
      </c>
      <c r="W93" s="2040" t="s">
        <v>140</v>
      </c>
      <c r="X93" s="2040" t="s">
        <v>141</v>
      </c>
      <c r="Y93" s="2040" t="s">
        <v>50</v>
      </c>
      <c r="Z93" s="2040" t="s">
        <v>50</v>
      </c>
      <c r="AA93" s="2040" t="s">
        <v>50</v>
      </c>
      <c r="AB93" s="2040" t="s">
        <v>50</v>
      </c>
      <c r="AC93" s="2040" t="s">
        <v>139</v>
      </c>
      <c r="AD93" s="2040" t="s">
        <v>140</v>
      </c>
      <c r="AE93" s="2040" t="s">
        <v>141</v>
      </c>
      <c r="AF93" s="2225" t="s">
        <v>72</v>
      </c>
      <c r="AG93" s="801"/>
      <c r="AH93" s="1"/>
      <c r="AJ93" s="638">
        <v>151.5</v>
      </c>
      <c r="AK93" s="638">
        <v>13.75</v>
      </c>
      <c r="AL93" s="638">
        <f t="shared" si="1"/>
        <v>165.25</v>
      </c>
      <c r="AM93" s="639">
        <f t="shared" si="0"/>
        <v>4.9199999999999875</v>
      </c>
      <c r="AN93" s="639">
        <f>IF(AM93="","",AM93+'August 2024'!AN92)</f>
        <v>3.1399999999999864</v>
      </c>
    </row>
    <row r="94" spans="1:40" ht="18" customHeight="1" x14ac:dyDescent="0.2">
      <c r="A94" s="768"/>
      <c r="B94" s="2022"/>
      <c r="C94" s="636"/>
      <c r="D94" s="636"/>
      <c r="E94" s="636"/>
      <c r="F94" s="636"/>
      <c r="G94" s="636"/>
      <c r="H94" s="636"/>
      <c r="I94" s="636"/>
      <c r="J94" s="636"/>
      <c r="K94" s="636"/>
      <c r="L94" s="636"/>
      <c r="M94" s="636"/>
      <c r="N94" s="636"/>
      <c r="O94" s="636"/>
      <c r="P94" s="636"/>
      <c r="Q94" s="636"/>
      <c r="R94" s="636"/>
      <c r="S94" s="636"/>
      <c r="T94" s="636"/>
      <c r="U94" s="636"/>
      <c r="V94" s="636"/>
      <c r="W94" s="636"/>
      <c r="X94" s="636"/>
      <c r="Y94" s="636"/>
      <c r="Z94" s="636"/>
      <c r="AA94" s="636"/>
      <c r="AB94" s="636"/>
      <c r="AC94" s="636"/>
      <c r="AD94" s="636"/>
      <c r="AE94" s="636"/>
      <c r="AF94" s="636"/>
      <c r="AG94" s="819"/>
      <c r="AH94" s="1"/>
      <c r="AJ94" s="638">
        <f t="shared" ref="AJ94:AJ97" si="2">$AJ$12</f>
        <v>160.33000000000001</v>
      </c>
      <c r="AK94" s="638"/>
      <c r="AL94" s="638">
        <f t="shared" si="1"/>
        <v>160.33000000000001</v>
      </c>
      <c r="AM94" s="639">
        <f t="shared" si="0"/>
        <v>0</v>
      </c>
      <c r="AN94" s="639">
        <f>IF(AM94="","",AM94+'August 2024'!AN93)</f>
        <v>0</v>
      </c>
    </row>
    <row r="95" spans="1:40" ht="18" customHeight="1" x14ac:dyDescent="0.2">
      <c r="A95" s="768"/>
      <c r="B95" s="2187" t="s">
        <v>0</v>
      </c>
      <c r="C95" s="636"/>
      <c r="D95" s="636"/>
      <c r="E95" s="636"/>
      <c r="F95" s="813"/>
      <c r="G95" s="813"/>
      <c r="H95" s="818"/>
      <c r="I95" s="818"/>
      <c r="J95" s="818"/>
      <c r="K95" s="818"/>
      <c r="L95" s="818"/>
      <c r="M95" s="818"/>
      <c r="N95" s="818"/>
      <c r="O95" s="818"/>
      <c r="P95" s="818"/>
      <c r="Q95" s="818"/>
      <c r="R95" s="818"/>
      <c r="S95" s="818"/>
      <c r="T95" s="818"/>
      <c r="U95" s="818"/>
      <c r="V95" s="818"/>
      <c r="W95" s="818"/>
      <c r="X95" s="818"/>
      <c r="Y95" s="818"/>
      <c r="Z95" s="818"/>
      <c r="AA95" s="818"/>
      <c r="AB95" s="818"/>
      <c r="AC95" s="818"/>
      <c r="AD95" s="818"/>
      <c r="AE95" s="818"/>
      <c r="AF95" s="818"/>
      <c r="AG95" s="819"/>
      <c r="AH95" s="1"/>
      <c r="AJ95" s="638">
        <f t="shared" si="2"/>
        <v>160.33000000000001</v>
      </c>
      <c r="AK95" s="638"/>
      <c r="AL95" s="638">
        <f t="shared" si="1"/>
        <v>160.33000000000001</v>
      </c>
      <c r="AM95" s="639">
        <f t="shared" si="0"/>
        <v>0</v>
      </c>
      <c r="AN95" s="639">
        <f>IF(AM95="","",AM95+'August 2024'!AN94)</f>
        <v>0</v>
      </c>
    </row>
    <row r="96" spans="1:40" ht="18" customHeight="1" x14ac:dyDescent="0.2">
      <c r="A96" s="768"/>
      <c r="B96" s="2187" t="s">
        <v>0</v>
      </c>
      <c r="C96" s="636"/>
      <c r="D96" s="636"/>
      <c r="E96" s="636"/>
      <c r="F96" s="813"/>
      <c r="G96" s="813"/>
      <c r="H96" s="818"/>
      <c r="I96" s="818"/>
      <c r="J96" s="818"/>
      <c r="K96" s="818"/>
      <c r="L96" s="818"/>
      <c r="M96" s="818"/>
      <c r="N96" s="818"/>
      <c r="O96" s="818"/>
      <c r="P96" s="818"/>
      <c r="Q96" s="818"/>
      <c r="R96" s="818"/>
      <c r="S96" s="818"/>
      <c r="T96" s="818"/>
      <c r="U96" s="818"/>
      <c r="V96" s="818"/>
      <c r="W96" s="818"/>
      <c r="X96" s="818"/>
      <c r="Y96" s="818"/>
      <c r="Z96" s="818"/>
      <c r="AA96" s="818"/>
      <c r="AB96" s="818"/>
      <c r="AC96" s="818"/>
      <c r="AD96" s="818"/>
      <c r="AE96" s="818"/>
      <c r="AF96" s="818"/>
      <c r="AG96" s="819"/>
      <c r="AH96" s="1"/>
      <c r="AJ96" s="638">
        <f t="shared" si="2"/>
        <v>160.33000000000001</v>
      </c>
      <c r="AK96" s="638"/>
      <c r="AL96" s="638">
        <f t="shared" si="1"/>
        <v>160.33000000000001</v>
      </c>
      <c r="AM96" s="639">
        <f t="shared" si="0"/>
        <v>0</v>
      </c>
      <c r="AN96" s="639">
        <f>IF(AM96="","",AM96+'August 2024'!AN95)</f>
        <v>0</v>
      </c>
    </row>
    <row r="97" spans="1:40" ht="18" customHeight="1" thickBot="1" x14ac:dyDescent="0.25">
      <c r="A97" s="768"/>
      <c r="B97" s="2187" t="s">
        <v>0</v>
      </c>
      <c r="C97" s="636"/>
      <c r="D97" s="636"/>
      <c r="E97" s="2226"/>
      <c r="F97" s="813"/>
      <c r="G97" s="813"/>
      <c r="H97" s="818"/>
      <c r="I97" s="818"/>
      <c r="J97" s="818"/>
      <c r="K97" s="818"/>
      <c r="L97" s="818"/>
      <c r="M97" s="818"/>
      <c r="N97" s="818"/>
      <c r="O97" s="818"/>
      <c r="P97" s="818"/>
      <c r="Q97" s="818"/>
      <c r="R97" s="818"/>
      <c r="S97" s="818"/>
      <c r="T97" s="818"/>
      <c r="U97" s="818"/>
      <c r="V97" s="818"/>
      <c r="W97" s="818"/>
      <c r="X97" s="818"/>
      <c r="Y97" s="818"/>
      <c r="Z97" s="818"/>
      <c r="AA97" s="818"/>
      <c r="AB97" s="818"/>
      <c r="AC97" s="818"/>
      <c r="AD97" s="818"/>
      <c r="AE97" s="818"/>
      <c r="AF97" s="818"/>
      <c r="AG97" s="819"/>
      <c r="AH97" s="1"/>
      <c r="AJ97" s="638">
        <f t="shared" si="2"/>
        <v>160.33000000000001</v>
      </c>
      <c r="AK97" s="638"/>
      <c r="AL97" s="638">
        <f t="shared" si="1"/>
        <v>160.33000000000001</v>
      </c>
      <c r="AM97" s="639">
        <f t="shared" si="0"/>
        <v>0</v>
      </c>
      <c r="AN97" s="639">
        <f>IF(AM97="","",AM97+'August 2024'!AN96)</f>
        <v>0</v>
      </c>
    </row>
    <row r="98" spans="1:40" ht="18" customHeight="1" thickBot="1" x14ac:dyDescent="0.25">
      <c r="A98" s="42"/>
      <c r="B98" s="1823" t="s">
        <v>191</v>
      </c>
      <c r="C98" s="2227">
        <v>1</v>
      </c>
      <c r="D98" s="2208">
        <v>2</v>
      </c>
      <c r="E98" s="2208">
        <v>3</v>
      </c>
      <c r="F98" s="2208">
        <v>4</v>
      </c>
      <c r="G98" s="2208">
        <v>5</v>
      </c>
      <c r="H98" s="2208">
        <v>6</v>
      </c>
      <c r="I98" s="2227">
        <v>7</v>
      </c>
      <c r="J98" s="2227">
        <v>8</v>
      </c>
      <c r="K98" s="2208">
        <v>9</v>
      </c>
      <c r="L98" s="2208">
        <v>10</v>
      </c>
      <c r="M98" s="2208">
        <v>11</v>
      </c>
      <c r="N98" s="2208">
        <v>12</v>
      </c>
      <c r="O98" s="2208">
        <v>13</v>
      </c>
      <c r="P98" s="2227">
        <v>14</v>
      </c>
      <c r="Q98" s="2227">
        <v>15</v>
      </c>
      <c r="R98" s="2208">
        <v>16</v>
      </c>
      <c r="S98" s="2208">
        <v>17</v>
      </c>
      <c r="T98" s="2208">
        <v>18</v>
      </c>
      <c r="U98" s="2208">
        <v>19</v>
      </c>
      <c r="V98" s="2208">
        <v>20</v>
      </c>
      <c r="W98" s="2227">
        <v>21</v>
      </c>
      <c r="X98" s="2227">
        <v>22</v>
      </c>
      <c r="Y98" s="2208">
        <v>23</v>
      </c>
      <c r="Z98" s="2208">
        <v>24</v>
      </c>
      <c r="AA98" s="2208">
        <v>25</v>
      </c>
      <c r="AB98" s="2208">
        <v>26</v>
      </c>
      <c r="AC98" s="2208">
        <v>27</v>
      </c>
      <c r="AD98" s="2227">
        <v>28</v>
      </c>
      <c r="AE98" s="2227">
        <v>29</v>
      </c>
      <c r="AF98" s="2208">
        <v>30</v>
      </c>
      <c r="AG98" s="2228"/>
      <c r="AH98" s="1"/>
      <c r="AJ98" s="2229"/>
      <c r="AK98" s="2229"/>
      <c r="AL98" s="2229"/>
      <c r="AM98" s="2230"/>
      <c r="AN98" s="2230"/>
    </row>
    <row r="99" spans="1:40" ht="18" customHeight="1" x14ac:dyDescent="0.2">
      <c r="A99" s="2231"/>
      <c r="B99" s="748" t="s">
        <v>194</v>
      </c>
      <c r="C99" s="800"/>
      <c r="D99" s="2232">
        <v>79</v>
      </c>
      <c r="E99" s="636">
        <v>79</v>
      </c>
      <c r="F99" s="805" t="s">
        <v>454</v>
      </c>
      <c r="G99" s="638">
        <v>79</v>
      </c>
      <c r="H99" s="638">
        <v>79</v>
      </c>
      <c r="I99" s="638"/>
      <c r="J99" s="638">
        <v>26</v>
      </c>
      <c r="K99" s="638">
        <v>26</v>
      </c>
      <c r="L99" s="818">
        <v>26</v>
      </c>
      <c r="M99" s="818">
        <v>26</v>
      </c>
      <c r="N99" s="818">
        <v>26</v>
      </c>
      <c r="O99" s="818">
        <v>26</v>
      </c>
      <c r="P99" s="802" t="s">
        <v>143</v>
      </c>
      <c r="Q99" s="818" t="s">
        <v>0</v>
      </c>
      <c r="R99" s="2233">
        <v>69</v>
      </c>
      <c r="S99" s="2233" t="s">
        <v>455</v>
      </c>
      <c r="T99" s="833" t="s">
        <v>50</v>
      </c>
      <c r="U99" s="1634">
        <v>6</v>
      </c>
      <c r="V99" s="833" t="s">
        <v>142</v>
      </c>
      <c r="W99" s="799"/>
      <c r="X99" s="799">
        <v>26</v>
      </c>
      <c r="Y99" s="799">
        <v>26</v>
      </c>
      <c r="Z99" s="799">
        <v>26</v>
      </c>
      <c r="AA99" s="799">
        <v>26</v>
      </c>
      <c r="AB99" s="799">
        <v>26</v>
      </c>
      <c r="AC99" s="799">
        <v>26</v>
      </c>
      <c r="AD99" s="635"/>
      <c r="AE99" s="635"/>
      <c r="AF99" s="635" t="s">
        <v>456</v>
      </c>
      <c r="AG99" s="635"/>
      <c r="AH99" s="1"/>
      <c r="AJ99" s="123"/>
      <c r="AK99" s="123"/>
      <c r="AL99" s="123"/>
      <c r="AM99" s="215"/>
      <c r="AN99" s="215"/>
    </row>
    <row r="100" spans="1:40" ht="18" customHeight="1" x14ac:dyDescent="0.2">
      <c r="A100" s="2234"/>
      <c r="B100" s="748" t="s">
        <v>430</v>
      </c>
      <c r="C100" s="799"/>
      <c r="D100" s="799" t="s">
        <v>46</v>
      </c>
      <c r="E100" s="799" t="s">
        <v>46</v>
      </c>
      <c r="F100" s="799" t="s">
        <v>46</v>
      </c>
      <c r="G100" s="799" t="s">
        <v>46</v>
      </c>
      <c r="H100" s="799" t="s">
        <v>46</v>
      </c>
      <c r="I100" s="636"/>
      <c r="J100" s="799"/>
      <c r="K100" s="799" t="s">
        <v>46</v>
      </c>
      <c r="L100" s="799" t="s">
        <v>46</v>
      </c>
      <c r="M100" s="799" t="s">
        <v>46</v>
      </c>
      <c r="N100" s="799" t="s">
        <v>46</v>
      </c>
      <c r="O100" s="799" t="s">
        <v>46</v>
      </c>
      <c r="P100" s="636"/>
      <c r="Q100" s="799"/>
      <c r="R100" s="799" t="s">
        <v>46</v>
      </c>
      <c r="S100" s="799" t="s">
        <v>46</v>
      </c>
      <c r="T100" s="799" t="s">
        <v>46</v>
      </c>
      <c r="U100" s="799" t="s">
        <v>46</v>
      </c>
      <c r="V100" s="799" t="s">
        <v>46</v>
      </c>
      <c r="W100" s="636"/>
      <c r="X100" s="799"/>
      <c r="Y100" s="799" t="s">
        <v>46</v>
      </c>
      <c r="Z100" s="799" t="s">
        <v>46</v>
      </c>
      <c r="AA100" s="799" t="s">
        <v>46</v>
      </c>
      <c r="AB100" s="799" t="s">
        <v>46</v>
      </c>
      <c r="AC100" s="799" t="s">
        <v>46</v>
      </c>
      <c r="AD100" s="636"/>
      <c r="AE100" s="799"/>
      <c r="AF100" s="799" t="s">
        <v>46</v>
      </c>
      <c r="AG100" s="635"/>
      <c r="AH100" s="1"/>
      <c r="AJ100" s="123"/>
      <c r="AK100" s="123"/>
      <c r="AL100" s="123"/>
      <c r="AM100" s="123"/>
      <c r="AN100" s="123"/>
    </row>
    <row r="101" spans="1:40" ht="18" customHeight="1" x14ac:dyDescent="0.2">
      <c r="A101" s="2234"/>
      <c r="B101" s="748" t="s">
        <v>431</v>
      </c>
      <c r="C101" s="799"/>
      <c r="D101" s="799" t="s">
        <v>46</v>
      </c>
      <c r="E101" s="799" t="s">
        <v>46</v>
      </c>
      <c r="F101" s="799" t="s">
        <v>46</v>
      </c>
      <c r="G101" s="799" t="s">
        <v>46</v>
      </c>
      <c r="H101" s="799" t="s">
        <v>46</v>
      </c>
      <c r="I101" s="636"/>
      <c r="J101" s="799"/>
      <c r="K101" s="799" t="s">
        <v>46</v>
      </c>
      <c r="L101" s="799" t="s">
        <v>46</v>
      </c>
      <c r="M101" s="799" t="s">
        <v>46</v>
      </c>
      <c r="N101" s="799" t="s">
        <v>46</v>
      </c>
      <c r="O101" s="799" t="s">
        <v>46</v>
      </c>
      <c r="P101" s="636"/>
      <c r="Q101" s="799"/>
      <c r="R101" s="799" t="s">
        <v>46</v>
      </c>
      <c r="S101" s="799" t="s">
        <v>46</v>
      </c>
      <c r="T101" s="799" t="s">
        <v>46</v>
      </c>
      <c r="U101" s="799" t="s">
        <v>46</v>
      </c>
      <c r="V101" s="799" t="s">
        <v>46</v>
      </c>
      <c r="W101" s="636"/>
      <c r="X101" s="799"/>
      <c r="Y101" s="799" t="s">
        <v>46</v>
      </c>
      <c r="Z101" s="799" t="s">
        <v>46</v>
      </c>
      <c r="AA101" s="799" t="s">
        <v>46</v>
      </c>
      <c r="AB101" s="799" t="s">
        <v>46</v>
      </c>
      <c r="AC101" s="799" t="s">
        <v>46</v>
      </c>
      <c r="AD101" s="636"/>
      <c r="AE101" s="799"/>
      <c r="AF101" s="799" t="s">
        <v>46</v>
      </c>
      <c r="AG101" s="635"/>
      <c r="AH101" s="1"/>
      <c r="AJ101" s="123"/>
      <c r="AK101" s="123"/>
      <c r="AL101" s="123"/>
      <c r="AM101" s="123"/>
      <c r="AN101" s="123"/>
    </row>
    <row r="102" spans="1:40" ht="18" customHeight="1" thickBot="1" x14ac:dyDescent="0.25">
      <c r="A102" s="2235"/>
      <c r="B102" s="638"/>
      <c r="C102" s="799"/>
      <c r="D102" s="799" t="s">
        <v>46</v>
      </c>
      <c r="E102" s="799" t="s">
        <v>46</v>
      </c>
      <c r="F102" s="799" t="s">
        <v>46</v>
      </c>
      <c r="G102" s="799" t="s">
        <v>46</v>
      </c>
      <c r="H102" s="636" t="s">
        <v>46</v>
      </c>
      <c r="I102" s="636"/>
      <c r="J102" s="799"/>
      <c r="K102" s="799" t="s">
        <v>46</v>
      </c>
      <c r="L102" s="799" t="s">
        <v>46</v>
      </c>
      <c r="M102" s="799" t="s">
        <v>46</v>
      </c>
      <c r="N102" s="799" t="s">
        <v>46</v>
      </c>
      <c r="O102" s="636" t="s">
        <v>46</v>
      </c>
      <c r="P102" s="636"/>
      <c r="Q102" s="799"/>
      <c r="R102" s="799" t="s">
        <v>46</v>
      </c>
      <c r="S102" s="799" t="s">
        <v>46</v>
      </c>
      <c r="T102" s="799" t="s">
        <v>46</v>
      </c>
      <c r="U102" s="799" t="s">
        <v>46</v>
      </c>
      <c r="V102" s="636" t="s">
        <v>46</v>
      </c>
      <c r="W102" s="636"/>
      <c r="X102" s="799"/>
      <c r="Y102" s="799" t="s">
        <v>46</v>
      </c>
      <c r="Z102" s="799" t="s">
        <v>46</v>
      </c>
      <c r="AA102" s="799" t="s">
        <v>46</v>
      </c>
      <c r="AB102" s="799" t="s">
        <v>46</v>
      </c>
      <c r="AC102" s="636" t="s">
        <v>46</v>
      </c>
      <c r="AD102" s="636"/>
      <c r="AE102" s="799"/>
      <c r="AF102" s="799" t="s">
        <v>46</v>
      </c>
      <c r="AG102" s="635"/>
      <c r="AH102" s="1"/>
      <c r="AJ102" s="123"/>
      <c r="AK102" s="123"/>
      <c r="AL102" s="123"/>
      <c r="AM102" s="123"/>
      <c r="AN102" s="123"/>
    </row>
    <row r="103" spans="1:40" ht="18" customHeight="1" thickBot="1" x14ac:dyDescent="0.25">
      <c r="A103" s="841"/>
      <c r="B103" s="1833" t="s">
        <v>44</v>
      </c>
      <c r="C103" s="316">
        <v>1</v>
      </c>
      <c r="D103" s="317">
        <v>2</v>
      </c>
      <c r="E103" s="317">
        <v>3</v>
      </c>
      <c r="F103" s="317">
        <v>4</v>
      </c>
      <c r="G103" s="317">
        <v>5</v>
      </c>
      <c r="H103" s="317">
        <v>6</v>
      </c>
      <c r="I103" s="316">
        <v>7</v>
      </c>
      <c r="J103" s="316">
        <v>8</v>
      </c>
      <c r="K103" s="317">
        <v>9</v>
      </c>
      <c r="L103" s="317">
        <v>10</v>
      </c>
      <c r="M103" s="317">
        <v>11</v>
      </c>
      <c r="N103" s="317">
        <v>12</v>
      </c>
      <c r="O103" s="317">
        <v>13</v>
      </c>
      <c r="P103" s="316">
        <v>14</v>
      </c>
      <c r="Q103" s="316">
        <v>15</v>
      </c>
      <c r="R103" s="317">
        <v>16</v>
      </c>
      <c r="S103" s="317">
        <v>17</v>
      </c>
      <c r="T103" s="317">
        <v>18</v>
      </c>
      <c r="U103" s="317">
        <v>19</v>
      </c>
      <c r="V103" s="317">
        <v>20</v>
      </c>
      <c r="W103" s="316">
        <v>21</v>
      </c>
      <c r="X103" s="316">
        <v>22</v>
      </c>
      <c r="Y103" s="317">
        <v>23</v>
      </c>
      <c r="Z103" s="317">
        <v>24</v>
      </c>
      <c r="AA103" s="317">
        <v>25</v>
      </c>
      <c r="AB103" s="317">
        <v>26</v>
      </c>
      <c r="AC103" s="317">
        <v>27</v>
      </c>
      <c r="AD103" s="316">
        <v>28</v>
      </c>
      <c r="AE103" s="316">
        <v>29</v>
      </c>
      <c r="AF103" s="317">
        <v>30</v>
      </c>
      <c r="AG103" s="318"/>
      <c r="AH103" s="1"/>
    </row>
    <row r="104" spans="1:40" ht="18" customHeight="1" x14ac:dyDescent="0.2">
      <c r="A104" s="2236"/>
      <c r="B104" s="2237" t="s">
        <v>195</v>
      </c>
      <c r="C104" s="711"/>
      <c r="D104" s="596"/>
      <c r="E104" s="711"/>
      <c r="F104" s="711"/>
      <c r="G104" s="711"/>
      <c r="H104" s="711"/>
      <c r="I104" s="711"/>
      <c r="J104" s="711"/>
      <c r="K104" s="711"/>
      <c r="L104" s="711"/>
      <c r="M104" s="711"/>
      <c r="N104" s="711"/>
      <c r="O104" s="711"/>
      <c r="P104" s="711"/>
      <c r="Q104" s="711"/>
      <c r="R104" s="711"/>
      <c r="S104" s="711"/>
      <c r="T104" s="711"/>
      <c r="U104" s="711"/>
      <c r="V104" s="711"/>
      <c r="W104" s="711"/>
      <c r="X104" s="711"/>
      <c r="Y104" s="711"/>
      <c r="Z104" s="711"/>
      <c r="AA104" s="711"/>
      <c r="AB104" s="711"/>
      <c r="AC104" s="711"/>
      <c r="AD104" s="711"/>
      <c r="AE104" s="711"/>
      <c r="AF104" s="711"/>
      <c r="AG104" s="1834"/>
      <c r="AH104" s="1"/>
    </row>
    <row r="105" spans="1:40" ht="18" customHeight="1" x14ac:dyDescent="0.2">
      <c r="A105" s="2236"/>
      <c r="B105" s="2044" t="s">
        <v>432</v>
      </c>
      <c r="C105" s="2238" t="s">
        <v>68</v>
      </c>
      <c r="D105" s="2238" t="s">
        <v>46</v>
      </c>
      <c r="E105" s="2238" t="s">
        <v>46</v>
      </c>
      <c r="F105" s="2047" t="s">
        <v>46</v>
      </c>
      <c r="G105" s="2047" t="s">
        <v>46</v>
      </c>
      <c r="H105" s="2238" t="s">
        <v>68</v>
      </c>
      <c r="I105" s="2238" t="s">
        <v>68</v>
      </c>
      <c r="J105" s="2238"/>
      <c r="K105" s="2238"/>
      <c r="L105" s="2238"/>
      <c r="M105" s="2238"/>
      <c r="N105" s="2238"/>
      <c r="O105" s="2238"/>
      <c r="P105" s="2238"/>
      <c r="Q105" s="2238"/>
      <c r="R105" s="2238"/>
      <c r="S105" s="2238"/>
      <c r="T105" s="2040"/>
      <c r="U105" s="2238"/>
      <c r="V105" s="2238"/>
      <c r="W105" s="2238"/>
      <c r="X105" s="2238"/>
      <c r="Y105" s="2238"/>
      <c r="Z105" s="2238"/>
      <c r="AA105" s="2238"/>
      <c r="AB105" s="2238"/>
      <c r="AC105" s="2238"/>
      <c r="AD105" s="2238"/>
      <c r="AE105" s="2238"/>
      <c r="AF105" s="2238"/>
      <c r="AG105" s="2239"/>
      <c r="AH105" s="1"/>
    </row>
    <row r="106" spans="1:40" ht="18" customHeight="1" thickBot="1" x14ac:dyDescent="0.25">
      <c r="A106" s="2236"/>
      <c r="B106" s="2044" t="s">
        <v>433</v>
      </c>
      <c r="C106" s="2240" t="s">
        <v>457</v>
      </c>
      <c r="D106" s="2136">
        <v>8</v>
      </c>
      <c r="E106" s="2241">
        <v>8</v>
      </c>
      <c r="F106" s="2135">
        <v>8</v>
      </c>
      <c r="G106" s="2135">
        <v>8</v>
      </c>
      <c r="H106" s="2135">
        <v>8</v>
      </c>
      <c r="I106" s="2040"/>
      <c r="J106" s="2040"/>
      <c r="K106" s="2040" t="s">
        <v>50</v>
      </c>
      <c r="L106" s="2040" t="s">
        <v>50</v>
      </c>
      <c r="M106" s="2040" t="s">
        <v>50</v>
      </c>
      <c r="N106" s="2040" t="s">
        <v>50</v>
      </c>
      <c r="O106" s="2040" t="s">
        <v>50</v>
      </c>
      <c r="P106" s="2040"/>
      <c r="Q106" s="2040"/>
      <c r="R106" s="2132">
        <v>1</v>
      </c>
      <c r="S106" s="2132">
        <v>1</v>
      </c>
      <c r="T106" s="2132" t="s">
        <v>396</v>
      </c>
      <c r="U106" s="2040">
        <v>1</v>
      </c>
      <c r="V106" s="2040">
        <v>1</v>
      </c>
      <c r="W106" s="2040"/>
      <c r="X106" s="2040"/>
      <c r="Y106" s="2040" t="s">
        <v>46</v>
      </c>
      <c r="Z106" s="2040">
        <v>9</v>
      </c>
      <c r="AA106" s="2040">
        <v>9</v>
      </c>
      <c r="AB106" s="2040">
        <v>9</v>
      </c>
      <c r="AC106" s="2040">
        <v>9</v>
      </c>
      <c r="AD106" s="2040" t="s">
        <v>70</v>
      </c>
      <c r="AE106" s="2040"/>
      <c r="AF106" s="2040" t="s">
        <v>458</v>
      </c>
      <c r="AG106" s="2043"/>
      <c r="AH106" s="1"/>
    </row>
    <row r="107" spans="1:40" ht="18" customHeight="1" thickBot="1" x14ac:dyDescent="0.25">
      <c r="A107" s="126"/>
      <c r="B107" s="2059"/>
      <c r="C107" s="2242"/>
      <c r="D107" s="2242"/>
      <c r="E107" s="2242"/>
      <c r="F107" s="2242"/>
      <c r="G107" s="2242"/>
      <c r="H107" s="2242"/>
      <c r="I107" s="2242"/>
      <c r="J107" s="2242"/>
      <c r="K107" s="2242"/>
      <c r="L107" s="2242"/>
      <c r="M107" s="2242"/>
      <c r="N107" s="2242"/>
      <c r="O107" s="2242"/>
      <c r="P107" s="2242"/>
      <c r="Q107" s="2242"/>
      <c r="R107" s="2242"/>
      <c r="S107" s="2242"/>
      <c r="T107" s="2242"/>
      <c r="U107" s="2242"/>
      <c r="V107" s="2242"/>
      <c r="W107" s="2242"/>
      <c r="X107" s="2242"/>
      <c r="Y107" s="2242"/>
      <c r="Z107" s="2242"/>
      <c r="AA107" s="2242"/>
      <c r="AB107" s="2242"/>
      <c r="AC107" s="2242"/>
      <c r="AD107" s="2242"/>
      <c r="AE107" s="2242"/>
      <c r="AF107" s="2242"/>
      <c r="AG107" s="2158"/>
      <c r="AH107" s="1"/>
    </row>
    <row r="108" spans="1:40" ht="18" customHeight="1" x14ac:dyDescent="0.2">
      <c r="A108" s="126"/>
      <c r="AH108" s="1"/>
    </row>
    <row r="109" spans="1:40" ht="18" customHeight="1" x14ac:dyDescent="0.2">
      <c r="A109" s="216" t="s">
        <v>197</v>
      </c>
      <c r="AH109" s="1"/>
    </row>
    <row r="110" spans="1:40" ht="18" customHeight="1" x14ac:dyDescent="0.25">
      <c r="A110" s="126"/>
      <c r="B110" s="217"/>
      <c r="C110" s="218"/>
      <c r="D110" s="218"/>
      <c r="E110" s="221" t="s">
        <v>198</v>
      </c>
      <c r="F110" s="218"/>
      <c r="G110" s="218"/>
      <c r="H110" s="218"/>
      <c r="I110" s="218"/>
      <c r="J110" s="218"/>
      <c r="K110" s="226" t="s">
        <v>13</v>
      </c>
      <c r="L110" s="222"/>
      <c r="M110" s="222"/>
      <c r="N110" s="222"/>
      <c r="O110" s="222"/>
      <c r="P110" s="222"/>
      <c r="Q110" s="222"/>
      <c r="R110" s="222"/>
      <c r="S110" s="222"/>
      <c r="T110" s="223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"/>
    </row>
    <row r="111" spans="1:40" ht="18" customHeight="1" x14ac:dyDescent="0.25">
      <c r="A111" s="126"/>
      <c r="B111" s="217" t="s">
        <v>199</v>
      </c>
      <c r="C111" s="218"/>
      <c r="D111" s="218"/>
      <c r="E111" s="219" t="s">
        <v>200</v>
      </c>
      <c r="F111" s="218"/>
      <c r="G111" s="218"/>
      <c r="H111" s="218"/>
      <c r="I111" s="218"/>
      <c r="J111" s="218"/>
      <c r="K111" s="218" t="s">
        <v>201</v>
      </c>
      <c r="L111" s="218"/>
      <c r="M111" s="218"/>
      <c r="N111" s="218"/>
      <c r="O111" s="218"/>
      <c r="P111" s="218"/>
      <c r="Q111" s="218"/>
      <c r="R111" s="236" t="s">
        <v>202</v>
      </c>
      <c r="S111" s="236"/>
      <c r="T111" s="236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"/>
    </row>
    <row r="112" spans="1:40" ht="18" customHeight="1" x14ac:dyDescent="0.25">
      <c r="A112" s="126"/>
      <c r="B112" s="217" t="s">
        <v>22</v>
      </c>
      <c r="C112" s="218"/>
      <c r="D112" s="218"/>
      <c r="E112" s="221" t="s">
        <v>203</v>
      </c>
      <c r="F112" s="218"/>
      <c r="G112" s="218"/>
      <c r="H112" s="218"/>
      <c r="I112" s="218"/>
      <c r="J112" s="218"/>
      <c r="K112" s="218" t="s">
        <v>204</v>
      </c>
      <c r="L112" s="218"/>
      <c r="M112" s="218"/>
      <c r="N112" s="218"/>
      <c r="O112" s="218"/>
      <c r="P112" s="218"/>
      <c r="Q112" s="218"/>
      <c r="R112" s="218"/>
      <c r="S112" s="218"/>
      <c r="T112" s="220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"/>
    </row>
    <row r="113" spans="1:40" ht="18" customHeight="1" x14ac:dyDescent="0.25">
      <c r="A113" s="126"/>
      <c r="B113" s="217" t="s">
        <v>205</v>
      </c>
      <c r="C113" s="218"/>
      <c r="D113" s="218"/>
      <c r="E113" s="221" t="s">
        <v>206</v>
      </c>
      <c r="F113" s="218"/>
      <c r="G113" s="218"/>
      <c r="H113" s="218"/>
      <c r="I113" s="218"/>
      <c r="J113" s="218"/>
      <c r="K113" s="218" t="s">
        <v>207</v>
      </c>
      <c r="L113" s="229"/>
      <c r="M113" s="229"/>
      <c r="N113" s="229"/>
      <c r="O113" s="229"/>
      <c r="P113" s="229"/>
      <c r="Q113" s="229"/>
      <c r="R113" s="229"/>
      <c r="S113" s="229"/>
      <c r="T113" s="230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"/>
    </row>
    <row r="114" spans="1:40" ht="18" customHeight="1" x14ac:dyDescent="0.25">
      <c r="A114" s="126"/>
      <c r="B114" s="227"/>
      <c r="C114" s="227"/>
      <c r="D114" s="227"/>
      <c r="E114" s="228"/>
      <c r="F114" s="227"/>
      <c r="G114" s="227"/>
      <c r="H114" s="227"/>
      <c r="I114" s="227"/>
      <c r="J114" s="227"/>
      <c r="K114" s="227"/>
      <c r="L114" s="231"/>
      <c r="M114" s="231"/>
      <c r="N114" s="231"/>
      <c r="O114" s="231"/>
      <c r="P114" s="231"/>
      <c r="Q114" s="231"/>
      <c r="R114" s="231"/>
      <c r="S114" s="231"/>
      <c r="T114" s="231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"/>
    </row>
    <row r="115" spans="1:40" ht="18" customHeight="1" thickBot="1" x14ac:dyDescent="0.3">
      <c r="A115" s="126"/>
      <c r="B115" s="2243" t="s">
        <v>448</v>
      </c>
      <c r="C115" s="396">
        <v>1</v>
      </c>
      <c r="D115" s="395">
        <v>2</v>
      </c>
      <c r="E115" s="395">
        <v>3</v>
      </c>
      <c r="F115" s="395">
        <v>4</v>
      </c>
      <c r="G115" s="395">
        <v>5</v>
      </c>
      <c r="H115" s="395">
        <v>6</v>
      </c>
      <c r="I115" s="396">
        <v>7</v>
      </c>
      <c r="J115" s="396">
        <v>8</v>
      </c>
      <c r="K115" s="395">
        <v>9</v>
      </c>
      <c r="L115" s="395">
        <v>10</v>
      </c>
      <c r="M115" s="395">
        <v>11</v>
      </c>
      <c r="N115" s="395">
        <v>12</v>
      </c>
      <c r="O115" s="395">
        <v>13</v>
      </c>
      <c r="P115" s="396">
        <v>14</v>
      </c>
      <c r="Q115" s="396">
        <v>15</v>
      </c>
      <c r="R115" s="395">
        <v>16</v>
      </c>
      <c r="S115" s="395">
        <v>17</v>
      </c>
      <c r="T115" s="395">
        <v>18</v>
      </c>
      <c r="U115" s="395">
        <v>19</v>
      </c>
      <c r="V115" s="395">
        <v>20</v>
      </c>
      <c r="W115" s="396">
        <v>21</v>
      </c>
      <c r="X115" s="396">
        <v>22</v>
      </c>
      <c r="Y115" s="395">
        <v>23</v>
      </c>
      <c r="Z115" s="395">
        <v>24</v>
      </c>
      <c r="AA115" s="395">
        <v>25</v>
      </c>
      <c r="AB115" s="395">
        <v>26</v>
      </c>
      <c r="AC115" s="395">
        <v>27</v>
      </c>
      <c r="AD115" s="396">
        <v>28</v>
      </c>
      <c r="AE115" s="396">
        <v>29</v>
      </c>
      <c r="AF115" s="395">
        <v>30</v>
      </c>
      <c r="AG115" s="2026"/>
      <c r="AH115" s="1"/>
      <c r="AJ115" s="2025" t="s">
        <v>41</v>
      </c>
      <c r="AK115" s="2025" t="s">
        <v>62</v>
      </c>
      <c r="AL115" s="2025" t="s">
        <v>63</v>
      </c>
      <c r="AM115" s="2025" t="s">
        <v>64</v>
      </c>
      <c r="AN115" s="2025" t="s">
        <v>65</v>
      </c>
    </row>
    <row r="116" spans="1:40" ht="18" customHeight="1" x14ac:dyDescent="0.2">
      <c r="B116" s="2244" t="s">
        <v>208</v>
      </c>
      <c r="C116" s="1822" t="s">
        <v>104</v>
      </c>
      <c r="D116" s="1839" t="s">
        <v>50</v>
      </c>
      <c r="E116" s="1839" t="s">
        <v>50</v>
      </c>
      <c r="F116" s="1817" t="s">
        <v>50</v>
      </c>
      <c r="G116" s="1839" t="s">
        <v>50</v>
      </c>
      <c r="H116" s="1839" t="s">
        <v>50</v>
      </c>
      <c r="I116" s="1817" t="s">
        <v>50</v>
      </c>
      <c r="J116" s="1817" t="s">
        <v>50</v>
      </c>
      <c r="K116" s="2245" t="s">
        <v>209</v>
      </c>
      <c r="L116" s="2245" t="s">
        <v>209</v>
      </c>
      <c r="M116" s="1358" t="s">
        <v>209</v>
      </c>
      <c r="N116" s="808" t="s">
        <v>209</v>
      </c>
      <c r="O116" s="808" t="s">
        <v>209</v>
      </c>
      <c r="P116" s="808" t="s">
        <v>210</v>
      </c>
      <c r="Q116" s="808" t="s">
        <v>211</v>
      </c>
      <c r="R116" s="2246" t="s">
        <v>50</v>
      </c>
      <c r="S116" s="2246" t="s">
        <v>50</v>
      </c>
      <c r="T116" s="2246" t="s">
        <v>50</v>
      </c>
      <c r="U116" s="2246" t="s">
        <v>50</v>
      </c>
      <c r="V116" s="2246" t="s">
        <v>50</v>
      </c>
      <c r="W116" s="2246" t="s">
        <v>50</v>
      </c>
      <c r="X116" s="2246" t="s">
        <v>50</v>
      </c>
      <c r="Y116" s="2246" t="s">
        <v>209</v>
      </c>
      <c r="Z116" s="2246" t="s">
        <v>209</v>
      </c>
      <c r="AA116" s="2246" t="s">
        <v>209</v>
      </c>
      <c r="AB116" s="2246" t="s">
        <v>209</v>
      </c>
      <c r="AC116" s="2246" t="s">
        <v>209</v>
      </c>
      <c r="AD116" s="2246" t="s">
        <v>210</v>
      </c>
      <c r="AE116" s="2246" t="s">
        <v>211</v>
      </c>
      <c r="AF116" s="2246" t="s">
        <v>50</v>
      </c>
      <c r="AG116" s="1831"/>
      <c r="AH116" s="1"/>
      <c r="AJ116" s="638">
        <v>160.33000000000001</v>
      </c>
      <c r="AK116" s="638"/>
      <c r="AL116" s="638">
        <f>IF(AJ116="","",SUM(AJ116:AK116))</f>
        <v>160.33000000000001</v>
      </c>
      <c r="AM116" s="639">
        <f t="shared" ref="AM116:AM117" si="3">IF(AJ116="","",AL116-AJ116)</f>
        <v>0</v>
      </c>
      <c r="AN116" s="639">
        <f>IF(AM116="","",AM116+'August 2024'!AN115)</f>
        <v>-24.330000000000013</v>
      </c>
    </row>
    <row r="117" spans="1:40" ht="18" customHeight="1" x14ac:dyDescent="0.2">
      <c r="B117" s="851" t="s">
        <v>212</v>
      </c>
      <c r="C117" s="813"/>
      <c r="D117" s="635" t="s">
        <v>209</v>
      </c>
      <c r="E117" s="635" t="s">
        <v>209</v>
      </c>
      <c r="F117" s="636" t="s">
        <v>209</v>
      </c>
      <c r="G117" s="635" t="s">
        <v>209</v>
      </c>
      <c r="H117" s="635" t="s">
        <v>209</v>
      </c>
      <c r="I117" s="636" t="s">
        <v>210</v>
      </c>
      <c r="J117" s="636" t="s">
        <v>211</v>
      </c>
      <c r="K117" s="636" t="s">
        <v>50</v>
      </c>
      <c r="L117" s="1634" t="s">
        <v>50</v>
      </c>
      <c r="M117" s="636" t="s">
        <v>50</v>
      </c>
      <c r="N117" s="636" t="s">
        <v>50</v>
      </c>
      <c r="O117" s="635" t="s">
        <v>50</v>
      </c>
      <c r="P117" s="635"/>
      <c r="Q117" s="813"/>
      <c r="R117" s="635" t="s">
        <v>209</v>
      </c>
      <c r="S117" s="635" t="s">
        <v>209</v>
      </c>
      <c r="T117" s="636" t="s">
        <v>209</v>
      </c>
      <c r="U117" s="635" t="s">
        <v>209</v>
      </c>
      <c r="V117" s="635" t="s">
        <v>209</v>
      </c>
      <c r="W117" s="636" t="s">
        <v>210</v>
      </c>
      <c r="X117" s="636" t="s">
        <v>211</v>
      </c>
      <c r="Y117" s="636" t="s">
        <v>50</v>
      </c>
      <c r="Z117" s="636" t="s">
        <v>50</v>
      </c>
      <c r="AA117" s="636" t="s">
        <v>50</v>
      </c>
      <c r="AB117" s="636" t="s">
        <v>50</v>
      </c>
      <c r="AC117" s="635" t="s">
        <v>50</v>
      </c>
      <c r="AD117" s="635"/>
      <c r="AE117" s="813"/>
      <c r="AF117" s="635" t="s">
        <v>209</v>
      </c>
      <c r="AG117" s="801"/>
      <c r="AH117" s="1"/>
      <c r="AJ117" s="2247">
        <f t="shared" ref="AJ117" si="4">$AJ$12</f>
        <v>160.33000000000001</v>
      </c>
      <c r="AK117" s="2247"/>
      <c r="AL117" s="2247">
        <f t="shared" ref="AL117" si="5">IF(AJ117="","",SUM(AJ117:AK117))</f>
        <v>160.33000000000001</v>
      </c>
      <c r="AM117" s="2248">
        <f t="shared" si="3"/>
        <v>0</v>
      </c>
      <c r="AN117" s="639">
        <f>IF(AM117="","",AM117+'August 2024'!AN116)</f>
        <v>-10.330000000000013</v>
      </c>
    </row>
    <row r="118" spans="1:40" ht="18" customHeight="1" thickBot="1" x14ac:dyDescent="0.25">
      <c r="B118" s="2249" t="s">
        <v>0</v>
      </c>
      <c r="C118" s="853" t="s">
        <v>148</v>
      </c>
      <c r="D118" s="853" t="s">
        <v>0</v>
      </c>
      <c r="E118" s="854" t="s">
        <v>0</v>
      </c>
      <c r="F118" s="853" t="s">
        <v>0</v>
      </c>
      <c r="G118" s="853" t="s">
        <v>0</v>
      </c>
      <c r="H118" s="853" t="s">
        <v>145</v>
      </c>
      <c r="I118" s="1363" t="s">
        <v>147</v>
      </c>
      <c r="J118" s="1363" t="s">
        <v>148</v>
      </c>
      <c r="K118" s="1363"/>
      <c r="L118" s="1363" t="s">
        <v>0</v>
      </c>
      <c r="M118" s="1363" t="s">
        <v>0</v>
      </c>
      <c r="N118" s="1363" t="s">
        <v>0</v>
      </c>
      <c r="O118" s="853" t="s">
        <v>145</v>
      </c>
      <c r="P118" s="853" t="s">
        <v>147</v>
      </c>
      <c r="Q118" s="853" t="s">
        <v>148</v>
      </c>
      <c r="R118" s="853" t="s">
        <v>0</v>
      </c>
      <c r="S118" s="854" t="s">
        <v>0</v>
      </c>
      <c r="T118" s="853" t="s">
        <v>0</v>
      </c>
      <c r="U118" s="853" t="s">
        <v>0</v>
      </c>
      <c r="V118" s="853" t="s">
        <v>145</v>
      </c>
      <c r="W118" s="1363" t="s">
        <v>147</v>
      </c>
      <c r="X118" s="1363" t="s">
        <v>148</v>
      </c>
      <c r="Y118" s="1363"/>
      <c r="Z118" s="1363" t="s">
        <v>0</v>
      </c>
      <c r="AA118" s="1363" t="s">
        <v>0</v>
      </c>
      <c r="AB118" s="1363" t="s">
        <v>0</v>
      </c>
      <c r="AC118" s="853" t="s">
        <v>145</v>
      </c>
      <c r="AD118" s="853" t="s">
        <v>147</v>
      </c>
      <c r="AE118" s="853" t="s">
        <v>148</v>
      </c>
      <c r="AF118" s="853" t="s">
        <v>0</v>
      </c>
      <c r="AG118" s="1384"/>
      <c r="AH118" s="1"/>
      <c r="AJ118" s="2229"/>
      <c r="AK118" s="2229"/>
      <c r="AL118" s="2229"/>
      <c r="AM118" s="2230"/>
      <c r="AN118" s="2230"/>
    </row>
    <row r="119" spans="1:40" ht="18" customHeight="1" x14ac:dyDescent="0.2">
      <c r="AJ119" s="123"/>
      <c r="AK119" s="123"/>
      <c r="AL119" s="123"/>
      <c r="AM119" s="215"/>
      <c r="AN119" s="215"/>
    </row>
    <row r="120" spans="1:40" ht="18" customHeight="1" thickBot="1" x14ac:dyDescent="0.25">
      <c r="A120" s="3" t="s">
        <v>213</v>
      </c>
      <c r="AJ120" s="123"/>
      <c r="AK120" s="123"/>
      <c r="AL120" s="123"/>
      <c r="AM120" s="215"/>
      <c r="AN120" s="215"/>
    </row>
    <row r="121" spans="1:40" ht="18" customHeight="1" x14ac:dyDescent="0.25">
      <c r="B121" s="217"/>
      <c r="C121" s="218"/>
      <c r="D121" s="218"/>
      <c r="E121" s="221" t="s">
        <v>198</v>
      </c>
      <c r="F121" s="218"/>
      <c r="G121" s="218"/>
      <c r="H121" s="218"/>
      <c r="I121" s="218"/>
      <c r="J121" s="218"/>
      <c r="K121" s="226" t="s">
        <v>13</v>
      </c>
      <c r="L121" s="222"/>
      <c r="M121" s="222"/>
      <c r="N121" s="222"/>
      <c r="O121" s="222"/>
      <c r="P121" s="222"/>
      <c r="Q121" s="222"/>
      <c r="R121" s="222"/>
      <c r="S121" s="222"/>
      <c r="T121" s="223"/>
      <c r="AH121" s="1"/>
      <c r="AJ121" s="123"/>
      <c r="AK121" s="123"/>
      <c r="AL121" s="123"/>
      <c r="AM121" s="215"/>
      <c r="AN121" s="215"/>
    </row>
    <row r="122" spans="1:40" ht="18" customHeight="1" x14ac:dyDescent="0.25">
      <c r="B122" s="217" t="s">
        <v>199</v>
      </c>
      <c r="C122" s="218"/>
      <c r="D122" s="218"/>
      <c r="E122" s="219" t="s">
        <v>214</v>
      </c>
      <c r="F122" s="218"/>
      <c r="G122" s="218"/>
      <c r="H122" s="218"/>
      <c r="I122" s="218"/>
      <c r="J122" s="218"/>
      <c r="K122" s="218" t="s">
        <v>215</v>
      </c>
      <c r="L122" s="218"/>
      <c r="M122" s="218"/>
      <c r="N122" s="218"/>
      <c r="O122" s="218"/>
      <c r="P122" s="218"/>
      <c r="Q122" s="218"/>
      <c r="R122" s="236" t="s">
        <v>216</v>
      </c>
      <c r="S122" s="236"/>
      <c r="T122" s="236"/>
      <c r="AH122" s="1"/>
      <c r="AJ122" s="123"/>
      <c r="AK122" s="123"/>
      <c r="AL122" s="123"/>
      <c r="AM122" s="215"/>
      <c r="AN122" s="215"/>
    </row>
    <row r="123" spans="1:40" ht="18" customHeight="1" x14ac:dyDescent="0.25">
      <c r="B123" s="217" t="s">
        <v>22</v>
      </c>
      <c r="C123" s="218"/>
      <c r="D123" s="218"/>
      <c r="E123" s="221" t="s">
        <v>217</v>
      </c>
      <c r="F123" s="218"/>
      <c r="G123" s="218"/>
      <c r="H123" s="218"/>
      <c r="I123" s="218"/>
      <c r="J123" s="218"/>
      <c r="K123" s="218" t="s">
        <v>218</v>
      </c>
      <c r="L123" s="218"/>
      <c r="M123" s="218"/>
      <c r="N123" s="218"/>
      <c r="O123" s="218"/>
      <c r="P123" s="218"/>
      <c r="Q123" s="218"/>
      <c r="R123" s="218"/>
      <c r="S123" s="218"/>
      <c r="T123" s="220"/>
      <c r="AH123" s="1"/>
      <c r="AJ123" s="123"/>
      <c r="AK123" s="123"/>
      <c r="AL123" s="123"/>
      <c r="AM123" s="215"/>
      <c r="AN123" s="215"/>
    </row>
    <row r="124" spans="1:40" ht="18" customHeight="1" x14ac:dyDescent="0.25">
      <c r="B124" s="217" t="s">
        <v>205</v>
      </c>
      <c r="C124" s="218"/>
      <c r="D124" s="218"/>
      <c r="E124" s="221" t="s">
        <v>219</v>
      </c>
      <c r="F124" s="218"/>
      <c r="G124" s="218"/>
      <c r="H124" s="218"/>
      <c r="I124" s="218"/>
      <c r="J124" s="218"/>
      <c r="K124" s="218" t="s">
        <v>220</v>
      </c>
      <c r="L124" s="229"/>
      <c r="M124" s="229"/>
      <c r="N124" s="229"/>
      <c r="O124" s="229"/>
      <c r="P124" s="229"/>
      <c r="Q124" s="229"/>
      <c r="R124" s="229"/>
      <c r="S124" s="229"/>
      <c r="T124" s="230"/>
      <c r="U124" s="108"/>
      <c r="V124" s="108"/>
      <c r="AH124" s="1"/>
      <c r="AJ124" s="123"/>
      <c r="AK124" s="123"/>
      <c r="AL124" s="123"/>
      <c r="AM124" s="215"/>
      <c r="AN124" s="215"/>
    </row>
    <row r="125" spans="1:40" ht="18" customHeight="1" thickBot="1" x14ac:dyDescent="0.25">
      <c r="T125" s="108"/>
      <c r="U125" s="108"/>
      <c r="V125" s="108"/>
      <c r="AH125" s="1"/>
      <c r="AJ125" s="123"/>
      <c r="AK125" s="123"/>
      <c r="AL125" s="123"/>
      <c r="AM125" s="215"/>
      <c r="AN125" s="215"/>
    </row>
    <row r="126" spans="1:40" ht="18" customHeight="1" thickBot="1" x14ac:dyDescent="0.25">
      <c r="B126" s="2250" t="s">
        <v>448</v>
      </c>
      <c r="C126" s="319">
        <v>1</v>
      </c>
      <c r="D126" s="320">
        <v>2</v>
      </c>
      <c r="E126" s="320">
        <v>3</v>
      </c>
      <c r="F126" s="320">
        <v>4</v>
      </c>
      <c r="G126" s="320">
        <v>5</v>
      </c>
      <c r="H126" s="320">
        <v>6</v>
      </c>
      <c r="I126" s="319">
        <v>7</v>
      </c>
      <c r="J126" s="319">
        <v>8</v>
      </c>
      <c r="K126" s="320">
        <v>9</v>
      </c>
      <c r="L126" s="320">
        <v>10</v>
      </c>
      <c r="M126" s="320">
        <v>11</v>
      </c>
      <c r="N126" s="320">
        <v>12</v>
      </c>
      <c r="O126" s="320">
        <v>13</v>
      </c>
      <c r="P126" s="319">
        <v>14</v>
      </c>
      <c r="Q126" s="319">
        <v>15</v>
      </c>
      <c r="R126" s="320">
        <v>16</v>
      </c>
      <c r="S126" s="320">
        <v>17</v>
      </c>
      <c r="T126" s="320">
        <v>18</v>
      </c>
      <c r="U126" s="320">
        <v>19</v>
      </c>
      <c r="V126" s="320">
        <v>20</v>
      </c>
      <c r="W126" s="319">
        <v>21</v>
      </c>
      <c r="X126" s="319">
        <v>22</v>
      </c>
      <c r="Y126" s="320">
        <v>23</v>
      </c>
      <c r="Z126" s="320">
        <v>24</v>
      </c>
      <c r="AA126" s="320">
        <v>25</v>
      </c>
      <c r="AB126" s="320">
        <v>26</v>
      </c>
      <c r="AC126" s="320">
        <v>27</v>
      </c>
      <c r="AD126" s="319">
        <v>28</v>
      </c>
      <c r="AE126" s="319">
        <v>29</v>
      </c>
      <c r="AF126" s="320">
        <v>30</v>
      </c>
      <c r="AG126" s="321"/>
      <c r="AH126" s="1"/>
      <c r="AJ126" s="2025" t="s">
        <v>41</v>
      </c>
      <c r="AK126" s="2025" t="s">
        <v>62</v>
      </c>
      <c r="AL126" s="2025" t="s">
        <v>63</v>
      </c>
      <c r="AM126" s="2025" t="s">
        <v>64</v>
      </c>
      <c r="AN126" s="2025" t="s">
        <v>65</v>
      </c>
    </row>
    <row r="127" spans="1:40" ht="18" customHeight="1" x14ac:dyDescent="0.2">
      <c r="B127" s="2251" t="s">
        <v>221</v>
      </c>
      <c r="C127" s="370" t="s">
        <v>74</v>
      </c>
      <c r="D127" s="370" t="s">
        <v>50</v>
      </c>
      <c r="E127" s="370" t="s">
        <v>50</v>
      </c>
      <c r="F127" s="370" t="s">
        <v>50</v>
      </c>
      <c r="G127" s="370" t="s">
        <v>50</v>
      </c>
      <c r="H127" s="373" t="s">
        <v>50</v>
      </c>
      <c r="I127" s="373"/>
      <c r="J127" s="373"/>
      <c r="K127" s="373" t="s">
        <v>72</v>
      </c>
      <c r="L127" s="380" t="s">
        <v>72</v>
      </c>
      <c r="M127" s="380" t="s">
        <v>72</v>
      </c>
      <c r="N127" s="380" t="s">
        <v>72</v>
      </c>
      <c r="O127" s="380" t="s">
        <v>459</v>
      </c>
      <c r="P127" s="2252" t="s">
        <v>73</v>
      </c>
      <c r="Q127" s="381" t="s">
        <v>74</v>
      </c>
      <c r="R127" s="370" t="s">
        <v>50</v>
      </c>
      <c r="S127" s="370" t="s">
        <v>50</v>
      </c>
      <c r="T127" s="370" t="s">
        <v>50</v>
      </c>
      <c r="U127" s="370" t="s">
        <v>50</v>
      </c>
      <c r="V127" s="373" t="s">
        <v>50</v>
      </c>
      <c r="W127" s="373"/>
      <c r="X127" s="373"/>
      <c r="Y127" s="373" t="s">
        <v>72</v>
      </c>
      <c r="Z127" s="373" t="s">
        <v>72</v>
      </c>
      <c r="AA127" s="370" t="s">
        <v>72</v>
      </c>
      <c r="AB127" s="370" t="s">
        <v>72</v>
      </c>
      <c r="AC127" s="370" t="s">
        <v>72</v>
      </c>
      <c r="AD127" s="370" t="s">
        <v>73</v>
      </c>
      <c r="AE127" s="370" t="s">
        <v>74</v>
      </c>
      <c r="AF127" s="370" t="s">
        <v>50</v>
      </c>
      <c r="AG127" s="1909" t="s">
        <v>0</v>
      </c>
      <c r="AH127" s="1"/>
      <c r="AJ127" s="638">
        <f>$AJ$12</f>
        <v>160.33000000000001</v>
      </c>
      <c r="AK127" s="638"/>
      <c r="AL127" s="638">
        <f>IF(AJ127="","",SUM(AJ127:AK127))</f>
        <v>160.33000000000001</v>
      </c>
      <c r="AM127" s="639">
        <f>IF(AJ127="","",AL127-AJ127)</f>
        <v>0</v>
      </c>
      <c r="AN127" s="639">
        <f>IF(AM127="","",AM127+'August 2024'!AN126)</f>
        <v>-36.330000000000013</v>
      </c>
    </row>
    <row r="128" spans="1:40" ht="18" customHeight="1" x14ac:dyDescent="0.2">
      <c r="B128" s="2253" t="s">
        <v>222</v>
      </c>
      <c r="C128" s="968"/>
      <c r="D128" s="968" t="s">
        <v>72</v>
      </c>
      <c r="E128" s="968" t="s">
        <v>72</v>
      </c>
      <c r="F128" s="968" t="s">
        <v>72</v>
      </c>
      <c r="G128" s="968" t="s">
        <v>72</v>
      </c>
      <c r="H128" s="968" t="s">
        <v>72</v>
      </c>
      <c r="I128" s="968" t="s">
        <v>73</v>
      </c>
      <c r="J128" s="968" t="s">
        <v>74</v>
      </c>
      <c r="K128" s="2144" t="s">
        <v>46</v>
      </c>
      <c r="L128" s="636" t="s">
        <v>50</v>
      </c>
      <c r="M128" s="636" t="s">
        <v>50</v>
      </c>
      <c r="N128" s="636" t="s">
        <v>50</v>
      </c>
      <c r="O128" s="2254" t="s">
        <v>50</v>
      </c>
      <c r="P128" s="635"/>
      <c r="Q128" s="2255"/>
      <c r="R128" s="635" t="s">
        <v>72</v>
      </c>
      <c r="S128" s="635" t="s">
        <v>72</v>
      </c>
      <c r="T128" s="636" t="s">
        <v>72</v>
      </c>
      <c r="U128" s="636" t="s">
        <v>72</v>
      </c>
      <c r="V128" s="636" t="s">
        <v>72</v>
      </c>
      <c r="W128" s="636" t="s">
        <v>73</v>
      </c>
      <c r="X128" s="636" t="s">
        <v>74</v>
      </c>
      <c r="Y128" s="636" t="s">
        <v>50</v>
      </c>
      <c r="Z128" s="636" t="s">
        <v>50</v>
      </c>
      <c r="AA128" s="636" t="s">
        <v>50</v>
      </c>
      <c r="AB128" s="636" t="s">
        <v>50</v>
      </c>
      <c r="AC128" s="635" t="s">
        <v>50</v>
      </c>
      <c r="AD128" s="635"/>
      <c r="AE128" s="635"/>
      <c r="AF128" s="2256" t="s">
        <v>72</v>
      </c>
      <c r="AG128" s="819" t="s">
        <v>0</v>
      </c>
      <c r="AH128" s="1"/>
      <c r="AJ128" s="638">
        <f>$AJ$12</f>
        <v>160.33000000000001</v>
      </c>
      <c r="AK128" s="638"/>
      <c r="AL128" s="638">
        <f>IF(AJ128="","",SUM(AJ128:AK128))</f>
        <v>160.33000000000001</v>
      </c>
      <c r="AM128" s="639">
        <f>IF(AJ128="","",AL128-AJ128)</f>
        <v>0</v>
      </c>
      <c r="AN128" s="639">
        <f>IF(AM128="","",AM128+'August 2024'!AN127)</f>
        <v>-10.330000000000013</v>
      </c>
    </row>
    <row r="129" spans="1:40" ht="18" customHeight="1" thickBot="1" x14ac:dyDescent="0.25">
      <c r="B129" s="322" t="s">
        <v>0</v>
      </c>
      <c r="C129" s="1363" t="s">
        <v>141</v>
      </c>
      <c r="D129" s="1363" t="s">
        <v>50</v>
      </c>
      <c r="E129" s="1363" t="s">
        <v>50</v>
      </c>
      <c r="F129" s="1363" t="s">
        <v>50</v>
      </c>
      <c r="G129" s="1363" t="s">
        <v>50</v>
      </c>
      <c r="H129" s="1363" t="s">
        <v>139</v>
      </c>
      <c r="I129" s="1363" t="s">
        <v>140</v>
      </c>
      <c r="J129" s="1363" t="s">
        <v>141</v>
      </c>
      <c r="K129" s="1363" t="s">
        <v>50</v>
      </c>
      <c r="L129" s="1363" t="s">
        <v>50</v>
      </c>
      <c r="M129" s="1363" t="s">
        <v>50</v>
      </c>
      <c r="N129" s="1363" t="s">
        <v>50</v>
      </c>
      <c r="O129" s="1363" t="s">
        <v>139</v>
      </c>
      <c r="P129" s="1363" t="s">
        <v>140</v>
      </c>
      <c r="Q129" s="1363" t="s">
        <v>141</v>
      </c>
      <c r="R129" s="1363" t="s">
        <v>50</v>
      </c>
      <c r="S129" s="1363" t="s">
        <v>50</v>
      </c>
      <c r="T129" s="1363" t="s">
        <v>50</v>
      </c>
      <c r="U129" s="1363" t="s">
        <v>50</v>
      </c>
      <c r="V129" s="1363" t="s">
        <v>139</v>
      </c>
      <c r="W129" s="1363" t="s">
        <v>140</v>
      </c>
      <c r="X129" s="1363" t="s">
        <v>141</v>
      </c>
      <c r="Y129" s="1363" t="s">
        <v>50</v>
      </c>
      <c r="Z129" s="1363" t="s">
        <v>50</v>
      </c>
      <c r="AA129" s="1363" t="s">
        <v>50</v>
      </c>
      <c r="AB129" s="1363" t="s">
        <v>50</v>
      </c>
      <c r="AC129" s="1363" t="s">
        <v>139</v>
      </c>
      <c r="AD129" s="1363" t="s">
        <v>140</v>
      </c>
      <c r="AE129" s="1363" t="s">
        <v>141</v>
      </c>
      <c r="AF129" s="1363" t="s">
        <v>50</v>
      </c>
      <c r="AG129" s="821" t="s">
        <v>0</v>
      </c>
      <c r="AH129" s="1"/>
    </row>
    <row r="130" spans="1:40" ht="18" customHeight="1" x14ac:dyDescent="0.2">
      <c r="B130" t="s">
        <v>0</v>
      </c>
      <c r="C130" t="s">
        <v>0</v>
      </c>
      <c r="D130" t="s">
        <v>0</v>
      </c>
      <c r="E130" t="s">
        <v>0</v>
      </c>
      <c r="F130" t="s">
        <v>0</v>
      </c>
      <c r="G130" t="s">
        <v>0</v>
      </c>
      <c r="H130" t="s">
        <v>0</v>
      </c>
      <c r="I130" t="s">
        <v>0</v>
      </c>
      <c r="J130" t="s">
        <v>0</v>
      </c>
      <c r="K130" t="s">
        <v>0</v>
      </c>
      <c r="L130" t="s">
        <v>0</v>
      </c>
      <c r="M130" t="s">
        <v>0</v>
      </c>
      <c r="N130" t="s">
        <v>0</v>
      </c>
      <c r="O130" t="s">
        <v>0</v>
      </c>
      <c r="P130" t="s">
        <v>0</v>
      </c>
      <c r="Q130" t="s">
        <v>0</v>
      </c>
      <c r="R130" t="s">
        <v>0</v>
      </c>
      <c r="S130" t="s">
        <v>0</v>
      </c>
      <c r="T130" t="s">
        <v>0</v>
      </c>
      <c r="U130" t="s">
        <v>0</v>
      </c>
      <c r="V130" t="s">
        <v>0</v>
      </c>
      <c r="W130" t="s">
        <v>0</v>
      </c>
      <c r="X130" t="s">
        <v>0</v>
      </c>
      <c r="Y130" t="s">
        <v>0</v>
      </c>
      <c r="Z130" t="s">
        <v>0</v>
      </c>
      <c r="AA130" t="s">
        <v>0</v>
      </c>
      <c r="AB130" t="s">
        <v>0</v>
      </c>
      <c r="AC130" t="s">
        <v>0</v>
      </c>
      <c r="AD130" t="s">
        <v>0</v>
      </c>
      <c r="AE130" t="s">
        <v>0</v>
      </c>
      <c r="AF130" t="s">
        <v>0</v>
      </c>
      <c r="AG130" t="s">
        <v>0</v>
      </c>
      <c r="AJ130" s="123"/>
      <c r="AK130" s="123"/>
      <c r="AL130" s="123"/>
      <c r="AM130" s="215"/>
      <c r="AN130" s="215"/>
    </row>
    <row r="131" spans="1:40" ht="18" customHeight="1" thickBot="1" x14ac:dyDescent="0.25">
      <c r="A131" s="3" t="s">
        <v>223</v>
      </c>
      <c r="AJ131" s="123"/>
      <c r="AK131" s="123"/>
      <c r="AL131" s="123"/>
      <c r="AM131" s="215"/>
      <c r="AN131" s="215"/>
    </row>
    <row r="132" spans="1:40" ht="18" customHeight="1" x14ac:dyDescent="0.25">
      <c r="B132" s="217"/>
      <c r="C132" s="218"/>
      <c r="D132" s="218"/>
      <c r="E132" s="221" t="s">
        <v>198</v>
      </c>
      <c r="F132" s="218"/>
      <c r="G132" s="218"/>
      <c r="H132" s="218"/>
      <c r="I132" s="218"/>
      <c r="J132" s="218"/>
      <c r="K132" s="226" t="s">
        <v>13</v>
      </c>
      <c r="L132" s="222"/>
      <c r="M132" s="222"/>
      <c r="N132" s="222"/>
      <c r="O132" s="222"/>
      <c r="P132" s="222"/>
      <c r="Q132" s="222"/>
      <c r="R132" s="222"/>
      <c r="S132" s="222"/>
      <c r="T132" s="223"/>
      <c r="AH132" s="1"/>
      <c r="AJ132" s="123"/>
      <c r="AK132" s="123"/>
      <c r="AL132" s="123"/>
      <c r="AM132" s="215"/>
      <c r="AN132" s="215"/>
    </row>
    <row r="133" spans="1:40" ht="18" customHeight="1" x14ac:dyDescent="0.25">
      <c r="B133" s="217" t="s">
        <v>199</v>
      </c>
      <c r="C133" s="218"/>
      <c r="D133" s="218"/>
      <c r="E133" s="219" t="s">
        <v>224</v>
      </c>
      <c r="F133" s="218"/>
      <c r="G133" s="218"/>
      <c r="H133" s="218"/>
      <c r="I133" s="218"/>
      <c r="J133" s="218"/>
      <c r="K133" s="218" t="s">
        <v>225</v>
      </c>
      <c r="L133" s="218"/>
      <c r="M133" s="218"/>
      <c r="N133" s="218"/>
      <c r="O133" s="218"/>
      <c r="P133" s="218"/>
      <c r="Q133" s="218"/>
      <c r="R133" s="236" t="s">
        <v>226</v>
      </c>
      <c r="S133" s="236"/>
      <c r="T133" s="236"/>
      <c r="AH133" s="1"/>
      <c r="AJ133" s="123"/>
      <c r="AK133" s="123"/>
      <c r="AL133" s="123"/>
      <c r="AM133" s="215"/>
      <c r="AN133" s="215"/>
    </row>
    <row r="134" spans="1:40" ht="18" customHeight="1" x14ac:dyDescent="0.25">
      <c r="B134" s="217" t="s">
        <v>22</v>
      </c>
      <c r="C134" s="218"/>
      <c r="D134" s="218"/>
      <c r="E134" s="221" t="s">
        <v>227</v>
      </c>
      <c r="F134" s="218"/>
      <c r="G134" s="218"/>
      <c r="H134" s="218"/>
      <c r="I134" s="218"/>
      <c r="J134" s="218"/>
      <c r="K134" s="218" t="s">
        <v>228</v>
      </c>
      <c r="L134" s="218"/>
      <c r="M134" s="218"/>
      <c r="N134" s="218"/>
      <c r="O134" s="218"/>
      <c r="P134" s="218"/>
      <c r="Q134" s="218"/>
      <c r="R134" s="218"/>
      <c r="S134" s="218"/>
      <c r="T134" s="220"/>
      <c r="AH134" s="1"/>
      <c r="AJ134" s="123"/>
      <c r="AK134" s="123"/>
      <c r="AL134" s="123"/>
      <c r="AM134" s="215"/>
      <c r="AN134" s="215"/>
    </row>
    <row r="135" spans="1:40" ht="18" customHeight="1" x14ac:dyDescent="0.25">
      <c r="B135" s="217" t="s">
        <v>205</v>
      </c>
      <c r="C135" s="218"/>
      <c r="D135" s="218"/>
      <c r="E135" s="221" t="s">
        <v>229</v>
      </c>
      <c r="F135" s="218"/>
      <c r="G135" s="218"/>
      <c r="H135" s="218"/>
      <c r="I135" s="218"/>
      <c r="J135" s="218"/>
      <c r="K135" s="218" t="s">
        <v>230</v>
      </c>
      <c r="L135" s="229"/>
      <c r="M135" s="229"/>
      <c r="N135" s="229"/>
      <c r="O135" s="229"/>
      <c r="P135" s="229"/>
      <c r="Q135" s="229"/>
      <c r="R135" s="229"/>
      <c r="S135" s="229"/>
      <c r="T135" s="230"/>
      <c r="U135" s="108"/>
      <c r="V135" s="108"/>
      <c r="AH135" s="1"/>
      <c r="AJ135" s="123"/>
      <c r="AK135" s="123"/>
      <c r="AL135" s="123"/>
      <c r="AM135" s="215"/>
      <c r="AN135" s="215"/>
    </row>
    <row r="136" spans="1:40" ht="18" customHeight="1" x14ac:dyDescent="0.2">
      <c r="T136" s="108"/>
      <c r="U136" s="108"/>
      <c r="V136" s="108"/>
      <c r="AH136" s="1"/>
      <c r="AJ136" s="123"/>
      <c r="AK136" s="123"/>
      <c r="AL136" s="123"/>
      <c r="AM136" s="215"/>
      <c r="AN136" s="215"/>
    </row>
    <row r="137" spans="1:40" ht="18" customHeight="1" x14ac:dyDescent="0.2">
      <c r="B137" s="2257" t="s">
        <v>448</v>
      </c>
      <c r="C137" s="396">
        <v>1</v>
      </c>
      <c r="D137" s="395">
        <v>2</v>
      </c>
      <c r="E137" s="395">
        <v>3</v>
      </c>
      <c r="F137" s="395">
        <v>4</v>
      </c>
      <c r="G137" s="395">
        <v>5</v>
      </c>
      <c r="H137" s="395">
        <v>6</v>
      </c>
      <c r="I137" s="396">
        <v>7</v>
      </c>
      <c r="J137" s="396">
        <v>8</v>
      </c>
      <c r="K137" s="395">
        <v>9</v>
      </c>
      <c r="L137" s="395">
        <v>10</v>
      </c>
      <c r="M137" s="395">
        <v>11</v>
      </c>
      <c r="N137" s="395">
        <v>12</v>
      </c>
      <c r="O137" s="395">
        <v>13</v>
      </c>
      <c r="P137" s="396">
        <v>14</v>
      </c>
      <c r="Q137" s="396">
        <v>15</v>
      </c>
      <c r="R137" s="395">
        <v>16</v>
      </c>
      <c r="S137" s="395">
        <v>17</v>
      </c>
      <c r="T137" s="395">
        <v>18</v>
      </c>
      <c r="U137" s="395">
        <v>19</v>
      </c>
      <c r="V137" s="395">
        <v>20</v>
      </c>
      <c r="W137" s="396">
        <v>21</v>
      </c>
      <c r="X137" s="396">
        <v>22</v>
      </c>
      <c r="Y137" s="395">
        <v>23</v>
      </c>
      <c r="Z137" s="395">
        <v>24</v>
      </c>
      <c r="AA137" s="395">
        <v>25</v>
      </c>
      <c r="AB137" s="395">
        <v>26</v>
      </c>
      <c r="AC137" s="395">
        <v>27</v>
      </c>
      <c r="AD137" s="396">
        <v>28</v>
      </c>
      <c r="AE137" s="396">
        <v>29</v>
      </c>
      <c r="AF137" s="395">
        <v>30</v>
      </c>
      <c r="AG137" s="2026"/>
      <c r="AH137" s="1"/>
      <c r="AJ137" s="2025" t="s">
        <v>41</v>
      </c>
      <c r="AK137" s="2025" t="s">
        <v>62</v>
      </c>
      <c r="AL137" s="2025" t="s">
        <v>63</v>
      </c>
      <c r="AM137" s="2025" t="s">
        <v>64</v>
      </c>
      <c r="AN137" s="2025" t="s">
        <v>65</v>
      </c>
    </row>
    <row r="138" spans="1:40" ht="18" customHeight="1" x14ac:dyDescent="0.2">
      <c r="B138" s="1848" t="s">
        <v>231</v>
      </c>
      <c r="C138" s="1817" t="s">
        <v>164</v>
      </c>
      <c r="D138" s="2258" t="s">
        <v>50</v>
      </c>
      <c r="E138" s="1818" t="s">
        <v>50</v>
      </c>
      <c r="F138" s="1818" t="s">
        <v>50</v>
      </c>
      <c r="G138" s="1818" t="s">
        <v>50</v>
      </c>
      <c r="H138" s="1818" t="s">
        <v>50</v>
      </c>
      <c r="I138" s="1839"/>
      <c r="J138" s="1839"/>
      <c r="K138" s="1822" t="s">
        <v>162</v>
      </c>
      <c r="L138" s="1822" t="s">
        <v>460</v>
      </c>
      <c r="M138" s="2259" t="s">
        <v>162</v>
      </c>
      <c r="N138" s="2259" t="s">
        <v>162</v>
      </c>
      <c r="O138" s="1817" t="s">
        <v>162</v>
      </c>
      <c r="P138" s="1817" t="s">
        <v>163</v>
      </c>
      <c r="Q138" s="1817" t="s">
        <v>164</v>
      </c>
      <c r="R138" s="1817" t="s">
        <v>50</v>
      </c>
      <c r="S138" s="1817" t="s">
        <v>50</v>
      </c>
      <c r="T138" s="1817" t="s">
        <v>50</v>
      </c>
      <c r="U138" s="1817" t="s">
        <v>50</v>
      </c>
      <c r="V138" s="1839" t="s">
        <v>50</v>
      </c>
      <c r="W138" s="1839"/>
      <c r="X138" s="1839"/>
      <c r="Y138" s="2260" t="s">
        <v>162</v>
      </c>
      <c r="Z138" s="2260" t="s">
        <v>162</v>
      </c>
      <c r="AA138" s="2261" t="s">
        <v>162</v>
      </c>
      <c r="AB138" s="2261" t="s">
        <v>162</v>
      </c>
      <c r="AC138" s="2261" t="s">
        <v>162</v>
      </c>
      <c r="AD138" s="2261" t="s">
        <v>163</v>
      </c>
      <c r="AE138" s="2261" t="s">
        <v>164</v>
      </c>
      <c r="AF138" s="1817" t="s">
        <v>50</v>
      </c>
      <c r="AG138" s="1817" t="s">
        <v>0</v>
      </c>
      <c r="AH138" s="1"/>
      <c r="AJ138" s="638">
        <f>$AJ$12</f>
        <v>160.33000000000001</v>
      </c>
      <c r="AK138" s="638"/>
      <c r="AL138" s="638">
        <f>IF(AJ138="","",SUM(AJ138:AK138))</f>
        <v>160.33000000000001</v>
      </c>
      <c r="AM138" s="639">
        <f>IF(AJ138="","",AL138-AJ138)</f>
        <v>0</v>
      </c>
      <c r="AN138" s="639">
        <f>IF(AM138="","",AM138+'August 2024'!AN137)</f>
        <v>-24.330000000000013</v>
      </c>
    </row>
    <row r="139" spans="1:40" ht="18" customHeight="1" x14ac:dyDescent="0.2">
      <c r="B139" s="863" t="s">
        <v>0</v>
      </c>
      <c r="C139" s="635"/>
      <c r="D139" s="635" t="s">
        <v>162</v>
      </c>
      <c r="E139" s="635" t="s">
        <v>162</v>
      </c>
      <c r="F139" s="636" t="s">
        <v>162</v>
      </c>
      <c r="G139" s="636" t="s">
        <v>162</v>
      </c>
      <c r="H139" s="636" t="s">
        <v>162</v>
      </c>
      <c r="I139" s="636" t="s">
        <v>163</v>
      </c>
      <c r="J139" s="636" t="s">
        <v>164</v>
      </c>
      <c r="K139" s="636" t="s">
        <v>50</v>
      </c>
      <c r="L139" s="636" t="s">
        <v>50</v>
      </c>
      <c r="M139" s="636" t="s">
        <v>50</v>
      </c>
      <c r="N139" s="636" t="s">
        <v>50</v>
      </c>
      <c r="O139" s="635" t="s">
        <v>50</v>
      </c>
      <c r="P139" s="635"/>
      <c r="Q139" s="635"/>
      <c r="R139" s="635" t="s">
        <v>162</v>
      </c>
      <c r="S139" s="635" t="s">
        <v>162</v>
      </c>
      <c r="T139" s="636" t="s">
        <v>162</v>
      </c>
      <c r="U139" s="636" t="s">
        <v>162</v>
      </c>
      <c r="V139" s="636" t="s">
        <v>162</v>
      </c>
      <c r="W139" s="636" t="s">
        <v>163</v>
      </c>
      <c r="X139" s="636" t="s">
        <v>164</v>
      </c>
      <c r="Y139" s="636" t="s">
        <v>50</v>
      </c>
      <c r="Z139" s="636" t="s">
        <v>50</v>
      </c>
      <c r="AA139" s="636" t="s">
        <v>50</v>
      </c>
      <c r="AB139" s="636" t="s">
        <v>50</v>
      </c>
      <c r="AC139" s="635" t="s">
        <v>50</v>
      </c>
      <c r="AD139" s="635"/>
      <c r="AE139" s="635"/>
      <c r="AF139" s="635" t="s">
        <v>162</v>
      </c>
      <c r="AG139" s="636" t="s">
        <v>0</v>
      </c>
      <c r="AH139" s="1"/>
      <c r="AJ139" s="638">
        <f>$AJ$12</f>
        <v>160.33000000000001</v>
      </c>
      <c r="AK139" s="638"/>
      <c r="AL139" s="638">
        <f>IF(AJ139="","",SUM(AJ139:AK139))</f>
        <v>160.33000000000001</v>
      </c>
      <c r="AM139" s="639">
        <f>IF(AJ139="","",AL139-AJ139)</f>
        <v>0</v>
      </c>
      <c r="AN139" s="639">
        <f>IF(AM139="","",AM139+'August 2024'!AN138)</f>
        <v>0</v>
      </c>
    </row>
    <row r="140" spans="1:40" ht="18" customHeight="1" x14ac:dyDescent="0.2">
      <c r="B140" s="864" t="s">
        <v>0</v>
      </c>
      <c r="C140" s="1363" t="s">
        <v>71</v>
      </c>
      <c r="D140" s="1363" t="s">
        <v>50</v>
      </c>
      <c r="E140" s="1363" t="s">
        <v>50</v>
      </c>
      <c r="F140" s="1363" t="s">
        <v>50</v>
      </c>
      <c r="G140" s="1363" t="s">
        <v>50</v>
      </c>
      <c r="H140" s="1363" t="s">
        <v>149</v>
      </c>
      <c r="I140" s="1363" t="s">
        <v>150</v>
      </c>
      <c r="J140" s="1363" t="s">
        <v>71</v>
      </c>
      <c r="K140" s="1363" t="s">
        <v>50</v>
      </c>
      <c r="L140" s="1363" t="s">
        <v>50</v>
      </c>
      <c r="M140" s="1363" t="s">
        <v>50</v>
      </c>
      <c r="N140" s="1363" t="s">
        <v>50</v>
      </c>
      <c r="O140" s="1363" t="s">
        <v>149</v>
      </c>
      <c r="P140" s="1363" t="s">
        <v>150</v>
      </c>
      <c r="Q140" s="1363" t="s">
        <v>71</v>
      </c>
      <c r="R140" s="1363" t="s">
        <v>50</v>
      </c>
      <c r="S140" s="1363" t="s">
        <v>50</v>
      </c>
      <c r="T140" s="1363" t="s">
        <v>50</v>
      </c>
      <c r="U140" s="1363" t="s">
        <v>50</v>
      </c>
      <c r="V140" s="1363" t="s">
        <v>149</v>
      </c>
      <c r="W140" s="1363" t="s">
        <v>150</v>
      </c>
      <c r="X140" s="1363" t="s">
        <v>71</v>
      </c>
      <c r="Y140" s="1363" t="s">
        <v>50</v>
      </c>
      <c r="Z140" s="1363" t="s">
        <v>50</v>
      </c>
      <c r="AA140" s="1363" t="s">
        <v>50</v>
      </c>
      <c r="AB140" s="1363" t="s">
        <v>50</v>
      </c>
      <c r="AC140" s="1363" t="s">
        <v>149</v>
      </c>
      <c r="AD140" s="1363" t="s">
        <v>150</v>
      </c>
      <c r="AE140" s="1363" t="s">
        <v>71</v>
      </c>
      <c r="AF140" s="1363" t="s">
        <v>50</v>
      </c>
      <c r="AG140" s="1363" t="s">
        <v>0</v>
      </c>
      <c r="AH140" s="1"/>
      <c r="AJ140" s="123"/>
      <c r="AK140" s="123"/>
      <c r="AL140" s="123"/>
      <c r="AM140" s="215"/>
      <c r="AN140" s="215"/>
    </row>
    <row r="141" spans="1:40" ht="18" customHeight="1" x14ac:dyDescent="0.2">
      <c r="B141" s="127"/>
      <c r="C141" s="128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"/>
    </row>
    <row r="142" spans="1:40" ht="18" customHeight="1" x14ac:dyDescent="0.2">
      <c r="A142" s="107" t="s">
        <v>232</v>
      </c>
    </row>
    <row r="143" spans="1:40" ht="18" customHeight="1" x14ac:dyDescent="0.2">
      <c r="B143" s="1852" t="s">
        <v>233</v>
      </c>
      <c r="C143" s="1853"/>
      <c r="D143" s="1765" t="s">
        <v>17</v>
      </c>
      <c r="E143" s="1765"/>
      <c r="F143" s="1854"/>
      <c r="G143" s="1853"/>
      <c r="H143" s="1765" t="s">
        <v>18</v>
      </c>
      <c r="I143" s="1765"/>
      <c r="J143" s="1854"/>
      <c r="K143" s="1853"/>
      <c r="L143" s="1765" t="s">
        <v>19</v>
      </c>
      <c r="M143" s="1765"/>
      <c r="N143" s="1854"/>
      <c r="O143" s="1853"/>
      <c r="P143" s="1765" t="s">
        <v>20</v>
      </c>
      <c r="Q143" s="1765"/>
      <c r="R143" s="1854"/>
      <c r="S143" s="1853"/>
      <c r="T143" s="1765" t="s">
        <v>21</v>
      </c>
      <c r="U143" s="1765"/>
      <c r="V143" s="1854"/>
      <c r="W143" s="1853"/>
      <c r="X143" s="1765" t="s">
        <v>22</v>
      </c>
      <c r="Y143" s="1765"/>
      <c r="Z143" s="1854"/>
      <c r="AA143" s="1853"/>
      <c r="AB143" s="1765" t="s">
        <v>23</v>
      </c>
      <c r="AC143" s="1765"/>
      <c r="AD143" s="1765"/>
      <c r="AE143" s="1765" t="s">
        <v>234</v>
      </c>
      <c r="AF143" s="1765"/>
      <c r="AG143" s="1765"/>
      <c r="AH143" s="1765"/>
      <c r="AI143" s="1855"/>
    </row>
    <row r="144" spans="1:40" ht="18" customHeight="1" x14ac:dyDescent="0.2">
      <c r="B144" s="2262" t="s">
        <v>235</v>
      </c>
      <c r="C144" s="2263" t="s">
        <v>10</v>
      </c>
      <c r="D144" s="1765"/>
      <c r="E144" s="2103"/>
      <c r="F144" s="2264"/>
      <c r="G144" s="2263" t="s">
        <v>10</v>
      </c>
      <c r="H144" s="2265"/>
      <c r="I144" s="2103"/>
      <c r="J144" s="2264"/>
      <c r="K144" s="1860" t="s">
        <v>10</v>
      </c>
      <c r="L144" s="1765"/>
      <c r="M144" s="1765"/>
      <c r="N144" s="1854"/>
      <c r="O144" s="1860" t="s">
        <v>10</v>
      </c>
      <c r="P144" s="1861"/>
      <c r="Q144" s="2103"/>
      <c r="R144" s="2264"/>
      <c r="S144" s="2263" t="s">
        <v>10</v>
      </c>
      <c r="T144" s="2103"/>
      <c r="U144" s="2103"/>
      <c r="V144" s="2103"/>
      <c r="W144" s="2266"/>
      <c r="X144" s="2267"/>
      <c r="Y144" s="2267"/>
      <c r="Z144" s="2268"/>
      <c r="AA144" s="2103"/>
      <c r="AB144" s="2103"/>
      <c r="AC144" s="2103"/>
      <c r="AD144" s="2103"/>
      <c r="AE144" s="2269">
        <v>37</v>
      </c>
      <c r="AF144" s="1765"/>
      <c r="AG144" s="2103"/>
      <c r="AH144" s="2103"/>
      <c r="AI144" s="2270"/>
    </row>
    <row r="145" spans="1:35" ht="18" customHeight="1" x14ac:dyDescent="0.2">
      <c r="B145" s="2271" t="s">
        <v>236</v>
      </c>
      <c r="C145" s="2272" t="s">
        <v>237</v>
      </c>
      <c r="D145" s="2007"/>
      <c r="E145" s="2007"/>
      <c r="F145" s="2109"/>
      <c r="G145" s="2272" t="s">
        <v>238</v>
      </c>
      <c r="H145" s="2116"/>
      <c r="I145" s="2007"/>
      <c r="J145" s="2109"/>
      <c r="K145" s="2272" t="s">
        <v>239</v>
      </c>
      <c r="L145" s="2116" t="s">
        <v>240</v>
      </c>
      <c r="M145" s="2007"/>
      <c r="N145" s="2109"/>
      <c r="O145" s="2272" t="s">
        <v>239</v>
      </c>
      <c r="P145" s="2116" t="s">
        <v>240</v>
      </c>
      <c r="Q145" s="2007"/>
      <c r="R145" s="2109"/>
      <c r="S145" s="2272" t="s">
        <v>241</v>
      </c>
      <c r="T145" s="2007"/>
      <c r="U145" s="2007"/>
      <c r="V145" s="2109"/>
      <c r="W145" s="457" t="s">
        <v>143</v>
      </c>
      <c r="X145" s="875" t="s">
        <v>242</v>
      </c>
      <c r="Y145" s="467"/>
      <c r="Z145" s="467"/>
      <c r="AA145" s="2273" t="s">
        <v>143</v>
      </c>
      <c r="AB145" s="2116" t="s">
        <v>242</v>
      </c>
      <c r="AC145" s="2273"/>
      <c r="AD145" s="2273"/>
      <c r="AE145" s="2273">
        <v>68</v>
      </c>
      <c r="AF145" s="2007"/>
      <c r="AG145" s="2007"/>
      <c r="AH145" s="2007"/>
      <c r="AI145" s="2274"/>
    </row>
    <row r="146" spans="1:35" ht="18" customHeight="1" x14ac:dyDescent="0.2">
      <c r="B146" s="2271" t="s">
        <v>243</v>
      </c>
      <c r="C146" s="2275" t="s">
        <v>244</v>
      </c>
      <c r="D146" s="2007"/>
      <c r="E146" s="2007"/>
      <c r="F146" s="2109"/>
      <c r="G146" s="2116" t="s">
        <v>244</v>
      </c>
      <c r="H146" s="2116"/>
      <c r="I146" s="2007"/>
      <c r="J146" s="2109"/>
      <c r="K146" s="2116" t="s">
        <v>244</v>
      </c>
      <c r="L146" s="2007"/>
      <c r="M146" s="2007"/>
      <c r="N146" s="2109"/>
      <c r="O146" s="2116" t="s">
        <v>244</v>
      </c>
      <c r="P146" s="2116"/>
      <c r="Q146" s="2007"/>
      <c r="R146" s="2109"/>
      <c r="S146" s="2116" t="s">
        <v>244</v>
      </c>
      <c r="T146" s="2007"/>
      <c r="U146" s="2007"/>
      <c r="V146" s="2109"/>
      <c r="W146" s="2273"/>
      <c r="X146" s="2007"/>
      <c r="Y146" s="2007"/>
      <c r="Z146" s="2109"/>
      <c r="AA146" s="2273"/>
      <c r="AB146" s="2007"/>
      <c r="AC146" s="2007"/>
      <c r="AD146" s="2007"/>
      <c r="AE146" s="2273">
        <v>0</v>
      </c>
      <c r="AF146" s="2007"/>
      <c r="AG146" s="2007"/>
      <c r="AH146" s="2007"/>
      <c r="AI146" s="2274"/>
    </row>
    <row r="147" spans="1:35" ht="18" customHeight="1" x14ac:dyDescent="0.2">
      <c r="B147" s="2276" t="s">
        <v>245</v>
      </c>
      <c r="C147" s="2277" t="s">
        <v>10</v>
      </c>
      <c r="D147" s="199"/>
      <c r="E147" s="2119"/>
      <c r="F147" s="2121"/>
      <c r="G147" s="2277" t="s">
        <v>10</v>
      </c>
      <c r="H147" s="201"/>
      <c r="I147" s="2119"/>
      <c r="J147" s="2121"/>
      <c r="K147" s="2277" t="s">
        <v>10</v>
      </c>
      <c r="L147" s="199"/>
      <c r="M147" s="2119"/>
      <c r="N147" s="2121"/>
      <c r="O147" s="2277" t="s">
        <v>10</v>
      </c>
      <c r="P147" s="2123"/>
      <c r="Q147" s="2119"/>
      <c r="R147" s="2121"/>
      <c r="S147" s="2277" t="s">
        <v>10</v>
      </c>
      <c r="T147" s="2119"/>
      <c r="U147" s="2119"/>
      <c r="V147" s="2119"/>
      <c r="W147" s="2278"/>
      <c r="X147" s="2119"/>
      <c r="Y147" s="2119"/>
      <c r="Z147" s="2279"/>
      <c r="AA147" s="2119"/>
      <c r="AB147" s="2119"/>
      <c r="AC147" s="2119"/>
      <c r="AD147" s="2119"/>
      <c r="AE147" s="2280">
        <v>37</v>
      </c>
      <c r="AF147" s="2119"/>
      <c r="AG147" s="2119"/>
      <c r="AH147" s="2119"/>
      <c r="AI147" s="2126"/>
    </row>
    <row r="148" spans="1:35" ht="18" customHeight="1" x14ac:dyDescent="0.2">
      <c r="D148" s="467"/>
    </row>
    <row r="149" spans="1:35" ht="18" customHeight="1" x14ac:dyDescent="0.2">
      <c r="A149" s="2015"/>
      <c r="B149" s="2015" t="s">
        <v>461</v>
      </c>
      <c r="C149" s="396">
        <v>1</v>
      </c>
      <c r="D149" s="395">
        <v>2</v>
      </c>
      <c r="E149" s="395">
        <v>3</v>
      </c>
      <c r="F149" s="395">
        <v>4</v>
      </c>
      <c r="G149" s="395">
        <v>5</v>
      </c>
      <c r="H149" s="395">
        <v>6</v>
      </c>
      <c r="I149" s="396">
        <v>7</v>
      </c>
      <c r="J149" s="396">
        <v>8</v>
      </c>
      <c r="K149" s="395">
        <v>9</v>
      </c>
      <c r="L149" s="395">
        <v>10</v>
      </c>
      <c r="M149" s="395">
        <v>11</v>
      </c>
      <c r="N149" s="395">
        <v>12</v>
      </c>
      <c r="O149" s="395">
        <v>13</v>
      </c>
      <c r="P149" s="396">
        <v>14</v>
      </c>
      <c r="Q149" s="396">
        <v>15</v>
      </c>
      <c r="R149" s="395">
        <v>16</v>
      </c>
      <c r="S149" s="395">
        <v>17</v>
      </c>
      <c r="T149" s="395">
        <v>18</v>
      </c>
      <c r="U149" s="395">
        <v>19</v>
      </c>
      <c r="V149" s="395">
        <v>20</v>
      </c>
      <c r="W149" s="396">
        <v>21</v>
      </c>
      <c r="X149" s="396">
        <v>22</v>
      </c>
      <c r="Y149" s="395">
        <v>23</v>
      </c>
      <c r="Z149" s="395">
        <v>24</v>
      </c>
      <c r="AA149" s="395">
        <v>25</v>
      </c>
      <c r="AB149" s="395">
        <v>26</v>
      </c>
      <c r="AC149" s="395">
        <v>27</v>
      </c>
      <c r="AD149" s="396">
        <v>28</v>
      </c>
      <c r="AE149" s="396">
        <v>29</v>
      </c>
      <c r="AF149" s="395">
        <v>30</v>
      </c>
      <c r="AG149" s="2026"/>
    </row>
    <row r="150" spans="1:35" ht="18" customHeight="1" x14ac:dyDescent="0.2">
      <c r="A150" s="2281">
        <v>1</v>
      </c>
      <c r="B150" s="2282" t="s">
        <v>246</v>
      </c>
      <c r="C150" s="2283"/>
      <c r="D150" s="2283" t="s">
        <v>172</v>
      </c>
      <c r="E150" s="2283" t="s">
        <v>172</v>
      </c>
      <c r="F150" s="2284" t="s">
        <v>172</v>
      </c>
      <c r="G150" s="2284" t="s">
        <v>172</v>
      </c>
      <c r="H150" s="2283" t="s">
        <v>172</v>
      </c>
      <c r="I150" s="2283"/>
      <c r="J150" s="2283"/>
      <c r="K150" s="2283" t="s">
        <v>142</v>
      </c>
      <c r="L150" s="2283" t="s">
        <v>142</v>
      </c>
      <c r="M150" s="2283" t="s">
        <v>142</v>
      </c>
      <c r="N150" s="2283" t="s">
        <v>142</v>
      </c>
      <c r="O150" s="2283" t="s">
        <v>142</v>
      </c>
      <c r="P150" s="2283" t="s">
        <v>143</v>
      </c>
      <c r="Q150" s="2283" t="s">
        <v>143</v>
      </c>
      <c r="R150" s="2283" t="s">
        <v>50</v>
      </c>
      <c r="S150" s="2283" t="s">
        <v>50</v>
      </c>
      <c r="T150" s="2283" t="s">
        <v>50</v>
      </c>
      <c r="U150" s="2283" t="s">
        <v>50</v>
      </c>
      <c r="V150" s="2283" t="s">
        <v>50</v>
      </c>
      <c r="W150" s="2283"/>
      <c r="X150" s="2285"/>
      <c r="Y150" s="2283" t="s">
        <v>172</v>
      </c>
      <c r="Z150" s="2283" t="s">
        <v>172</v>
      </c>
      <c r="AA150" s="2283" t="s">
        <v>172</v>
      </c>
      <c r="AB150" s="2283" t="s">
        <v>172</v>
      </c>
      <c r="AC150" s="2283" t="s">
        <v>172</v>
      </c>
      <c r="AD150" s="2283"/>
      <c r="AE150" s="2283"/>
      <c r="AF150" s="2283" t="s">
        <v>172</v>
      </c>
      <c r="AG150" s="2286"/>
    </row>
    <row r="151" spans="1:35" ht="18" customHeight="1" x14ac:dyDescent="0.2">
      <c r="A151" s="2287">
        <v>2</v>
      </c>
      <c r="B151" s="2288" t="s">
        <v>170</v>
      </c>
      <c r="C151" s="2144"/>
      <c r="D151" s="2144" t="s">
        <v>172</v>
      </c>
      <c r="E151" s="2144" t="s">
        <v>172</v>
      </c>
      <c r="F151" s="2055" t="s">
        <v>172</v>
      </c>
      <c r="G151" s="2055" t="s">
        <v>172</v>
      </c>
      <c r="H151" s="2040" t="s">
        <v>172</v>
      </c>
      <c r="I151" s="2040"/>
      <c r="J151" s="2040"/>
      <c r="K151" s="2289" t="s">
        <v>172</v>
      </c>
      <c r="L151" s="2289" t="s">
        <v>172</v>
      </c>
      <c r="M151" s="2040" t="s">
        <v>172</v>
      </c>
      <c r="N151" s="2040" t="s">
        <v>172</v>
      </c>
      <c r="O151" s="2040" t="s">
        <v>172</v>
      </c>
      <c r="P151" s="2040"/>
      <c r="Q151" s="2040"/>
      <c r="R151" s="2040" t="s">
        <v>142</v>
      </c>
      <c r="S151" s="2040" t="s">
        <v>142</v>
      </c>
      <c r="T151" s="2289" t="s">
        <v>142</v>
      </c>
      <c r="U151" s="2040" t="s">
        <v>142</v>
      </c>
      <c r="V151" s="2055" t="s">
        <v>142</v>
      </c>
      <c r="W151" s="2055" t="s">
        <v>143</v>
      </c>
      <c r="X151" s="2055" t="s">
        <v>143</v>
      </c>
      <c r="Y151" s="2055" t="s">
        <v>50</v>
      </c>
      <c r="Z151" s="2055" t="s">
        <v>50</v>
      </c>
      <c r="AA151" s="2055" t="s">
        <v>50</v>
      </c>
      <c r="AB151" s="2055" t="s">
        <v>50</v>
      </c>
      <c r="AC151" s="2048" t="s">
        <v>50</v>
      </c>
      <c r="AD151" s="2144"/>
      <c r="AE151" s="2144"/>
      <c r="AF151" s="2144" t="s">
        <v>172</v>
      </c>
      <c r="AG151" s="2043"/>
    </row>
    <row r="152" spans="1:35" ht="18" customHeight="1" x14ac:dyDescent="0.2">
      <c r="A152" s="2287">
        <v>3</v>
      </c>
      <c r="B152" s="2288" t="s">
        <v>167</v>
      </c>
      <c r="C152" s="2040" t="s">
        <v>143</v>
      </c>
      <c r="D152" s="2040" t="s">
        <v>50</v>
      </c>
      <c r="E152" s="2040" t="s">
        <v>50</v>
      </c>
      <c r="F152" s="2040" t="s">
        <v>50</v>
      </c>
      <c r="G152" s="2040" t="s">
        <v>50</v>
      </c>
      <c r="H152" s="2040" t="s">
        <v>50</v>
      </c>
      <c r="I152" s="2040"/>
      <c r="J152" s="2040"/>
      <c r="K152" s="2040" t="s">
        <v>172</v>
      </c>
      <c r="L152" s="2040" t="s">
        <v>172</v>
      </c>
      <c r="M152" s="2040" t="s">
        <v>172</v>
      </c>
      <c r="N152" s="2040" t="s">
        <v>172</v>
      </c>
      <c r="O152" s="2040" t="s">
        <v>172</v>
      </c>
      <c r="P152" s="2040"/>
      <c r="Q152" s="2040"/>
      <c r="R152" s="2040" t="s">
        <v>172</v>
      </c>
      <c r="S152" s="2040" t="s">
        <v>172</v>
      </c>
      <c r="T152" s="2040" t="s">
        <v>172</v>
      </c>
      <c r="U152" s="2040" t="s">
        <v>172</v>
      </c>
      <c r="V152" s="2040" t="s">
        <v>172</v>
      </c>
      <c r="W152" s="2040"/>
      <c r="X152" s="2040"/>
      <c r="Y152" s="2040" t="s">
        <v>142</v>
      </c>
      <c r="Z152" s="2040" t="s">
        <v>142</v>
      </c>
      <c r="AA152" s="2040" t="s">
        <v>142</v>
      </c>
      <c r="AB152" s="2040" t="s">
        <v>142</v>
      </c>
      <c r="AC152" s="2040" t="s">
        <v>142</v>
      </c>
      <c r="AD152" s="2040" t="s">
        <v>143</v>
      </c>
      <c r="AE152" s="2040" t="s">
        <v>143</v>
      </c>
      <c r="AF152" s="2040" t="s">
        <v>50</v>
      </c>
      <c r="AG152" s="2043"/>
    </row>
    <row r="153" spans="1:35" ht="18" customHeight="1" x14ac:dyDescent="0.2">
      <c r="A153" s="2290">
        <v>4</v>
      </c>
      <c r="B153" s="2291" t="s">
        <v>246</v>
      </c>
      <c r="C153" s="2185" t="s">
        <v>0</v>
      </c>
      <c r="D153" s="2185" t="s">
        <v>142</v>
      </c>
      <c r="E153" s="2185" t="s">
        <v>142</v>
      </c>
      <c r="F153" s="2185" t="s">
        <v>142</v>
      </c>
      <c r="G153" s="2150" t="s">
        <v>142</v>
      </c>
      <c r="H153" s="2150" t="s">
        <v>142</v>
      </c>
      <c r="I153" s="2150" t="s">
        <v>143</v>
      </c>
      <c r="J153" s="2150" t="s">
        <v>143</v>
      </c>
      <c r="K153" s="2185" t="s">
        <v>50</v>
      </c>
      <c r="L153" s="2185" t="s">
        <v>50</v>
      </c>
      <c r="M153" s="2150" t="s">
        <v>50</v>
      </c>
      <c r="N153" s="2185" t="s">
        <v>50</v>
      </c>
      <c r="O153" s="2150" t="s">
        <v>50</v>
      </c>
      <c r="P153" s="2150"/>
      <c r="Q153" s="2150"/>
      <c r="R153" s="2150" t="s">
        <v>172</v>
      </c>
      <c r="S153" s="2150" t="s">
        <v>172</v>
      </c>
      <c r="T153" s="2185" t="s">
        <v>172</v>
      </c>
      <c r="U153" s="2185" t="s">
        <v>172</v>
      </c>
      <c r="V153" s="2185" t="s">
        <v>172</v>
      </c>
      <c r="W153" s="2185"/>
      <c r="X153" s="2185"/>
      <c r="Y153" s="2185" t="s">
        <v>172</v>
      </c>
      <c r="Z153" s="2185" t="s">
        <v>172</v>
      </c>
      <c r="AA153" s="2185" t="s">
        <v>172</v>
      </c>
      <c r="AB153" s="2185" t="s">
        <v>172</v>
      </c>
      <c r="AC153" s="2185" t="s">
        <v>172</v>
      </c>
      <c r="AD153" s="2185" t="s">
        <v>0</v>
      </c>
      <c r="AE153" s="2185" t="s">
        <v>0</v>
      </c>
      <c r="AF153" s="2185" t="s">
        <v>142</v>
      </c>
      <c r="AG153" s="2158"/>
    </row>
    <row r="154" spans="1:35" ht="18" customHeight="1" x14ac:dyDescent="0.2">
      <c r="A154" s="129"/>
      <c r="B154" s="123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0"/>
      <c r="AB154" s="130"/>
      <c r="AC154" s="130"/>
      <c r="AD154" s="130"/>
      <c r="AE154" s="130"/>
      <c r="AF154" s="130"/>
      <c r="AG154" s="131"/>
    </row>
    <row r="155" spans="1:35" ht="18" customHeight="1" x14ac:dyDescent="0.2">
      <c r="A155" s="48"/>
      <c r="B155" s="2292" t="s">
        <v>247</v>
      </c>
      <c r="C155" s="2269"/>
      <c r="D155" s="2293" t="s">
        <v>17</v>
      </c>
      <c r="E155" s="2294"/>
      <c r="F155" s="2269"/>
      <c r="G155" s="2295" t="s">
        <v>18</v>
      </c>
      <c r="H155" s="2264"/>
      <c r="I155" s="2296"/>
      <c r="J155" s="2295" t="s">
        <v>19</v>
      </c>
      <c r="K155" s="2297"/>
      <c r="L155" s="2296"/>
      <c r="M155" s="2298" t="s">
        <v>20</v>
      </c>
      <c r="N155" s="2297"/>
      <c r="O155" s="2296"/>
      <c r="P155" s="2295" t="s">
        <v>21</v>
      </c>
      <c r="Q155" s="2299"/>
      <c r="R155" s="2296"/>
      <c r="S155" s="2295" t="s">
        <v>22</v>
      </c>
      <c r="T155" s="2300"/>
      <c r="U155" s="2296"/>
      <c r="V155" s="2295" t="s">
        <v>23</v>
      </c>
      <c r="W155" s="2299"/>
      <c r="X155" s="2301" t="s">
        <v>234</v>
      </c>
      <c r="Y155" s="2302"/>
      <c r="Z155" s="2302"/>
      <c r="AA155" s="2303"/>
      <c r="AB155" s="1860" t="s">
        <v>126</v>
      </c>
      <c r="AC155" s="1884"/>
      <c r="AD155" s="1884"/>
      <c r="AE155" s="1885"/>
      <c r="AF155" s="1885"/>
      <c r="AG155" s="1886"/>
    </row>
    <row r="156" spans="1:35" ht="18" customHeight="1" x14ac:dyDescent="0.2">
      <c r="A156" s="48"/>
      <c r="B156" s="2304" t="s">
        <v>248</v>
      </c>
      <c r="C156" s="2305" t="s">
        <v>249</v>
      </c>
      <c r="D156" s="2009"/>
      <c r="E156" s="2010"/>
      <c r="F156" s="2305" t="s">
        <v>249</v>
      </c>
      <c r="G156" s="2009"/>
      <c r="H156" s="2010"/>
      <c r="I156" s="2305" t="s">
        <v>249</v>
      </c>
      <c r="J156" s="2009"/>
      <c r="K156" s="2010"/>
      <c r="L156" s="2305" t="s">
        <v>249</v>
      </c>
      <c r="M156" s="2009"/>
      <c r="N156" s="2010"/>
      <c r="O156" s="2305" t="s">
        <v>250</v>
      </c>
      <c r="P156" s="2009"/>
      <c r="Q156" s="2010"/>
      <c r="R156" s="2305"/>
      <c r="S156" s="2009"/>
      <c r="T156" s="2010"/>
      <c r="U156" s="2305"/>
      <c r="V156" s="2009"/>
      <c r="W156" s="2010"/>
      <c r="X156" s="2305"/>
      <c r="Y156" s="2306"/>
      <c r="Z156" s="2306"/>
      <c r="AA156" s="2306"/>
      <c r="AB156" s="2006"/>
      <c r="AC156" s="2306"/>
      <c r="AD156" s="2306"/>
      <c r="AE156" s="2306"/>
      <c r="AF156" s="2306"/>
      <c r="AG156" s="2307"/>
    </row>
    <row r="157" spans="1:35" ht="18" customHeight="1" x14ac:dyDescent="0.2">
      <c r="A157" s="48"/>
      <c r="B157" s="4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</row>
    <row r="158" spans="1:35" ht="18" customHeight="1" x14ac:dyDescent="0.2">
      <c r="A158" s="2308" t="s">
        <v>43</v>
      </c>
      <c r="B158" s="2128" t="s">
        <v>448</v>
      </c>
      <c r="C158" s="396">
        <v>1</v>
      </c>
      <c r="D158" s="395">
        <v>2</v>
      </c>
      <c r="E158" s="395">
        <v>3</v>
      </c>
      <c r="F158" s="395">
        <v>4</v>
      </c>
      <c r="G158" s="395">
        <v>5</v>
      </c>
      <c r="H158" s="395">
        <v>6</v>
      </c>
      <c r="I158" s="396">
        <v>7</v>
      </c>
      <c r="J158" s="396">
        <v>8</v>
      </c>
      <c r="K158" s="395">
        <v>9</v>
      </c>
      <c r="L158" s="395">
        <v>10</v>
      </c>
      <c r="M158" s="395">
        <v>11</v>
      </c>
      <c r="N158" s="395">
        <v>12</v>
      </c>
      <c r="O158" s="395">
        <v>13</v>
      </c>
      <c r="P158" s="396">
        <v>14</v>
      </c>
      <c r="Q158" s="396">
        <v>15</v>
      </c>
      <c r="R158" s="395">
        <v>16</v>
      </c>
      <c r="S158" s="395">
        <v>17</v>
      </c>
      <c r="T158" s="395">
        <v>18</v>
      </c>
      <c r="U158" s="395">
        <v>19</v>
      </c>
      <c r="V158" s="395">
        <v>20</v>
      </c>
      <c r="W158" s="396">
        <v>21</v>
      </c>
      <c r="X158" s="396">
        <v>22</v>
      </c>
      <c r="Y158" s="395">
        <v>23</v>
      </c>
      <c r="Z158" s="395">
        <v>24</v>
      </c>
      <c r="AA158" s="395">
        <v>25</v>
      </c>
      <c r="AB158" s="395">
        <v>26</v>
      </c>
      <c r="AC158" s="395">
        <v>27</v>
      </c>
      <c r="AD158" s="396">
        <v>28</v>
      </c>
      <c r="AE158" s="396">
        <v>29</v>
      </c>
      <c r="AF158" s="395">
        <v>30</v>
      </c>
      <c r="AG158" s="2026"/>
    </row>
    <row r="159" spans="1:35" ht="18" customHeight="1" x14ac:dyDescent="0.2">
      <c r="A159" s="2309">
        <v>8520</v>
      </c>
      <c r="B159" s="2310" t="s">
        <v>251</v>
      </c>
      <c r="C159" s="1868"/>
      <c r="D159" s="1868" t="s">
        <v>252</v>
      </c>
      <c r="E159" s="1868" t="s">
        <v>252</v>
      </c>
      <c r="F159" s="1868" t="s">
        <v>252</v>
      </c>
      <c r="G159" s="1868" t="s">
        <v>252</v>
      </c>
      <c r="H159" s="1868" t="s">
        <v>252</v>
      </c>
      <c r="I159" s="1868"/>
      <c r="J159" s="1868"/>
      <c r="K159" s="1868" t="s">
        <v>252</v>
      </c>
      <c r="L159" s="1868" t="s">
        <v>252</v>
      </c>
      <c r="M159" s="1868" t="s">
        <v>252</v>
      </c>
      <c r="N159" s="1868" t="s">
        <v>252</v>
      </c>
      <c r="O159" s="1868" t="s">
        <v>252</v>
      </c>
      <c r="P159" s="1868"/>
      <c r="Q159" s="1868"/>
      <c r="R159" s="1868" t="s">
        <v>252</v>
      </c>
      <c r="S159" s="1868" t="s">
        <v>252</v>
      </c>
      <c r="T159" s="1868" t="s">
        <v>252</v>
      </c>
      <c r="U159" s="2153" t="s">
        <v>252</v>
      </c>
      <c r="V159" s="1868" t="s">
        <v>252</v>
      </c>
      <c r="W159" s="1868"/>
      <c r="X159" s="1868"/>
      <c r="Y159" s="1868" t="s">
        <v>252</v>
      </c>
      <c r="Z159" s="1868" t="s">
        <v>252</v>
      </c>
      <c r="AA159" s="1868" t="s">
        <v>252</v>
      </c>
      <c r="AB159" s="1868" t="s">
        <v>252</v>
      </c>
      <c r="AC159" s="2311" t="s">
        <v>252</v>
      </c>
      <c r="AD159" s="1868"/>
      <c r="AE159" s="1868"/>
      <c r="AF159" s="1868" t="s">
        <v>252</v>
      </c>
      <c r="AG159" s="1871"/>
    </row>
    <row r="160" spans="1:35" ht="18" customHeight="1" x14ac:dyDescent="0.2"/>
    <row r="161" spans="1:35" ht="18" customHeight="1" x14ac:dyDescent="0.2"/>
    <row r="162" spans="1:35" ht="18" customHeight="1" x14ac:dyDescent="0.2">
      <c r="A162" s="107" t="s">
        <v>254</v>
      </c>
      <c r="B162" s="108"/>
      <c r="C162" s="108"/>
      <c r="D162" s="109"/>
      <c r="E162" s="109"/>
      <c r="F162" s="109"/>
      <c r="G162" s="65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8"/>
      <c r="AI162" s="108"/>
    </row>
    <row r="163" spans="1:35" ht="18" customHeight="1" x14ac:dyDescent="0.2">
      <c r="A163" s="107"/>
      <c r="B163" s="2292" t="s">
        <v>255</v>
      </c>
      <c r="C163" s="2312"/>
      <c r="D163" s="2313" t="s">
        <v>17</v>
      </c>
      <c r="E163" s="2314"/>
      <c r="F163" s="2315"/>
      <c r="G163" s="2312"/>
      <c r="H163" s="2313" t="s">
        <v>18</v>
      </c>
      <c r="I163" s="2314"/>
      <c r="J163" s="2315"/>
      <c r="K163" s="2312"/>
      <c r="L163" s="2313" t="s">
        <v>19</v>
      </c>
      <c r="M163" s="2314"/>
      <c r="N163" s="2315"/>
      <c r="O163" s="2312"/>
      <c r="P163" s="2313" t="s">
        <v>20</v>
      </c>
      <c r="Q163" s="2314"/>
      <c r="R163" s="2315"/>
      <c r="S163" s="2312"/>
      <c r="T163" s="2313" t="s">
        <v>21</v>
      </c>
      <c r="U163" s="2314"/>
      <c r="V163" s="2315"/>
      <c r="W163" s="2312"/>
      <c r="X163" s="2313" t="s">
        <v>22</v>
      </c>
      <c r="Y163" s="2314"/>
      <c r="Z163" s="2315"/>
      <c r="AA163" s="2312"/>
      <c r="AB163" s="2313" t="s">
        <v>23</v>
      </c>
      <c r="AC163" s="2314"/>
      <c r="AD163" s="2314"/>
      <c r="AE163" s="2316" t="s">
        <v>126</v>
      </c>
      <c r="AF163" s="2314"/>
      <c r="AG163" s="2314"/>
      <c r="AH163" s="2314"/>
      <c r="AI163" s="2317"/>
    </row>
    <row r="164" spans="1:35" ht="18" customHeight="1" x14ac:dyDescent="0.2">
      <c r="A164" s="107"/>
      <c r="B164" s="2318" t="s">
        <v>235</v>
      </c>
      <c r="C164" s="2319">
        <v>69</v>
      </c>
      <c r="D164" s="2320" t="s">
        <v>256</v>
      </c>
      <c r="E164" s="2320"/>
      <c r="F164" s="2321"/>
      <c r="G164" s="2319">
        <v>69</v>
      </c>
      <c r="H164" s="2320" t="s">
        <v>256</v>
      </c>
      <c r="I164" s="2320"/>
      <c r="J164" s="2321"/>
      <c r="K164" s="2319">
        <v>69</v>
      </c>
      <c r="L164" s="2320" t="s">
        <v>256</v>
      </c>
      <c r="M164" s="2320"/>
      <c r="N164" s="2321"/>
      <c r="O164" s="2319">
        <v>69</v>
      </c>
      <c r="P164" s="2320" t="s">
        <v>256</v>
      </c>
      <c r="Q164" s="2320"/>
      <c r="R164" s="2321"/>
      <c r="S164" s="2319">
        <v>69</v>
      </c>
      <c r="T164" s="2320" t="s">
        <v>256</v>
      </c>
      <c r="U164" s="2320"/>
      <c r="V164" s="2321"/>
      <c r="W164" s="2319"/>
      <c r="X164" s="2322"/>
      <c r="Y164" s="2322"/>
      <c r="Z164" s="2323"/>
      <c r="AA164" s="2319"/>
      <c r="AB164" s="2320"/>
      <c r="AC164" s="2320"/>
      <c r="AD164" s="2169"/>
      <c r="AE164" s="2324">
        <v>35</v>
      </c>
      <c r="AF164" s="2320"/>
      <c r="AG164" s="2320"/>
      <c r="AH164" s="2169"/>
      <c r="AI164" s="2325"/>
    </row>
    <row r="165" spans="1:35" ht="18" customHeight="1" x14ac:dyDescent="0.2">
      <c r="A165" s="107"/>
      <c r="B165" s="2318" t="s">
        <v>236</v>
      </c>
      <c r="C165" s="2319">
        <v>79</v>
      </c>
      <c r="D165" s="2320" t="s">
        <v>257</v>
      </c>
      <c r="E165" s="2320"/>
      <c r="F165" s="2321"/>
      <c r="G165" s="2319">
        <v>79</v>
      </c>
      <c r="H165" s="2320" t="s">
        <v>257</v>
      </c>
      <c r="I165" s="2320"/>
      <c r="J165" s="2321"/>
      <c r="K165" s="2319">
        <v>79</v>
      </c>
      <c r="L165" s="2320" t="s">
        <v>257</v>
      </c>
      <c r="M165" s="2320"/>
      <c r="N165" s="2321"/>
      <c r="O165" s="2319">
        <v>79</v>
      </c>
      <c r="P165" s="2320" t="s">
        <v>257</v>
      </c>
      <c r="Q165" s="2320"/>
      <c r="R165" s="2321"/>
      <c r="S165" s="2319">
        <v>79</v>
      </c>
      <c r="T165" s="2320" t="s">
        <v>257</v>
      </c>
      <c r="U165" s="2320"/>
      <c r="V165" s="2321"/>
      <c r="W165" s="2319"/>
      <c r="X165" s="2320"/>
      <c r="Y165" s="2320"/>
      <c r="Z165" s="2321"/>
      <c r="AA165" s="2320"/>
      <c r="AB165" s="2320"/>
      <c r="AC165" s="2320"/>
      <c r="AD165" s="2169"/>
      <c r="AE165" s="2324">
        <v>40</v>
      </c>
      <c r="AF165" s="2320"/>
      <c r="AG165" s="2320"/>
      <c r="AH165" s="2169"/>
      <c r="AI165" s="2325"/>
    </row>
    <row r="166" spans="1:35" ht="18" customHeight="1" x14ac:dyDescent="0.2">
      <c r="A166" s="107"/>
      <c r="B166" s="2318" t="s">
        <v>243</v>
      </c>
      <c r="C166" s="2319">
        <v>89</v>
      </c>
      <c r="D166" s="2320" t="s">
        <v>258</v>
      </c>
      <c r="E166" s="2320"/>
      <c r="F166" s="2321"/>
      <c r="G166" s="2319">
        <v>89</v>
      </c>
      <c r="H166" s="2320" t="s">
        <v>258</v>
      </c>
      <c r="I166" s="2320"/>
      <c r="J166" s="2321"/>
      <c r="K166" s="2319">
        <v>89</v>
      </c>
      <c r="L166" s="2320" t="s">
        <v>258</v>
      </c>
      <c r="M166" s="2320"/>
      <c r="N166" s="2321"/>
      <c r="O166" s="2319">
        <v>89</v>
      </c>
      <c r="P166" s="2320" t="s">
        <v>258</v>
      </c>
      <c r="Q166" s="2320"/>
      <c r="R166" s="2321"/>
      <c r="S166" s="2319">
        <v>89</v>
      </c>
      <c r="T166" s="2320" t="s">
        <v>259</v>
      </c>
      <c r="U166" s="2320"/>
      <c r="V166" s="2321"/>
      <c r="W166" s="2326"/>
      <c r="X166" s="2327" t="s">
        <v>260</v>
      </c>
      <c r="Y166" s="2327"/>
      <c r="Z166" s="2328"/>
      <c r="AA166" s="2326"/>
      <c r="AB166" s="2327"/>
      <c r="AC166" s="2327"/>
      <c r="AD166" s="2171"/>
      <c r="AE166" s="2324">
        <v>44</v>
      </c>
      <c r="AF166" s="2320"/>
      <c r="AG166" s="2320"/>
      <c r="AH166" s="2169"/>
      <c r="AI166" s="2325"/>
    </row>
    <row r="167" spans="1:35" ht="18" customHeight="1" x14ac:dyDescent="0.2">
      <c r="A167" s="107"/>
      <c r="B167" s="19" t="s">
        <v>245</v>
      </c>
      <c r="C167" s="2326">
        <v>99</v>
      </c>
      <c r="D167" s="2327" t="s">
        <v>261</v>
      </c>
      <c r="E167" s="2327"/>
      <c r="F167" s="2328"/>
      <c r="G167" s="2326">
        <v>99</v>
      </c>
      <c r="H167" s="2327" t="s">
        <v>261</v>
      </c>
      <c r="I167" s="2327"/>
      <c r="J167" s="2328"/>
      <c r="K167" s="2326">
        <v>99</v>
      </c>
      <c r="L167" s="2327" t="s">
        <v>261</v>
      </c>
      <c r="M167" s="2327"/>
      <c r="N167" s="2328"/>
      <c r="O167" s="2326">
        <v>99</v>
      </c>
      <c r="P167" s="2327" t="s">
        <v>261</v>
      </c>
      <c r="Q167" s="2327"/>
      <c r="R167" s="2328"/>
      <c r="S167" s="2326">
        <v>99</v>
      </c>
      <c r="T167" s="2327" t="s">
        <v>244</v>
      </c>
      <c r="U167" s="2327"/>
      <c r="V167" s="2171"/>
      <c r="W167" s="2170"/>
      <c r="X167" s="2171"/>
      <c r="Y167" s="2327"/>
      <c r="Z167" s="2328"/>
      <c r="AA167" s="2170"/>
      <c r="AB167" s="2171"/>
      <c r="AC167" s="2327"/>
      <c r="AD167" s="2328"/>
      <c r="AE167" s="2329">
        <v>28</v>
      </c>
      <c r="AF167" s="2327"/>
      <c r="AG167" s="2327"/>
      <c r="AH167" s="2171"/>
      <c r="AI167" s="2330"/>
    </row>
    <row r="168" spans="1:35" ht="18" customHeight="1" thickBot="1" x14ac:dyDescent="0.25">
      <c r="A168" s="107"/>
      <c r="B168" s="2331" t="s">
        <v>262</v>
      </c>
      <c r="C168" s="2332" t="s">
        <v>77</v>
      </c>
      <c r="D168" s="2333" t="s">
        <v>263</v>
      </c>
      <c r="E168" s="2334"/>
      <c r="F168" s="2121"/>
      <c r="G168" s="2332" t="s">
        <v>77</v>
      </c>
      <c r="H168" s="2333" t="s">
        <v>263</v>
      </c>
      <c r="I168" s="2119"/>
      <c r="J168" s="2334"/>
      <c r="K168" s="2332" t="s">
        <v>77</v>
      </c>
      <c r="L168" s="2333" t="s">
        <v>263</v>
      </c>
      <c r="M168" s="2334"/>
      <c r="N168" s="2335"/>
      <c r="O168" s="2332" t="s">
        <v>77</v>
      </c>
      <c r="P168" s="2333" t="s">
        <v>263</v>
      </c>
      <c r="Q168" s="2334"/>
      <c r="R168" s="2333"/>
      <c r="S168" s="2332" t="s">
        <v>77</v>
      </c>
      <c r="T168" s="2123" t="s">
        <v>264</v>
      </c>
      <c r="U168" s="2333"/>
      <c r="V168" s="2335"/>
      <c r="W168" s="2334"/>
      <c r="X168" s="2333"/>
      <c r="Y168" s="2333"/>
      <c r="Z168" s="2333"/>
      <c r="AA168" s="2336"/>
      <c r="AB168" s="2337"/>
      <c r="AC168" s="2333"/>
      <c r="AD168" s="2338"/>
      <c r="AE168" s="2333"/>
      <c r="AF168" s="2333"/>
      <c r="AG168" s="2333"/>
      <c r="AH168" s="2339"/>
      <c r="AI168" s="2340"/>
    </row>
    <row r="169" spans="1:35" ht="18" customHeight="1" x14ac:dyDescent="0.2">
      <c r="A169" s="68"/>
      <c r="B169" s="107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</row>
    <row r="170" spans="1:35" ht="18" customHeight="1" x14ac:dyDescent="0.2">
      <c r="A170" s="2308"/>
      <c r="B170" s="2128" t="s">
        <v>448</v>
      </c>
      <c r="C170" s="396">
        <v>1</v>
      </c>
      <c r="D170" s="395">
        <v>2</v>
      </c>
      <c r="E170" s="395">
        <v>3</v>
      </c>
      <c r="F170" s="395">
        <v>4</v>
      </c>
      <c r="G170" s="395">
        <v>5</v>
      </c>
      <c r="H170" s="395">
        <v>6</v>
      </c>
      <c r="I170" s="396">
        <v>7</v>
      </c>
      <c r="J170" s="396">
        <v>8</v>
      </c>
      <c r="K170" s="395">
        <v>9</v>
      </c>
      <c r="L170" s="395">
        <v>10</v>
      </c>
      <c r="M170" s="395">
        <v>11</v>
      </c>
      <c r="N170" s="395">
        <v>12</v>
      </c>
      <c r="O170" s="395">
        <v>13</v>
      </c>
      <c r="P170" s="396">
        <v>14</v>
      </c>
      <c r="Q170" s="396">
        <v>15</v>
      </c>
      <c r="R170" s="395">
        <v>16</v>
      </c>
      <c r="S170" s="395">
        <v>17</v>
      </c>
      <c r="T170" s="395">
        <v>18</v>
      </c>
      <c r="U170" s="395">
        <v>19</v>
      </c>
      <c r="V170" s="395">
        <v>20</v>
      </c>
      <c r="W170" s="396">
        <v>21</v>
      </c>
      <c r="X170" s="396">
        <v>22</v>
      </c>
      <c r="Y170" s="395">
        <v>23</v>
      </c>
      <c r="Z170" s="395">
        <v>24</v>
      </c>
      <c r="AA170" s="395">
        <v>25</v>
      </c>
      <c r="AB170" s="395">
        <v>26</v>
      </c>
      <c r="AC170" s="395">
        <v>27</v>
      </c>
      <c r="AD170" s="396">
        <v>28</v>
      </c>
      <c r="AE170" s="396">
        <v>29</v>
      </c>
      <c r="AF170" s="395">
        <v>30</v>
      </c>
      <c r="AG170" s="2026"/>
    </row>
    <row r="171" spans="1:35" ht="18" customHeight="1" thickBot="1" x14ac:dyDescent="0.25">
      <c r="A171" s="2281">
        <v>1</v>
      </c>
      <c r="B171" s="2341" t="s">
        <v>265</v>
      </c>
      <c r="C171" s="2342"/>
      <c r="D171" s="2342">
        <v>79</v>
      </c>
      <c r="E171" s="2342">
        <v>79</v>
      </c>
      <c r="F171" s="2342">
        <v>79</v>
      </c>
      <c r="G171" s="2342">
        <v>79</v>
      </c>
      <c r="H171" s="2342">
        <v>79</v>
      </c>
      <c r="I171" s="2343"/>
      <c r="J171" s="2343"/>
      <c r="K171" s="2344">
        <v>89</v>
      </c>
      <c r="L171" s="2343">
        <v>89</v>
      </c>
      <c r="M171" s="2283">
        <v>89</v>
      </c>
      <c r="N171" s="2344">
        <v>89</v>
      </c>
      <c r="O171" s="2345" t="s">
        <v>80</v>
      </c>
      <c r="P171" s="2344">
        <v>89</v>
      </c>
      <c r="Q171" s="2344"/>
      <c r="R171" s="2344">
        <v>99</v>
      </c>
      <c r="S171" s="2283">
        <v>99</v>
      </c>
      <c r="T171" s="2283">
        <v>99</v>
      </c>
      <c r="U171" s="2346">
        <v>99</v>
      </c>
      <c r="V171" s="2344" t="s">
        <v>50</v>
      </c>
      <c r="W171" s="2344"/>
      <c r="X171" s="2344"/>
      <c r="Y171" s="2347" t="s">
        <v>77</v>
      </c>
      <c r="Z171" s="2311" t="s">
        <v>77</v>
      </c>
      <c r="AA171" s="2343" t="s">
        <v>77</v>
      </c>
      <c r="AB171" s="2344" t="s">
        <v>77</v>
      </c>
      <c r="AC171" s="2344" t="s">
        <v>77</v>
      </c>
      <c r="AD171" s="2344"/>
      <c r="AE171" s="2344"/>
      <c r="AF171" s="2348">
        <v>69</v>
      </c>
      <c r="AG171" s="2349"/>
    </row>
    <row r="172" spans="1:35" ht="18" customHeight="1" thickBot="1" x14ac:dyDescent="0.25">
      <c r="A172" s="2287">
        <v>2</v>
      </c>
      <c r="B172" s="2350" t="s">
        <v>266</v>
      </c>
      <c r="C172" s="2047"/>
      <c r="D172" s="2040">
        <v>89</v>
      </c>
      <c r="E172" s="2047">
        <v>89</v>
      </c>
      <c r="F172" s="2132">
        <v>89</v>
      </c>
      <c r="G172" s="2132">
        <v>89</v>
      </c>
      <c r="H172" s="2132" t="s">
        <v>268</v>
      </c>
      <c r="I172" s="2100">
        <v>89</v>
      </c>
      <c r="J172" s="2144"/>
      <c r="K172" s="2144">
        <v>99</v>
      </c>
      <c r="L172" s="2040">
        <v>99</v>
      </c>
      <c r="M172" s="2040">
        <v>99</v>
      </c>
      <c r="N172" s="2057">
        <v>99</v>
      </c>
      <c r="O172" s="2144" t="s">
        <v>50</v>
      </c>
      <c r="P172" s="2144"/>
      <c r="Q172" s="2144"/>
      <c r="R172" s="2045" t="s">
        <v>77</v>
      </c>
      <c r="S172" s="2144" t="s">
        <v>77</v>
      </c>
      <c r="T172" s="2040" t="s">
        <v>77</v>
      </c>
      <c r="U172" s="2346" t="s">
        <v>77</v>
      </c>
      <c r="V172" s="2144" t="s">
        <v>77</v>
      </c>
      <c r="W172" s="2144"/>
      <c r="X172" s="2144"/>
      <c r="Y172" s="2144">
        <v>69</v>
      </c>
      <c r="Z172" s="2057">
        <v>69</v>
      </c>
      <c r="AA172" s="2040">
        <v>69</v>
      </c>
      <c r="AB172" s="2045">
        <v>69</v>
      </c>
      <c r="AC172" s="2055">
        <v>69</v>
      </c>
      <c r="AD172" s="2055"/>
      <c r="AE172" s="2055"/>
      <c r="AF172" s="2348">
        <v>79</v>
      </c>
      <c r="AG172" s="2191"/>
    </row>
    <row r="173" spans="1:35" ht="18" customHeight="1" thickBot="1" x14ac:dyDescent="0.25">
      <c r="A173" s="2287">
        <v>3</v>
      </c>
      <c r="B173" s="2350" t="s">
        <v>267</v>
      </c>
      <c r="C173" s="2071"/>
      <c r="D173" s="2071">
        <v>99</v>
      </c>
      <c r="E173" s="2071">
        <v>99</v>
      </c>
      <c r="F173" s="2071">
        <v>99</v>
      </c>
      <c r="G173" s="2071">
        <v>99</v>
      </c>
      <c r="H173" s="2071" t="s">
        <v>50</v>
      </c>
      <c r="I173" s="2071"/>
      <c r="J173" s="2071"/>
      <c r="K173" s="2351" t="s">
        <v>77</v>
      </c>
      <c r="L173" s="2351" t="s">
        <v>77</v>
      </c>
      <c r="M173" s="2351" t="s">
        <v>77</v>
      </c>
      <c r="N173" s="2144" t="s">
        <v>77</v>
      </c>
      <c r="O173" s="2057" t="s">
        <v>77</v>
      </c>
      <c r="P173" s="2238"/>
      <c r="Q173" s="2055"/>
      <c r="R173" s="2055">
        <v>69</v>
      </c>
      <c r="S173" s="2055">
        <v>69</v>
      </c>
      <c r="T173" s="2055">
        <v>69</v>
      </c>
      <c r="U173" s="2346">
        <v>69</v>
      </c>
      <c r="V173" s="2050">
        <v>69</v>
      </c>
      <c r="W173" s="2050"/>
      <c r="X173" s="2050"/>
      <c r="Y173" s="2057">
        <v>79</v>
      </c>
      <c r="Z173" s="2351">
        <v>79</v>
      </c>
      <c r="AA173" s="2100">
        <v>79</v>
      </c>
      <c r="AB173" s="2195">
        <v>79</v>
      </c>
      <c r="AC173" s="2195">
        <v>79</v>
      </c>
      <c r="AD173" s="2351"/>
      <c r="AE173" s="2351"/>
      <c r="AF173" s="2352">
        <v>89</v>
      </c>
      <c r="AG173" s="2353"/>
    </row>
    <row r="174" spans="1:35" ht="18" customHeight="1" thickBot="1" x14ac:dyDescent="0.25">
      <c r="A174" s="2287">
        <v>4</v>
      </c>
      <c r="B174" s="2350" t="s">
        <v>269</v>
      </c>
      <c r="C174" s="2040"/>
      <c r="D174" s="2040" t="s">
        <v>77</v>
      </c>
      <c r="E174" s="2040" t="s">
        <v>77</v>
      </c>
      <c r="F174" s="2040" t="s">
        <v>77</v>
      </c>
      <c r="G174" s="2077" t="s">
        <v>152</v>
      </c>
      <c r="H174" s="2040" t="s">
        <v>152</v>
      </c>
      <c r="I174" s="2100"/>
      <c r="J174" s="2040"/>
      <c r="K174" s="2057">
        <v>69</v>
      </c>
      <c r="L174" s="2040">
        <v>69</v>
      </c>
      <c r="M174" s="2040">
        <v>69</v>
      </c>
      <c r="N174" s="2144">
        <v>69</v>
      </c>
      <c r="O174" s="2040">
        <v>69</v>
      </c>
      <c r="P174" s="2040"/>
      <c r="Q174" s="2238"/>
      <c r="R174" s="2238">
        <v>79</v>
      </c>
      <c r="S174" s="2131">
        <v>79</v>
      </c>
      <c r="T174" s="2131">
        <v>79</v>
      </c>
      <c r="U174" s="2346">
        <v>79</v>
      </c>
      <c r="V174" s="2131">
        <v>79</v>
      </c>
      <c r="W174" s="2040"/>
      <c r="X174" s="2040"/>
      <c r="Y174" s="2238">
        <v>89</v>
      </c>
      <c r="Z174" s="2057">
        <v>89</v>
      </c>
      <c r="AA174" s="2040">
        <v>89</v>
      </c>
      <c r="AB174" s="2040">
        <v>89</v>
      </c>
      <c r="AC174" s="2040">
        <v>89</v>
      </c>
      <c r="AD174" s="2040">
        <v>89</v>
      </c>
      <c r="AE174" s="2040"/>
      <c r="AF174" s="2348">
        <v>99</v>
      </c>
      <c r="AG174" s="2191"/>
    </row>
    <row r="175" spans="1:35" ht="18" customHeight="1" thickBot="1" x14ac:dyDescent="0.25">
      <c r="A175" s="2290">
        <v>5</v>
      </c>
      <c r="B175" s="2145" t="s">
        <v>270</v>
      </c>
      <c r="C175" s="2242"/>
      <c r="D175" s="2151">
        <v>69</v>
      </c>
      <c r="E175" s="2131">
        <v>69</v>
      </c>
      <c r="F175" s="2139">
        <v>69</v>
      </c>
      <c r="G175" s="2139">
        <v>69</v>
      </c>
      <c r="H175" s="2131">
        <v>69</v>
      </c>
      <c r="I175" s="2135"/>
      <c r="J175" s="2135"/>
      <c r="K175" s="2057">
        <v>79</v>
      </c>
      <c r="L175" s="2150">
        <v>79</v>
      </c>
      <c r="M175" s="2150">
        <v>79</v>
      </c>
      <c r="N175" s="2135">
        <v>79</v>
      </c>
      <c r="O175" s="2242">
        <v>79</v>
      </c>
      <c r="P175" s="2242"/>
      <c r="Q175" s="2242"/>
      <c r="R175" s="2075">
        <v>89</v>
      </c>
      <c r="S175" s="2150">
        <v>89</v>
      </c>
      <c r="T175" s="2354">
        <v>89</v>
      </c>
      <c r="U175" s="2346">
        <v>89</v>
      </c>
      <c r="V175" s="2242">
        <v>89</v>
      </c>
      <c r="W175" s="2242">
        <v>89</v>
      </c>
      <c r="X175" s="2242"/>
      <c r="Y175" s="2138">
        <v>99</v>
      </c>
      <c r="Z175" s="2242">
        <v>99</v>
      </c>
      <c r="AA175" s="2141">
        <v>99</v>
      </c>
      <c r="AB175" s="2242">
        <v>99</v>
      </c>
      <c r="AC175" s="2150" t="s">
        <v>50</v>
      </c>
      <c r="AD175" s="2150"/>
      <c r="AE175" s="2150"/>
      <c r="AF175" s="2150" t="s">
        <v>77</v>
      </c>
      <c r="AG175" s="2355"/>
    </row>
    <row r="176" spans="1:35" ht="18" customHeight="1" x14ac:dyDescent="0.2">
      <c r="A176" s="129"/>
    </row>
    <row r="177" spans="1:35" ht="18" customHeight="1" x14ac:dyDescent="0.2">
      <c r="A177" s="69"/>
    </row>
    <row r="178" spans="1:35" ht="18" customHeight="1" x14ac:dyDescent="0.2">
      <c r="A178" s="107" t="s">
        <v>271</v>
      </c>
    </row>
    <row r="179" spans="1:35" ht="18" customHeight="1" x14ac:dyDescent="0.2">
      <c r="A179" s="107"/>
      <c r="B179" s="2292" t="s">
        <v>255</v>
      </c>
      <c r="C179" s="2312"/>
      <c r="D179" s="2313" t="s">
        <v>17</v>
      </c>
      <c r="E179" s="2314"/>
      <c r="F179" s="2315"/>
      <c r="G179" s="2312"/>
      <c r="H179" s="2313" t="s">
        <v>18</v>
      </c>
      <c r="I179" s="2314"/>
      <c r="J179" s="2315"/>
      <c r="K179" s="2312"/>
      <c r="L179" s="2313" t="s">
        <v>19</v>
      </c>
      <c r="M179" s="2314"/>
      <c r="N179" s="2315"/>
      <c r="O179" s="2312"/>
      <c r="P179" s="2313" t="s">
        <v>20</v>
      </c>
      <c r="Q179" s="2314"/>
      <c r="R179" s="2315"/>
      <c r="S179" s="2312"/>
      <c r="T179" s="2313" t="s">
        <v>21</v>
      </c>
      <c r="U179" s="2314"/>
      <c r="V179" s="2315"/>
      <c r="W179" s="2312"/>
      <c r="X179" s="2313" t="s">
        <v>22</v>
      </c>
      <c r="Y179" s="2314"/>
      <c r="Z179" s="2315"/>
      <c r="AA179" s="2312"/>
      <c r="AB179" s="2313" t="s">
        <v>23</v>
      </c>
      <c r="AC179" s="2314"/>
      <c r="AD179" s="2314"/>
      <c r="AE179" s="2316" t="s">
        <v>126</v>
      </c>
      <c r="AF179" s="2314"/>
      <c r="AG179" s="2314"/>
      <c r="AH179" s="2314"/>
      <c r="AI179" s="2317"/>
    </row>
    <row r="180" spans="1:35" ht="18" customHeight="1" x14ac:dyDescent="0.2">
      <c r="A180" s="107"/>
      <c r="B180" s="2318" t="s">
        <v>272</v>
      </c>
      <c r="C180" s="2168" t="s">
        <v>273</v>
      </c>
      <c r="D180" s="2320"/>
      <c r="E180" s="2320"/>
      <c r="F180" s="2321"/>
      <c r="G180" s="2168" t="s">
        <v>273</v>
      </c>
      <c r="H180" s="2320"/>
      <c r="I180" s="2320"/>
      <c r="J180" s="2321"/>
      <c r="K180" s="2168" t="s">
        <v>273</v>
      </c>
      <c r="L180" s="2320"/>
      <c r="M180" s="2320"/>
      <c r="N180" s="2321"/>
      <c r="O180" s="2168" t="s">
        <v>274</v>
      </c>
      <c r="P180" s="2320"/>
      <c r="Q180" s="2320"/>
      <c r="R180" s="2321"/>
      <c r="S180" s="2168" t="s">
        <v>275</v>
      </c>
      <c r="T180" s="2320"/>
      <c r="U180" s="2320"/>
      <c r="V180" s="2321"/>
      <c r="W180" s="2168" t="s">
        <v>276</v>
      </c>
      <c r="X180" s="2322"/>
      <c r="Y180" s="2322"/>
      <c r="Z180" s="2323"/>
      <c r="AA180" s="2168" t="s">
        <v>276</v>
      </c>
      <c r="AB180" s="2320"/>
      <c r="AC180" s="2320"/>
      <c r="AD180" s="2169"/>
      <c r="AE180" s="2324">
        <v>68</v>
      </c>
      <c r="AF180" s="948"/>
      <c r="AG180" s="948"/>
      <c r="AH180" s="948"/>
      <c r="AI180" s="949"/>
    </row>
    <row r="181" spans="1:35" ht="18" customHeight="1" x14ac:dyDescent="0.2">
      <c r="A181" s="107"/>
      <c r="B181" s="2318"/>
      <c r="C181" s="2168" t="s">
        <v>244</v>
      </c>
      <c r="D181" s="2320"/>
      <c r="E181" s="2320"/>
      <c r="F181" s="2321"/>
      <c r="G181" s="2168" t="s">
        <v>244</v>
      </c>
      <c r="H181" s="2320"/>
      <c r="I181" s="2320"/>
      <c r="J181" s="2321"/>
      <c r="K181" s="2168" t="s">
        <v>244</v>
      </c>
      <c r="L181" s="2320"/>
      <c r="M181" s="2320"/>
      <c r="N181" s="2321"/>
      <c r="O181" s="2168" t="s">
        <v>244</v>
      </c>
      <c r="P181" s="2320"/>
      <c r="Q181" s="2320"/>
      <c r="R181" s="2321"/>
      <c r="S181" s="2168" t="s">
        <v>244</v>
      </c>
      <c r="T181" s="2320"/>
      <c r="U181" s="2320"/>
      <c r="V181" s="2321"/>
      <c r="W181" s="2168" t="s">
        <v>244</v>
      </c>
      <c r="X181" s="2320"/>
      <c r="Y181" s="2320"/>
      <c r="Z181" s="2321"/>
      <c r="AA181" s="2320" t="s">
        <v>244</v>
      </c>
      <c r="AB181" s="2320"/>
      <c r="AC181" s="2320"/>
      <c r="AD181" s="2169"/>
      <c r="AE181" s="2324">
        <v>0</v>
      </c>
      <c r="AF181" s="948"/>
      <c r="AG181" s="948"/>
      <c r="AH181" s="948"/>
      <c r="AI181" s="949"/>
    </row>
    <row r="182" spans="1:35" ht="18" customHeight="1" x14ac:dyDescent="0.2">
      <c r="A182" s="107"/>
      <c r="B182" s="2318" t="s">
        <v>277</v>
      </c>
      <c r="C182" s="2168" t="s">
        <v>274</v>
      </c>
      <c r="D182" s="2320"/>
      <c r="E182" s="2320"/>
      <c r="F182" s="2321"/>
      <c r="G182" s="2168" t="s">
        <v>274</v>
      </c>
      <c r="H182" s="2320"/>
      <c r="I182" s="2320"/>
      <c r="J182" s="2321"/>
      <c r="K182" s="2168" t="s">
        <v>274</v>
      </c>
      <c r="L182" s="2320"/>
      <c r="M182" s="2320"/>
      <c r="N182" s="2321"/>
      <c r="O182" s="2168" t="s">
        <v>273</v>
      </c>
      <c r="P182" s="2320"/>
      <c r="Q182" s="2320"/>
      <c r="R182" s="2321"/>
      <c r="S182" s="2168" t="s">
        <v>273</v>
      </c>
      <c r="T182" s="2320"/>
      <c r="U182" s="2320"/>
      <c r="V182" s="2321"/>
      <c r="W182" s="2168" t="s">
        <v>275</v>
      </c>
      <c r="X182" s="2322"/>
      <c r="Y182" s="2322"/>
      <c r="Z182" s="2323"/>
      <c r="AA182" s="2168" t="s">
        <v>275</v>
      </c>
      <c r="AB182" s="2320"/>
      <c r="AC182" s="2320"/>
      <c r="AD182" s="2169"/>
      <c r="AE182" s="2324">
        <v>68</v>
      </c>
      <c r="AF182" s="2320"/>
      <c r="AG182" s="2320" t="s">
        <v>0</v>
      </c>
      <c r="AH182" s="2169"/>
      <c r="AI182" s="2325"/>
    </row>
    <row r="183" spans="1:35" ht="18" customHeight="1" x14ac:dyDescent="0.2">
      <c r="A183" s="107"/>
      <c r="B183" s="2318"/>
      <c r="C183" s="2168" t="s">
        <v>244</v>
      </c>
      <c r="D183" s="2320"/>
      <c r="E183" s="2320"/>
      <c r="F183" s="2321"/>
      <c r="G183" s="2168" t="s">
        <v>244</v>
      </c>
      <c r="H183" s="2320"/>
      <c r="I183" s="2320"/>
      <c r="J183" s="2321"/>
      <c r="K183" s="2168" t="s">
        <v>244</v>
      </c>
      <c r="L183" s="2320"/>
      <c r="M183" s="2320"/>
      <c r="N183" s="2321"/>
      <c r="O183" s="2168" t="s">
        <v>244</v>
      </c>
      <c r="P183" s="2320"/>
      <c r="Q183" s="2320"/>
      <c r="R183" s="2321"/>
      <c r="S183" s="2168" t="s">
        <v>244</v>
      </c>
      <c r="T183" s="2320"/>
      <c r="U183" s="2320"/>
      <c r="V183" s="2321"/>
      <c r="W183" s="2168" t="s">
        <v>244</v>
      </c>
      <c r="X183" s="2320"/>
      <c r="Y183" s="2320"/>
      <c r="Z183" s="2321"/>
      <c r="AA183" s="2320" t="s">
        <v>244</v>
      </c>
      <c r="AB183" s="2320"/>
      <c r="AC183" s="2320"/>
      <c r="AD183" s="2169"/>
      <c r="AE183" s="2324">
        <v>0</v>
      </c>
      <c r="AF183" s="2320"/>
      <c r="AG183" s="2320"/>
      <c r="AH183" s="2169"/>
      <c r="AI183" s="2325"/>
    </row>
    <row r="184" spans="1:35" ht="18" customHeight="1" x14ac:dyDescent="0.2">
      <c r="A184" s="107"/>
      <c r="B184" s="2318" t="s">
        <v>278</v>
      </c>
      <c r="C184" s="2168" t="s">
        <v>273</v>
      </c>
      <c r="D184" s="2320"/>
      <c r="E184" s="2320"/>
      <c r="F184" s="2321"/>
      <c r="G184" s="2168" t="s">
        <v>273</v>
      </c>
      <c r="H184" s="2320"/>
      <c r="I184" s="2320"/>
      <c r="J184" s="2321"/>
      <c r="K184" s="2168" t="s">
        <v>273</v>
      </c>
      <c r="L184" s="2320"/>
      <c r="M184" s="2320"/>
      <c r="N184" s="2321"/>
      <c r="O184" s="2168" t="s">
        <v>273</v>
      </c>
      <c r="P184" s="2320"/>
      <c r="Q184" s="2320"/>
      <c r="R184" s="2321"/>
      <c r="S184" s="2168" t="s">
        <v>273</v>
      </c>
      <c r="T184" s="2320"/>
      <c r="U184" s="2320"/>
      <c r="V184" s="2321"/>
      <c r="W184" s="2168" t="s">
        <v>279</v>
      </c>
      <c r="X184" s="2327"/>
      <c r="Y184" s="2327"/>
      <c r="Z184" s="2328"/>
      <c r="AA184" s="2168" t="s">
        <v>279</v>
      </c>
      <c r="AB184" s="2327"/>
      <c r="AC184" s="2327"/>
      <c r="AD184" s="2171"/>
      <c r="AE184" s="2324">
        <v>68</v>
      </c>
      <c r="AF184" s="2320"/>
      <c r="AG184" s="2320"/>
      <c r="AH184" s="2169"/>
      <c r="AI184" s="2325"/>
    </row>
    <row r="185" spans="1:35" ht="18" customHeight="1" x14ac:dyDescent="0.2">
      <c r="A185" s="107"/>
      <c r="B185" s="2318"/>
      <c r="C185" s="2356" t="s">
        <v>244</v>
      </c>
      <c r="D185" s="2357"/>
      <c r="E185" s="2357"/>
      <c r="F185" s="2358"/>
      <c r="G185" s="2356" t="s">
        <v>244</v>
      </c>
      <c r="H185" s="2357"/>
      <c r="I185" s="2357"/>
      <c r="J185" s="2358"/>
      <c r="K185" s="2356" t="s">
        <v>244</v>
      </c>
      <c r="L185" s="2357"/>
      <c r="M185" s="2357"/>
      <c r="N185" s="2358"/>
      <c r="O185" s="2356" t="s">
        <v>244</v>
      </c>
      <c r="P185" s="2357"/>
      <c r="Q185" s="2357"/>
      <c r="R185" s="2358"/>
      <c r="S185" s="2356" t="s">
        <v>244</v>
      </c>
      <c r="T185" s="2357"/>
      <c r="U185" s="2357"/>
      <c r="V185" s="2339"/>
      <c r="W185" s="2356" t="s">
        <v>244</v>
      </c>
      <c r="X185" s="2339"/>
      <c r="Y185" s="2357"/>
      <c r="Z185" s="2358"/>
      <c r="AA185" s="2356" t="s">
        <v>244</v>
      </c>
      <c r="AB185" s="2339"/>
      <c r="AC185" s="2357"/>
      <c r="AD185" s="2358"/>
      <c r="AE185" s="2359" t="s">
        <v>280</v>
      </c>
      <c r="AF185" s="2357"/>
      <c r="AG185" s="2357"/>
      <c r="AH185" s="2339"/>
      <c r="AI185" s="2340"/>
    </row>
    <row r="186" spans="1:35" ht="18" customHeight="1" thickBot="1" x14ac:dyDescent="0.25">
      <c r="A186" s="68"/>
      <c r="B186" s="107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</row>
    <row r="187" spans="1:35" ht="18" customHeight="1" thickBot="1" x14ac:dyDescent="0.25">
      <c r="A187" s="2308"/>
      <c r="B187" s="2128" t="s">
        <v>448</v>
      </c>
      <c r="C187" s="2360">
        <v>1</v>
      </c>
      <c r="D187" s="2361">
        <v>2</v>
      </c>
      <c r="E187" s="2361">
        <v>3</v>
      </c>
      <c r="F187" s="2361">
        <v>4</v>
      </c>
      <c r="G187" s="2361">
        <v>5</v>
      </c>
      <c r="H187" s="2361">
        <v>6</v>
      </c>
      <c r="I187" s="2360">
        <v>7</v>
      </c>
      <c r="J187" s="2360">
        <v>8</v>
      </c>
      <c r="K187" s="2361">
        <v>9</v>
      </c>
      <c r="L187" s="2361">
        <v>10</v>
      </c>
      <c r="M187" s="2361">
        <v>11</v>
      </c>
      <c r="N187" s="2361">
        <v>12</v>
      </c>
      <c r="O187" s="2361">
        <v>13</v>
      </c>
      <c r="P187" s="2360">
        <v>14</v>
      </c>
      <c r="Q187" s="2360">
        <v>15</v>
      </c>
      <c r="R187" s="2361">
        <v>16</v>
      </c>
      <c r="S187" s="2361">
        <v>17</v>
      </c>
      <c r="T187" s="2361">
        <v>18</v>
      </c>
      <c r="U187" s="2361">
        <v>19</v>
      </c>
      <c r="V187" s="2361">
        <v>20</v>
      </c>
      <c r="W187" s="2360">
        <v>21</v>
      </c>
      <c r="X187" s="2360">
        <v>22</v>
      </c>
      <c r="Y187" s="2361">
        <v>23</v>
      </c>
      <c r="Z187" s="2361">
        <v>24</v>
      </c>
      <c r="AA187" s="2361">
        <v>25</v>
      </c>
      <c r="AB187" s="2361">
        <v>26</v>
      </c>
      <c r="AC187" s="2361">
        <v>27</v>
      </c>
      <c r="AD187" s="2360">
        <v>28</v>
      </c>
      <c r="AE187" s="2360">
        <v>29</v>
      </c>
      <c r="AF187" s="2361">
        <v>30</v>
      </c>
      <c r="AG187" s="2033"/>
    </row>
    <row r="188" spans="1:35" ht="18" customHeight="1" x14ac:dyDescent="0.2">
      <c r="A188" s="1907">
        <v>1</v>
      </c>
      <c r="B188" s="1908"/>
      <c r="C188" s="636">
        <v>23</v>
      </c>
      <c r="D188" s="799" t="s">
        <v>50</v>
      </c>
      <c r="E188" s="799" t="s">
        <v>50</v>
      </c>
      <c r="F188" s="799" t="s">
        <v>50</v>
      </c>
      <c r="G188" s="799" t="s">
        <v>50</v>
      </c>
      <c r="H188" s="799" t="s">
        <v>50</v>
      </c>
      <c r="I188" s="799"/>
      <c r="J188" s="799"/>
      <c r="K188" s="636">
        <v>21</v>
      </c>
      <c r="L188" s="636">
        <v>21</v>
      </c>
      <c r="M188" s="636">
        <v>21</v>
      </c>
      <c r="N188" s="636">
        <v>21</v>
      </c>
      <c r="O188" s="799">
        <v>21</v>
      </c>
      <c r="P188" s="799">
        <v>21</v>
      </c>
      <c r="Q188" s="799">
        <v>21</v>
      </c>
      <c r="R188" s="799" t="s">
        <v>50</v>
      </c>
      <c r="S188" s="799" t="s">
        <v>50</v>
      </c>
      <c r="T188" s="799" t="s">
        <v>50</v>
      </c>
      <c r="U188" s="799" t="s">
        <v>50</v>
      </c>
      <c r="V188" s="636" t="s">
        <v>50</v>
      </c>
      <c r="W188" s="636"/>
      <c r="X188" s="636"/>
      <c r="Y188" s="800">
        <v>22</v>
      </c>
      <c r="Z188" s="800">
        <v>22</v>
      </c>
      <c r="AA188" s="800">
        <v>22</v>
      </c>
      <c r="AB188" s="800">
        <v>22</v>
      </c>
      <c r="AC188" s="800">
        <v>22</v>
      </c>
      <c r="AD188" s="635">
        <v>22</v>
      </c>
      <c r="AE188" s="636">
        <v>22</v>
      </c>
      <c r="AF188" s="636" t="s">
        <v>50</v>
      </c>
      <c r="AG188" s="636"/>
    </row>
    <row r="189" spans="1:35" ht="18" customHeight="1" x14ac:dyDescent="0.2">
      <c r="A189" s="956">
        <v>2</v>
      </c>
      <c r="B189" s="748"/>
      <c r="C189" s="636">
        <v>21</v>
      </c>
      <c r="D189" s="799" t="s">
        <v>50</v>
      </c>
      <c r="E189" s="799" t="s">
        <v>50</v>
      </c>
      <c r="F189" s="799" t="s">
        <v>50</v>
      </c>
      <c r="G189" s="799" t="s">
        <v>50</v>
      </c>
      <c r="H189" s="799" t="s">
        <v>50</v>
      </c>
      <c r="I189" s="635"/>
      <c r="J189" s="636"/>
      <c r="K189" s="800">
        <v>22</v>
      </c>
      <c r="L189" s="800">
        <v>22</v>
      </c>
      <c r="M189" s="800">
        <v>22</v>
      </c>
      <c r="N189" s="800">
        <v>22</v>
      </c>
      <c r="O189" s="800">
        <v>22</v>
      </c>
      <c r="P189" s="635">
        <v>22</v>
      </c>
      <c r="Q189" s="636">
        <v>22</v>
      </c>
      <c r="R189" s="799" t="s">
        <v>50</v>
      </c>
      <c r="S189" s="799" t="s">
        <v>50</v>
      </c>
      <c r="T189" s="799" t="s">
        <v>50</v>
      </c>
      <c r="U189" s="799" t="s">
        <v>50</v>
      </c>
      <c r="V189" s="636" t="s">
        <v>50</v>
      </c>
      <c r="W189" s="636"/>
      <c r="X189" s="636"/>
      <c r="Y189" s="957">
        <v>23</v>
      </c>
      <c r="Z189" s="957">
        <v>23</v>
      </c>
      <c r="AA189" s="636">
        <v>23</v>
      </c>
      <c r="AB189" s="800">
        <v>23</v>
      </c>
      <c r="AC189" s="800">
        <v>23</v>
      </c>
      <c r="AD189" s="635">
        <v>23</v>
      </c>
      <c r="AE189" s="636">
        <v>23</v>
      </c>
      <c r="AF189" s="800" t="s">
        <v>50</v>
      </c>
      <c r="AG189" s="636"/>
    </row>
    <row r="190" spans="1:35" ht="18" customHeight="1" x14ac:dyDescent="0.2">
      <c r="A190" s="956">
        <v>3</v>
      </c>
      <c r="B190" s="748"/>
      <c r="C190" s="636">
        <v>22</v>
      </c>
      <c r="D190" s="799" t="s">
        <v>50</v>
      </c>
      <c r="E190" s="799" t="s">
        <v>50</v>
      </c>
      <c r="F190" s="799" t="s">
        <v>50</v>
      </c>
      <c r="G190" s="799" t="s">
        <v>50</v>
      </c>
      <c r="H190" s="799" t="s">
        <v>50</v>
      </c>
      <c r="I190" s="799"/>
      <c r="J190" s="799"/>
      <c r="K190" s="957">
        <v>23</v>
      </c>
      <c r="L190" s="957">
        <v>23</v>
      </c>
      <c r="M190" s="636">
        <v>23</v>
      </c>
      <c r="N190" s="800">
        <v>23</v>
      </c>
      <c r="O190" s="800">
        <v>23</v>
      </c>
      <c r="P190" s="635">
        <v>23</v>
      </c>
      <c r="Q190" s="636">
        <v>23</v>
      </c>
      <c r="R190" s="799" t="s">
        <v>50</v>
      </c>
      <c r="S190" s="799" t="s">
        <v>50</v>
      </c>
      <c r="T190" s="799" t="s">
        <v>50</v>
      </c>
      <c r="U190" s="799" t="s">
        <v>50</v>
      </c>
      <c r="V190" s="636" t="s">
        <v>50</v>
      </c>
      <c r="W190" s="636"/>
      <c r="X190" s="636"/>
      <c r="Y190" s="636">
        <v>21</v>
      </c>
      <c r="Z190" s="636">
        <v>21</v>
      </c>
      <c r="AA190" s="636">
        <v>21</v>
      </c>
      <c r="AB190" s="636">
        <v>21</v>
      </c>
      <c r="AC190" s="799">
        <v>21</v>
      </c>
      <c r="AD190" s="799">
        <v>21</v>
      </c>
      <c r="AE190" s="799">
        <v>21</v>
      </c>
      <c r="AF190" s="636" t="s">
        <v>50</v>
      </c>
      <c r="AG190" s="636"/>
    </row>
    <row r="191" spans="1:35" ht="18" customHeight="1" x14ac:dyDescent="0.2">
      <c r="A191" s="956">
        <v>4</v>
      </c>
      <c r="B191" s="371" t="s">
        <v>281</v>
      </c>
      <c r="C191" s="636"/>
      <c r="D191" s="636">
        <v>23</v>
      </c>
      <c r="E191" s="636">
        <v>23</v>
      </c>
      <c r="F191" s="636">
        <v>23</v>
      </c>
      <c r="G191" s="636">
        <v>23</v>
      </c>
      <c r="H191" s="799">
        <v>23</v>
      </c>
      <c r="I191" s="799">
        <v>23</v>
      </c>
      <c r="J191" s="799">
        <v>23</v>
      </c>
      <c r="K191" s="799" t="s">
        <v>50</v>
      </c>
      <c r="L191" s="799" t="s">
        <v>50</v>
      </c>
      <c r="M191" s="799" t="s">
        <v>50</v>
      </c>
      <c r="N191" s="799" t="s">
        <v>50</v>
      </c>
      <c r="O191" s="799" t="s">
        <v>50</v>
      </c>
      <c r="P191" s="636"/>
      <c r="Q191" s="636"/>
      <c r="R191" s="636">
        <v>21</v>
      </c>
      <c r="S191" s="636">
        <v>21</v>
      </c>
      <c r="T191" s="636">
        <v>21</v>
      </c>
      <c r="U191" s="636">
        <v>21</v>
      </c>
      <c r="V191" s="636">
        <v>21</v>
      </c>
      <c r="W191" s="635">
        <v>21</v>
      </c>
      <c r="X191" s="636">
        <v>21</v>
      </c>
      <c r="Y191" s="1634">
        <v>21</v>
      </c>
      <c r="Z191" s="1634">
        <v>21</v>
      </c>
      <c r="AA191" s="636" t="s">
        <v>50</v>
      </c>
      <c r="AB191" s="636" t="s">
        <v>50</v>
      </c>
      <c r="AC191" s="1634">
        <v>21</v>
      </c>
      <c r="AD191" s="1634">
        <v>21</v>
      </c>
      <c r="AE191" s="1634">
        <v>21</v>
      </c>
      <c r="AF191" s="636">
        <v>22</v>
      </c>
      <c r="AG191" s="635"/>
    </row>
    <row r="192" spans="1:35" ht="18" customHeight="1" x14ac:dyDescent="0.2">
      <c r="A192" s="956">
        <v>5</v>
      </c>
      <c r="B192" s="2362" t="s">
        <v>282</v>
      </c>
      <c r="C192" s="635"/>
      <c r="D192" s="636">
        <v>21</v>
      </c>
      <c r="E192" s="636">
        <v>21</v>
      </c>
      <c r="F192" s="636">
        <v>21</v>
      </c>
      <c r="G192" s="636">
        <v>21</v>
      </c>
      <c r="H192" s="636">
        <v>21</v>
      </c>
      <c r="I192" s="635">
        <v>21</v>
      </c>
      <c r="J192" s="636">
        <v>21</v>
      </c>
      <c r="K192" s="799" t="s">
        <v>50</v>
      </c>
      <c r="L192" s="1634" t="s">
        <v>50</v>
      </c>
      <c r="M192" s="1634">
        <v>22</v>
      </c>
      <c r="N192" s="1634" t="s">
        <v>72</v>
      </c>
      <c r="O192" s="1634">
        <v>23</v>
      </c>
      <c r="P192" s="1634">
        <v>23</v>
      </c>
      <c r="Q192" s="1634">
        <v>23</v>
      </c>
      <c r="R192" s="636">
        <v>22</v>
      </c>
      <c r="S192" s="636">
        <v>22</v>
      </c>
      <c r="T192" s="636">
        <v>22</v>
      </c>
      <c r="U192" s="636">
        <v>22</v>
      </c>
      <c r="V192" s="800">
        <v>22</v>
      </c>
      <c r="W192" s="800">
        <v>22</v>
      </c>
      <c r="X192" s="800">
        <v>22</v>
      </c>
      <c r="Y192" s="636" t="s">
        <v>50</v>
      </c>
      <c r="Z192" s="635" t="s">
        <v>50</v>
      </c>
      <c r="AA192" s="1634">
        <v>21</v>
      </c>
      <c r="AB192" s="1634">
        <v>21</v>
      </c>
      <c r="AC192" s="1634">
        <v>22</v>
      </c>
      <c r="AD192" s="1634">
        <v>22</v>
      </c>
      <c r="AE192" s="1634">
        <v>22</v>
      </c>
      <c r="AF192" s="636">
        <v>23</v>
      </c>
      <c r="AG192" s="635"/>
    </row>
    <row r="193" spans="1:35" ht="18" customHeight="1" thickBot="1" x14ac:dyDescent="0.25">
      <c r="A193" s="962">
        <v>6</v>
      </c>
      <c r="B193" s="2363" t="s">
        <v>283</v>
      </c>
      <c r="C193" s="1363"/>
      <c r="D193" s="655">
        <v>22</v>
      </c>
      <c r="E193" s="655">
        <v>22</v>
      </c>
      <c r="F193" s="655">
        <v>22</v>
      </c>
      <c r="G193" s="963">
        <v>22</v>
      </c>
      <c r="H193" s="963">
        <v>22</v>
      </c>
      <c r="I193" s="963">
        <v>22</v>
      </c>
      <c r="J193" s="963">
        <v>22</v>
      </c>
      <c r="K193" s="963" t="s">
        <v>50</v>
      </c>
      <c r="L193" s="963" t="s">
        <v>50</v>
      </c>
      <c r="M193" s="963" t="s">
        <v>50</v>
      </c>
      <c r="N193" s="963" t="s">
        <v>50</v>
      </c>
      <c r="O193" s="963" t="s">
        <v>50</v>
      </c>
      <c r="P193" s="1363"/>
      <c r="Q193" s="1363"/>
      <c r="R193" s="1363">
        <v>23</v>
      </c>
      <c r="S193" s="1363">
        <v>23</v>
      </c>
      <c r="T193" s="1363">
        <v>23</v>
      </c>
      <c r="U193" s="854">
        <v>23</v>
      </c>
      <c r="V193" s="854">
        <v>23</v>
      </c>
      <c r="W193" s="853">
        <v>23</v>
      </c>
      <c r="X193" s="1363">
        <v>23</v>
      </c>
      <c r="Y193" s="1363" t="s">
        <v>50</v>
      </c>
      <c r="Z193" s="853" t="s">
        <v>50</v>
      </c>
      <c r="AA193" s="1363" t="s">
        <v>50</v>
      </c>
      <c r="AB193" s="1363" t="s">
        <v>50</v>
      </c>
      <c r="AC193" s="862">
        <v>23</v>
      </c>
      <c r="AD193" s="862">
        <v>23</v>
      </c>
      <c r="AE193" s="862">
        <v>23</v>
      </c>
      <c r="AF193" s="1363">
        <v>21</v>
      </c>
      <c r="AG193" s="853"/>
    </row>
    <row r="194" spans="1:35" ht="18" customHeight="1" x14ac:dyDescent="0.2">
      <c r="A194" s="129"/>
    </row>
    <row r="195" spans="1:35" ht="18" customHeight="1" x14ac:dyDescent="0.2">
      <c r="A195" s="69"/>
    </row>
    <row r="196" spans="1:35" ht="18" customHeight="1" x14ac:dyDescent="0.2">
      <c r="A196" s="103" t="s">
        <v>284</v>
      </c>
    </row>
    <row r="197" spans="1:35" ht="18" customHeight="1" x14ac:dyDescent="0.2">
      <c r="A197" s="1"/>
      <c r="B197" s="2292" t="s">
        <v>255</v>
      </c>
      <c r="C197" s="2269"/>
      <c r="D197" s="2313" t="s">
        <v>17</v>
      </c>
      <c r="E197" s="2103"/>
      <c r="F197" s="2264"/>
      <c r="G197" s="2269"/>
      <c r="H197" s="2313" t="s">
        <v>18</v>
      </c>
      <c r="I197" s="2103"/>
      <c r="J197" s="2264"/>
      <c r="K197" s="2269"/>
      <c r="L197" s="2313" t="s">
        <v>19</v>
      </c>
      <c r="M197" s="2103"/>
      <c r="N197" s="2264"/>
      <c r="O197" s="2269"/>
      <c r="P197" s="2313" t="s">
        <v>20</v>
      </c>
      <c r="Q197" s="2103"/>
      <c r="R197" s="2264"/>
      <c r="S197" s="2269"/>
      <c r="T197" s="2313" t="s">
        <v>21</v>
      </c>
      <c r="U197" s="2103"/>
      <c r="V197" s="2264"/>
      <c r="W197" s="2269"/>
      <c r="X197" s="2313" t="s">
        <v>22</v>
      </c>
      <c r="Y197" s="2103"/>
      <c r="Z197" s="2264"/>
      <c r="AA197" s="2269"/>
      <c r="AB197" s="2313" t="s">
        <v>23</v>
      </c>
      <c r="AC197" s="2103"/>
      <c r="AD197" s="2103"/>
      <c r="AE197" s="2316" t="s">
        <v>126</v>
      </c>
      <c r="AF197" s="2103"/>
      <c r="AG197" s="2103"/>
      <c r="AH197" s="2103"/>
      <c r="AI197" s="2270"/>
    </row>
    <row r="198" spans="1:35" ht="18" customHeight="1" x14ac:dyDescent="0.2">
      <c r="A198" s="1"/>
      <c r="B198" s="2318" t="s">
        <v>235</v>
      </c>
      <c r="C198" s="2168" t="s">
        <v>256</v>
      </c>
      <c r="D198" s="2007"/>
      <c r="E198" s="2007"/>
      <c r="F198" s="2321"/>
      <c r="G198" s="2168" t="s">
        <v>256</v>
      </c>
      <c r="H198" s="2007"/>
      <c r="I198" s="2007"/>
      <c r="J198" s="2321"/>
      <c r="K198" s="2168" t="s">
        <v>256</v>
      </c>
      <c r="L198" s="2007"/>
      <c r="M198" s="2007"/>
      <c r="N198" s="2321"/>
      <c r="O198" s="2168" t="s">
        <v>285</v>
      </c>
      <c r="P198" s="2007"/>
      <c r="Q198" s="2007"/>
      <c r="R198" s="2321"/>
      <c r="S198" s="2168" t="s">
        <v>244</v>
      </c>
      <c r="T198" s="2007"/>
      <c r="U198" s="2007"/>
      <c r="V198" s="2321"/>
      <c r="W198" s="1914"/>
      <c r="X198" s="1915"/>
      <c r="Y198" s="1915"/>
      <c r="Z198" s="2323"/>
      <c r="AA198" s="2319"/>
      <c r="AB198" s="2007"/>
      <c r="AC198" s="2007"/>
      <c r="AD198" s="2169"/>
      <c r="AE198" s="2324">
        <v>27</v>
      </c>
      <c r="AF198" s="2007"/>
      <c r="AG198" s="2007"/>
      <c r="AH198" s="2169"/>
      <c r="AI198" s="2274"/>
    </row>
    <row r="199" spans="1:35" ht="18" customHeight="1" x14ac:dyDescent="0.2">
      <c r="A199" s="1"/>
      <c r="B199" s="2318" t="s">
        <v>236</v>
      </c>
      <c r="C199" s="2168" t="s">
        <v>286</v>
      </c>
      <c r="D199" s="2007"/>
      <c r="E199" s="2007"/>
      <c r="F199" s="2321"/>
      <c r="G199" s="2168" t="s">
        <v>286</v>
      </c>
      <c r="H199" s="2007"/>
      <c r="I199" s="2007"/>
      <c r="J199" s="2321"/>
      <c r="K199" s="2168" t="s">
        <v>286</v>
      </c>
      <c r="L199" s="2007"/>
      <c r="M199" s="2007"/>
      <c r="N199" s="2321"/>
      <c r="O199" s="2168" t="s">
        <v>286</v>
      </c>
      <c r="P199" s="2007"/>
      <c r="Q199" s="2007"/>
      <c r="R199" s="2321"/>
      <c r="S199" s="2168" t="s">
        <v>256</v>
      </c>
      <c r="T199" s="2007"/>
      <c r="U199" s="2007"/>
      <c r="V199" s="2321"/>
      <c r="W199" s="2168"/>
      <c r="X199" s="2007"/>
      <c r="Y199" s="2007"/>
      <c r="Z199" s="2321"/>
      <c r="AA199" s="2007"/>
      <c r="AB199" s="2007"/>
      <c r="AC199" s="2007"/>
      <c r="AD199" s="2169"/>
      <c r="AE199" s="2324">
        <v>39</v>
      </c>
      <c r="AF199" s="2007"/>
      <c r="AG199" s="2007"/>
      <c r="AH199" s="2169"/>
      <c r="AI199" s="2274"/>
    </row>
    <row r="200" spans="1:35" ht="18" customHeight="1" x14ac:dyDescent="0.2">
      <c r="A200" s="1"/>
      <c r="B200" s="2318" t="s">
        <v>243</v>
      </c>
      <c r="C200" s="2168" t="s">
        <v>286</v>
      </c>
      <c r="D200" s="2007"/>
      <c r="E200" s="2007"/>
      <c r="F200" s="2321"/>
      <c r="G200" s="2168" t="s">
        <v>286</v>
      </c>
      <c r="H200" s="2007"/>
      <c r="I200" s="2007"/>
      <c r="J200" s="2321"/>
      <c r="K200" s="2168" t="s">
        <v>286</v>
      </c>
      <c r="L200" s="2007"/>
      <c r="M200" s="2007"/>
      <c r="N200" s="2321"/>
      <c r="O200" s="2168" t="s">
        <v>286</v>
      </c>
      <c r="P200" s="2007"/>
      <c r="Q200" s="2007"/>
      <c r="R200" s="2321"/>
      <c r="S200" s="2168" t="s">
        <v>286</v>
      </c>
      <c r="T200" s="2007"/>
      <c r="U200" s="2007"/>
      <c r="V200" s="2321"/>
      <c r="W200" s="2170" t="s">
        <v>260</v>
      </c>
      <c r="X200" s="2106"/>
      <c r="Y200" s="2106"/>
      <c r="Z200" s="2328"/>
      <c r="AA200" s="2326"/>
      <c r="AB200" s="2106"/>
      <c r="AC200" s="2106"/>
      <c r="AD200" s="2171"/>
      <c r="AE200" s="2324">
        <v>45</v>
      </c>
      <c r="AF200" s="2007"/>
      <c r="AG200" s="2007"/>
      <c r="AH200" s="2169"/>
      <c r="AI200" s="2274"/>
    </row>
    <row r="201" spans="1:35" ht="18" customHeight="1" x14ac:dyDescent="0.2">
      <c r="A201" s="1"/>
      <c r="B201" s="147" t="s">
        <v>245</v>
      </c>
      <c r="C201" s="2356"/>
      <c r="D201" s="2119"/>
      <c r="E201" s="2119"/>
      <c r="F201" s="2358"/>
      <c r="G201" s="2356"/>
      <c r="H201" s="2119"/>
      <c r="I201" s="2119"/>
      <c r="J201" s="2358"/>
      <c r="K201" s="2356"/>
      <c r="L201" s="2119"/>
      <c r="M201" s="2119"/>
      <c r="N201" s="2358"/>
      <c r="O201" s="2356"/>
      <c r="P201" s="2119"/>
      <c r="Q201" s="2119"/>
      <c r="R201" s="2358"/>
      <c r="S201" s="2356"/>
      <c r="T201" s="2119"/>
      <c r="U201" s="2119"/>
      <c r="V201" s="2339"/>
      <c r="W201" s="2356"/>
      <c r="X201" s="2339"/>
      <c r="Y201" s="2119"/>
      <c r="Z201" s="2358"/>
      <c r="AA201" s="2356"/>
      <c r="AB201" s="2339"/>
      <c r="AC201" s="2119"/>
      <c r="AD201" s="2358"/>
      <c r="AE201" s="1916"/>
      <c r="AF201" s="2119"/>
      <c r="AG201" s="2119"/>
      <c r="AH201" s="2339"/>
      <c r="AI201" s="2126"/>
    </row>
    <row r="202" spans="1:35" ht="18" customHeight="1" x14ac:dyDescent="0.2">
      <c r="A202" s="68"/>
      <c r="B202" s="1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</row>
    <row r="203" spans="1:35" ht="18" customHeight="1" x14ac:dyDescent="0.2">
      <c r="A203" s="2308"/>
      <c r="B203" s="2128" t="s">
        <v>448</v>
      </c>
      <c r="C203" s="396">
        <v>1</v>
      </c>
      <c r="D203" s="395">
        <v>2</v>
      </c>
      <c r="E203" s="395">
        <v>3</v>
      </c>
      <c r="F203" s="395">
        <v>4</v>
      </c>
      <c r="G203" s="395">
        <v>5</v>
      </c>
      <c r="H203" s="395">
        <v>6</v>
      </c>
      <c r="I203" s="396">
        <v>7</v>
      </c>
      <c r="J203" s="396">
        <v>8</v>
      </c>
      <c r="K203" s="395">
        <v>9</v>
      </c>
      <c r="L203" s="395">
        <v>10</v>
      </c>
      <c r="M203" s="395">
        <v>11</v>
      </c>
      <c r="N203" s="395">
        <v>12</v>
      </c>
      <c r="O203" s="395">
        <v>13</v>
      </c>
      <c r="P203" s="396">
        <v>14</v>
      </c>
      <c r="Q203" s="396">
        <v>15</v>
      </c>
      <c r="R203" s="395">
        <v>16</v>
      </c>
      <c r="S203" s="395">
        <v>17</v>
      </c>
      <c r="T203" s="395">
        <v>18</v>
      </c>
      <c r="U203" s="395">
        <v>19</v>
      </c>
      <c r="V203" s="395">
        <v>20</v>
      </c>
      <c r="W203" s="396">
        <v>21</v>
      </c>
      <c r="X203" s="396">
        <v>22</v>
      </c>
      <c r="Y203" s="395">
        <v>23</v>
      </c>
      <c r="Z203" s="395">
        <v>24</v>
      </c>
      <c r="AA203" s="395">
        <v>25</v>
      </c>
      <c r="AB203" s="395">
        <v>26</v>
      </c>
      <c r="AC203" s="395">
        <v>27</v>
      </c>
      <c r="AD203" s="396">
        <v>28</v>
      </c>
      <c r="AE203" s="396">
        <v>29</v>
      </c>
      <c r="AF203" s="395">
        <v>30</v>
      </c>
      <c r="AG203" s="2026"/>
    </row>
    <row r="204" spans="1:35" ht="18" customHeight="1" x14ac:dyDescent="0.2">
      <c r="A204" s="2281">
        <v>1</v>
      </c>
      <c r="B204" s="2364" t="s">
        <v>462</v>
      </c>
      <c r="C204" s="2283"/>
      <c r="D204" s="2283" t="s">
        <v>46</v>
      </c>
      <c r="E204" s="2365" t="s">
        <v>46</v>
      </c>
      <c r="F204" s="2283" t="s">
        <v>46</v>
      </c>
      <c r="G204" s="2283" t="s">
        <v>46</v>
      </c>
      <c r="H204" s="2283" t="s">
        <v>46</v>
      </c>
      <c r="I204" s="2283" t="s">
        <v>290</v>
      </c>
      <c r="J204" s="2283"/>
      <c r="K204" s="2283" t="s">
        <v>46</v>
      </c>
      <c r="L204" s="2283" t="s">
        <v>46</v>
      </c>
      <c r="M204" s="2283" t="s">
        <v>46</v>
      </c>
      <c r="N204" s="2283" t="s">
        <v>46</v>
      </c>
      <c r="O204" s="2283" t="s">
        <v>46</v>
      </c>
      <c r="P204" s="2343"/>
      <c r="Q204" s="2283"/>
      <c r="R204" s="2343" t="s">
        <v>46</v>
      </c>
      <c r="S204" s="2343" t="s">
        <v>46</v>
      </c>
      <c r="T204" s="2343" t="s">
        <v>46</v>
      </c>
      <c r="U204" s="2283" t="s">
        <v>46</v>
      </c>
      <c r="V204" s="2283" t="s">
        <v>46</v>
      </c>
      <c r="W204" s="2283"/>
      <c r="X204" s="2283"/>
      <c r="Y204" s="2283" t="s">
        <v>46</v>
      </c>
      <c r="Z204" s="2365" t="s">
        <v>46</v>
      </c>
      <c r="AA204" s="2283" t="s">
        <v>46</v>
      </c>
      <c r="AB204" s="2283" t="s">
        <v>46</v>
      </c>
      <c r="AC204" s="2283" t="s">
        <v>46</v>
      </c>
      <c r="AD204" s="2283" t="s">
        <v>290</v>
      </c>
      <c r="AE204" s="2283"/>
      <c r="AF204" s="2283" t="s">
        <v>46</v>
      </c>
      <c r="AG204" s="2286"/>
    </row>
    <row r="205" spans="1:35" ht="18" customHeight="1" x14ac:dyDescent="0.2">
      <c r="A205" s="2287">
        <v>2</v>
      </c>
      <c r="B205" s="1920" t="s">
        <v>287</v>
      </c>
      <c r="C205" s="2040"/>
      <c r="D205" s="2040" t="s">
        <v>288</v>
      </c>
      <c r="E205" s="2040" t="s">
        <v>288</v>
      </c>
      <c r="F205" s="2040" t="s">
        <v>288</v>
      </c>
      <c r="G205" s="2040" t="s">
        <v>288</v>
      </c>
      <c r="H205" s="2040" t="s">
        <v>50</v>
      </c>
      <c r="I205" s="2040"/>
      <c r="J205" s="2040"/>
      <c r="K205" s="2040" t="s">
        <v>289</v>
      </c>
      <c r="L205" s="2040" t="s">
        <v>289</v>
      </c>
      <c r="M205" s="2040" t="s">
        <v>289</v>
      </c>
      <c r="N205" s="2040" t="s">
        <v>289</v>
      </c>
      <c r="O205" s="2040" t="s">
        <v>289</v>
      </c>
      <c r="P205" s="2055"/>
      <c r="Q205" s="2040"/>
      <c r="R205" s="2040" t="s">
        <v>290</v>
      </c>
      <c r="S205" s="2040" t="s">
        <v>290</v>
      </c>
      <c r="T205" s="2040" t="s">
        <v>290</v>
      </c>
      <c r="U205" s="2040" t="s">
        <v>290</v>
      </c>
      <c r="V205" s="2040" t="s">
        <v>290</v>
      </c>
      <c r="W205" s="2040" t="s">
        <v>290</v>
      </c>
      <c r="X205" s="2040"/>
      <c r="Y205" s="2040" t="s">
        <v>288</v>
      </c>
      <c r="Z205" s="2040" t="s">
        <v>288</v>
      </c>
      <c r="AA205" s="2040" t="s">
        <v>288</v>
      </c>
      <c r="AB205" s="2040" t="s">
        <v>288</v>
      </c>
      <c r="AC205" s="2040" t="s">
        <v>50</v>
      </c>
      <c r="AD205" s="2040"/>
      <c r="AE205" s="2040"/>
      <c r="AF205" s="2195" t="s">
        <v>289</v>
      </c>
      <c r="AG205" s="2043"/>
    </row>
    <row r="206" spans="1:35" ht="18" customHeight="1" x14ac:dyDescent="0.2">
      <c r="A206" s="2287">
        <v>3</v>
      </c>
      <c r="B206" s="1921" t="s">
        <v>463</v>
      </c>
      <c r="C206" s="2040"/>
      <c r="D206" s="2040" t="s">
        <v>289</v>
      </c>
      <c r="E206" s="2040" t="s">
        <v>289</v>
      </c>
      <c r="F206" s="2040" t="s">
        <v>289</v>
      </c>
      <c r="G206" s="2040" t="s">
        <v>289</v>
      </c>
      <c r="H206" s="2040" t="s">
        <v>289</v>
      </c>
      <c r="I206" s="2040"/>
      <c r="J206" s="2040"/>
      <c r="K206" s="2040" t="s">
        <v>290</v>
      </c>
      <c r="L206" s="2040" t="s">
        <v>290</v>
      </c>
      <c r="M206" s="2040" t="s">
        <v>290</v>
      </c>
      <c r="N206" s="2040" t="s">
        <v>290</v>
      </c>
      <c r="O206" s="2040" t="s">
        <v>290</v>
      </c>
      <c r="P206" s="2040" t="s">
        <v>290</v>
      </c>
      <c r="Q206" s="2040"/>
      <c r="R206" s="2040" t="s">
        <v>288</v>
      </c>
      <c r="S206" s="2040" t="s">
        <v>288</v>
      </c>
      <c r="T206" s="2040" t="s">
        <v>288</v>
      </c>
      <c r="U206" s="2132" t="s">
        <v>288</v>
      </c>
      <c r="V206" s="2132" t="s">
        <v>50</v>
      </c>
      <c r="W206" s="2132"/>
      <c r="X206" s="2132"/>
      <c r="Y206" s="2132" t="s">
        <v>289</v>
      </c>
      <c r="Z206" s="2040" t="s">
        <v>289</v>
      </c>
      <c r="AA206" s="2040" t="s">
        <v>289</v>
      </c>
      <c r="AB206" s="2040" t="s">
        <v>289</v>
      </c>
      <c r="AC206" s="2040" t="s">
        <v>289</v>
      </c>
      <c r="AD206" s="2055"/>
      <c r="AE206" s="2040"/>
      <c r="AF206" s="2040" t="s">
        <v>290</v>
      </c>
      <c r="AG206" s="2043"/>
    </row>
    <row r="207" spans="1:35" ht="18" customHeight="1" x14ac:dyDescent="0.2">
      <c r="A207" s="2287">
        <v>4</v>
      </c>
      <c r="B207" s="1921" t="s">
        <v>464</v>
      </c>
      <c r="C207" s="2040"/>
      <c r="D207" s="2040"/>
      <c r="E207" s="2040"/>
      <c r="F207" s="2040"/>
      <c r="G207" s="2040"/>
      <c r="H207" s="2040"/>
      <c r="I207" s="2040"/>
      <c r="J207" s="2040"/>
      <c r="K207" s="2040"/>
      <c r="L207" s="2047"/>
      <c r="M207" s="2047"/>
      <c r="N207" s="2040"/>
      <c r="O207" s="2040"/>
      <c r="P207" s="2040"/>
      <c r="Q207" s="2040"/>
      <c r="R207" s="2040"/>
      <c r="S207" s="2040"/>
      <c r="T207" s="2040"/>
      <c r="U207" s="2040"/>
      <c r="V207" s="2040"/>
      <c r="W207" s="2040"/>
      <c r="X207" s="2040"/>
      <c r="Y207" s="2040"/>
      <c r="Z207" s="2040"/>
      <c r="AA207" s="2040"/>
      <c r="AB207" s="2040"/>
      <c r="AC207" s="2040"/>
      <c r="AD207" s="2040"/>
      <c r="AE207" s="2040"/>
      <c r="AF207" s="2040"/>
      <c r="AG207" s="1922"/>
    </row>
    <row r="208" spans="1:35" ht="18" customHeight="1" x14ac:dyDescent="0.2">
      <c r="A208" s="2287">
        <v>5</v>
      </c>
      <c r="B208" s="1921" t="s">
        <v>292</v>
      </c>
      <c r="C208" s="2040"/>
      <c r="D208" s="2040"/>
      <c r="E208" s="2040"/>
      <c r="F208" s="2040"/>
      <c r="G208" s="2040"/>
      <c r="H208" s="2040"/>
      <c r="I208" s="2040"/>
      <c r="J208" s="2040"/>
      <c r="K208" s="2047"/>
      <c r="L208" s="2040"/>
      <c r="M208" s="2040"/>
      <c r="N208" s="2040"/>
      <c r="O208" s="2040"/>
      <c r="P208" s="2040"/>
      <c r="Q208" s="2040"/>
      <c r="R208" s="2040"/>
      <c r="S208" s="2040"/>
      <c r="T208" s="2040"/>
      <c r="U208" s="2040"/>
      <c r="V208" s="2040"/>
      <c r="W208" s="2040"/>
      <c r="X208" s="2040"/>
      <c r="Y208" s="2040"/>
      <c r="Z208" s="2040"/>
      <c r="AA208" s="2040"/>
      <c r="AB208" s="2040"/>
      <c r="AC208" s="2040"/>
      <c r="AD208" s="2040"/>
      <c r="AE208" s="2040"/>
      <c r="AF208" s="2047"/>
      <c r="AG208" s="2043"/>
    </row>
    <row r="209" spans="1:36" ht="18" customHeight="1" x14ac:dyDescent="0.2">
      <c r="A209" s="2287">
        <v>6</v>
      </c>
      <c r="B209" s="2044" t="s">
        <v>293</v>
      </c>
      <c r="C209" s="2040"/>
      <c r="D209" s="2040" t="s">
        <v>46</v>
      </c>
      <c r="E209" s="2040" t="s">
        <v>46</v>
      </c>
      <c r="F209" s="2045" t="s">
        <v>46</v>
      </c>
      <c r="G209" s="2040" t="s">
        <v>46</v>
      </c>
      <c r="H209" s="2040" t="s">
        <v>46</v>
      </c>
      <c r="I209" s="2040"/>
      <c r="J209" s="2040"/>
      <c r="K209" s="2040" t="s">
        <v>46</v>
      </c>
      <c r="L209" s="2040" t="s">
        <v>46</v>
      </c>
      <c r="M209" s="2040" t="s">
        <v>46</v>
      </c>
      <c r="N209" s="2144" t="s">
        <v>46</v>
      </c>
      <c r="O209" s="2040" t="s">
        <v>46</v>
      </c>
      <c r="P209" s="2047"/>
      <c r="Q209" s="2047"/>
      <c r="R209" s="2047" t="s">
        <v>46</v>
      </c>
      <c r="S209" s="2047" t="s">
        <v>46</v>
      </c>
      <c r="T209" s="2040" t="s">
        <v>46</v>
      </c>
      <c r="U209" s="2366" t="s">
        <v>46</v>
      </c>
      <c r="V209" s="2045" t="s">
        <v>46</v>
      </c>
      <c r="W209" s="2040"/>
      <c r="X209" s="2040"/>
      <c r="Y209" s="2040" t="s">
        <v>46</v>
      </c>
      <c r="Z209" s="2040" t="s">
        <v>46</v>
      </c>
      <c r="AA209" s="2045" t="s">
        <v>46</v>
      </c>
      <c r="AB209" s="2040" t="s">
        <v>46</v>
      </c>
      <c r="AC209" s="2040" t="s">
        <v>46</v>
      </c>
      <c r="AD209" s="2040"/>
      <c r="AE209" s="2040"/>
      <c r="AF209" s="2040" t="s">
        <v>46</v>
      </c>
      <c r="AG209" s="2191"/>
      <c r="AH209" s="124"/>
      <c r="AI209" s="67"/>
    </row>
    <row r="210" spans="1:36" ht="18" customHeight="1" x14ac:dyDescent="0.2">
      <c r="A210" s="2290"/>
      <c r="B210" s="2059"/>
      <c r="C210" s="2150"/>
      <c r="D210" s="2150"/>
      <c r="E210" s="2150"/>
      <c r="F210" s="2150"/>
      <c r="G210" s="2150"/>
      <c r="H210" s="2150"/>
      <c r="I210" s="2150"/>
      <c r="J210" s="2150"/>
      <c r="K210" s="2150"/>
      <c r="L210" s="2150"/>
      <c r="M210" s="2150"/>
      <c r="N210" s="2150"/>
      <c r="O210" s="2150"/>
      <c r="P210" s="2150"/>
      <c r="Q210" s="2150"/>
      <c r="R210" s="2150"/>
      <c r="S210" s="2150"/>
      <c r="T210" s="2150"/>
      <c r="U210" s="2150"/>
      <c r="V210" s="2150"/>
      <c r="W210" s="2150"/>
      <c r="X210" s="2150"/>
      <c r="Y210" s="2150"/>
      <c r="Z210" s="2150"/>
      <c r="AA210" s="2150"/>
      <c r="AB210" s="2150"/>
      <c r="AC210" s="2150"/>
      <c r="AD210" s="2150"/>
      <c r="AE210" s="2150"/>
      <c r="AF210" s="2150"/>
      <c r="AG210" s="2158"/>
      <c r="AH210" s="67"/>
      <c r="AI210" s="67"/>
    </row>
    <row r="211" spans="1:36" ht="18" customHeight="1" x14ac:dyDescent="0.2">
      <c r="A211" s="129"/>
      <c r="AI211" s="67"/>
    </row>
    <row r="212" spans="1:36" ht="18" customHeight="1" x14ac:dyDescent="0.2">
      <c r="A212" s="129"/>
      <c r="AI212" s="67"/>
    </row>
    <row r="213" spans="1:36" ht="18" customHeight="1" x14ac:dyDescent="0.2">
      <c r="A213" s="97" t="s">
        <v>294</v>
      </c>
      <c r="AI213" s="67"/>
    </row>
    <row r="214" spans="1:36" ht="18" customHeight="1" x14ac:dyDescent="0.2">
      <c r="A214" s="69"/>
      <c r="B214" s="1509" t="s">
        <v>295</v>
      </c>
      <c r="C214" s="1926"/>
      <c r="D214" s="224" t="s">
        <v>17</v>
      </c>
      <c r="E214" s="225"/>
      <c r="F214" s="1927"/>
      <c r="G214" s="1511"/>
      <c r="H214" s="224" t="s">
        <v>18</v>
      </c>
      <c r="I214" s="225"/>
      <c r="J214" s="1927"/>
      <c r="K214" s="1511"/>
      <c r="L214" s="224" t="s">
        <v>19</v>
      </c>
      <c r="M214" s="225"/>
      <c r="N214" s="1927"/>
      <c r="O214" s="1511"/>
      <c r="P214" s="224" t="s">
        <v>20</v>
      </c>
      <c r="Q214" s="225"/>
      <c r="R214" s="1927"/>
      <c r="S214" s="1511"/>
      <c r="T214" s="224" t="s">
        <v>21</v>
      </c>
      <c r="U214" s="225"/>
      <c r="V214" s="1927"/>
      <c r="W214" s="1511"/>
      <c r="X214" s="224" t="s">
        <v>22</v>
      </c>
      <c r="Y214" s="225"/>
      <c r="Z214" s="1927"/>
      <c r="AA214" s="1511"/>
      <c r="AB214" s="224" t="s">
        <v>23</v>
      </c>
      <c r="AC214" s="225"/>
      <c r="AD214" s="225"/>
      <c r="AE214" s="1512" t="s">
        <v>126</v>
      </c>
      <c r="AF214" s="225"/>
      <c r="AG214" s="225"/>
      <c r="AH214" s="225"/>
      <c r="AI214" s="1928"/>
    </row>
    <row r="215" spans="1:36" ht="18" customHeight="1" x14ac:dyDescent="0.2">
      <c r="A215" s="69"/>
      <c r="B215" s="2367" t="s">
        <v>296</v>
      </c>
      <c r="C215" s="1929" t="s">
        <v>297</v>
      </c>
      <c r="D215" s="1930" t="s">
        <v>298</v>
      </c>
      <c r="E215" s="1931"/>
      <c r="F215" s="1932"/>
      <c r="G215" s="1933"/>
      <c r="H215" s="1515" t="s">
        <v>298</v>
      </c>
      <c r="I215" s="1516"/>
      <c r="J215" s="1932"/>
      <c r="K215" s="1933"/>
      <c r="L215" s="1515" t="s">
        <v>298</v>
      </c>
      <c r="M215" s="1516"/>
      <c r="N215" s="1932"/>
      <c r="O215" s="1933"/>
      <c r="P215" s="1515" t="s">
        <v>299</v>
      </c>
      <c r="Q215" s="1516"/>
      <c r="R215" s="1932"/>
      <c r="S215" s="1933"/>
      <c r="T215" s="1515" t="s">
        <v>300</v>
      </c>
      <c r="U215" s="1516"/>
      <c r="V215" s="1932"/>
      <c r="W215" s="1934"/>
      <c r="X215" s="1517"/>
      <c r="Y215" s="1517"/>
      <c r="Z215" s="1935"/>
      <c r="AA215" s="1934"/>
      <c r="AB215" s="1517"/>
      <c r="AC215" s="1517"/>
      <c r="AD215" s="1517"/>
      <c r="AE215" s="1934"/>
      <c r="AF215" s="1517"/>
      <c r="AG215" s="1517"/>
      <c r="AH215" s="1519"/>
      <c r="AI215" s="1936"/>
    </row>
    <row r="216" spans="1:36" ht="18" customHeight="1" x14ac:dyDescent="0.2">
      <c r="A216" s="69"/>
      <c r="B216" s="2367" t="s">
        <v>301</v>
      </c>
      <c r="C216" s="1929" t="s">
        <v>174</v>
      </c>
      <c r="D216" s="1930" t="s">
        <v>298</v>
      </c>
      <c r="E216" s="1931"/>
      <c r="F216" s="1932"/>
      <c r="G216" s="1933"/>
      <c r="H216" s="1515" t="s">
        <v>298</v>
      </c>
      <c r="I216" s="1516"/>
      <c r="J216" s="1932"/>
      <c r="K216" s="1933"/>
      <c r="L216" s="1515" t="s">
        <v>302</v>
      </c>
      <c r="M216" s="1516"/>
      <c r="N216" s="1932"/>
      <c r="O216" s="1933"/>
      <c r="P216" s="1515" t="s">
        <v>303</v>
      </c>
      <c r="Q216" s="1516"/>
      <c r="R216" s="1932"/>
      <c r="S216" s="1933"/>
      <c r="T216" s="1515" t="s">
        <v>304</v>
      </c>
      <c r="U216" s="1516"/>
      <c r="V216" s="1932"/>
      <c r="W216" s="1934"/>
      <c r="X216" s="1517"/>
      <c r="Y216" s="1517"/>
      <c r="Z216" s="1935"/>
      <c r="AA216" s="1934"/>
      <c r="AB216" s="1517"/>
      <c r="AC216" s="1517"/>
      <c r="AD216" s="1517"/>
      <c r="AE216" s="1934"/>
      <c r="AF216" s="1517"/>
      <c r="AG216" s="1517"/>
      <c r="AH216" s="1519"/>
      <c r="AI216" s="1936"/>
    </row>
    <row r="217" spans="1:36" ht="18" customHeight="1" x14ac:dyDescent="0.2">
      <c r="A217" s="69"/>
      <c r="B217" s="2367" t="s">
        <v>305</v>
      </c>
      <c r="C217" s="1929" t="s">
        <v>154</v>
      </c>
      <c r="D217" s="1930" t="s">
        <v>306</v>
      </c>
      <c r="E217" s="1931"/>
      <c r="F217" s="1932"/>
      <c r="G217" s="1933"/>
      <c r="H217" s="1930" t="s">
        <v>306</v>
      </c>
      <c r="I217" s="1516"/>
      <c r="J217" s="1932"/>
      <c r="K217" s="1933"/>
      <c r="L217" s="1930" t="s">
        <v>306</v>
      </c>
      <c r="M217" s="1516"/>
      <c r="N217" s="1932"/>
      <c r="O217" s="1933"/>
      <c r="P217" s="1515" t="s">
        <v>307</v>
      </c>
      <c r="Q217" s="1516"/>
      <c r="R217" s="1932"/>
      <c r="S217" s="1933"/>
      <c r="T217" s="1515" t="s">
        <v>304</v>
      </c>
      <c r="U217" s="1516"/>
      <c r="V217" s="1932"/>
      <c r="W217" s="1934"/>
      <c r="X217" s="1517"/>
      <c r="Y217" s="1517"/>
      <c r="Z217" s="1935"/>
      <c r="AA217" s="1934"/>
      <c r="AB217" s="1517"/>
      <c r="AC217" s="1517"/>
      <c r="AD217" s="1517"/>
      <c r="AE217" s="1934"/>
      <c r="AF217" s="1517"/>
      <c r="AG217" s="1517"/>
      <c r="AH217" s="1519"/>
      <c r="AI217" s="1936"/>
    </row>
    <row r="218" spans="1:36" ht="18" customHeight="1" x14ac:dyDescent="0.2">
      <c r="A218" s="69"/>
      <c r="B218" s="2367" t="s">
        <v>308</v>
      </c>
      <c r="C218" s="1929" t="s">
        <v>309</v>
      </c>
      <c r="D218" s="1930" t="s">
        <v>310</v>
      </c>
      <c r="E218" s="1931"/>
      <c r="F218" s="1932"/>
      <c r="G218" s="1933"/>
      <c r="H218" s="1515" t="s">
        <v>298</v>
      </c>
      <c r="I218" s="1516"/>
      <c r="J218" s="1932"/>
      <c r="K218" s="1933"/>
      <c r="L218" s="1515" t="s">
        <v>298</v>
      </c>
      <c r="M218" s="1516"/>
      <c r="N218" s="1932"/>
      <c r="O218" s="1933"/>
      <c r="P218" s="1515" t="s">
        <v>311</v>
      </c>
      <c r="Q218" s="1516"/>
      <c r="R218" s="1932"/>
      <c r="S218" s="1933"/>
      <c r="T218" s="1515" t="s">
        <v>312</v>
      </c>
      <c r="U218" s="1516"/>
      <c r="V218" s="1932"/>
      <c r="W218" s="1934"/>
      <c r="X218" s="1517"/>
      <c r="Y218" s="1517"/>
      <c r="Z218" s="1935"/>
      <c r="AA218" s="1934"/>
      <c r="AB218" s="1517"/>
      <c r="AC218" s="1517"/>
      <c r="AD218" s="1517"/>
      <c r="AE218" s="1934"/>
      <c r="AF218" s="1517"/>
      <c r="AG218" s="1517"/>
      <c r="AH218" s="1519"/>
      <c r="AI218" s="1936"/>
    </row>
    <row r="219" spans="1:36" ht="18" customHeight="1" x14ac:dyDescent="0.2">
      <c r="A219" s="69"/>
      <c r="B219" s="1520" t="s">
        <v>313</v>
      </c>
      <c r="C219" s="1929" t="s">
        <v>160</v>
      </c>
      <c r="D219" s="1930" t="s">
        <v>314</v>
      </c>
      <c r="E219" s="1931"/>
      <c r="F219" s="1937"/>
      <c r="G219" s="1938"/>
      <c r="H219" s="1930" t="s">
        <v>314</v>
      </c>
      <c r="I219" s="1522"/>
      <c r="J219" s="1937"/>
      <c r="K219" s="1938"/>
      <c r="L219" s="1930" t="s">
        <v>314</v>
      </c>
      <c r="M219" s="1522"/>
      <c r="N219" s="1937"/>
      <c r="O219" s="1938"/>
      <c r="P219" s="1515" t="s">
        <v>315</v>
      </c>
      <c r="Q219" s="1522"/>
      <c r="R219" s="1937"/>
      <c r="S219" s="1938"/>
      <c r="T219" s="1515" t="s">
        <v>304</v>
      </c>
      <c r="U219" s="1522"/>
      <c r="V219" s="1550"/>
      <c r="W219" s="1523"/>
      <c r="X219" s="2229"/>
      <c r="Y219" s="2229"/>
      <c r="Z219" s="1008"/>
      <c r="AA219" s="1523"/>
      <c r="AB219" s="2229"/>
      <c r="AC219" s="2229"/>
      <c r="AD219" s="2229"/>
      <c r="AE219" s="1523"/>
      <c r="AF219" s="2229"/>
      <c r="AG219" s="2229"/>
      <c r="AH219" s="1524"/>
      <c r="AI219" s="1002"/>
    </row>
    <row r="220" spans="1:36" ht="18" customHeight="1" x14ac:dyDescent="0.2">
      <c r="A220" s="69"/>
      <c r="B220" s="2367" t="s">
        <v>316</v>
      </c>
      <c r="C220" s="1929" t="s">
        <v>168</v>
      </c>
      <c r="D220" s="1930" t="s">
        <v>317</v>
      </c>
      <c r="E220" s="1931"/>
      <c r="F220" s="1932"/>
      <c r="G220" s="1933"/>
      <c r="H220" s="1930" t="s">
        <v>317</v>
      </c>
      <c r="I220" s="1516"/>
      <c r="J220" s="1932"/>
      <c r="K220" s="1933"/>
      <c r="L220" s="1930" t="s">
        <v>317</v>
      </c>
      <c r="M220" s="1516"/>
      <c r="N220" s="1932"/>
      <c r="O220" s="1933"/>
      <c r="P220" s="1515" t="s">
        <v>318</v>
      </c>
      <c r="Q220" s="1516"/>
      <c r="R220" s="1932"/>
      <c r="S220" s="1933"/>
      <c r="T220" s="1515" t="s">
        <v>304</v>
      </c>
      <c r="U220" s="1516"/>
      <c r="V220" s="1932"/>
      <c r="W220" s="1934"/>
      <c r="X220" s="1517"/>
      <c r="Y220" s="1517"/>
      <c r="Z220" s="1142"/>
      <c r="AA220" s="1934"/>
      <c r="AB220" s="1517"/>
      <c r="AC220" s="1517"/>
      <c r="AD220" s="1517"/>
      <c r="AE220" s="1934"/>
      <c r="AF220" s="1517"/>
      <c r="AG220" s="1517"/>
      <c r="AH220" s="1519"/>
      <c r="AI220" s="1936"/>
    </row>
    <row r="221" spans="1:36" ht="18" customHeight="1" x14ac:dyDescent="0.2">
      <c r="A221" s="69"/>
      <c r="B221" s="2367" t="s">
        <v>319</v>
      </c>
      <c r="C221" s="1929" t="s">
        <v>158</v>
      </c>
      <c r="D221" s="1930" t="s">
        <v>320</v>
      </c>
      <c r="E221" s="1931"/>
      <c r="F221" s="1932"/>
      <c r="G221" s="1933"/>
      <c r="H221" s="1515" t="s">
        <v>320</v>
      </c>
      <c r="I221" s="1516"/>
      <c r="J221" s="1932"/>
      <c r="K221" s="1933"/>
      <c r="L221" s="1515" t="s">
        <v>320</v>
      </c>
      <c r="M221" s="1516"/>
      <c r="N221" s="1516"/>
      <c r="O221" s="1933"/>
      <c r="P221" s="1515" t="s">
        <v>320</v>
      </c>
      <c r="Q221" s="1516"/>
      <c r="R221" s="1516"/>
      <c r="S221" s="1933"/>
      <c r="T221" s="1515" t="s">
        <v>304</v>
      </c>
      <c r="U221" s="1516"/>
      <c r="V221" s="1932"/>
      <c r="W221" s="2367"/>
      <c r="X221" s="1517"/>
      <c r="Y221" s="1517"/>
      <c r="Z221" s="1142"/>
      <c r="AA221" s="1934"/>
      <c r="AB221" s="1517"/>
      <c r="AC221" s="1517"/>
      <c r="AD221" s="1517"/>
      <c r="AE221" s="1934"/>
      <c r="AF221" s="1517"/>
      <c r="AG221" s="1517"/>
      <c r="AH221" s="1519"/>
      <c r="AI221" s="1936"/>
    </row>
    <row r="222" spans="1:36" ht="18" customHeight="1" x14ac:dyDescent="0.2">
      <c r="A222" s="69"/>
      <c r="B222" s="2367" t="s">
        <v>321</v>
      </c>
      <c r="C222" s="1929" t="s">
        <v>322</v>
      </c>
      <c r="D222" s="1930" t="s">
        <v>320</v>
      </c>
      <c r="E222" s="1931"/>
      <c r="F222" s="1932"/>
      <c r="G222" s="1933"/>
      <c r="H222" s="1515" t="s">
        <v>320</v>
      </c>
      <c r="I222" s="1516"/>
      <c r="J222" s="1932"/>
      <c r="K222" s="1933"/>
      <c r="L222" s="1515" t="s">
        <v>320</v>
      </c>
      <c r="M222" s="1516"/>
      <c r="N222" s="1516"/>
      <c r="O222" s="1933"/>
      <c r="P222" s="1515" t="s">
        <v>320</v>
      </c>
      <c r="Q222" s="1516"/>
      <c r="R222" s="1516"/>
      <c r="S222" s="1933"/>
      <c r="T222" s="1515" t="s">
        <v>304</v>
      </c>
      <c r="U222" s="1516"/>
      <c r="V222" s="1932"/>
      <c r="W222" s="2367"/>
      <c r="X222" s="1517"/>
      <c r="Y222" s="1517"/>
      <c r="Z222" s="1935"/>
      <c r="AA222" s="1525"/>
      <c r="AB222" s="1517"/>
      <c r="AC222" s="1517"/>
      <c r="AD222" s="1517"/>
      <c r="AE222" s="1934"/>
      <c r="AF222" s="1517"/>
      <c r="AG222" s="1517"/>
      <c r="AH222" s="1519"/>
      <c r="AI222" s="1936"/>
    </row>
    <row r="223" spans="1:36" ht="18" customHeight="1" x14ac:dyDescent="0.2">
      <c r="A223" s="69"/>
      <c r="B223" s="2367" t="s">
        <v>465</v>
      </c>
      <c r="C223" s="1929" t="s">
        <v>451</v>
      </c>
      <c r="D223" s="1930" t="s">
        <v>320</v>
      </c>
      <c r="E223" s="1931"/>
      <c r="F223" s="1932"/>
      <c r="G223" s="1933"/>
      <c r="H223" s="1515" t="s">
        <v>320</v>
      </c>
      <c r="I223" s="1516"/>
      <c r="J223" s="1932"/>
      <c r="K223" s="1933"/>
      <c r="L223" s="1515" t="s">
        <v>320</v>
      </c>
      <c r="M223" s="1516"/>
      <c r="N223" s="1516"/>
      <c r="O223" s="1933"/>
      <c r="P223" s="1515" t="s">
        <v>320</v>
      </c>
      <c r="Q223" s="1516"/>
      <c r="R223" s="1516"/>
      <c r="S223" s="1933"/>
      <c r="T223" s="1515" t="s">
        <v>304</v>
      </c>
      <c r="U223" s="1516"/>
      <c r="V223" s="1932"/>
      <c r="AA223" s="122"/>
      <c r="AE223" s="122"/>
      <c r="AH223" s="67"/>
      <c r="AI223" s="67"/>
    </row>
    <row r="224" spans="1:36" ht="18" customHeight="1" x14ac:dyDescent="0.2">
      <c r="A224" s="69"/>
      <c r="B224" t="s">
        <v>323</v>
      </c>
      <c r="C224" s="122"/>
      <c r="F224" s="122"/>
      <c r="I224" s="122"/>
      <c r="J224" s="122"/>
      <c r="L224" s="122"/>
      <c r="O224" s="122"/>
      <c r="Q224" s="122"/>
      <c r="R224" s="122"/>
      <c r="U224" s="122"/>
      <c r="W224" s="122"/>
      <c r="X224" s="122"/>
      <c r="AE224" s="122"/>
      <c r="AH224" s="67"/>
      <c r="AI224" s="67"/>
      <c r="AJ224" s="123"/>
    </row>
    <row r="225" spans="1:37" ht="18" customHeight="1" x14ac:dyDescent="0.2">
      <c r="A225" s="69"/>
      <c r="B225" s="1509" t="s">
        <v>295</v>
      </c>
      <c r="C225" s="1939"/>
      <c r="D225" s="224" t="s">
        <v>17</v>
      </c>
      <c r="E225" s="225"/>
      <c r="F225" s="1927"/>
      <c r="G225" s="1511"/>
      <c r="H225" s="224" t="s">
        <v>18</v>
      </c>
      <c r="I225" s="225"/>
      <c r="J225" s="1927"/>
      <c r="K225" s="1511"/>
      <c r="L225" s="224" t="s">
        <v>19</v>
      </c>
      <c r="M225" s="225"/>
      <c r="N225" s="1927"/>
      <c r="O225" s="1511"/>
      <c r="P225" s="224" t="s">
        <v>20</v>
      </c>
      <c r="Q225" s="225"/>
      <c r="R225" s="1927"/>
      <c r="S225" s="1511"/>
      <c r="T225" s="224" t="s">
        <v>21</v>
      </c>
      <c r="U225" s="225"/>
      <c r="V225" s="1927"/>
      <c r="W225" s="1511"/>
      <c r="X225" s="224" t="s">
        <v>22</v>
      </c>
      <c r="Y225" s="225"/>
      <c r="Z225" s="1927"/>
      <c r="AA225" s="1511"/>
      <c r="AB225" s="224" t="s">
        <v>23</v>
      </c>
      <c r="AC225" s="225"/>
      <c r="AD225" s="225"/>
      <c r="AE225" s="1512" t="s">
        <v>126</v>
      </c>
      <c r="AF225" s="225"/>
      <c r="AG225" s="225"/>
      <c r="AH225" s="225"/>
      <c r="AI225" s="1928"/>
      <c r="AJ225" s="123"/>
    </row>
    <row r="226" spans="1:37" ht="18" customHeight="1" x14ac:dyDescent="0.2">
      <c r="A226" s="69"/>
      <c r="B226" s="2367" t="s">
        <v>296</v>
      </c>
      <c r="C226" s="1929" t="s">
        <v>297</v>
      </c>
      <c r="D226" s="1930" t="s">
        <v>324</v>
      </c>
      <c r="E226" s="1931"/>
      <c r="F226" s="1932"/>
      <c r="G226" s="1933"/>
      <c r="H226" s="1930" t="s">
        <v>324</v>
      </c>
      <c r="I226" s="1516"/>
      <c r="J226" s="1932"/>
      <c r="K226" s="1933"/>
      <c r="L226" s="1930" t="s">
        <v>324</v>
      </c>
      <c r="M226" s="1516"/>
      <c r="N226" s="1932"/>
      <c r="O226" s="1933"/>
      <c r="P226" s="1515" t="s">
        <v>325</v>
      </c>
      <c r="Q226" s="1516"/>
      <c r="R226" s="1932"/>
      <c r="S226" s="1933"/>
      <c r="T226" s="1515" t="s">
        <v>326</v>
      </c>
      <c r="U226" s="1516"/>
      <c r="V226" s="1932"/>
      <c r="W226" s="1940"/>
      <c r="X226" s="1142"/>
      <c r="Y226" s="1142"/>
      <c r="Z226" s="1550"/>
      <c r="AA226" s="1940"/>
      <c r="AB226" s="1142"/>
      <c r="AC226" s="1142"/>
      <c r="AD226" s="1142"/>
      <c r="AE226" s="1940"/>
      <c r="AF226" s="1142"/>
      <c r="AG226" s="1142"/>
      <c r="AH226" s="1519"/>
      <c r="AI226" s="1936"/>
      <c r="AJ226" s="123"/>
    </row>
    <row r="227" spans="1:37" ht="18" customHeight="1" x14ac:dyDescent="0.2">
      <c r="A227" s="69"/>
      <c r="B227" s="2367" t="s">
        <v>301</v>
      </c>
      <c r="C227" s="1929" t="s">
        <v>174</v>
      </c>
      <c r="D227" s="1930" t="s">
        <v>324</v>
      </c>
      <c r="E227" s="1931"/>
      <c r="F227" s="1932"/>
      <c r="G227" s="1933"/>
      <c r="H227" s="1930" t="s">
        <v>324</v>
      </c>
      <c r="I227" s="1516"/>
      <c r="J227" s="1932"/>
      <c r="K227" s="1933"/>
      <c r="L227" s="1515" t="s">
        <v>302</v>
      </c>
      <c r="M227" s="1516"/>
      <c r="N227" s="1932"/>
      <c r="O227" s="1933"/>
      <c r="P227" s="1515" t="s">
        <v>327</v>
      </c>
      <c r="Q227" s="1516"/>
      <c r="R227" s="1932"/>
      <c r="S227" s="1933"/>
      <c r="T227" s="1515" t="s">
        <v>328</v>
      </c>
      <c r="U227" s="1516"/>
      <c r="V227" s="1932"/>
      <c r="W227" s="1940"/>
      <c r="X227" s="1142"/>
      <c r="Y227" s="1142"/>
      <c r="Z227" s="1550"/>
      <c r="AA227" s="1940"/>
      <c r="AB227" s="1142"/>
      <c r="AC227" s="1142"/>
      <c r="AD227" s="1142"/>
      <c r="AE227" s="1940"/>
      <c r="AF227" s="1142"/>
      <c r="AG227" s="1142"/>
      <c r="AH227" s="1519"/>
      <c r="AI227" s="1936"/>
      <c r="AJ227" s="123"/>
    </row>
    <row r="228" spans="1:37" ht="18" customHeight="1" x14ac:dyDescent="0.2">
      <c r="A228" s="69"/>
      <c r="B228" s="2367" t="s">
        <v>305</v>
      </c>
      <c r="C228" s="1929" t="s">
        <v>154</v>
      </c>
      <c r="D228" s="1930" t="s">
        <v>324</v>
      </c>
      <c r="E228" s="1931"/>
      <c r="F228" s="1932"/>
      <c r="G228" s="1933"/>
      <c r="H228" s="1930" t="s">
        <v>324</v>
      </c>
      <c r="I228" s="1516"/>
      <c r="J228" s="1932"/>
      <c r="K228" s="1933"/>
      <c r="L228" s="1930" t="s">
        <v>324</v>
      </c>
      <c r="M228" s="1516"/>
      <c r="N228" s="1932"/>
      <c r="O228" s="1933"/>
      <c r="P228" s="1515" t="s">
        <v>329</v>
      </c>
      <c r="Q228" s="1516"/>
      <c r="R228" s="1932"/>
      <c r="S228" s="1933"/>
      <c r="T228" s="1515" t="s">
        <v>328</v>
      </c>
      <c r="U228" s="1516"/>
      <c r="V228" s="1932"/>
      <c r="W228" s="1940"/>
      <c r="X228" s="1142"/>
      <c r="Y228" s="1142"/>
      <c r="Z228" s="1550"/>
      <c r="AA228" s="1940"/>
      <c r="AB228" s="1142"/>
      <c r="AC228" s="1142"/>
      <c r="AD228" s="1142"/>
      <c r="AE228" s="1940"/>
      <c r="AF228" s="1142"/>
      <c r="AG228" s="1142"/>
      <c r="AH228" s="1519"/>
      <c r="AI228" s="1936"/>
      <c r="AJ228" s="123"/>
    </row>
    <row r="229" spans="1:37" ht="18" customHeight="1" x14ac:dyDescent="0.2">
      <c r="A229" s="69"/>
      <c r="B229" s="2367" t="s">
        <v>308</v>
      </c>
      <c r="C229" s="1929" t="s">
        <v>309</v>
      </c>
      <c r="D229" s="1930" t="s">
        <v>330</v>
      </c>
      <c r="E229" s="1931"/>
      <c r="F229" s="1932"/>
      <c r="G229" s="1933"/>
      <c r="H229" s="1930" t="s">
        <v>330</v>
      </c>
      <c r="I229" s="1516"/>
      <c r="J229" s="1932"/>
      <c r="K229" s="1933"/>
      <c r="L229" s="1930" t="s">
        <v>314</v>
      </c>
      <c r="M229" s="1516"/>
      <c r="N229" s="1932"/>
      <c r="O229" s="1933"/>
      <c r="P229" s="1515" t="s">
        <v>331</v>
      </c>
      <c r="Q229" s="1516"/>
      <c r="R229" s="1932"/>
      <c r="S229" s="1933"/>
      <c r="T229" s="1515" t="s">
        <v>326</v>
      </c>
      <c r="U229" s="1516"/>
      <c r="V229" s="1932"/>
      <c r="W229" s="1940"/>
      <c r="X229" s="1142"/>
      <c r="Y229" s="1142"/>
      <c r="Z229" s="1550"/>
      <c r="AA229" s="1940"/>
      <c r="AB229" s="1142"/>
      <c r="AC229" s="1142"/>
      <c r="AD229" s="1142"/>
      <c r="AE229" s="1940"/>
      <c r="AF229" s="1142"/>
      <c r="AG229" s="1142"/>
      <c r="AH229" s="1519"/>
      <c r="AI229" s="1936"/>
      <c r="AJ229" s="123"/>
    </row>
    <row r="230" spans="1:37" ht="18" customHeight="1" x14ac:dyDescent="0.2">
      <c r="A230" s="69"/>
      <c r="B230" s="1520" t="s">
        <v>313</v>
      </c>
      <c r="C230" s="1929" t="s">
        <v>160</v>
      </c>
      <c r="D230" s="1930" t="s">
        <v>324</v>
      </c>
      <c r="E230" s="1931"/>
      <c r="F230" s="1932"/>
      <c r="G230" s="1933"/>
      <c r="H230" s="1930" t="s">
        <v>324</v>
      </c>
      <c r="I230" s="1516"/>
      <c r="J230" s="1932"/>
      <c r="K230" s="1933"/>
      <c r="L230" s="1930" t="s">
        <v>324</v>
      </c>
      <c r="M230" s="1516"/>
      <c r="N230" s="1932"/>
      <c r="O230" s="1933"/>
      <c r="P230" s="1515" t="s">
        <v>329</v>
      </c>
      <c r="Q230" s="1516"/>
      <c r="R230" s="1932"/>
      <c r="S230" s="1933"/>
      <c r="T230" s="1515" t="s">
        <v>328</v>
      </c>
      <c r="U230" s="1516"/>
      <c r="V230" s="1932"/>
      <c r="W230" s="1523"/>
      <c r="X230" s="2229"/>
      <c r="Y230" s="2229"/>
      <c r="Z230" s="1008"/>
      <c r="AA230" s="1523"/>
      <c r="AB230" s="2229"/>
      <c r="AC230" s="2229"/>
      <c r="AD230" s="2229"/>
      <c r="AE230" s="1523"/>
      <c r="AF230" s="2229"/>
      <c r="AG230" s="2229"/>
      <c r="AH230" s="1524"/>
      <c r="AI230" s="1002"/>
      <c r="AJ230" s="123"/>
    </row>
    <row r="231" spans="1:37" ht="18" customHeight="1" x14ac:dyDescent="0.2">
      <c r="A231" s="69"/>
      <c r="B231" s="2367" t="s">
        <v>316</v>
      </c>
      <c r="C231" s="1929" t="s">
        <v>168</v>
      </c>
      <c r="D231" s="1930" t="s">
        <v>324</v>
      </c>
      <c r="E231" s="1931"/>
      <c r="F231" s="1932"/>
      <c r="G231" s="1933"/>
      <c r="H231" s="1930" t="s">
        <v>324</v>
      </c>
      <c r="I231" s="1516"/>
      <c r="J231" s="1932"/>
      <c r="K231" s="1933"/>
      <c r="L231" s="1930" t="s">
        <v>324</v>
      </c>
      <c r="M231" s="1516"/>
      <c r="N231" s="1932"/>
      <c r="O231" s="1933"/>
      <c r="P231" s="1515" t="s">
        <v>325</v>
      </c>
      <c r="Q231" s="1516"/>
      <c r="R231" s="1932"/>
      <c r="S231" s="1933"/>
      <c r="T231" s="1515" t="s">
        <v>326</v>
      </c>
      <c r="U231" s="1516"/>
      <c r="V231" s="1932"/>
      <c r="W231" s="1940"/>
      <c r="X231" s="1142"/>
      <c r="Y231" s="1142"/>
      <c r="Z231" s="1142"/>
      <c r="AA231" s="1940"/>
      <c r="AB231" s="1142"/>
      <c r="AC231" s="1142"/>
      <c r="AD231" s="1142"/>
      <c r="AE231" s="1940"/>
      <c r="AF231" s="1142"/>
      <c r="AG231" s="1142"/>
      <c r="AH231" s="1519"/>
      <c r="AI231" s="1936"/>
      <c r="AJ231" s="123"/>
    </row>
    <row r="232" spans="1:37" ht="18" customHeight="1" x14ac:dyDescent="0.2">
      <c r="A232" s="69"/>
      <c r="B232" s="2367" t="s">
        <v>321</v>
      </c>
      <c r="C232" s="1929" t="s">
        <v>322</v>
      </c>
      <c r="D232" s="1930" t="s">
        <v>320</v>
      </c>
      <c r="E232" s="1931"/>
      <c r="F232" s="1932"/>
      <c r="G232" s="1933"/>
      <c r="H232" s="1515" t="s">
        <v>320</v>
      </c>
      <c r="I232" s="1516"/>
      <c r="J232" s="1932"/>
      <c r="K232" s="1933"/>
      <c r="L232" s="1515" t="s">
        <v>320</v>
      </c>
      <c r="M232" s="1516"/>
      <c r="N232" s="1516"/>
      <c r="O232" s="1933"/>
      <c r="P232" s="1515" t="s">
        <v>320</v>
      </c>
      <c r="Q232" s="1516"/>
      <c r="R232" s="1516"/>
      <c r="S232" s="1933"/>
      <c r="T232" s="1515" t="s">
        <v>304</v>
      </c>
      <c r="U232" s="1516"/>
      <c r="V232" s="1932"/>
      <c r="W232" s="2367"/>
      <c r="X232" s="1142"/>
      <c r="Y232" s="1142"/>
      <c r="Z232" s="1550"/>
      <c r="AA232" s="1525"/>
      <c r="AB232" s="1142"/>
      <c r="AC232" s="1142"/>
      <c r="AD232" s="1142"/>
      <c r="AE232" s="1940"/>
      <c r="AF232" s="1142"/>
      <c r="AG232" s="1142"/>
      <c r="AH232" s="1519"/>
      <c r="AI232" s="1936"/>
      <c r="AJ232" s="123"/>
    </row>
    <row r="233" spans="1:37" ht="18" customHeight="1" x14ac:dyDescent="0.2">
      <c r="A233" s="69"/>
      <c r="B233" s="2367" t="s">
        <v>465</v>
      </c>
      <c r="C233" s="1929" t="s">
        <v>451</v>
      </c>
      <c r="D233" s="1930" t="s">
        <v>320</v>
      </c>
      <c r="E233" s="1931"/>
      <c r="F233" s="1932"/>
      <c r="G233" s="1933"/>
      <c r="H233" s="1515" t="s">
        <v>320</v>
      </c>
      <c r="I233" s="1516"/>
      <c r="J233" s="1932"/>
      <c r="K233" s="1933"/>
      <c r="L233" s="1515" t="s">
        <v>320</v>
      </c>
      <c r="M233" s="1516"/>
      <c r="N233" s="1516"/>
      <c r="O233" s="1933"/>
      <c r="P233" s="1515" t="s">
        <v>320</v>
      </c>
      <c r="Q233" s="1516"/>
      <c r="R233" s="1516"/>
      <c r="S233" s="1933"/>
      <c r="T233" s="1515" t="s">
        <v>304</v>
      </c>
      <c r="U233" s="1516"/>
      <c r="V233" s="1932"/>
      <c r="W233" s="2367"/>
      <c r="X233" s="1142"/>
      <c r="Y233" s="1142"/>
      <c r="Z233" s="1550"/>
      <c r="AA233" s="1525"/>
      <c r="AB233" s="1142"/>
      <c r="AC233" s="1142"/>
      <c r="AD233" s="1142"/>
      <c r="AE233" s="1940"/>
      <c r="AF233" s="1142"/>
      <c r="AG233" s="1142"/>
      <c r="AH233" s="1519"/>
      <c r="AI233" s="1936"/>
      <c r="AJ233" s="123"/>
    </row>
    <row r="234" spans="1:37" ht="18" customHeight="1" x14ac:dyDescent="0.2">
      <c r="A234" s="69"/>
      <c r="B234" s="133"/>
      <c r="C234" s="134"/>
      <c r="D234" s="135"/>
      <c r="E234" s="136"/>
      <c r="F234" s="136"/>
      <c r="G234" s="137"/>
      <c r="H234" s="135"/>
      <c r="I234" s="136"/>
      <c r="J234" s="136"/>
      <c r="K234" s="137"/>
      <c r="L234" s="135"/>
      <c r="M234" s="136"/>
      <c r="N234" s="136"/>
      <c r="O234" s="137"/>
      <c r="P234" s="127"/>
      <c r="Q234" s="136"/>
      <c r="R234" s="136"/>
      <c r="S234" s="137"/>
      <c r="T234" s="127"/>
      <c r="U234" s="136"/>
      <c r="V234" s="136"/>
      <c r="W234" s="136"/>
      <c r="X234" s="136"/>
      <c r="Y234" s="136"/>
      <c r="Z234" s="136"/>
      <c r="AA234" s="137"/>
      <c r="AB234" s="136"/>
      <c r="AC234" s="136"/>
      <c r="AD234" s="136"/>
      <c r="AE234" s="137"/>
      <c r="AF234" s="136"/>
      <c r="AG234" s="136"/>
    </row>
    <row r="235" spans="1:37" ht="18" customHeight="1" x14ac:dyDescent="0.2">
      <c r="A235" s="96"/>
      <c r="B235" s="1527" t="s">
        <v>448</v>
      </c>
      <c r="C235" s="396">
        <v>1</v>
      </c>
      <c r="D235" s="395">
        <v>2</v>
      </c>
      <c r="E235" s="395">
        <v>3</v>
      </c>
      <c r="F235" s="395">
        <v>4</v>
      </c>
      <c r="G235" s="395">
        <v>5</v>
      </c>
      <c r="H235" s="395">
        <v>6</v>
      </c>
      <c r="I235" s="396">
        <v>7</v>
      </c>
      <c r="J235" s="396">
        <v>8</v>
      </c>
      <c r="K235" s="395">
        <v>9</v>
      </c>
      <c r="L235" s="395">
        <v>10</v>
      </c>
      <c r="M235" s="395">
        <v>11</v>
      </c>
      <c r="N235" s="395">
        <v>12</v>
      </c>
      <c r="O235" s="395">
        <v>13</v>
      </c>
      <c r="P235" s="396">
        <v>14</v>
      </c>
      <c r="Q235" s="396">
        <v>15</v>
      </c>
      <c r="R235" s="395">
        <v>16</v>
      </c>
      <c r="S235" s="395">
        <v>17</v>
      </c>
      <c r="T235" s="395">
        <v>18</v>
      </c>
      <c r="U235" s="395">
        <v>19</v>
      </c>
      <c r="V235" s="395">
        <v>20</v>
      </c>
      <c r="W235" s="396">
        <v>21</v>
      </c>
      <c r="X235" s="396">
        <v>22</v>
      </c>
      <c r="Y235" s="395">
        <v>23</v>
      </c>
      <c r="Z235" s="395">
        <v>24</v>
      </c>
      <c r="AA235" s="395">
        <v>25</v>
      </c>
      <c r="AB235" s="395">
        <v>26</v>
      </c>
      <c r="AC235" s="395">
        <v>27</v>
      </c>
      <c r="AD235" s="396">
        <v>28</v>
      </c>
      <c r="AE235" s="396">
        <v>29</v>
      </c>
      <c r="AF235" s="395">
        <v>30</v>
      </c>
      <c r="AG235" s="2026"/>
    </row>
    <row r="236" spans="1:37" ht="18" customHeight="1" x14ac:dyDescent="0.2">
      <c r="A236" s="69"/>
      <c r="B236" s="1011" t="s">
        <v>332</v>
      </c>
      <c r="C236" s="968"/>
      <c r="D236" s="968" t="s">
        <v>414</v>
      </c>
      <c r="E236" s="968" t="s">
        <v>414</v>
      </c>
      <c r="F236" s="968" t="s">
        <v>297</v>
      </c>
      <c r="G236" s="968" t="s">
        <v>414</v>
      </c>
      <c r="H236" s="968" t="s">
        <v>414</v>
      </c>
      <c r="I236" s="968"/>
      <c r="J236" s="968"/>
      <c r="K236" s="635" t="s">
        <v>309</v>
      </c>
      <c r="L236" s="635" t="s">
        <v>309</v>
      </c>
      <c r="M236" s="635" t="s">
        <v>309</v>
      </c>
      <c r="N236" s="635" t="s">
        <v>309</v>
      </c>
      <c r="O236" s="635" t="s">
        <v>309</v>
      </c>
      <c r="P236" s="635"/>
      <c r="Q236" s="635"/>
      <c r="R236" s="805" t="s">
        <v>309</v>
      </c>
      <c r="S236" s="805" t="s">
        <v>466</v>
      </c>
      <c r="T236" s="638" t="s">
        <v>309</v>
      </c>
      <c r="U236" s="635" t="s">
        <v>309</v>
      </c>
      <c r="V236" s="635" t="s">
        <v>309</v>
      </c>
      <c r="W236" s="635"/>
      <c r="X236" s="635"/>
      <c r="Y236" s="635" t="s">
        <v>309</v>
      </c>
      <c r="Z236" s="635" t="s">
        <v>309</v>
      </c>
      <c r="AA236" s="635" t="s">
        <v>309</v>
      </c>
      <c r="AB236" s="635" t="s">
        <v>309</v>
      </c>
      <c r="AC236" s="635" t="s">
        <v>309</v>
      </c>
      <c r="AD236" s="635"/>
      <c r="AE236" s="635"/>
      <c r="AF236" s="635" t="s">
        <v>309</v>
      </c>
      <c r="AG236" s="801"/>
    </row>
    <row r="237" spans="1:37" ht="18" customHeight="1" x14ac:dyDescent="0.2">
      <c r="A237" s="69"/>
      <c r="B237" s="1011" t="s">
        <v>333</v>
      </c>
      <c r="C237" s="635"/>
      <c r="D237" s="635" t="s">
        <v>174</v>
      </c>
      <c r="E237" s="635" t="s">
        <v>174</v>
      </c>
      <c r="F237" s="635" t="s">
        <v>174</v>
      </c>
      <c r="G237" s="635" t="s">
        <v>174</v>
      </c>
      <c r="H237" s="635" t="s">
        <v>174</v>
      </c>
      <c r="I237" s="635"/>
      <c r="J237" s="635"/>
      <c r="K237" s="635" t="s">
        <v>174</v>
      </c>
      <c r="L237" s="635" t="s">
        <v>174</v>
      </c>
      <c r="M237" s="635" t="s">
        <v>174</v>
      </c>
      <c r="N237" s="635" t="s">
        <v>174</v>
      </c>
      <c r="O237" s="635" t="s">
        <v>174</v>
      </c>
      <c r="P237" s="635"/>
      <c r="Q237" s="635"/>
      <c r="R237" s="635" t="s">
        <v>174</v>
      </c>
      <c r="S237" s="635" t="s">
        <v>174</v>
      </c>
      <c r="T237" s="635" t="s">
        <v>174</v>
      </c>
      <c r="U237" s="635" t="s">
        <v>174</v>
      </c>
      <c r="V237" s="635" t="s">
        <v>174</v>
      </c>
      <c r="W237" s="635"/>
      <c r="X237" s="635"/>
      <c r="Y237" s="635" t="s">
        <v>174</v>
      </c>
      <c r="Z237" s="635" t="s">
        <v>174</v>
      </c>
      <c r="AA237" s="635" t="s">
        <v>174</v>
      </c>
      <c r="AB237" s="635" t="s">
        <v>174</v>
      </c>
      <c r="AC237" s="635" t="s">
        <v>174</v>
      </c>
      <c r="AD237" s="635"/>
      <c r="AE237" s="635"/>
      <c r="AF237" s="635" t="s">
        <v>174</v>
      </c>
      <c r="AG237" s="801"/>
    </row>
    <row r="238" spans="1:37" ht="18" customHeight="1" x14ac:dyDescent="0.2">
      <c r="A238" s="69"/>
      <c r="B238" s="1012" t="s">
        <v>334</v>
      </c>
      <c r="C238" s="635"/>
      <c r="D238" s="1529" t="s">
        <v>154</v>
      </c>
      <c r="E238" s="635" t="s">
        <v>154</v>
      </c>
      <c r="F238" s="635" t="s">
        <v>154</v>
      </c>
      <c r="G238" s="2217" t="s">
        <v>154</v>
      </c>
      <c r="H238" s="635" t="s">
        <v>154</v>
      </c>
      <c r="I238" s="799"/>
      <c r="J238" s="635"/>
      <c r="K238" s="635" t="s">
        <v>154</v>
      </c>
      <c r="L238" s="635" t="s">
        <v>154</v>
      </c>
      <c r="M238" s="635" t="s">
        <v>154</v>
      </c>
      <c r="N238" s="635" t="s">
        <v>154</v>
      </c>
      <c r="O238" s="635" t="s">
        <v>154</v>
      </c>
      <c r="P238" s="799"/>
      <c r="Q238" s="635"/>
      <c r="R238" s="635" t="s">
        <v>154</v>
      </c>
      <c r="S238" s="635" t="s">
        <v>154</v>
      </c>
      <c r="T238" s="635" t="s">
        <v>154</v>
      </c>
      <c r="U238" s="635" t="s">
        <v>154</v>
      </c>
      <c r="V238" s="635" t="s">
        <v>154</v>
      </c>
      <c r="W238" s="799"/>
      <c r="X238" s="635"/>
      <c r="Y238" s="635" t="s">
        <v>154</v>
      </c>
      <c r="Z238" s="635" t="s">
        <v>154</v>
      </c>
      <c r="AA238" s="635" t="s">
        <v>154</v>
      </c>
      <c r="AB238" s="635" t="s">
        <v>154</v>
      </c>
      <c r="AC238" s="635" t="s">
        <v>154</v>
      </c>
      <c r="AD238" s="799"/>
      <c r="AE238" s="635"/>
      <c r="AF238" s="635" t="s">
        <v>154</v>
      </c>
      <c r="AG238" s="801"/>
      <c r="AK238" t="s">
        <v>0</v>
      </c>
    </row>
    <row r="239" spans="1:37" ht="18" customHeight="1" x14ac:dyDescent="0.2">
      <c r="A239" s="69"/>
      <c r="B239" s="1011" t="s">
        <v>0</v>
      </c>
      <c r="C239" s="635"/>
      <c r="D239" s="635" t="s">
        <v>309</v>
      </c>
      <c r="E239" s="635" t="s">
        <v>309</v>
      </c>
      <c r="F239" s="635" t="s">
        <v>309</v>
      </c>
      <c r="G239" s="635" t="s">
        <v>309</v>
      </c>
      <c r="H239" s="635" t="s">
        <v>309</v>
      </c>
      <c r="I239" s="635"/>
      <c r="J239" s="635"/>
      <c r="K239" s="635" t="s">
        <v>309</v>
      </c>
      <c r="L239" s="635" t="s">
        <v>309</v>
      </c>
      <c r="M239" s="635" t="s">
        <v>309</v>
      </c>
      <c r="N239" s="635" t="s">
        <v>309</v>
      </c>
      <c r="O239" s="635" t="s">
        <v>309</v>
      </c>
      <c r="P239" s="635"/>
      <c r="Q239" s="635"/>
      <c r="R239" s="635" t="s">
        <v>309</v>
      </c>
      <c r="S239" s="635" t="s">
        <v>309</v>
      </c>
      <c r="T239" s="635" t="s">
        <v>309</v>
      </c>
      <c r="U239" s="635" t="s">
        <v>309</v>
      </c>
      <c r="V239" s="635" t="s">
        <v>309</v>
      </c>
      <c r="W239" s="635"/>
      <c r="X239" s="635"/>
      <c r="Y239" s="635" t="s">
        <v>309</v>
      </c>
      <c r="Z239" s="799" t="s">
        <v>309</v>
      </c>
      <c r="AA239" s="635" t="s">
        <v>309</v>
      </c>
      <c r="AB239" s="635" t="s">
        <v>309</v>
      </c>
      <c r="AC239" s="635" t="s">
        <v>309</v>
      </c>
      <c r="AD239" s="635"/>
      <c r="AE239" s="635"/>
      <c r="AF239" s="635" t="s">
        <v>309</v>
      </c>
      <c r="AG239" s="801"/>
    </row>
    <row r="240" spans="1:37" ht="18" customHeight="1" x14ac:dyDescent="0.2">
      <c r="A240" s="69"/>
      <c r="B240" s="764"/>
      <c r="C240" s="635"/>
      <c r="D240" s="635" t="s">
        <v>160</v>
      </c>
      <c r="E240" s="635" t="s">
        <v>160</v>
      </c>
      <c r="F240" s="635" t="s">
        <v>160</v>
      </c>
      <c r="G240" s="635" t="s">
        <v>160</v>
      </c>
      <c r="H240" s="635" t="s">
        <v>160</v>
      </c>
      <c r="I240" s="635"/>
      <c r="J240" s="635"/>
      <c r="K240" s="635" t="s">
        <v>160</v>
      </c>
      <c r="L240" s="635" t="s">
        <v>160</v>
      </c>
      <c r="M240" s="635" t="s">
        <v>160</v>
      </c>
      <c r="N240" s="635" t="s">
        <v>160</v>
      </c>
      <c r="O240" s="635" t="s">
        <v>160</v>
      </c>
      <c r="P240" s="635"/>
      <c r="Q240" s="635"/>
      <c r="R240" s="635" t="s">
        <v>160</v>
      </c>
      <c r="S240" s="635" t="s">
        <v>160</v>
      </c>
      <c r="T240" s="635" t="s">
        <v>160</v>
      </c>
      <c r="U240" s="635" t="s">
        <v>160</v>
      </c>
      <c r="V240" s="635" t="s">
        <v>160</v>
      </c>
      <c r="W240" s="635"/>
      <c r="X240" s="635"/>
      <c r="Y240" s="635" t="s">
        <v>160</v>
      </c>
      <c r="Z240" s="635" t="s">
        <v>160</v>
      </c>
      <c r="AA240" s="635" t="s">
        <v>160</v>
      </c>
      <c r="AB240" s="635" t="s">
        <v>160</v>
      </c>
      <c r="AC240" s="635" t="s">
        <v>160</v>
      </c>
      <c r="AD240" s="635"/>
      <c r="AE240" s="635"/>
      <c r="AF240" s="635" t="s">
        <v>160</v>
      </c>
      <c r="AG240" s="1941"/>
    </row>
    <row r="241" spans="1:35" ht="18" customHeight="1" x14ac:dyDescent="0.2">
      <c r="A241" s="69"/>
      <c r="B241" s="1011"/>
      <c r="C241" s="635"/>
      <c r="D241" s="635" t="s">
        <v>168</v>
      </c>
      <c r="E241" s="635" t="s">
        <v>168</v>
      </c>
      <c r="F241" s="635" t="s">
        <v>168</v>
      </c>
      <c r="G241" s="635" t="s">
        <v>168</v>
      </c>
      <c r="H241" s="635" t="s">
        <v>168</v>
      </c>
      <c r="I241" s="635"/>
      <c r="J241" s="635"/>
      <c r="K241" s="635" t="s">
        <v>168</v>
      </c>
      <c r="L241" s="635" t="s">
        <v>168</v>
      </c>
      <c r="M241" s="635" t="s">
        <v>168</v>
      </c>
      <c r="N241" s="635" t="s">
        <v>168</v>
      </c>
      <c r="O241" s="635" t="s">
        <v>168</v>
      </c>
      <c r="P241" s="635"/>
      <c r="Q241" s="635"/>
      <c r="R241" s="635" t="s">
        <v>168</v>
      </c>
      <c r="S241" s="635" t="s">
        <v>168</v>
      </c>
      <c r="T241" s="635" t="s">
        <v>168</v>
      </c>
      <c r="U241" s="635" t="s">
        <v>168</v>
      </c>
      <c r="V241" s="1942" t="s">
        <v>168</v>
      </c>
      <c r="W241" s="1942"/>
      <c r="X241" s="1942"/>
      <c r="Y241" s="1942" t="s">
        <v>168</v>
      </c>
      <c r="Z241" s="1942" t="s">
        <v>168</v>
      </c>
      <c r="AA241" s="1942" t="s">
        <v>168</v>
      </c>
      <c r="AB241" s="1942" t="s">
        <v>168</v>
      </c>
      <c r="AC241" s="635" t="s">
        <v>168</v>
      </c>
      <c r="AD241" s="635"/>
      <c r="AE241" s="635"/>
      <c r="AF241" s="635" t="s">
        <v>168</v>
      </c>
      <c r="AG241" s="801"/>
    </row>
    <row r="242" spans="1:35" ht="18" customHeight="1" x14ac:dyDescent="0.2">
      <c r="A242" s="69"/>
      <c r="B242" s="748" t="s">
        <v>0</v>
      </c>
      <c r="C242" s="635"/>
      <c r="D242" s="635" t="s">
        <v>158</v>
      </c>
      <c r="E242" s="635" t="s">
        <v>158</v>
      </c>
      <c r="F242" s="635" t="s">
        <v>158</v>
      </c>
      <c r="G242" s="635" t="s">
        <v>158</v>
      </c>
      <c r="H242" s="635" t="s">
        <v>158</v>
      </c>
      <c r="I242" s="635"/>
      <c r="J242" s="635"/>
      <c r="K242" s="635" t="s">
        <v>158</v>
      </c>
      <c r="L242" s="635" t="s">
        <v>158</v>
      </c>
      <c r="M242" s="635" t="s">
        <v>158</v>
      </c>
      <c r="N242" s="635" t="s">
        <v>158</v>
      </c>
      <c r="O242" s="635" t="s">
        <v>158</v>
      </c>
      <c r="P242" s="635"/>
      <c r="Q242" s="635"/>
      <c r="R242" s="635" t="s">
        <v>158</v>
      </c>
      <c r="S242" s="635" t="s">
        <v>158</v>
      </c>
      <c r="T242" s="635" t="s">
        <v>158</v>
      </c>
      <c r="U242" s="635" t="s">
        <v>158</v>
      </c>
      <c r="V242" s="635" t="s">
        <v>158</v>
      </c>
      <c r="W242" s="635"/>
      <c r="X242" s="635"/>
      <c r="Y242" s="635" t="s">
        <v>158</v>
      </c>
      <c r="Z242" s="635" t="s">
        <v>158</v>
      </c>
      <c r="AA242" s="635" t="s">
        <v>158</v>
      </c>
      <c r="AB242" s="635" t="s">
        <v>158</v>
      </c>
      <c r="AC242" s="635" t="s">
        <v>158</v>
      </c>
      <c r="AD242" s="635"/>
      <c r="AE242" s="635"/>
      <c r="AF242" s="635" t="s">
        <v>158</v>
      </c>
      <c r="AG242" s="801"/>
    </row>
    <row r="243" spans="1:35" ht="18" customHeight="1" x14ac:dyDescent="0.2">
      <c r="A243" s="69"/>
      <c r="B243" s="764" t="s">
        <v>337</v>
      </c>
      <c r="C243" s="799"/>
      <c r="D243" s="799" t="s">
        <v>322</v>
      </c>
      <c r="E243" s="799" t="s">
        <v>322</v>
      </c>
      <c r="F243" s="805" t="s">
        <v>338</v>
      </c>
      <c r="G243" s="638" t="s">
        <v>322</v>
      </c>
      <c r="H243" s="638" t="s">
        <v>322</v>
      </c>
      <c r="I243" s="638"/>
      <c r="J243" s="638"/>
      <c r="K243" s="638" t="s">
        <v>322</v>
      </c>
      <c r="L243" s="635" t="s">
        <v>322</v>
      </c>
      <c r="M243" s="635" t="s">
        <v>322</v>
      </c>
      <c r="N243" s="635" t="s">
        <v>322</v>
      </c>
      <c r="O243" s="635" t="s">
        <v>322</v>
      </c>
      <c r="P243" s="635"/>
      <c r="Q243" s="635"/>
      <c r="R243" s="635" t="s">
        <v>322</v>
      </c>
      <c r="S243" s="635" t="s">
        <v>322</v>
      </c>
      <c r="T243" s="635" t="s">
        <v>322</v>
      </c>
      <c r="U243" s="635" t="s">
        <v>322</v>
      </c>
      <c r="V243" s="635" t="s">
        <v>322</v>
      </c>
      <c r="W243" s="635"/>
      <c r="X243" s="635"/>
      <c r="Y243" s="635" t="s">
        <v>322</v>
      </c>
      <c r="Z243" s="635" t="s">
        <v>322</v>
      </c>
      <c r="AA243" s="968" t="s">
        <v>322</v>
      </c>
      <c r="AB243" s="635" t="s">
        <v>322</v>
      </c>
      <c r="AC243" s="635" t="s">
        <v>322</v>
      </c>
      <c r="AD243" s="635"/>
      <c r="AE243" s="635"/>
      <c r="AF243" s="635" t="s">
        <v>322</v>
      </c>
      <c r="AG243" s="801"/>
    </row>
    <row r="244" spans="1:35" ht="18" customHeight="1" x14ac:dyDescent="0.2">
      <c r="A244" s="96"/>
    </row>
    <row r="245" spans="1:35" ht="18" customHeight="1" x14ac:dyDescent="0.2"/>
    <row r="246" spans="1:35" ht="18" customHeight="1" x14ac:dyDescent="0.2">
      <c r="A246" s="1" t="s">
        <v>339</v>
      </c>
    </row>
    <row r="247" spans="1:35" ht="18" customHeight="1" x14ac:dyDescent="0.2">
      <c r="A247" s="1"/>
      <c r="B247" s="1014" t="s">
        <v>340</v>
      </c>
      <c r="C247" s="2368" t="s">
        <v>17</v>
      </c>
      <c r="D247" s="2265"/>
      <c r="E247" s="2265"/>
      <c r="F247" s="2265"/>
      <c r="G247" s="2368" t="s">
        <v>18</v>
      </c>
      <c r="H247" s="2265"/>
      <c r="I247" s="2265"/>
      <c r="J247" s="2265"/>
      <c r="K247" s="2368" t="s">
        <v>19</v>
      </c>
      <c r="L247" s="2265"/>
      <c r="M247" s="2265"/>
      <c r="N247" s="2265"/>
      <c r="O247" s="2368" t="s">
        <v>20</v>
      </c>
      <c r="P247" s="2265"/>
      <c r="Q247" s="2265"/>
      <c r="R247" s="2265"/>
      <c r="S247" s="2368" t="s">
        <v>21</v>
      </c>
      <c r="T247" s="2265"/>
      <c r="U247" s="2265"/>
      <c r="V247" s="2265"/>
      <c r="W247" s="2368" t="s">
        <v>22</v>
      </c>
      <c r="X247" s="2103"/>
      <c r="Y247" s="2265"/>
      <c r="Z247" s="2369"/>
      <c r="AA247" s="2368" t="s">
        <v>23</v>
      </c>
      <c r="AB247" s="2103"/>
      <c r="AC247" s="2265"/>
      <c r="AD247" s="2369"/>
      <c r="AE247" s="2370" t="s">
        <v>126</v>
      </c>
      <c r="AF247" s="2265"/>
      <c r="AG247" s="2265"/>
      <c r="AH247" s="2265"/>
      <c r="AI247" s="2270"/>
    </row>
    <row r="248" spans="1:35" ht="18" customHeight="1" x14ac:dyDescent="0.2">
      <c r="A248" s="1"/>
      <c r="B248" s="1946">
        <v>3701</v>
      </c>
      <c r="C248" s="70" t="s">
        <v>341</v>
      </c>
      <c r="D248" s="70"/>
      <c r="E248" s="70"/>
      <c r="F248" s="70"/>
      <c r="G248" s="1807" t="s">
        <v>342</v>
      </c>
      <c r="H248" s="70"/>
      <c r="I248" s="70"/>
      <c r="J248" s="70"/>
      <c r="K248" s="1807" t="s">
        <v>342</v>
      </c>
      <c r="L248" s="70"/>
      <c r="M248" s="70"/>
      <c r="N248" s="70"/>
      <c r="O248" s="1807" t="s">
        <v>342</v>
      </c>
      <c r="P248" s="70"/>
      <c r="Q248" s="70"/>
      <c r="R248" s="70"/>
      <c r="S248" s="1807" t="s">
        <v>343</v>
      </c>
      <c r="T248" s="70"/>
      <c r="U248" s="70"/>
      <c r="V248" s="70"/>
      <c r="W248" s="2272"/>
      <c r="X248" s="1947"/>
      <c r="Y248" s="2116"/>
      <c r="Z248" s="1948"/>
      <c r="AA248" s="2272"/>
      <c r="AB248" s="1947"/>
      <c r="AC248" s="2116"/>
      <c r="AD248" s="1948"/>
      <c r="AE248" s="2319"/>
      <c r="AF248" s="2116"/>
      <c r="AG248" s="2116"/>
      <c r="AH248" s="2116"/>
      <c r="AI248" s="2274"/>
    </row>
    <row r="249" spans="1:35" ht="18" customHeight="1" x14ac:dyDescent="0.2">
      <c r="B249" s="1014">
        <v>3700</v>
      </c>
      <c r="C249" s="2116" t="s">
        <v>249</v>
      </c>
      <c r="D249" s="2116"/>
      <c r="E249" s="2116"/>
      <c r="F249" s="2116"/>
      <c r="G249" s="2275" t="s">
        <v>249</v>
      </c>
      <c r="H249" s="2116"/>
      <c r="I249" s="2116"/>
      <c r="J249" s="2116"/>
      <c r="K249" s="2275" t="s">
        <v>249</v>
      </c>
      <c r="L249" s="2116"/>
      <c r="M249" s="2116"/>
      <c r="N249" s="2116"/>
      <c r="O249" s="2275" t="s">
        <v>249</v>
      </c>
      <c r="P249" s="2116"/>
      <c r="Q249" s="2116"/>
      <c r="R249" s="2116"/>
      <c r="S249" s="2275" t="s">
        <v>250</v>
      </c>
      <c r="T249" s="2116"/>
      <c r="U249" s="2116"/>
      <c r="V249" s="2116"/>
      <c r="W249" s="2272"/>
      <c r="X249" s="2116"/>
      <c r="Y249" s="2116"/>
      <c r="Z249" s="2321"/>
      <c r="AA249" s="2319"/>
      <c r="AB249" s="2116"/>
      <c r="AC249" s="2116"/>
      <c r="AD249" s="2169"/>
      <c r="AE249" s="1949"/>
      <c r="AF249" s="2116"/>
      <c r="AG249" s="2116"/>
      <c r="AH249" s="2169"/>
      <c r="AI249" s="2274"/>
    </row>
    <row r="250" spans="1:35" ht="18" customHeight="1" x14ac:dyDescent="0.2">
      <c r="A250" s="1"/>
      <c r="B250" s="1014">
        <v>8514</v>
      </c>
      <c r="C250" s="2116" t="s">
        <v>342</v>
      </c>
      <c r="D250" s="2116"/>
      <c r="E250" s="2116"/>
      <c r="F250" s="2116"/>
      <c r="G250" s="2275" t="s">
        <v>342</v>
      </c>
      <c r="H250" s="2116"/>
      <c r="I250" s="2116"/>
      <c r="J250" s="2116"/>
      <c r="K250" s="2275" t="s">
        <v>342</v>
      </c>
      <c r="L250" s="2116"/>
      <c r="M250" s="2116"/>
      <c r="N250" s="2116"/>
      <c r="O250" s="2275" t="s">
        <v>342</v>
      </c>
      <c r="P250" s="2116"/>
      <c r="Q250" s="2116"/>
      <c r="R250" s="2116"/>
      <c r="S250" s="2275" t="s">
        <v>344</v>
      </c>
      <c r="T250" s="2116"/>
      <c r="U250" s="2116"/>
      <c r="V250" s="2116"/>
      <c r="W250" s="2272"/>
      <c r="X250" s="2116"/>
      <c r="Y250" s="2116"/>
      <c r="Z250" s="2321"/>
      <c r="AA250" s="2168"/>
      <c r="AB250" s="2116"/>
      <c r="AC250" s="2116"/>
      <c r="AD250" s="2169"/>
      <c r="AE250" s="2168"/>
      <c r="AF250" s="2116"/>
      <c r="AG250" s="2116"/>
      <c r="AH250" s="2169"/>
      <c r="AI250" s="2274"/>
    </row>
    <row r="251" spans="1:35" ht="18" customHeight="1" x14ac:dyDescent="0.2">
      <c r="A251" s="1"/>
      <c r="B251" s="1014">
        <v>8500</v>
      </c>
      <c r="C251" s="875" t="s">
        <v>345</v>
      </c>
      <c r="D251" s="875"/>
      <c r="E251" s="875"/>
      <c r="F251" s="875"/>
      <c r="G251" s="1022" t="s">
        <v>345</v>
      </c>
      <c r="H251" s="875"/>
      <c r="I251" s="875"/>
      <c r="J251" s="875"/>
      <c r="K251" s="1022" t="s">
        <v>345</v>
      </c>
      <c r="L251" s="875"/>
      <c r="M251" s="875"/>
      <c r="N251" s="875"/>
      <c r="O251" s="1022" t="s">
        <v>345</v>
      </c>
      <c r="P251" s="875"/>
      <c r="Q251" s="875"/>
      <c r="R251" s="875"/>
      <c r="S251" s="1022" t="s">
        <v>346</v>
      </c>
      <c r="T251" s="875"/>
      <c r="U251" s="875"/>
      <c r="V251" s="875"/>
      <c r="W251" s="2272"/>
      <c r="X251" s="875"/>
      <c r="Y251" s="875"/>
      <c r="Z251" s="1023"/>
      <c r="AA251" s="1024"/>
      <c r="AB251" s="875"/>
      <c r="AC251" s="875"/>
      <c r="AD251" s="1023"/>
      <c r="AE251" s="1024"/>
      <c r="AF251" s="875"/>
      <c r="AG251" s="875"/>
      <c r="AH251" s="1025"/>
      <c r="AI251" s="1026"/>
    </row>
    <row r="252" spans="1:35" ht="18" customHeight="1" x14ac:dyDescent="0.2">
      <c r="A252" s="1"/>
      <c r="B252" s="1014">
        <v>8514</v>
      </c>
      <c r="C252" s="1027" t="s">
        <v>342</v>
      </c>
      <c r="D252" s="1027"/>
      <c r="E252" s="1027"/>
      <c r="F252" s="1027"/>
      <c r="G252" s="1028" t="s">
        <v>342</v>
      </c>
      <c r="H252" s="1027"/>
      <c r="I252" s="1027"/>
      <c r="J252" s="1027"/>
      <c r="K252" s="1028" t="s">
        <v>342</v>
      </c>
      <c r="L252" s="1027"/>
      <c r="M252" s="1027"/>
      <c r="N252" s="1027"/>
      <c r="O252" s="1028" t="s">
        <v>342</v>
      </c>
      <c r="P252" s="1027"/>
      <c r="Q252" s="1027"/>
      <c r="R252" s="1027"/>
      <c r="S252" s="1028" t="s">
        <v>344</v>
      </c>
      <c r="T252" s="1027"/>
      <c r="U252" s="1027"/>
      <c r="V252" s="1027"/>
      <c r="W252" s="1950"/>
      <c r="X252" s="1030"/>
      <c r="Y252" s="875"/>
      <c r="Z252" s="1031"/>
      <c r="AA252" s="1032"/>
      <c r="AB252" s="1030"/>
      <c r="AC252" s="875"/>
      <c r="AD252" s="875"/>
      <c r="AE252" s="1033"/>
      <c r="AF252" s="875"/>
      <c r="AG252" s="875"/>
      <c r="AH252" s="875"/>
      <c r="AI252" s="1026"/>
    </row>
    <row r="253" spans="1:35" ht="18" customHeight="1" x14ac:dyDescent="0.2">
      <c r="A253" s="1"/>
      <c r="B253" s="1034" t="s">
        <v>347</v>
      </c>
      <c r="C253" s="2123" t="s">
        <v>10</v>
      </c>
      <c r="D253" s="2123"/>
      <c r="E253" s="2123"/>
      <c r="F253" s="2123"/>
      <c r="G253" s="1951" t="s">
        <v>10</v>
      </c>
      <c r="H253" s="2123"/>
      <c r="I253" s="2123"/>
      <c r="J253" s="2123"/>
      <c r="K253" s="2277" t="s">
        <v>10</v>
      </c>
      <c r="L253" s="2123"/>
      <c r="M253" s="2123"/>
      <c r="N253" s="2123"/>
      <c r="O253" s="1951" t="s">
        <v>10</v>
      </c>
      <c r="P253" s="2123"/>
      <c r="Q253" s="2123"/>
      <c r="R253" s="2123"/>
      <c r="S253" s="1951" t="s">
        <v>10</v>
      </c>
      <c r="T253" s="2123"/>
      <c r="U253" s="2123"/>
      <c r="V253" s="2123"/>
      <c r="W253" s="2277"/>
      <c r="X253" s="2123"/>
      <c r="Y253" s="2123"/>
      <c r="Z253" s="2358"/>
      <c r="AA253" s="2332"/>
      <c r="AB253" s="2123"/>
      <c r="AC253" s="2123"/>
      <c r="AD253" s="2339"/>
      <c r="AE253" s="1952"/>
      <c r="AF253" s="2123"/>
      <c r="AG253" s="2123"/>
      <c r="AH253" s="2339"/>
      <c r="AI253" s="2126"/>
    </row>
    <row r="254" spans="1:35" ht="18" customHeight="1" x14ac:dyDescent="0.2">
      <c r="A254" s="1"/>
      <c r="B254" s="5"/>
      <c r="C254" s="42"/>
      <c r="D254" s="70"/>
      <c r="E254" s="70"/>
      <c r="F254" s="46"/>
      <c r="G254" s="42"/>
      <c r="H254" s="70"/>
      <c r="I254" s="70"/>
      <c r="J254" s="46"/>
      <c r="K254" s="42"/>
      <c r="L254" s="70"/>
      <c r="M254" s="70"/>
      <c r="N254" s="46"/>
      <c r="O254" s="42"/>
      <c r="P254" s="70"/>
      <c r="Q254" s="70"/>
      <c r="R254" s="46"/>
      <c r="S254" s="42"/>
      <c r="T254" s="70"/>
      <c r="U254" s="70"/>
      <c r="V254" s="46"/>
      <c r="W254" s="46"/>
      <c r="Z254" s="46"/>
      <c r="AA254" s="46"/>
      <c r="AD254" s="46"/>
      <c r="AE254" s="46"/>
      <c r="AH254" s="46"/>
    </row>
    <row r="255" spans="1:35" ht="18" customHeight="1" x14ac:dyDescent="0.2">
      <c r="A255" s="1" t="s">
        <v>348</v>
      </c>
      <c r="B255" s="5"/>
      <c r="C255" s="42"/>
      <c r="D255" s="70"/>
      <c r="E255" s="70"/>
      <c r="F255" s="46"/>
      <c r="G255" s="42"/>
      <c r="H255" s="70"/>
      <c r="I255" s="70"/>
      <c r="J255" s="46"/>
      <c r="K255" s="42"/>
      <c r="L255" s="70"/>
      <c r="M255" s="70"/>
      <c r="N255" s="46"/>
      <c r="O255" s="42"/>
      <c r="P255" s="70"/>
      <c r="Q255" s="70"/>
      <c r="R255" s="46"/>
      <c r="S255" s="42"/>
      <c r="T255" s="70"/>
      <c r="U255" s="70"/>
      <c r="V255" s="46"/>
      <c r="W255" s="46"/>
      <c r="Z255" s="46"/>
      <c r="AA255" s="46"/>
      <c r="AD255" s="46"/>
      <c r="AE255" s="46"/>
      <c r="AH255" s="46"/>
    </row>
    <row r="256" spans="1:35" ht="18" customHeight="1" x14ac:dyDescent="0.2">
      <c r="A256" s="2308"/>
      <c r="B256" s="2128" t="s">
        <v>448</v>
      </c>
      <c r="C256" s="396">
        <v>1</v>
      </c>
      <c r="D256" s="395">
        <v>2</v>
      </c>
      <c r="E256" s="395">
        <v>3</v>
      </c>
      <c r="F256" s="395">
        <v>4</v>
      </c>
      <c r="G256" s="395">
        <v>5</v>
      </c>
      <c r="H256" s="395">
        <v>6</v>
      </c>
      <c r="I256" s="396">
        <v>7</v>
      </c>
      <c r="J256" s="396">
        <v>8</v>
      </c>
      <c r="K256" s="395">
        <v>9</v>
      </c>
      <c r="L256" s="395">
        <v>10</v>
      </c>
      <c r="M256" s="395">
        <v>11</v>
      </c>
      <c r="N256" s="395">
        <v>12</v>
      </c>
      <c r="O256" s="395">
        <v>13</v>
      </c>
      <c r="P256" s="396">
        <v>14</v>
      </c>
      <c r="Q256" s="396">
        <v>15</v>
      </c>
      <c r="R256" s="395">
        <v>16</v>
      </c>
      <c r="S256" s="395">
        <v>17</v>
      </c>
      <c r="T256" s="395">
        <v>18</v>
      </c>
      <c r="U256" s="395">
        <v>19</v>
      </c>
      <c r="V256" s="395">
        <v>20</v>
      </c>
      <c r="W256" s="396">
        <v>21</v>
      </c>
      <c r="X256" s="396">
        <v>22</v>
      </c>
      <c r="Y256" s="395">
        <v>23</v>
      </c>
      <c r="Z256" s="395">
        <v>24</v>
      </c>
      <c r="AA256" s="395">
        <v>25</v>
      </c>
      <c r="AB256" s="395">
        <v>26</v>
      </c>
      <c r="AC256" s="395">
        <v>27</v>
      </c>
      <c r="AD256" s="396">
        <v>28</v>
      </c>
      <c r="AE256" s="396">
        <v>29</v>
      </c>
      <c r="AF256" s="395">
        <v>30</v>
      </c>
      <c r="AG256" s="2026"/>
    </row>
    <row r="257" spans="1:33" ht="18" customHeight="1" x14ac:dyDescent="0.2">
      <c r="A257" s="1713"/>
      <c r="B257" s="1714" t="s">
        <v>349</v>
      </c>
      <c r="C257" s="2371"/>
      <c r="D257" s="2371" t="s">
        <v>46</v>
      </c>
      <c r="E257" s="2371" t="s">
        <v>46</v>
      </c>
      <c r="F257" s="2371" t="s">
        <v>46</v>
      </c>
      <c r="G257" s="2372" t="s">
        <v>46</v>
      </c>
      <c r="H257" s="2372" t="s">
        <v>46</v>
      </c>
      <c r="I257" s="2372"/>
      <c r="J257" s="2371"/>
      <c r="K257" s="2371" t="s">
        <v>46</v>
      </c>
      <c r="L257" s="2371" t="s">
        <v>46</v>
      </c>
      <c r="M257" s="2371" t="s">
        <v>46</v>
      </c>
      <c r="N257" s="2372" t="s">
        <v>46</v>
      </c>
      <c r="O257" s="2372" t="s">
        <v>46</v>
      </c>
      <c r="P257" s="2372"/>
      <c r="Q257" s="2371"/>
      <c r="R257" s="2371" t="s">
        <v>46</v>
      </c>
      <c r="S257" s="2371" t="s">
        <v>46</v>
      </c>
      <c r="T257" s="2371" t="s">
        <v>46</v>
      </c>
      <c r="U257" s="2372" t="s">
        <v>46</v>
      </c>
      <c r="V257" s="2372" t="s">
        <v>46</v>
      </c>
      <c r="W257" s="2372"/>
      <c r="X257" s="2371"/>
      <c r="Y257" s="2371" t="s">
        <v>46</v>
      </c>
      <c r="Z257" s="2371" t="s">
        <v>46</v>
      </c>
      <c r="AA257" s="2371" t="s">
        <v>46</v>
      </c>
      <c r="AB257" s="2372" t="s">
        <v>46</v>
      </c>
      <c r="AC257" s="2372" t="s">
        <v>46</v>
      </c>
      <c r="AD257" s="2372"/>
      <c r="AE257" s="2371"/>
      <c r="AF257" s="2371" t="s">
        <v>46</v>
      </c>
      <c r="AG257" s="2373"/>
    </row>
    <row r="258" spans="1:33" ht="18" customHeight="1" x14ac:dyDescent="0.2">
      <c r="A258" s="1039"/>
      <c r="B258" s="1040" t="s">
        <v>350</v>
      </c>
      <c r="C258" s="818"/>
      <c r="D258" s="818"/>
      <c r="E258" s="818"/>
      <c r="F258" s="818"/>
      <c r="G258" s="636"/>
      <c r="H258" s="636"/>
      <c r="I258" s="636"/>
      <c r="J258" s="818"/>
      <c r="K258" s="818"/>
      <c r="L258" s="818"/>
      <c r="M258" s="818"/>
      <c r="N258" s="636"/>
      <c r="O258" s="636"/>
      <c r="P258" s="636"/>
      <c r="Q258" s="818"/>
      <c r="R258" s="818"/>
      <c r="S258" s="818"/>
      <c r="T258" s="818"/>
      <c r="U258" s="636"/>
      <c r="V258" s="636"/>
      <c r="W258" s="636"/>
      <c r="X258" s="818"/>
      <c r="Y258" s="818"/>
      <c r="Z258" s="818"/>
      <c r="AA258" s="818"/>
      <c r="AB258" s="636"/>
      <c r="AC258" s="636"/>
      <c r="AD258" s="636"/>
      <c r="AE258" s="818"/>
      <c r="AF258" s="818"/>
      <c r="AG258" s="1041"/>
    </row>
    <row r="259" spans="1:33" ht="18" customHeight="1" x14ac:dyDescent="0.2">
      <c r="A259" s="1042">
        <v>8514</v>
      </c>
      <c r="B259" s="1043" t="s">
        <v>351</v>
      </c>
      <c r="C259" s="818"/>
      <c r="D259" s="818" t="s">
        <v>46</v>
      </c>
      <c r="E259" s="818" t="s">
        <v>46</v>
      </c>
      <c r="F259" s="818" t="s">
        <v>46</v>
      </c>
      <c r="G259" s="636" t="s">
        <v>46</v>
      </c>
      <c r="H259" s="636" t="s">
        <v>46</v>
      </c>
      <c r="I259" s="636"/>
      <c r="J259" s="818"/>
      <c r="K259" s="818" t="s">
        <v>46</v>
      </c>
      <c r="L259" s="818" t="s">
        <v>46</v>
      </c>
      <c r="M259" s="818" t="s">
        <v>46</v>
      </c>
      <c r="N259" s="636" t="s">
        <v>46</v>
      </c>
      <c r="O259" s="636" t="s">
        <v>46</v>
      </c>
      <c r="P259" s="636"/>
      <c r="Q259" s="818"/>
      <c r="R259" s="818" t="s">
        <v>46</v>
      </c>
      <c r="S259" s="818" t="s">
        <v>46</v>
      </c>
      <c r="T259" s="818" t="s">
        <v>46</v>
      </c>
      <c r="U259" s="636" t="s">
        <v>46</v>
      </c>
      <c r="V259" s="636" t="s">
        <v>46</v>
      </c>
      <c r="W259" s="636"/>
      <c r="X259" s="818"/>
      <c r="Y259" s="818" t="s">
        <v>46</v>
      </c>
      <c r="Z259" s="818" t="s">
        <v>46</v>
      </c>
      <c r="AA259" s="818" t="s">
        <v>46</v>
      </c>
      <c r="AB259" s="636" t="s">
        <v>46</v>
      </c>
      <c r="AC259" s="636" t="s">
        <v>46</v>
      </c>
      <c r="AD259" s="636"/>
      <c r="AE259" s="818"/>
      <c r="AF259" s="818" t="s">
        <v>46</v>
      </c>
      <c r="AG259" s="1041"/>
    </row>
    <row r="260" spans="1:33" ht="18" customHeight="1" x14ac:dyDescent="0.2">
      <c r="A260" s="1042">
        <v>3701</v>
      </c>
      <c r="B260" s="1044" t="s">
        <v>352</v>
      </c>
      <c r="C260" s="818"/>
      <c r="D260" s="818"/>
      <c r="E260" s="818"/>
      <c r="F260" s="818"/>
      <c r="G260" s="636"/>
      <c r="H260" s="636"/>
      <c r="I260" s="636"/>
      <c r="J260" s="818"/>
      <c r="K260" s="818"/>
      <c r="L260" s="818"/>
      <c r="M260" s="818"/>
      <c r="N260" s="636"/>
      <c r="O260" s="636"/>
      <c r="P260" s="636"/>
      <c r="Q260" s="818"/>
      <c r="R260" s="818"/>
      <c r="S260" s="818"/>
      <c r="T260" s="818"/>
      <c r="U260" s="636"/>
      <c r="V260" s="636"/>
      <c r="W260" s="636"/>
      <c r="X260" s="818"/>
      <c r="Y260" s="818"/>
      <c r="Z260" s="818"/>
      <c r="AA260" s="818"/>
      <c r="AB260" s="636"/>
      <c r="AC260" s="636"/>
      <c r="AD260" s="636"/>
      <c r="AE260" s="818"/>
      <c r="AF260" s="818"/>
      <c r="AG260" s="1041"/>
    </row>
    <row r="261" spans="1:33" ht="18" customHeight="1" x14ac:dyDescent="0.2">
      <c r="A261" s="1042">
        <v>3701</v>
      </c>
      <c r="B261" s="1012" t="s">
        <v>353</v>
      </c>
      <c r="C261" s="818"/>
      <c r="D261" s="818" t="s">
        <v>46</v>
      </c>
      <c r="E261" s="818" t="s">
        <v>46</v>
      </c>
      <c r="F261" s="818" t="s">
        <v>46</v>
      </c>
      <c r="G261" s="636" t="s">
        <v>46</v>
      </c>
      <c r="H261" s="636" t="s">
        <v>46</v>
      </c>
      <c r="I261" s="636"/>
      <c r="J261" s="818"/>
      <c r="K261" s="818" t="s">
        <v>46</v>
      </c>
      <c r="L261" s="818" t="s">
        <v>46</v>
      </c>
      <c r="M261" s="818" t="s">
        <v>46</v>
      </c>
      <c r="N261" s="635" t="s">
        <v>46</v>
      </c>
      <c r="O261" s="636" t="s">
        <v>46</v>
      </c>
      <c r="P261" s="636"/>
      <c r="Q261" s="818"/>
      <c r="R261" s="818" t="s">
        <v>46</v>
      </c>
      <c r="S261" s="818" t="s">
        <v>46</v>
      </c>
      <c r="T261" s="968" t="s">
        <v>46</v>
      </c>
      <c r="U261" s="968" t="s">
        <v>46</v>
      </c>
      <c r="V261" s="968" t="s">
        <v>46</v>
      </c>
      <c r="W261" s="636"/>
      <c r="X261" s="818"/>
      <c r="Y261" s="818" t="s">
        <v>46</v>
      </c>
      <c r="Z261" s="818" t="s">
        <v>46</v>
      </c>
      <c r="AA261" s="818" t="s">
        <v>46</v>
      </c>
      <c r="AB261" s="636" t="s">
        <v>46</v>
      </c>
      <c r="AC261" s="636" t="s">
        <v>46</v>
      </c>
      <c r="AD261" s="636"/>
      <c r="AE261" s="818"/>
      <c r="AF261" s="818" t="s">
        <v>46</v>
      </c>
      <c r="AG261" s="1041"/>
    </row>
    <row r="262" spans="1:33" ht="18" customHeight="1" x14ac:dyDescent="0.2">
      <c r="A262" s="1042">
        <v>3701</v>
      </c>
      <c r="B262" s="1012" t="s">
        <v>354</v>
      </c>
      <c r="C262" s="818"/>
      <c r="D262" s="818" t="s">
        <v>46</v>
      </c>
      <c r="E262" s="818" t="s">
        <v>46</v>
      </c>
      <c r="F262" s="818" t="s">
        <v>46</v>
      </c>
      <c r="G262" s="636" t="s">
        <v>46</v>
      </c>
      <c r="H262" s="636" t="s">
        <v>46</v>
      </c>
      <c r="I262" s="636"/>
      <c r="J262" s="818"/>
      <c r="K262" s="833" t="s">
        <v>46</v>
      </c>
      <c r="L262" s="833" t="s">
        <v>46</v>
      </c>
      <c r="M262" s="833" t="s">
        <v>46</v>
      </c>
      <c r="N262" s="635" t="s">
        <v>46</v>
      </c>
      <c r="O262" s="636" t="s">
        <v>46</v>
      </c>
      <c r="P262" s="636"/>
      <c r="Q262" s="818"/>
      <c r="R262" s="805" t="s">
        <v>46</v>
      </c>
      <c r="S262" s="805" t="s">
        <v>46</v>
      </c>
      <c r="T262" s="805" t="s">
        <v>79</v>
      </c>
      <c r="U262" s="636" t="s">
        <v>46</v>
      </c>
      <c r="V262" s="636" t="s">
        <v>46</v>
      </c>
      <c r="W262" s="636"/>
      <c r="X262" s="818"/>
      <c r="Y262" s="818" t="s">
        <v>46</v>
      </c>
      <c r="Z262" s="818" t="s">
        <v>46</v>
      </c>
      <c r="AA262" s="818" t="s">
        <v>46</v>
      </c>
      <c r="AB262" s="636" t="s">
        <v>46</v>
      </c>
      <c r="AC262" s="636" t="s">
        <v>46</v>
      </c>
      <c r="AD262" s="636"/>
      <c r="AE262" s="818"/>
      <c r="AF262" s="818" t="s">
        <v>46</v>
      </c>
      <c r="AG262" s="1041"/>
    </row>
    <row r="263" spans="1:33" ht="18" customHeight="1" x14ac:dyDescent="0.2">
      <c r="A263" s="1042">
        <v>3701</v>
      </c>
      <c r="B263" s="1012" t="s">
        <v>355</v>
      </c>
      <c r="C263" s="818"/>
      <c r="D263" s="818" t="s">
        <v>46</v>
      </c>
      <c r="E263" s="818" t="s">
        <v>46</v>
      </c>
      <c r="F263" s="818" t="s">
        <v>46</v>
      </c>
      <c r="G263" s="636" t="s">
        <v>46</v>
      </c>
      <c r="H263" s="636" t="s">
        <v>46</v>
      </c>
      <c r="I263" s="636"/>
      <c r="J263" s="818"/>
      <c r="K263" s="818" t="s">
        <v>46</v>
      </c>
      <c r="L263" s="818" t="s">
        <v>46</v>
      </c>
      <c r="M263" s="818" t="s">
        <v>46</v>
      </c>
      <c r="N263" s="635" t="s">
        <v>46</v>
      </c>
      <c r="O263" s="636" t="s">
        <v>46</v>
      </c>
      <c r="P263" s="636"/>
      <c r="Q263" s="818"/>
      <c r="R263" s="833" t="s">
        <v>46</v>
      </c>
      <c r="S263" s="833" t="s">
        <v>46</v>
      </c>
      <c r="T263" s="833" t="s">
        <v>46</v>
      </c>
      <c r="U263" s="833" t="s">
        <v>46</v>
      </c>
      <c r="V263" s="833" t="s">
        <v>46</v>
      </c>
      <c r="W263" s="636"/>
      <c r="X263" s="818"/>
      <c r="Y263" s="818" t="s">
        <v>46</v>
      </c>
      <c r="Z263" s="818" t="s">
        <v>46</v>
      </c>
      <c r="AA263" s="818" t="s">
        <v>46</v>
      </c>
      <c r="AB263" s="636" t="s">
        <v>46</v>
      </c>
      <c r="AC263" s="636" t="s">
        <v>46</v>
      </c>
      <c r="AD263" s="636"/>
      <c r="AE263" s="818"/>
      <c r="AF263" s="818" t="s">
        <v>46</v>
      </c>
      <c r="AG263" s="1041"/>
    </row>
    <row r="264" spans="1:33" ht="18" customHeight="1" x14ac:dyDescent="0.2">
      <c r="A264" s="1042">
        <v>3701</v>
      </c>
      <c r="B264" s="1044" t="s">
        <v>357</v>
      </c>
      <c r="C264" s="818"/>
      <c r="D264" s="818"/>
      <c r="E264" s="818"/>
      <c r="F264" s="818"/>
      <c r="G264" s="636"/>
      <c r="H264" s="636"/>
      <c r="I264" s="636"/>
      <c r="J264" s="818"/>
      <c r="K264" s="818"/>
      <c r="L264" s="818"/>
      <c r="M264" s="818"/>
      <c r="N264" s="636"/>
      <c r="O264" s="636"/>
      <c r="P264" s="636"/>
      <c r="Q264" s="818"/>
      <c r="R264" s="818"/>
      <c r="S264" s="818"/>
      <c r="T264" s="818"/>
      <c r="U264" s="636"/>
      <c r="V264" s="636"/>
      <c r="W264" s="636"/>
      <c r="X264" s="818"/>
      <c r="Y264" s="818"/>
      <c r="Z264" s="818"/>
      <c r="AA264" s="818"/>
      <c r="AB264" s="636"/>
      <c r="AC264" s="636"/>
      <c r="AD264" s="636"/>
      <c r="AE264" s="818"/>
      <c r="AF264" s="818"/>
      <c r="AG264" s="1041"/>
    </row>
    <row r="265" spans="1:33" ht="18" customHeight="1" x14ac:dyDescent="0.2">
      <c r="A265" s="1042">
        <v>3701</v>
      </c>
      <c r="B265" s="1012" t="s">
        <v>358</v>
      </c>
      <c r="C265" s="818"/>
      <c r="D265" s="818" t="s">
        <v>46</v>
      </c>
      <c r="E265" s="818" t="s">
        <v>46</v>
      </c>
      <c r="F265" s="818" t="s">
        <v>46</v>
      </c>
      <c r="G265" s="636" t="s">
        <v>46</v>
      </c>
      <c r="H265" s="636" t="s">
        <v>46</v>
      </c>
      <c r="I265" s="636"/>
      <c r="J265" s="818"/>
      <c r="K265" s="818" t="s">
        <v>46</v>
      </c>
      <c r="L265" s="818" t="s">
        <v>46</v>
      </c>
      <c r="M265" s="818" t="s">
        <v>46</v>
      </c>
      <c r="N265" s="635" t="s">
        <v>46</v>
      </c>
      <c r="O265" s="636" t="s">
        <v>46</v>
      </c>
      <c r="P265" s="636"/>
      <c r="Q265" s="818"/>
      <c r="R265" s="818" t="s">
        <v>46</v>
      </c>
      <c r="S265" s="818" t="s">
        <v>46</v>
      </c>
      <c r="T265" s="818" t="s">
        <v>46</v>
      </c>
      <c r="U265" s="636" t="s">
        <v>46</v>
      </c>
      <c r="V265" s="636" t="s">
        <v>46</v>
      </c>
      <c r="W265" s="636"/>
      <c r="X265" s="818"/>
      <c r="Y265" s="818" t="s">
        <v>46</v>
      </c>
      <c r="Z265" s="818" t="s">
        <v>46</v>
      </c>
      <c r="AA265" s="818" t="s">
        <v>46</v>
      </c>
      <c r="AB265" s="636" t="s">
        <v>46</v>
      </c>
      <c r="AC265" s="636" t="s">
        <v>46</v>
      </c>
      <c r="AD265" s="636"/>
      <c r="AE265" s="818"/>
      <c r="AF265" s="818" t="s">
        <v>46</v>
      </c>
      <c r="AG265" s="1041"/>
    </row>
    <row r="266" spans="1:33" ht="18" customHeight="1" x14ac:dyDescent="0.2">
      <c r="A266" s="1042">
        <v>3701</v>
      </c>
      <c r="B266" s="1012" t="s">
        <v>359</v>
      </c>
      <c r="C266" s="818"/>
      <c r="D266" s="818" t="s">
        <v>46</v>
      </c>
      <c r="E266" s="818" t="s">
        <v>46</v>
      </c>
      <c r="F266" s="818" t="s">
        <v>46</v>
      </c>
      <c r="G266" s="636" t="s">
        <v>46</v>
      </c>
      <c r="H266" s="636" t="s">
        <v>46</v>
      </c>
      <c r="I266" s="636"/>
      <c r="J266" s="818"/>
      <c r="K266" s="818" t="s">
        <v>46</v>
      </c>
      <c r="L266" s="818" t="s">
        <v>46</v>
      </c>
      <c r="M266" s="818" t="s">
        <v>46</v>
      </c>
      <c r="N266" s="635" t="s">
        <v>46</v>
      </c>
      <c r="O266" s="636" t="s">
        <v>46</v>
      </c>
      <c r="P266" s="636"/>
      <c r="Q266" s="818"/>
      <c r="R266" s="818" t="s">
        <v>46</v>
      </c>
      <c r="S266" s="2256" t="s">
        <v>46</v>
      </c>
      <c r="T266" s="818" t="s">
        <v>46</v>
      </c>
      <c r="U266" s="636" t="s">
        <v>46</v>
      </c>
      <c r="V266" s="636" t="s">
        <v>46</v>
      </c>
      <c r="W266" s="636"/>
      <c r="X266" s="818"/>
      <c r="Y266" s="818" t="s">
        <v>46</v>
      </c>
      <c r="Z266" s="818" t="s">
        <v>46</v>
      </c>
      <c r="AA266" s="818" t="s">
        <v>458</v>
      </c>
      <c r="AB266" s="636" t="s">
        <v>46</v>
      </c>
      <c r="AC266" s="636" t="s">
        <v>46</v>
      </c>
      <c r="AD266" s="636"/>
      <c r="AE266" s="818"/>
      <c r="AF266" s="818" t="s">
        <v>46</v>
      </c>
      <c r="AG266" s="1041"/>
    </row>
    <row r="267" spans="1:33" ht="18" customHeight="1" x14ac:dyDescent="0.2">
      <c r="A267" s="1046">
        <v>3701</v>
      </c>
      <c r="B267" s="1012" t="s">
        <v>360</v>
      </c>
      <c r="C267" s="818"/>
      <c r="D267" s="818" t="s">
        <v>46</v>
      </c>
      <c r="E267" s="818" t="s">
        <v>46</v>
      </c>
      <c r="F267" s="818" t="s">
        <v>46</v>
      </c>
      <c r="G267" s="636" t="s">
        <v>46</v>
      </c>
      <c r="H267" s="636" t="s">
        <v>46</v>
      </c>
      <c r="I267" s="636"/>
      <c r="J267" s="818"/>
      <c r="K267" s="818" t="s">
        <v>46</v>
      </c>
      <c r="L267" s="818" t="s">
        <v>46</v>
      </c>
      <c r="M267" s="818" t="s">
        <v>46</v>
      </c>
      <c r="N267" s="635" t="s">
        <v>46</v>
      </c>
      <c r="O267" s="636" t="s">
        <v>46</v>
      </c>
      <c r="P267" s="636"/>
      <c r="Q267" s="818"/>
      <c r="R267" s="818" t="s">
        <v>46</v>
      </c>
      <c r="S267" s="818" t="s">
        <v>46</v>
      </c>
      <c r="T267" s="818" t="s">
        <v>46</v>
      </c>
      <c r="U267" s="636" t="s">
        <v>46</v>
      </c>
      <c r="V267" s="636" t="s">
        <v>46</v>
      </c>
      <c r="W267" s="636"/>
      <c r="X267" s="818"/>
      <c r="Y267" s="818" t="s">
        <v>46</v>
      </c>
      <c r="Z267" s="818" t="s">
        <v>46</v>
      </c>
      <c r="AA267" s="818" t="s">
        <v>46</v>
      </c>
      <c r="AB267" s="636" t="s">
        <v>46</v>
      </c>
      <c r="AC267" s="636" t="s">
        <v>46</v>
      </c>
      <c r="AD267" s="636"/>
      <c r="AE267" s="818"/>
      <c r="AF267" s="818" t="s">
        <v>46</v>
      </c>
      <c r="AG267" s="1041"/>
    </row>
    <row r="268" spans="1:33" ht="18" customHeight="1" x14ac:dyDescent="0.2">
      <c r="A268" s="1042">
        <v>3701</v>
      </c>
      <c r="B268" s="1012" t="s">
        <v>361</v>
      </c>
      <c r="C268" s="818"/>
      <c r="D268" s="818" t="s">
        <v>46</v>
      </c>
      <c r="E268" s="818" t="s">
        <v>46</v>
      </c>
      <c r="F268" s="818" t="s">
        <v>46</v>
      </c>
      <c r="G268" s="636" t="s">
        <v>46</v>
      </c>
      <c r="H268" s="636" t="s">
        <v>46</v>
      </c>
      <c r="I268" s="636"/>
      <c r="J268" s="818"/>
      <c r="K268" s="818" t="s">
        <v>46</v>
      </c>
      <c r="L268" s="818" t="s">
        <v>46</v>
      </c>
      <c r="M268" s="818" t="s">
        <v>46</v>
      </c>
      <c r="N268" s="635" t="s">
        <v>46</v>
      </c>
      <c r="O268" s="636" t="s">
        <v>46</v>
      </c>
      <c r="P268" s="636"/>
      <c r="Q268" s="818"/>
      <c r="R268" s="818" t="s">
        <v>46</v>
      </c>
      <c r="S268" s="818" t="s">
        <v>46</v>
      </c>
      <c r="T268" s="818" t="s">
        <v>46</v>
      </c>
      <c r="U268" s="636" t="s">
        <v>46</v>
      </c>
      <c r="V268" s="636" t="s">
        <v>46</v>
      </c>
      <c r="W268" s="636"/>
      <c r="X268" s="818"/>
      <c r="Y268" s="818" t="s">
        <v>46</v>
      </c>
      <c r="Z268" s="818" t="s">
        <v>46</v>
      </c>
      <c r="AA268" s="818" t="s">
        <v>46</v>
      </c>
      <c r="AB268" s="636" t="s">
        <v>46</v>
      </c>
      <c r="AC268" s="636" t="s">
        <v>46</v>
      </c>
      <c r="AD268" s="636"/>
      <c r="AE268" s="818"/>
      <c r="AF268" s="1529" t="s">
        <v>46</v>
      </c>
      <c r="AG268" s="1041"/>
    </row>
    <row r="269" spans="1:33" ht="18" customHeight="1" x14ac:dyDescent="0.2">
      <c r="A269" s="1042">
        <v>3701</v>
      </c>
      <c r="B269" s="1012" t="s">
        <v>467</v>
      </c>
      <c r="C269" s="818"/>
      <c r="D269" s="805" t="s">
        <v>46</v>
      </c>
      <c r="E269" s="805" t="s">
        <v>46</v>
      </c>
      <c r="F269" s="805" t="s">
        <v>46</v>
      </c>
      <c r="G269" s="805" t="s">
        <v>46</v>
      </c>
      <c r="H269" s="805" t="s">
        <v>46</v>
      </c>
      <c r="I269" s="636"/>
      <c r="J269" s="818"/>
      <c r="K269" s="818" t="s">
        <v>46</v>
      </c>
      <c r="L269" s="805" t="s">
        <v>46</v>
      </c>
      <c r="M269" s="805" t="s">
        <v>46</v>
      </c>
      <c r="N269" s="635" t="s">
        <v>46</v>
      </c>
      <c r="O269" s="636" t="s">
        <v>46</v>
      </c>
      <c r="P269" s="636"/>
      <c r="Q269" s="818"/>
      <c r="R269" s="818" t="s">
        <v>46</v>
      </c>
      <c r="S269" s="818" t="s">
        <v>46</v>
      </c>
      <c r="T269" s="805" t="s">
        <v>46</v>
      </c>
      <c r="U269" s="805" t="s">
        <v>46</v>
      </c>
      <c r="V269" s="805" t="s">
        <v>79</v>
      </c>
      <c r="W269" s="636"/>
      <c r="X269" s="818"/>
      <c r="Y269" s="818" t="s">
        <v>46</v>
      </c>
      <c r="Z269" s="818" t="s">
        <v>46</v>
      </c>
      <c r="AA269" s="818" t="s">
        <v>46</v>
      </c>
      <c r="AB269" s="636" t="s">
        <v>46</v>
      </c>
      <c r="AC269" s="636" t="s">
        <v>46</v>
      </c>
      <c r="AD269" s="636"/>
      <c r="AE269" s="818"/>
      <c r="AF269" s="818" t="s">
        <v>46</v>
      </c>
      <c r="AG269" s="1041"/>
    </row>
    <row r="270" spans="1:33" ht="18" customHeight="1" x14ac:dyDescent="0.2">
      <c r="A270" s="1042"/>
      <c r="B270" s="1012" t="s">
        <v>363</v>
      </c>
      <c r="C270" s="818"/>
      <c r="D270" s="818" t="s">
        <v>46</v>
      </c>
      <c r="E270" s="818" t="s">
        <v>46</v>
      </c>
      <c r="F270" s="818" t="s">
        <v>46</v>
      </c>
      <c r="G270" s="636" t="s">
        <v>46</v>
      </c>
      <c r="H270" s="636" t="s">
        <v>46</v>
      </c>
      <c r="I270" s="636"/>
      <c r="J270" s="818"/>
      <c r="K270" s="818" t="s">
        <v>46</v>
      </c>
      <c r="L270" s="818" t="s">
        <v>46</v>
      </c>
      <c r="M270" s="818" t="s">
        <v>46</v>
      </c>
      <c r="N270" s="635" t="s">
        <v>46</v>
      </c>
      <c r="O270" s="636" t="s">
        <v>46</v>
      </c>
      <c r="P270" s="636"/>
      <c r="Q270" s="818"/>
      <c r="R270" s="805" t="s">
        <v>46</v>
      </c>
      <c r="S270" s="805" t="s">
        <v>46</v>
      </c>
      <c r="T270" s="805" t="s">
        <v>46</v>
      </c>
      <c r="U270" s="805" t="s">
        <v>79</v>
      </c>
      <c r="V270" s="636" t="s">
        <v>46</v>
      </c>
      <c r="W270" s="636"/>
      <c r="X270" s="818"/>
      <c r="Y270" s="818" t="s">
        <v>46</v>
      </c>
      <c r="Z270" s="818" t="s">
        <v>46</v>
      </c>
      <c r="AA270" s="818" t="s">
        <v>46</v>
      </c>
      <c r="AB270" s="636" t="s">
        <v>46</v>
      </c>
      <c r="AC270" s="636" t="s">
        <v>46</v>
      </c>
      <c r="AD270" s="636"/>
      <c r="AE270" s="818"/>
      <c r="AF270" s="818" t="s">
        <v>46</v>
      </c>
      <c r="AG270" s="1041"/>
    </row>
    <row r="271" spans="1:33" ht="18" customHeight="1" x14ac:dyDescent="0.2">
      <c r="A271" s="1042"/>
      <c r="B271" s="1012" t="s">
        <v>364</v>
      </c>
      <c r="C271" s="818"/>
      <c r="D271" s="818" t="s">
        <v>46</v>
      </c>
      <c r="E271" s="818" t="s">
        <v>46</v>
      </c>
      <c r="F271" s="818" t="s">
        <v>46</v>
      </c>
      <c r="G271" s="636" t="s">
        <v>46</v>
      </c>
      <c r="H271" s="636" t="s">
        <v>46</v>
      </c>
      <c r="I271" s="636"/>
      <c r="J271" s="818"/>
      <c r="K271" s="818" t="s">
        <v>46</v>
      </c>
      <c r="L271" s="818" t="s">
        <v>46</v>
      </c>
      <c r="M271" s="818" t="s">
        <v>46</v>
      </c>
      <c r="N271" s="635" t="s">
        <v>46</v>
      </c>
      <c r="O271" s="636" t="s">
        <v>46</v>
      </c>
      <c r="P271" s="636"/>
      <c r="Q271" s="818"/>
      <c r="R271" s="818" t="s">
        <v>46</v>
      </c>
      <c r="S271" s="818" t="s">
        <v>46</v>
      </c>
      <c r="T271" s="818" t="s">
        <v>46</v>
      </c>
      <c r="U271" s="636" t="s">
        <v>46</v>
      </c>
      <c r="V271" s="636" t="s">
        <v>46</v>
      </c>
      <c r="W271" s="636"/>
      <c r="X271" s="818"/>
      <c r="Y271" s="818" t="s">
        <v>46</v>
      </c>
      <c r="Z271" s="818" t="s">
        <v>46</v>
      </c>
      <c r="AA271" s="818" t="s">
        <v>46</v>
      </c>
      <c r="AB271" s="636" t="s">
        <v>46</v>
      </c>
      <c r="AC271" s="636" t="s">
        <v>46</v>
      </c>
      <c r="AD271" s="636"/>
      <c r="AE271" s="818"/>
      <c r="AF271" s="818" t="s">
        <v>46</v>
      </c>
      <c r="AG271" s="1041"/>
    </row>
    <row r="272" spans="1:33" ht="18" customHeight="1" x14ac:dyDescent="0.2">
      <c r="A272" s="1042"/>
      <c r="B272" s="1012" t="s">
        <v>365</v>
      </c>
      <c r="C272" s="818"/>
      <c r="D272" s="818" t="s">
        <v>46</v>
      </c>
      <c r="E272" s="818" t="s">
        <v>46</v>
      </c>
      <c r="F272" s="818" t="s">
        <v>46</v>
      </c>
      <c r="G272" s="636" t="s">
        <v>46</v>
      </c>
      <c r="H272" s="636" t="s">
        <v>46</v>
      </c>
      <c r="I272" s="636"/>
      <c r="J272" s="818"/>
      <c r="K272" s="818" t="s">
        <v>46</v>
      </c>
      <c r="L272" s="818" t="s">
        <v>46</v>
      </c>
      <c r="M272" s="818" t="s">
        <v>46</v>
      </c>
      <c r="N272" s="635" t="s">
        <v>46</v>
      </c>
      <c r="O272" s="636" t="s">
        <v>46</v>
      </c>
      <c r="P272" s="636"/>
      <c r="Q272" s="818"/>
      <c r="R272" s="818" t="s">
        <v>46</v>
      </c>
      <c r="S272" s="818" t="s">
        <v>46</v>
      </c>
      <c r="T272" s="818" t="s">
        <v>46</v>
      </c>
      <c r="U272" s="636" t="s">
        <v>46</v>
      </c>
      <c r="V272" s="636" t="s">
        <v>46</v>
      </c>
      <c r="W272" s="636"/>
      <c r="X272" s="818"/>
      <c r="Y272" s="818" t="s">
        <v>46</v>
      </c>
      <c r="Z272" s="818" t="s">
        <v>46</v>
      </c>
      <c r="AA272" s="818" t="s">
        <v>46</v>
      </c>
      <c r="AB272" s="636" t="s">
        <v>46</v>
      </c>
      <c r="AC272" s="636" t="s">
        <v>46</v>
      </c>
      <c r="AD272" s="636"/>
      <c r="AE272" s="818"/>
      <c r="AF272" s="818" t="s">
        <v>46</v>
      </c>
      <c r="AG272" s="1041"/>
    </row>
    <row r="273" spans="1:33" ht="18" customHeight="1" x14ac:dyDescent="0.2">
      <c r="A273" s="1042"/>
      <c r="B273" s="1044" t="s">
        <v>366</v>
      </c>
      <c r="C273" s="818"/>
      <c r="D273" s="818"/>
      <c r="E273" s="818"/>
      <c r="F273" s="818"/>
      <c r="G273" s="636"/>
      <c r="H273" s="636"/>
      <c r="I273" s="636"/>
      <c r="J273" s="818"/>
      <c r="K273" s="818"/>
      <c r="L273" s="818"/>
      <c r="M273" s="818"/>
      <c r="N273" s="636"/>
      <c r="O273" s="636"/>
      <c r="P273" s="636"/>
      <c r="Q273" s="818"/>
      <c r="R273" s="818"/>
      <c r="S273" s="818"/>
      <c r="T273" s="818"/>
      <c r="U273" s="636"/>
      <c r="V273" s="636"/>
      <c r="W273" s="636"/>
      <c r="X273" s="818"/>
      <c r="Y273" s="818"/>
      <c r="Z273" s="818"/>
      <c r="AA273" s="818"/>
      <c r="AB273" s="636"/>
      <c r="AC273" s="636"/>
      <c r="AD273" s="636"/>
      <c r="AE273" s="818"/>
      <c r="AF273" s="818"/>
      <c r="AG273" s="1041"/>
    </row>
    <row r="274" spans="1:33" ht="18" customHeight="1" x14ac:dyDescent="0.2">
      <c r="A274" s="1042"/>
      <c r="B274" s="1012" t="s">
        <v>367</v>
      </c>
      <c r="C274" s="818"/>
      <c r="D274" s="818" t="s">
        <v>46</v>
      </c>
      <c r="E274" s="818" t="s">
        <v>46</v>
      </c>
      <c r="F274" s="818" t="s">
        <v>46</v>
      </c>
      <c r="G274" s="636" t="s">
        <v>46</v>
      </c>
      <c r="H274" s="636" t="s">
        <v>46</v>
      </c>
      <c r="I274" s="636"/>
      <c r="J274" s="818"/>
      <c r="K274" s="1529" t="s">
        <v>46</v>
      </c>
      <c r="L274" s="818" t="s">
        <v>46</v>
      </c>
      <c r="M274" s="818" t="s">
        <v>46</v>
      </c>
      <c r="N274" s="635" t="s">
        <v>46</v>
      </c>
      <c r="O274" s="636" t="s">
        <v>46</v>
      </c>
      <c r="P274" s="636"/>
      <c r="Q274" s="818"/>
      <c r="R274" s="818" t="s">
        <v>46</v>
      </c>
      <c r="S274" s="818" t="s">
        <v>46</v>
      </c>
      <c r="T274" s="818" t="s">
        <v>46</v>
      </c>
      <c r="U274" s="636" t="s">
        <v>46</v>
      </c>
      <c r="V274" s="636" t="s">
        <v>46</v>
      </c>
      <c r="W274" s="636"/>
      <c r="X274" s="818"/>
      <c r="Y274" s="818" t="s">
        <v>46</v>
      </c>
      <c r="Z274" s="818" t="s">
        <v>46</v>
      </c>
      <c r="AA274" s="818" t="s">
        <v>46</v>
      </c>
      <c r="AB274" s="636" t="s">
        <v>46</v>
      </c>
      <c r="AC274" s="636" t="s">
        <v>46</v>
      </c>
      <c r="AD274" s="636"/>
      <c r="AE274" s="818"/>
      <c r="AF274" s="818" t="s">
        <v>46</v>
      </c>
      <c r="AG274" s="1041"/>
    </row>
    <row r="275" spans="1:33" ht="18" customHeight="1" x14ac:dyDescent="0.2">
      <c r="A275" s="1042"/>
      <c r="B275" s="1012" t="s">
        <v>368</v>
      </c>
      <c r="C275" s="818"/>
      <c r="D275" s="818" t="s">
        <v>46</v>
      </c>
      <c r="E275" s="818" t="s">
        <v>46</v>
      </c>
      <c r="F275" s="818" t="s">
        <v>46</v>
      </c>
      <c r="G275" s="636" t="s">
        <v>46</v>
      </c>
      <c r="H275" s="636" t="s">
        <v>46</v>
      </c>
      <c r="I275" s="636"/>
      <c r="J275" s="818"/>
      <c r="K275" s="818" t="s">
        <v>46</v>
      </c>
      <c r="L275" s="818" t="s">
        <v>46</v>
      </c>
      <c r="M275" s="818" t="s">
        <v>46</v>
      </c>
      <c r="N275" s="635" t="s">
        <v>46</v>
      </c>
      <c r="O275" s="636" t="s">
        <v>46</v>
      </c>
      <c r="P275" s="636"/>
      <c r="Q275" s="818"/>
      <c r="R275" s="818" t="s">
        <v>46</v>
      </c>
      <c r="S275" s="818" t="s">
        <v>46</v>
      </c>
      <c r="T275" s="818" t="s">
        <v>46</v>
      </c>
      <c r="U275" s="636" t="s">
        <v>46</v>
      </c>
      <c r="V275" s="636" t="s">
        <v>46</v>
      </c>
      <c r="W275" s="636"/>
      <c r="X275" s="818"/>
      <c r="Y275" s="818" t="s">
        <v>46</v>
      </c>
      <c r="Z275" s="818" t="s">
        <v>46</v>
      </c>
      <c r="AA275" s="818" t="s">
        <v>46</v>
      </c>
      <c r="AB275" s="636" t="s">
        <v>46</v>
      </c>
      <c r="AC275" s="636" t="s">
        <v>46</v>
      </c>
      <c r="AD275" s="636"/>
      <c r="AE275" s="818"/>
      <c r="AF275" s="818" t="s">
        <v>46</v>
      </c>
      <c r="AG275" s="1041"/>
    </row>
    <row r="276" spans="1:33" ht="18" customHeight="1" x14ac:dyDescent="0.2">
      <c r="A276" s="1042"/>
      <c r="B276" s="1012"/>
      <c r="C276" s="818"/>
      <c r="D276" s="818" t="s">
        <v>46</v>
      </c>
      <c r="E276" s="818" t="s">
        <v>46</v>
      </c>
      <c r="F276" s="818" t="s">
        <v>46</v>
      </c>
      <c r="G276" s="636" t="s">
        <v>46</v>
      </c>
      <c r="H276" s="636" t="s">
        <v>46</v>
      </c>
      <c r="I276" s="636"/>
      <c r="J276" s="818"/>
      <c r="K276" s="818" t="s">
        <v>46</v>
      </c>
      <c r="L276" s="818" t="s">
        <v>46</v>
      </c>
      <c r="M276" s="818" t="s">
        <v>46</v>
      </c>
      <c r="N276" s="635" t="s">
        <v>46</v>
      </c>
      <c r="O276" s="636" t="s">
        <v>46</v>
      </c>
      <c r="P276" s="636"/>
      <c r="Q276" s="818"/>
      <c r="R276" s="818" t="s">
        <v>46</v>
      </c>
      <c r="S276" s="818" t="s">
        <v>46</v>
      </c>
      <c r="T276" s="818" t="s">
        <v>46</v>
      </c>
      <c r="U276" s="636" t="s">
        <v>46</v>
      </c>
      <c r="V276" s="636" t="s">
        <v>46</v>
      </c>
      <c r="W276" s="636"/>
      <c r="X276" s="818"/>
      <c r="Y276" s="818" t="s">
        <v>46</v>
      </c>
      <c r="Z276" s="818" t="s">
        <v>46</v>
      </c>
      <c r="AA276" s="818" t="s">
        <v>46</v>
      </c>
      <c r="AB276" s="636" t="s">
        <v>46</v>
      </c>
      <c r="AC276" s="636" t="s">
        <v>46</v>
      </c>
      <c r="AD276" s="636"/>
      <c r="AE276" s="818"/>
      <c r="AF276" s="818" t="s">
        <v>46</v>
      </c>
      <c r="AG276" s="1041"/>
    </row>
    <row r="277" spans="1:33" ht="18" customHeight="1" x14ac:dyDescent="0.2">
      <c r="A277" s="1042"/>
      <c r="B277" s="1012" t="s">
        <v>369</v>
      </c>
      <c r="C277" s="818"/>
      <c r="D277" s="818" t="s">
        <v>46</v>
      </c>
      <c r="E277" s="818" t="s">
        <v>46</v>
      </c>
      <c r="F277" s="818" t="s">
        <v>46</v>
      </c>
      <c r="G277" s="636" t="s">
        <v>46</v>
      </c>
      <c r="H277" s="636" t="s">
        <v>46</v>
      </c>
      <c r="I277" s="636"/>
      <c r="J277" s="818"/>
      <c r="K277" s="818" t="s">
        <v>46</v>
      </c>
      <c r="L277" s="818" t="s">
        <v>46</v>
      </c>
      <c r="M277" s="818" t="s">
        <v>46</v>
      </c>
      <c r="N277" s="635" t="s">
        <v>46</v>
      </c>
      <c r="O277" s="636" t="s">
        <v>46</v>
      </c>
      <c r="P277" s="636"/>
      <c r="Q277" s="818"/>
      <c r="R277" s="818" t="s">
        <v>46</v>
      </c>
      <c r="S277" s="818" t="s">
        <v>46</v>
      </c>
      <c r="T277" s="818" t="s">
        <v>46</v>
      </c>
      <c r="U277" s="636" t="s">
        <v>46</v>
      </c>
      <c r="V277" s="636" t="s">
        <v>46</v>
      </c>
      <c r="W277" s="636"/>
      <c r="X277" s="818"/>
      <c r="Y277" s="818" t="s">
        <v>46</v>
      </c>
      <c r="Z277" s="276" t="s">
        <v>46</v>
      </c>
      <c r="AA277" s="276" t="s">
        <v>46</v>
      </c>
      <c r="AB277" s="276" t="s">
        <v>46</v>
      </c>
      <c r="AC277" s="636" t="s">
        <v>46</v>
      </c>
      <c r="AD277" s="636"/>
      <c r="AE277" s="818"/>
      <c r="AF277" s="818" t="s">
        <v>46</v>
      </c>
      <c r="AG277" s="1041"/>
    </row>
    <row r="278" spans="1:33" ht="18" customHeight="1" x14ac:dyDescent="0.2">
      <c r="A278" s="638"/>
      <c r="B278" s="1956"/>
      <c r="C278" s="636"/>
      <c r="D278" s="636"/>
      <c r="E278" s="636"/>
      <c r="F278" s="636"/>
      <c r="G278" s="636"/>
      <c r="H278" s="636"/>
      <c r="I278" s="636"/>
      <c r="J278" s="636"/>
      <c r="K278" s="636"/>
      <c r="L278" s="636"/>
      <c r="M278" s="636"/>
      <c r="N278" s="636"/>
      <c r="O278" s="636"/>
      <c r="P278" s="636"/>
      <c r="Q278" s="636"/>
      <c r="R278" s="636"/>
      <c r="S278" s="636"/>
      <c r="T278" s="636"/>
      <c r="U278" s="636"/>
      <c r="V278" s="636"/>
      <c r="W278" s="636"/>
      <c r="X278" s="636"/>
      <c r="Y278" s="636"/>
      <c r="Z278" s="636"/>
      <c r="AA278" s="636"/>
      <c r="AB278" s="636"/>
      <c r="AC278" s="636"/>
      <c r="AD278" s="636"/>
      <c r="AE278" s="636"/>
      <c r="AF278" s="636"/>
      <c r="AG278" s="1041"/>
    </row>
    <row r="279" spans="1:33" ht="18" customHeight="1" x14ac:dyDescent="0.2">
      <c r="A279" s="638"/>
      <c r="B279" s="1012"/>
      <c r="C279" s="636"/>
      <c r="D279" s="636"/>
      <c r="E279" s="636"/>
      <c r="F279" s="636"/>
      <c r="G279" s="636"/>
      <c r="H279" s="636"/>
      <c r="I279" s="636"/>
      <c r="J279" s="636"/>
      <c r="K279" s="636"/>
      <c r="L279" s="636"/>
      <c r="M279" s="636"/>
      <c r="N279" s="799"/>
      <c r="O279" s="799"/>
      <c r="P279" s="799"/>
      <c r="Q279" s="800"/>
      <c r="R279" s="799"/>
      <c r="S279" s="636"/>
      <c r="T279" s="636"/>
      <c r="U279" s="799"/>
      <c r="V279" s="799"/>
      <c r="W279" s="799"/>
      <c r="X279" s="636"/>
      <c r="Y279" s="799"/>
      <c r="Z279" s="636"/>
      <c r="AA279" s="636"/>
      <c r="AB279" s="636"/>
      <c r="AC279" s="636"/>
      <c r="AD279" s="636"/>
      <c r="AE279" s="636"/>
      <c r="AF279" s="799"/>
      <c r="AG279" s="1053"/>
    </row>
    <row r="280" spans="1:33" ht="18" customHeight="1" x14ac:dyDescent="0.2">
      <c r="A280" s="638"/>
      <c r="B280" s="638"/>
      <c r="C280" s="636"/>
      <c r="D280" s="636"/>
      <c r="E280" s="636"/>
      <c r="F280" s="636"/>
      <c r="G280" s="636"/>
      <c r="H280" s="636"/>
      <c r="I280" s="636"/>
      <c r="J280" s="636"/>
      <c r="K280" s="636"/>
      <c r="L280" s="636"/>
      <c r="M280" s="636"/>
      <c r="N280" s="636"/>
      <c r="O280" s="636"/>
      <c r="P280" s="636"/>
      <c r="Q280" s="636"/>
      <c r="R280" s="636"/>
      <c r="S280" s="636"/>
      <c r="T280" s="636"/>
      <c r="U280" s="636"/>
      <c r="V280" s="636"/>
      <c r="W280" s="636"/>
      <c r="X280" s="636"/>
      <c r="Y280" s="636"/>
      <c r="Z280" s="636"/>
      <c r="AA280" s="636"/>
      <c r="AB280" s="636"/>
      <c r="AC280" s="636"/>
      <c r="AD280" s="636"/>
      <c r="AE280" s="636"/>
      <c r="AF280" s="636"/>
      <c r="AG280" s="1041"/>
    </row>
    <row r="281" spans="1:33" ht="18" customHeight="1" x14ac:dyDescent="0.2">
      <c r="A281" s="638"/>
      <c r="B281" s="638"/>
      <c r="C281" s="636"/>
      <c r="D281" s="636"/>
      <c r="E281" s="636"/>
      <c r="F281" s="636"/>
      <c r="G281" s="636"/>
      <c r="H281" s="1054"/>
      <c r="I281" s="636"/>
      <c r="J281" s="636"/>
      <c r="K281" s="636"/>
      <c r="L281" s="636"/>
      <c r="M281" s="636"/>
      <c r="N281" s="636"/>
      <c r="O281" s="636"/>
      <c r="P281" s="636"/>
      <c r="Q281" s="636"/>
      <c r="R281" s="636"/>
      <c r="S281" s="636"/>
      <c r="T281" s="636"/>
      <c r="U281" s="636"/>
      <c r="V281" s="636"/>
      <c r="W281" s="636"/>
      <c r="X281" s="636"/>
      <c r="Y281" s="636"/>
      <c r="Z281" s="636"/>
      <c r="AA281" s="636"/>
      <c r="AB281" s="636"/>
      <c r="AC281" s="636"/>
      <c r="AD281" s="636"/>
      <c r="AE281" s="636"/>
      <c r="AF281" s="636"/>
      <c r="AG281" s="1055"/>
    </row>
    <row r="282" spans="1:33" ht="18" customHeight="1" x14ac:dyDescent="0.2">
      <c r="A282" s="1042"/>
      <c r="B282" s="1056"/>
      <c r="C282" s="636"/>
      <c r="D282" s="636"/>
      <c r="E282" s="636"/>
      <c r="F282" s="636"/>
      <c r="G282" s="636"/>
      <c r="H282" s="636"/>
      <c r="I282" s="636"/>
      <c r="J282" s="636"/>
      <c r="K282" s="636"/>
      <c r="L282" s="636"/>
      <c r="M282" s="636"/>
      <c r="N282" s="636"/>
      <c r="O282" s="636"/>
      <c r="P282" s="636"/>
      <c r="Q282" s="636"/>
      <c r="R282" s="636"/>
      <c r="S282" s="636"/>
      <c r="T282" s="636"/>
      <c r="U282" s="636"/>
      <c r="V282" s="636"/>
      <c r="W282" s="636"/>
      <c r="X282" s="636"/>
      <c r="Y282" s="636"/>
      <c r="Z282" s="636"/>
      <c r="AA282" s="636"/>
      <c r="AB282" s="636"/>
      <c r="AC282" s="636"/>
      <c r="AD282" s="636"/>
      <c r="AE282" s="636"/>
      <c r="AF282" s="636"/>
      <c r="AG282" s="1055"/>
    </row>
    <row r="283" spans="1:33" ht="18" customHeight="1" x14ac:dyDescent="0.2">
      <c r="A283" s="1042"/>
      <c r="B283" s="1057"/>
      <c r="C283" s="636"/>
      <c r="D283" s="636"/>
      <c r="E283" s="636"/>
      <c r="F283" s="636"/>
      <c r="G283" s="636"/>
      <c r="H283" s="636"/>
      <c r="I283" s="636"/>
      <c r="J283" s="636"/>
      <c r="K283" s="636"/>
      <c r="L283" s="636"/>
      <c r="M283" s="636"/>
      <c r="N283" s="636"/>
      <c r="O283" s="636"/>
      <c r="P283" s="636"/>
      <c r="Q283" s="636"/>
      <c r="R283" s="636"/>
      <c r="S283" s="636"/>
      <c r="T283" s="636"/>
      <c r="U283" s="636"/>
      <c r="V283" s="636"/>
      <c r="W283" s="636"/>
      <c r="X283" s="636"/>
      <c r="Y283" s="636"/>
      <c r="Z283" s="636"/>
      <c r="AA283" s="636"/>
      <c r="AB283" s="636"/>
      <c r="AC283" s="636"/>
      <c r="AD283" s="636"/>
      <c r="AE283" s="636"/>
      <c r="AF283" s="636"/>
      <c r="AG283" s="1055"/>
    </row>
    <row r="284" spans="1:33" ht="18" customHeight="1" x14ac:dyDescent="0.2">
      <c r="A284" s="68"/>
      <c r="B284" s="74"/>
      <c r="C284" s="66"/>
      <c r="D284" s="66"/>
      <c r="E284" s="66"/>
      <c r="F284" s="66"/>
      <c r="G284" s="66"/>
      <c r="H284" s="66"/>
      <c r="I284" s="66"/>
      <c r="J284" s="66"/>
      <c r="L284" s="66"/>
      <c r="M284" s="66"/>
      <c r="N284" s="66"/>
      <c r="O284" s="66"/>
      <c r="P284" s="48"/>
      <c r="Q284" s="48"/>
      <c r="R284" s="48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</row>
    <row r="285" spans="1:33" ht="18" customHeight="1" x14ac:dyDescent="0.2"/>
    <row r="286" spans="1:33" ht="18" customHeight="1" x14ac:dyDescent="0.2"/>
    <row r="287" spans="1:33" ht="18" customHeight="1" x14ac:dyDescent="0.2"/>
    <row r="288" spans="1:33" ht="18" customHeight="1" x14ac:dyDescent="0.2">
      <c r="A288" s="103" t="s">
        <v>370</v>
      </c>
    </row>
    <row r="289" spans="1:35" ht="18" customHeight="1" x14ac:dyDescent="0.2">
      <c r="B289" s="2374" t="s">
        <v>340</v>
      </c>
      <c r="C289" s="2269"/>
      <c r="D289" s="2313" t="s">
        <v>17</v>
      </c>
      <c r="E289" s="2103"/>
      <c r="F289" s="2264"/>
      <c r="G289" s="2269"/>
      <c r="H289" s="2313" t="s">
        <v>18</v>
      </c>
      <c r="I289" s="2103"/>
      <c r="J289" s="2264"/>
      <c r="K289" s="2269"/>
      <c r="L289" s="2313" t="s">
        <v>19</v>
      </c>
      <c r="M289" s="2103"/>
      <c r="N289" s="2264"/>
      <c r="O289" s="2269"/>
      <c r="P289" s="2313" t="s">
        <v>20</v>
      </c>
      <c r="Q289" s="2103"/>
      <c r="R289" s="2264"/>
      <c r="S289" s="2269"/>
      <c r="T289" s="2313" t="s">
        <v>21</v>
      </c>
      <c r="U289" s="2103"/>
      <c r="V289" s="2264"/>
      <c r="W289" s="2269"/>
      <c r="X289" s="2313" t="s">
        <v>22</v>
      </c>
      <c r="Y289" s="2103"/>
      <c r="Z289" s="2264"/>
      <c r="AA289" s="2269"/>
      <c r="AB289" s="2313" t="s">
        <v>23</v>
      </c>
      <c r="AC289" s="2103"/>
      <c r="AD289" s="2103"/>
      <c r="AE289" s="2316" t="s">
        <v>126</v>
      </c>
      <c r="AF289" s="2103"/>
      <c r="AG289" s="2103"/>
      <c r="AH289" s="2103"/>
      <c r="AI289" s="2270"/>
    </row>
    <row r="290" spans="1:35" ht="18" customHeight="1" x14ac:dyDescent="0.2">
      <c r="B290" s="452"/>
      <c r="C290" s="1059" t="s">
        <v>371</v>
      </c>
      <c r="D290" s="1030"/>
      <c r="E290" s="1060"/>
      <c r="F290" s="1061"/>
      <c r="G290" s="1059" t="s">
        <v>371</v>
      </c>
      <c r="H290" s="1030"/>
      <c r="I290" s="1060"/>
      <c r="J290" s="1061"/>
      <c r="K290" s="1059" t="s">
        <v>371</v>
      </c>
      <c r="L290" s="1030"/>
      <c r="M290" s="1060"/>
      <c r="N290" s="1061"/>
      <c r="O290" s="1059" t="s">
        <v>371</v>
      </c>
      <c r="P290" s="1062"/>
      <c r="Q290" s="1060"/>
      <c r="R290" s="1061"/>
      <c r="S290" s="1063" t="s">
        <v>372</v>
      </c>
      <c r="T290" s="1030"/>
      <c r="U290" s="1060"/>
      <c r="V290" s="1061"/>
      <c r="W290" s="1032"/>
      <c r="X290" s="1030"/>
      <c r="Y290" s="875"/>
      <c r="Z290" s="1031"/>
      <c r="AA290" s="1032"/>
      <c r="AB290" s="1030"/>
      <c r="AC290" s="875"/>
      <c r="AD290" s="875"/>
      <c r="AE290" s="1033"/>
      <c r="AF290" s="875"/>
      <c r="AG290" s="467"/>
      <c r="AH290" s="467"/>
      <c r="AI290" s="1026"/>
    </row>
    <row r="291" spans="1:35" ht="18" customHeight="1" x14ac:dyDescent="0.2">
      <c r="A291" s="70"/>
      <c r="B291" s="1957"/>
      <c r="C291" s="1914" t="s">
        <v>258</v>
      </c>
      <c r="D291" s="1958"/>
      <c r="E291" s="1060"/>
      <c r="F291" s="1061"/>
      <c r="G291" s="1914" t="s">
        <v>258</v>
      </c>
      <c r="H291" s="1030"/>
      <c r="I291" s="1060"/>
      <c r="J291" s="1061"/>
      <c r="K291" s="1914" t="s">
        <v>258</v>
      </c>
      <c r="L291" s="1030"/>
      <c r="M291" s="1060"/>
      <c r="N291" s="1061"/>
      <c r="O291" s="1914" t="s">
        <v>258</v>
      </c>
      <c r="P291" s="1030"/>
      <c r="Q291" s="1060"/>
      <c r="R291" s="1061"/>
      <c r="S291" s="1059" t="s">
        <v>373</v>
      </c>
      <c r="T291" s="1030"/>
      <c r="U291" s="1060"/>
      <c r="V291" s="1061"/>
      <c r="W291" s="1032"/>
      <c r="X291" s="1030"/>
      <c r="Y291" s="875"/>
      <c r="Z291" s="1031"/>
      <c r="AA291" s="1032"/>
      <c r="AB291" s="1030"/>
      <c r="AC291" s="875"/>
      <c r="AD291" s="875"/>
      <c r="AE291" s="1033"/>
      <c r="AF291" s="875"/>
      <c r="AG291" s="467"/>
      <c r="AH291" s="467"/>
      <c r="AI291" s="1026"/>
    </row>
    <row r="292" spans="1:35" ht="18" customHeight="1" x14ac:dyDescent="0.2">
      <c r="B292" s="1957"/>
      <c r="C292" s="1914" t="s">
        <v>261</v>
      </c>
      <c r="D292" s="1958"/>
      <c r="E292" s="1060"/>
      <c r="F292" s="1061"/>
      <c r="G292" s="1914" t="s">
        <v>261</v>
      </c>
      <c r="H292" s="1030"/>
      <c r="I292" s="1060"/>
      <c r="J292" s="1061"/>
      <c r="K292" s="1914" t="s">
        <v>261</v>
      </c>
      <c r="L292" s="1030"/>
      <c r="M292" s="1060"/>
      <c r="N292" s="1061"/>
      <c r="O292" s="1914" t="s">
        <v>261</v>
      </c>
      <c r="P292" s="1030"/>
      <c r="Q292" s="1060"/>
      <c r="R292" s="1061"/>
      <c r="S292" s="1914" t="s">
        <v>256</v>
      </c>
      <c r="T292" s="1030"/>
      <c r="U292" s="1060"/>
      <c r="V292" s="1061"/>
      <c r="W292" s="1032"/>
      <c r="X292" s="1030"/>
      <c r="Y292" s="875"/>
      <c r="Z292" s="1031"/>
      <c r="AA292" s="1032"/>
      <c r="AB292" s="1030"/>
      <c r="AC292" s="875"/>
      <c r="AD292" s="875"/>
      <c r="AE292" s="1033"/>
      <c r="AF292" s="875"/>
      <c r="AG292" s="467"/>
      <c r="AH292" s="467"/>
      <c r="AI292" s="1026"/>
    </row>
    <row r="293" spans="1:35" ht="18" customHeight="1" x14ac:dyDescent="0.2">
      <c r="B293" s="1957"/>
      <c r="C293" s="2168"/>
      <c r="D293" s="2169"/>
      <c r="E293" s="875"/>
      <c r="F293" s="1031"/>
      <c r="G293" s="2168"/>
      <c r="H293" s="2169"/>
      <c r="I293" s="875"/>
      <c r="J293" s="1031"/>
      <c r="K293" s="2168"/>
      <c r="L293" s="2169"/>
      <c r="M293" s="875"/>
      <c r="N293" s="1031"/>
      <c r="O293" s="2168"/>
      <c r="P293" s="2169"/>
      <c r="Q293" s="875"/>
      <c r="R293" s="1031"/>
      <c r="S293" s="2168"/>
      <c r="T293" s="2169"/>
      <c r="U293" s="875"/>
      <c r="V293" s="1031"/>
      <c r="W293" s="1032"/>
      <c r="X293" s="1030"/>
      <c r="Y293" s="875"/>
      <c r="Z293" s="1031"/>
      <c r="AA293" s="1032"/>
      <c r="AB293" s="1030"/>
      <c r="AC293" s="875"/>
      <c r="AD293" s="875"/>
      <c r="AE293" s="1033"/>
      <c r="AF293" s="875"/>
      <c r="AG293" s="467"/>
      <c r="AH293" s="467"/>
      <c r="AI293" s="1026"/>
    </row>
    <row r="294" spans="1:35" ht="18" customHeight="1" x14ac:dyDescent="0.2">
      <c r="B294" s="1957"/>
      <c r="C294" s="2319"/>
      <c r="D294" s="2169"/>
      <c r="E294" s="875"/>
      <c r="F294" s="1031"/>
      <c r="G294" s="1030"/>
      <c r="H294" s="1030"/>
      <c r="I294" s="875"/>
      <c r="J294" s="1031"/>
      <c r="K294" s="1030"/>
      <c r="L294" s="1030"/>
      <c r="M294" s="875"/>
      <c r="N294" s="1031"/>
      <c r="O294" s="1030"/>
      <c r="P294" s="1030"/>
      <c r="Q294" s="875"/>
      <c r="R294" s="1031"/>
      <c r="S294" s="1030"/>
      <c r="T294" s="1030"/>
      <c r="U294" s="875"/>
      <c r="V294" s="1031"/>
      <c r="W294" s="1032"/>
      <c r="X294" s="1030"/>
      <c r="Y294" s="875"/>
      <c r="Z294" s="1031"/>
      <c r="AA294" s="1032"/>
      <c r="AB294" s="1030"/>
      <c r="AC294" s="875"/>
      <c r="AD294" s="875"/>
      <c r="AE294" s="1033"/>
      <c r="AF294" s="875"/>
      <c r="AG294" s="467"/>
      <c r="AH294" s="467"/>
      <c r="AI294" s="1026"/>
    </row>
    <row r="295" spans="1:35" ht="18" customHeight="1" x14ac:dyDescent="0.2">
      <c r="B295" s="1957" t="s">
        <v>235</v>
      </c>
      <c r="C295" s="2319" t="s">
        <v>10</v>
      </c>
      <c r="D295" s="1958"/>
      <c r="E295" s="1060"/>
      <c r="F295" s="1061"/>
      <c r="G295" s="2319" t="s">
        <v>10</v>
      </c>
      <c r="H295" s="1958"/>
      <c r="I295" s="1060"/>
      <c r="J295" s="1061"/>
      <c r="K295" s="2319" t="s">
        <v>10</v>
      </c>
      <c r="L295" s="1958"/>
      <c r="M295" s="1060"/>
      <c r="N295" s="1061"/>
      <c r="O295" s="2319" t="s">
        <v>10</v>
      </c>
      <c r="P295" s="1958"/>
      <c r="Q295" s="1060"/>
      <c r="R295" s="1061"/>
      <c r="S295" s="1030" t="s">
        <v>10</v>
      </c>
      <c r="T295" s="1030"/>
      <c r="U295" s="1060"/>
      <c r="V295" s="1061"/>
      <c r="W295" s="1032"/>
      <c r="X295" s="1030"/>
      <c r="Y295" s="875"/>
      <c r="Z295" s="1031"/>
      <c r="AA295" s="1032"/>
      <c r="AB295" s="1030"/>
      <c r="AC295" s="875"/>
      <c r="AD295" s="875"/>
      <c r="AE295" s="1033"/>
      <c r="AF295" s="875"/>
      <c r="AG295" s="467"/>
      <c r="AH295" s="467"/>
      <c r="AI295" s="1026"/>
    </row>
    <row r="296" spans="1:35" ht="18" customHeight="1" x14ac:dyDescent="0.2">
      <c r="B296" s="1957" t="s">
        <v>236</v>
      </c>
      <c r="C296" s="2319" t="s">
        <v>10</v>
      </c>
      <c r="D296" s="1958"/>
      <c r="E296" s="1060"/>
      <c r="F296" s="1061"/>
      <c r="G296" s="2319" t="s">
        <v>10</v>
      </c>
      <c r="H296" s="1958"/>
      <c r="I296" s="1060"/>
      <c r="J296" s="1061"/>
      <c r="K296" s="2319" t="s">
        <v>10</v>
      </c>
      <c r="L296" s="1958"/>
      <c r="M296" s="1060"/>
      <c r="N296" s="1061"/>
      <c r="O296" s="2319" t="s">
        <v>10</v>
      </c>
      <c r="P296" s="1958"/>
      <c r="Q296" s="1060"/>
      <c r="R296" s="1061"/>
      <c r="S296" s="1030" t="s">
        <v>10</v>
      </c>
      <c r="T296" s="1030"/>
      <c r="U296" s="1060"/>
      <c r="V296" s="1061"/>
      <c r="W296" s="1032"/>
      <c r="X296" s="1030"/>
      <c r="Y296" s="875"/>
      <c r="Z296" s="1031"/>
      <c r="AA296" s="1032"/>
      <c r="AB296" s="1030"/>
      <c r="AC296" s="875"/>
      <c r="AD296" s="875"/>
      <c r="AE296" s="1033"/>
      <c r="AF296" s="875"/>
      <c r="AG296" s="467"/>
      <c r="AH296" s="467"/>
      <c r="AI296" s="1026"/>
    </row>
    <row r="297" spans="1:35" ht="18" customHeight="1" x14ac:dyDescent="0.2">
      <c r="B297" s="1959" t="s">
        <v>243</v>
      </c>
      <c r="C297" s="2332" t="s">
        <v>10</v>
      </c>
      <c r="D297" s="1960"/>
      <c r="E297" s="205"/>
      <c r="F297" s="206"/>
      <c r="G297" s="2332" t="s">
        <v>10</v>
      </c>
      <c r="H297" s="1960"/>
      <c r="I297" s="205"/>
      <c r="J297" s="206"/>
      <c r="K297" s="2332" t="s">
        <v>10</v>
      </c>
      <c r="L297" s="1960"/>
      <c r="M297" s="205"/>
      <c r="N297" s="206"/>
      <c r="O297" s="2332" t="s">
        <v>10</v>
      </c>
      <c r="P297" s="1960"/>
      <c r="Q297" s="205"/>
      <c r="R297" s="206"/>
      <c r="S297" s="149" t="s">
        <v>10</v>
      </c>
      <c r="T297" s="149"/>
      <c r="U297" s="205"/>
      <c r="V297" s="206"/>
      <c r="W297" s="200"/>
      <c r="X297" s="149"/>
      <c r="Y297" s="201"/>
      <c r="Z297" s="202"/>
      <c r="AA297" s="203"/>
      <c r="AB297" s="149"/>
      <c r="AC297" s="201"/>
      <c r="AD297" s="201"/>
      <c r="AE297" s="204"/>
      <c r="AF297" s="201"/>
      <c r="AG297" s="199"/>
      <c r="AH297" s="199"/>
      <c r="AI297" s="146"/>
    </row>
    <row r="298" spans="1:35" ht="18" customHeight="1" x14ac:dyDescent="0.2">
      <c r="B298" s="37"/>
      <c r="C298" s="42"/>
      <c r="D298" s="5"/>
      <c r="G298" s="42"/>
      <c r="H298" s="5"/>
      <c r="K298" s="42"/>
      <c r="L298" s="5"/>
      <c r="O298" s="42"/>
      <c r="P298" s="5"/>
      <c r="S298" s="42"/>
      <c r="T298" s="42"/>
      <c r="X298" s="42"/>
      <c r="AB298" s="42"/>
      <c r="AE298" s="42"/>
    </row>
    <row r="299" spans="1:35" ht="18" customHeight="1" x14ac:dyDescent="0.2">
      <c r="A299" s="1068" t="s">
        <v>374</v>
      </c>
    </row>
    <row r="300" spans="1:35" ht="18" customHeight="1" x14ac:dyDescent="0.2">
      <c r="A300" s="2308"/>
      <c r="B300" s="2128" t="s">
        <v>448</v>
      </c>
      <c r="C300" s="396">
        <v>1</v>
      </c>
      <c r="D300" s="395">
        <v>2</v>
      </c>
      <c r="E300" s="395">
        <v>3</v>
      </c>
      <c r="F300" s="395">
        <v>4</v>
      </c>
      <c r="G300" s="395">
        <v>5</v>
      </c>
      <c r="H300" s="395">
        <v>6</v>
      </c>
      <c r="I300" s="396">
        <v>7</v>
      </c>
      <c r="J300" s="396">
        <v>8</v>
      </c>
      <c r="K300" s="395">
        <v>9</v>
      </c>
      <c r="L300" s="395">
        <v>10</v>
      </c>
      <c r="M300" s="395">
        <v>11</v>
      </c>
      <c r="N300" s="395">
        <v>12</v>
      </c>
      <c r="O300" s="395">
        <v>13</v>
      </c>
      <c r="P300" s="396">
        <v>14</v>
      </c>
      <c r="Q300" s="396">
        <v>15</v>
      </c>
      <c r="R300" s="395">
        <v>16</v>
      </c>
      <c r="S300" s="395">
        <v>17</v>
      </c>
      <c r="T300" s="395">
        <v>18</v>
      </c>
      <c r="U300" s="395">
        <v>19</v>
      </c>
      <c r="V300" s="395">
        <v>20</v>
      </c>
      <c r="W300" s="396">
        <v>21</v>
      </c>
      <c r="X300" s="396">
        <v>22</v>
      </c>
      <c r="Y300" s="395">
        <v>23</v>
      </c>
      <c r="Z300" s="395">
        <v>24</v>
      </c>
      <c r="AA300" s="395">
        <v>25</v>
      </c>
      <c r="AB300" s="395">
        <v>26</v>
      </c>
      <c r="AC300" s="395">
        <v>27</v>
      </c>
      <c r="AD300" s="396">
        <v>28</v>
      </c>
      <c r="AE300" s="396">
        <v>29</v>
      </c>
      <c r="AF300" s="395">
        <v>30</v>
      </c>
      <c r="AG300" s="2026"/>
    </row>
    <row r="301" spans="1:35" ht="18" customHeight="1" x14ac:dyDescent="0.2">
      <c r="A301" s="2375">
        <v>3702</v>
      </c>
      <c r="B301" s="2282" t="s">
        <v>375</v>
      </c>
      <c r="C301" s="2152"/>
      <c r="D301" s="2152" t="s">
        <v>46</v>
      </c>
      <c r="E301" s="2152" t="s">
        <v>46</v>
      </c>
      <c r="F301" s="2152" t="s">
        <v>46</v>
      </c>
      <c r="G301" s="2152" t="s">
        <v>46</v>
      </c>
      <c r="H301" s="2152" t="s">
        <v>46</v>
      </c>
      <c r="I301" s="2152"/>
      <c r="J301" s="2152"/>
      <c r="K301" s="1868" t="s">
        <v>46</v>
      </c>
      <c r="L301" s="1868" t="s">
        <v>46</v>
      </c>
      <c r="M301" s="1868" t="s">
        <v>46</v>
      </c>
      <c r="N301" s="1868" t="s">
        <v>46</v>
      </c>
      <c r="O301" s="1868" t="s">
        <v>46</v>
      </c>
      <c r="P301" s="1868"/>
      <c r="Q301" s="1868"/>
      <c r="R301" s="1868" t="s">
        <v>46</v>
      </c>
      <c r="S301" s="1868" t="s">
        <v>46</v>
      </c>
      <c r="T301" s="1868" t="s">
        <v>46</v>
      </c>
      <c r="U301" s="1868" t="s">
        <v>46</v>
      </c>
      <c r="V301" s="1868" t="s">
        <v>46</v>
      </c>
      <c r="W301" s="1868"/>
      <c r="X301" s="1868"/>
      <c r="Y301" s="1868" t="s">
        <v>46</v>
      </c>
      <c r="Z301" s="1868" t="s">
        <v>46</v>
      </c>
      <c r="AA301" s="1868" t="s">
        <v>46</v>
      </c>
      <c r="AB301" s="1868" t="s">
        <v>46</v>
      </c>
      <c r="AC301" s="1868" t="s">
        <v>46</v>
      </c>
      <c r="AD301" s="1868"/>
      <c r="AE301" s="1868"/>
      <c r="AF301" s="1868" t="s">
        <v>46</v>
      </c>
      <c r="AG301" s="1871"/>
    </row>
    <row r="302" spans="1:35" ht="18" customHeight="1" x14ac:dyDescent="0.2">
      <c r="A302" s="2037"/>
      <c r="B302" s="2019"/>
      <c r="C302" s="2040"/>
      <c r="D302" s="2040" t="s">
        <v>46</v>
      </c>
      <c r="E302" s="2040" t="s">
        <v>46</v>
      </c>
      <c r="F302" s="2040" t="s">
        <v>46</v>
      </c>
      <c r="G302" s="2040" t="s">
        <v>46</v>
      </c>
      <c r="H302" s="2040" t="s">
        <v>46</v>
      </c>
      <c r="I302" s="2040"/>
      <c r="J302" s="2040"/>
      <c r="K302" s="2040" t="s">
        <v>46</v>
      </c>
      <c r="L302" s="2040" t="s">
        <v>46</v>
      </c>
      <c r="M302" s="2040" t="s">
        <v>46</v>
      </c>
      <c r="N302" s="2040" t="s">
        <v>46</v>
      </c>
      <c r="O302" s="2040" t="s">
        <v>46</v>
      </c>
      <c r="P302" s="2040"/>
      <c r="Q302" s="2040"/>
      <c r="R302" s="2040" t="s">
        <v>46</v>
      </c>
      <c r="S302" s="2040" t="s">
        <v>46</v>
      </c>
      <c r="T302" s="2040" t="s">
        <v>46</v>
      </c>
      <c r="U302" s="2040" t="s">
        <v>46</v>
      </c>
      <c r="V302" s="2040" t="s">
        <v>46</v>
      </c>
      <c r="W302" s="2040"/>
      <c r="X302" s="2040"/>
      <c r="Y302" s="2040" t="s">
        <v>46</v>
      </c>
      <c r="Z302" s="2040" t="s">
        <v>46</v>
      </c>
      <c r="AA302" s="2040" t="s">
        <v>46</v>
      </c>
      <c r="AB302" s="2040" t="s">
        <v>46</v>
      </c>
      <c r="AC302" s="2040" t="s">
        <v>46</v>
      </c>
      <c r="AD302" s="2040"/>
      <c r="AE302" s="2040"/>
      <c r="AF302" s="2040" t="s">
        <v>46</v>
      </c>
      <c r="AG302" s="2043"/>
    </row>
    <row r="303" spans="1:35" ht="18" customHeight="1" x14ac:dyDescent="0.2">
      <c r="A303" s="1962"/>
      <c r="B303" s="2288"/>
      <c r="C303" s="2040"/>
      <c r="D303" s="2040" t="s">
        <v>46</v>
      </c>
      <c r="E303" s="2040" t="s">
        <v>46</v>
      </c>
      <c r="F303" s="2040" t="s">
        <v>46</v>
      </c>
      <c r="G303" s="2040" t="s">
        <v>46</v>
      </c>
      <c r="H303" s="2040" t="s">
        <v>46</v>
      </c>
      <c r="I303" s="2040"/>
      <c r="J303" s="2040"/>
      <c r="K303" s="2040" t="s">
        <v>46</v>
      </c>
      <c r="L303" s="2040" t="s">
        <v>46</v>
      </c>
      <c r="M303" s="2040" t="s">
        <v>46</v>
      </c>
      <c r="N303" s="2040" t="s">
        <v>46</v>
      </c>
      <c r="O303" s="2040" t="s">
        <v>46</v>
      </c>
      <c r="P303" s="2040"/>
      <c r="Q303" s="2040"/>
      <c r="R303" s="2040" t="s">
        <v>46</v>
      </c>
      <c r="S303" s="2040" t="s">
        <v>46</v>
      </c>
      <c r="T303" s="2040" t="s">
        <v>46</v>
      </c>
      <c r="U303" s="2040" t="s">
        <v>46</v>
      </c>
      <c r="V303" s="2040" t="s">
        <v>46</v>
      </c>
      <c r="W303" s="2040"/>
      <c r="X303" s="2040"/>
      <c r="Y303" s="2040" t="s">
        <v>46</v>
      </c>
      <c r="Z303" s="2040" t="s">
        <v>46</v>
      </c>
      <c r="AA303" s="2040" t="s">
        <v>46</v>
      </c>
      <c r="AB303" s="2040" t="s">
        <v>46</v>
      </c>
      <c r="AC303" s="2040" t="s">
        <v>46</v>
      </c>
      <c r="AD303" s="2040"/>
      <c r="AE303" s="2040"/>
      <c r="AF303" s="2040" t="s">
        <v>46</v>
      </c>
      <c r="AG303" s="2043"/>
    </row>
    <row r="304" spans="1:35" ht="18" customHeight="1" x14ac:dyDescent="0.2">
      <c r="A304" s="1963"/>
      <c r="B304" s="1964"/>
      <c r="C304" s="2040"/>
      <c r="D304" s="2040"/>
      <c r="E304" s="2040"/>
      <c r="F304" s="2040"/>
      <c r="G304" s="2040"/>
      <c r="H304" s="2040"/>
      <c r="I304" s="2040"/>
      <c r="J304" s="2040"/>
      <c r="K304" s="2040"/>
      <c r="L304" s="2040"/>
      <c r="M304" s="2040"/>
      <c r="N304" s="2040"/>
      <c r="O304" s="2040"/>
      <c r="P304" s="2040"/>
      <c r="Q304" s="2040"/>
      <c r="R304" s="2040"/>
      <c r="S304" s="2040"/>
      <c r="T304" s="2040"/>
      <c r="U304" s="2040"/>
      <c r="V304" s="2040"/>
      <c r="W304" s="2040"/>
      <c r="X304" s="2040"/>
      <c r="Y304" s="2040"/>
      <c r="Z304" s="2040"/>
      <c r="AA304" s="2040"/>
      <c r="AB304" s="2040"/>
      <c r="AC304" s="2040"/>
      <c r="AD304" s="2040"/>
      <c r="AE304" s="2040"/>
      <c r="AF304" s="2040"/>
      <c r="AG304" s="2043"/>
    </row>
    <row r="305" spans="1:35" ht="18" customHeight="1" x14ac:dyDescent="0.2">
      <c r="A305" s="1965"/>
      <c r="B305" s="1966" t="s">
        <v>376</v>
      </c>
      <c r="C305" s="2035"/>
      <c r="D305" s="2035"/>
      <c r="E305" s="2035"/>
      <c r="F305" s="2035"/>
      <c r="G305" s="2035"/>
      <c r="H305" s="2035"/>
      <c r="I305" s="2035"/>
      <c r="J305" s="2035"/>
      <c r="K305" s="2035"/>
      <c r="L305" s="2035"/>
      <c r="M305" s="2035"/>
      <c r="N305" s="2035"/>
      <c r="O305" s="2035"/>
      <c r="P305" s="2035"/>
      <c r="Q305" s="2035"/>
      <c r="R305" s="2035"/>
      <c r="S305" s="2035"/>
      <c r="T305" s="2035"/>
      <c r="U305" s="2035"/>
      <c r="V305" s="2035"/>
      <c r="W305" s="2035"/>
      <c r="X305" s="2035"/>
      <c r="Y305" s="2035"/>
      <c r="Z305" s="2035"/>
      <c r="AA305" s="2035"/>
      <c r="AB305" s="2035"/>
      <c r="AC305" s="2035"/>
      <c r="AD305" s="2035"/>
      <c r="AE305" s="2035"/>
      <c r="AF305" s="2035"/>
      <c r="AG305" s="1967"/>
    </row>
    <row r="306" spans="1:35" ht="18" customHeight="1" x14ac:dyDescent="0.2">
      <c r="A306" s="1962">
        <v>3702</v>
      </c>
      <c r="B306" s="2044" t="s">
        <v>377</v>
      </c>
      <c r="C306" s="2055"/>
      <c r="D306" s="2055" t="s">
        <v>378</v>
      </c>
      <c r="E306" s="2144" t="s">
        <v>378</v>
      </c>
      <c r="F306" s="2144" t="s">
        <v>378</v>
      </c>
      <c r="G306" s="2144" t="s">
        <v>378</v>
      </c>
      <c r="H306" s="2055" t="s">
        <v>378</v>
      </c>
      <c r="I306" s="2144"/>
      <c r="J306" s="2055"/>
      <c r="K306" s="2055" t="s">
        <v>378</v>
      </c>
      <c r="L306" s="2144" t="s">
        <v>378</v>
      </c>
      <c r="M306" s="2144" t="s">
        <v>378</v>
      </c>
      <c r="N306" s="2195" t="s">
        <v>378</v>
      </c>
      <c r="O306" s="2195" t="s">
        <v>378</v>
      </c>
      <c r="P306" s="2144"/>
      <c r="Q306" s="2055"/>
      <c r="R306" s="2071" t="s">
        <v>378</v>
      </c>
      <c r="S306" s="2071" t="s">
        <v>378</v>
      </c>
      <c r="T306" s="2071" t="s">
        <v>378</v>
      </c>
      <c r="U306" s="2071" t="s">
        <v>378</v>
      </c>
      <c r="V306" s="2071" t="s">
        <v>378</v>
      </c>
      <c r="W306" s="2071"/>
      <c r="X306" s="2071"/>
      <c r="Y306" s="2071" t="s">
        <v>378</v>
      </c>
      <c r="Z306" s="2071" t="s">
        <v>378</v>
      </c>
      <c r="AA306" s="2071" t="s">
        <v>378</v>
      </c>
      <c r="AB306" s="2071" t="s">
        <v>378</v>
      </c>
      <c r="AC306" s="2071" t="s">
        <v>378</v>
      </c>
      <c r="AD306" s="2071"/>
      <c r="AE306" s="2071"/>
      <c r="AF306" s="2196" t="s">
        <v>468</v>
      </c>
      <c r="AG306" s="2191"/>
    </row>
    <row r="307" spans="1:35" ht="18" customHeight="1" x14ac:dyDescent="0.2">
      <c r="A307" s="1962"/>
      <c r="B307" s="2044" t="s">
        <v>379</v>
      </c>
      <c r="C307" s="2144"/>
      <c r="D307" s="2144" t="s">
        <v>380</v>
      </c>
      <c r="E307" s="2144" t="s">
        <v>380</v>
      </c>
      <c r="F307" s="2144" t="s">
        <v>380</v>
      </c>
      <c r="G307" s="2144" t="s">
        <v>380</v>
      </c>
      <c r="H307" s="2144" t="s">
        <v>380</v>
      </c>
      <c r="I307" s="2144"/>
      <c r="J307" s="2144"/>
      <c r="K307" s="2144" t="s">
        <v>380</v>
      </c>
      <c r="L307" s="2144" t="s">
        <v>380</v>
      </c>
      <c r="M307" s="2144" t="s">
        <v>380</v>
      </c>
      <c r="N307" s="2144" t="s">
        <v>380</v>
      </c>
      <c r="O307" s="2144" t="s">
        <v>380</v>
      </c>
      <c r="P307" s="2144"/>
      <c r="Q307" s="2144"/>
      <c r="R307" s="2144" t="s">
        <v>380</v>
      </c>
      <c r="S307" s="2144" t="s">
        <v>380</v>
      </c>
      <c r="T307" s="2144" t="s">
        <v>380</v>
      </c>
      <c r="U307" s="2144" t="s">
        <v>380</v>
      </c>
      <c r="V307" s="2144" t="s">
        <v>380</v>
      </c>
      <c r="W307" s="2144"/>
      <c r="X307" s="2144"/>
      <c r="Y307" s="2144" t="s">
        <v>380</v>
      </c>
      <c r="Z307" s="2144" t="s">
        <v>380</v>
      </c>
      <c r="AA307" s="2144" t="s">
        <v>380</v>
      </c>
      <c r="AB307" s="2144" t="s">
        <v>380</v>
      </c>
      <c r="AC307" s="2144" t="s">
        <v>380</v>
      </c>
      <c r="AD307" s="2144"/>
      <c r="AE307" s="2144"/>
      <c r="AF307" s="2144" t="s">
        <v>380</v>
      </c>
      <c r="AG307" s="1968"/>
    </row>
    <row r="308" spans="1:35" ht="18" customHeight="1" x14ac:dyDescent="0.2">
      <c r="A308" s="1969"/>
      <c r="B308" s="2059" t="s">
        <v>381</v>
      </c>
      <c r="C308" s="2141"/>
      <c r="D308" s="2141" t="s">
        <v>382</v>
      </c>
      <c r="E308" s="2135" t="s">
        <v>382</v>
      </c>
      <c r="F308" s="2135" t="s">
        <v>382</v>
      </c>
      <c r="G308" s="2135" t="s">
        <v>382</v>
      </c>
      <c r="H308" s="2135" t="s">
        <v>382</v>
      </c>
      <c r="I308" s="2135"/>
      <c r="J308" s="2141"/>
      <c r="K308" s="2141" t="s">
        <v>382</v>
      </c>
      <c r="L308" s="2240" t="s">
        <v>382</v>
      </c>
      <c r="M308" s="2240" t="s">
        <v>382</v>
      </c>
      <c r="N308" s="2240" t="s">
        <v>382</v>
      </c>
      <c r="O308" s="2240" t="s">
        <v>382</v>
      </c>
      <c r="P308" s="2135"/>
      <c r="Q308" s="2141"/>
      <c r="R308" s="2376" t="s">
        <v>382</v>
      </c>
      <c r="S308" s="2240" t="s">
        <v>382</v>
      </c>
      <c r="T308" s="2240" t="s">
        <v>382</v>
      </c>
      <c r="U308" s="2135" t="s">
        <v>382</v>
      </c>
      <c r="V308" s="2135" t="s">
        <v>382</v>
      </c>
      <c r="W308" s="2135"/>
      <c r="X308" s="2141"/>
      <c r="Y308" s="2141" t="s">
        <v>382</v>
      </c>
      <c r="Z308" s="2135" t="s">
        <v>382</v>
      </c>
      <c r="AA308" s="2135" t="s">
        <v>382</v>
      </c>
      <c r="AB308" s="2135" t="s">
        <v>382</v>
      </c>
      <c r="AC308" s="2135" t="s">
        <v>382</v>
      </c>
      <c r="AD308" s="2135"/>
      <c r="AE308" s="2141"/>
      <c r="AF308" s="2377" t="s">
        <v>382</v>
      </c>
      <c r="AG308" s="2163"/>
    </row>
    <row r="309" spans="1:35" ht="18" customHeight="1" x14ac:dyDescent="0.2"/>
    <row r="310" spans="1:35" ht="18" customHeight="1" x14ac:dyDescent="0.2"/>
    <row r="311" spans="1:35" ht="18" customHeight="1" x14ac:dyDescent="0.2">
      <c r="A311" s="103" t="s">
        <v>383</v>
      </c>
    </row>
    <row r="312" spans="1:35" ht="18" customHeight="1" x14ac:dyDescent="0.2">
      <c r="A312" s="1"/>
      <c r="B312" s="2374" t="s">
        <v>340</v>
      </c>
      <c r="C312" s="2269"/>
      <c r="D312" s="2313" t="s">
        <v>17</v>
      </c>
      <c r="E312" s="2103"/>
      <c r="F312" s="2264"/>
      <c r="G312" s="2269"/>
      <c r="H312" s="2313" t="s">
        <v>18</v>
      </c>
      <c r="I312" s="2103"/>
      <c r="J312" s="2264"/>
      <c r="K312" s="2269"/>
      <c r="L312" s="2313" t="s">
        <v>19</v>
      </c>
      <c r="M312" s="2103"/>
      <c r="N312" s="2264"/>
      <c r="O312" s="2269"/>
      <c r="P312" s="2313" t="s">
        <v>20</v>
      </c>
      <c r="Q312" s="2103"/>
      <c r="R312" s="2264"/>
      <c r="S312" s="2269"/>
      <c r="T312" s="2313" t="s">
        <v>21</v>
      </c>
      <c r="U312" s="2103"/>
      <c r="V312" s="2264"/>
      <c r="W312" s="2269"/>
      <c r="X312" s="2313" t="s">
        <v>22</v>
      </c>
      <c r="Y312" s="2103"/>
      <c r="Z312" s="2264"/>
      <c r="AA312" s="2269"/>
      <c r="AB312" s="2313" t="s">
        <v>23</v>
      </c>
      <c r="AC312" s="2103"/>
      <c r="AD312" s="2103"/>
      <c r="AE312" s="2316" t="s">
        <v>126</v>
      </c>
      <c r="AF312" s="2103"/>
      <c r="AG312" s="2103"/>
      <c r="AH312" s="2103"/>
      <c r="AI312" s="2270"/>
    </row>
    <row r="313" spans="1:35" ht="18" customHeight="1" x14ac:dyDescent="0.2">
      <c r="A313" s="1"/>
      <c r="B313" s="452"/>
      <c r="C313" s="457"/>
      <c r="D313" s="1030"/>
      <c r="E313" s="467"/>
      <c r="F313" s="1077"/>
      <c r="G313" s="457"/>
      <c r="H313" s="1030"/>
      <c r="I313" s="467"/>
      <c r="J313" s="1077"/>
      <c r="K313" s="457"/>
      <c r="L313" s="1030"/>
      <c r="M313" s="467"/>
      <c r="N313" s="1077"/>
      <c r="O313" s="457"/>
      <c r="P313" s="1030"/>
      <c r="Q313" s="467"/>
      <c r="R313" s="1077"/>
      <c r="S313" s="457"/>
      <c r="T313" s="1030"/>
      <c r="U313" s="467"/>
      <c r="V313" s="1077"/>
      <c r="W313" s="457"/>
      <c r="X313" s="1030"/>
      <c r="Y313" s="467"/>
      <c r="Z313" s="1077"/>
      <c r="AA313" s="457"/>
      <c r="AB313" s="1030"/>
      <c r="AC313" s="467"/>
      <c r="AD313" s="467"/>
      <c r="AE313" s="1033"/>
      <c r="AF313" s="467"/>
      <c r="AG313" s="467"/>
      <c r="AH313" s="467"/>
      <c r="AI313" s="1026"/>
    </row>
    <row r="314" spans="1:35" ht="18" customHeight="1" x14ac:dyDescent="0.2">
      <c r="A314" s="70"/>
      <c r="B314" s="1957"/>
      <c r="C314" s="2168"/>
      <c r="D314" s="2007"/>
      <c r="E314" s="2007"/>
      <c r="F314" s="2321"/>
      <c r="G314" s="2168"/>
      <c r="H314" s="2007"/>
      <c r="I314" s="2007"/>
      <c r="J314" s="2321"/>
      <c r="K314" s="2168"/>
      <c r="L314" s="2007"/>
      <c r="M314" s="2007"/>
      <c r="N314" s="2321"/>
      <c r="O314" s="2168"/>
      <c r="P314" s="2007"/>
      <c r="Q314" s="2007"/>
      <c r="R314" s="2321"/>
      <c r="S314" s="2168"/>
      <c r="T314" s="2007"/>
      <c r="U314" s="2007"/>
      <c r="V314" s="2321"/>
      <c r="W314" s="2168"/>
      <c r="X314" s="2007"/>
      <c r="Y314" s="2007"/>
      <c r="Z314" s="2321"/>
      <c r="AA314" s="2319"/>
      <c r="AB314" s="2007"/>
      <c r="AC314" s="2007"/>
      <c r="AD314" s="2169"/>
      <c r="AE314" s="1971"/>
      <c r="AF314" s="2007"/>
      <c r="AG314" s="2007"/>
      <c r="AH314" s="2169"/>
      <c r="AI314" s="2274"/>
    </row>
    <row r="315" spans="1:35" ht="18" customHeight="1" x14ac:dyDescent="0.2">
      <c r="A315" s="1"/>
      <c r="B315" s="2331"/>
      <c r="C315" s="2332"/>
      <c r="D315" s="2119"/>
      <c r="E315" s="2119"/>
      <c r="F315" s="2358"/>
      <c r="G315" s="2332"/>
      <c r="H315" s="2119"/>
      <c r="I315" s="2119"/>
      <c r="J315" s="2358"/>
      <c r="K315" s="2332"/>
      <c r="L315" s="2119"/>
      <c r="M315" s="2119"/>
      <c r="N315" s="2358"/>
      <c r="O315" s="2332"/>
      <c r="P315" s="2119"/>
      <c r="Q315" s="2119"/>
      <c r="R315" s="2358"/>
      <c r="S315" s="2332"/>
      <c r="T315" s="2119"/>
      <c r="U315" s="2119"/>
      <c r="V315" s="2358"/>
      <c r="W315" s="2356"/>
      <c r="X315" s="2119"/>
      <c r="Y315" s="2119"/>
      <c r="Z315" s="2358"/>
      <c r="AA315" s="2356"/>
      <c r="AB315" s="2119"/>
      <c r="AC315" s="2119"/>
      <c r="AD315" s="2339"/>
      <c r="AE315" s="2356"/>
      <c r="AF315" s="2119"/>
      <c r="AG315" s="2119"/>
      <c r="AH315" s="2339"/>
      <c r="AI315" s="2126"/>
    </row>
    <row r="316" spans="1:35" ht="18" customHeight="1" x14ac:dyDescent="0.2">
      <c r="A316" s="1"/>
      <c r="B316" s="5"/>
      <c r="C316" s="42"/>
      <c r="F316" s="46"/>
      <c r="G316" s="42"/>
      <c r="J316" s="46"/>
      <c r="K316" s="42"/>
      <c r="N316" s="46"/>
      <c r="O316" s="42"/>
      <c r="R316" s="46"/>
      <c r="S316" s="42"/>
      <c r="V316" s="46"/>
      <c r="W316" s="46"/>
      <c r="Z316" s="46"/>
      <c r="AA316" s="46"/>
      <c r="AD316" s="46"/>
      <c r="AE316" s="46"/>
      <c r="AH316" s="46"/>
    </row>
    <row r="317" spans="1:35" ht="18" customHeight="1" x14ac:dyDescent="0.2">
      <c r="A317" s="103" t="s">
        <v>384</v>
      </c>
      <c r="B317" s="5"/>
      <c r="C317" s="42"/>
      <c r="F317" s="46"/>
      <c r="G317" s="42"/>
      <c r="J317" s="46"/>
      <c r="K317" s="42"/>
      <c r="N317" s="46"/>
      <c r="O317" s="42"/>
      <c r="R317" s="46"/>
      <c r="S317" s="42"/>
      <c r="V317" s="46"/>
      <c r="W317" s="46"/>
      <c r="Z317" s="46"/>
      <c r="AA317" s="46"/>
      <c r="AD317" s="46"/>
      <c r="AE317" s="46"/>
    </row>
    <row r="318" spans="1:35" ht="18" customHeight="1" x14ac:dyDescent="0.2">
      <c r="A318" s="2308" t="s">
        <v>43</v>
      </c>
      <c r="B318" s="2128" t="s">
        <v>469</v>
      </c>
      <c r="C318" s="396">
        <v>1</v>
      </c>
      <c r="D318" s="395">
        <v>2</v>
      </c>
      <c r="E318" s="395">
        <v>3</v>
      </c>
      <c r="F318" s="395">
        <v>4</v>
      </c>
      <c r="G318" s="395">
        <v>5</v>
      </c>
      <c r="H318" s="395">
        <v>6</v>
      </c>
      <c r="I318" s="396">
        <v>7</v>
      </c>
      <c r="J318" s="396">
        <v>8</v>
      </c>
      <c r="K318" s="395">
        <v>9</v>
      </c>
      <c r="L318" s="395">
        <v>10</v>
      </c>
      <c r="M318" s="395">
        <v>11</v>
      </c>
      <c r="N318" s="395">
        <v>12</v>
      </c>
      <c r="O318" s="395">
        <v>13</v>
      </c>
      <c r="P318" s="396">
        <v>14</v>
      </c>
      <c r="Q318" s="396">
        <v>15</v>
      </c>
      <c r="R318" s="395">
        <v>16</v>
      </c>
      <c r="S318" s="395">
        <v>17</v>
      </c>
      <c r="T318" s="395">
        <v>18</v>
      </c>
      <c r="U318" s="395">
        <v>19</v>
      </c>
      <c r="V318" s="395">
        <v>20</v>
      </c>
      <c r="W318" s="396">
        <v>21</v>
      </c>
      <c r="X318" s="396">
        <v>22</v>
      </c>
      <c r="Y318" s="395">
        <v>23</v>
      </c>
      <c r="Z318" s="395">
        <v>24</v>
      </c>
      <c r="AA318" s="395">
        <v>25</v>
      </c>
      <c r="AB318" s="395">
        <v>26</v>
      </c>
      <c r="AC318" s="395">
        <v>27</v>
      </c>
      <c r="AD318" s="396">
        <v>28</v>
      </c>
      <c r="AE318" s="396">
        <v>29</v>
      </c>
      <c r="AF318" s="395">
        <v>30</v>
      </c>
      <c r="AG318" s="2026"/>
    </row>
    <row r="319" spans="1:35" ht="18" customHeight="1" x14ac:dyDescent="0.2">
      <c r="A319" s="1725"/>
      <c r="B319" s="1726"/>
      <c r="C319" s="1817"/>
      <c r="D319" s="1817" t="s">
        <v>46</v>
      </c>
      <c r="E319" s="1817" t="s">
        <v>46</v>
      </c>
      <c r="F319" s="1817" t="s">
        <v>46</v>
      </c>
      <c r="G319" s="1817" t="s">
        <v>46</v>
      </c>
      <c r="H319" s="1817" t="s">
        <v>46</v>
      </c>
      <c r="I319" s="1817"/>
      <c r="J319" s="1817"/>
      <c r="K319" s="1817" t="s">
        <v>46</v>
      </c>
      <c r="L319" s="1817" t="s">
        <v>46</v>
      </c>
      <c r="M319" s="1817" t="s">
        <v>46</v>
      </c>
      <c r="N319" s="1817" t="s">
        <v>46</v>
      </c>
      <c r="O319" s="1817" t="s">
        <v>46</v>
      </c>
      <c r="P319" s="1817"/>
      <c r="Q319" s="1817"/>
      <c r="R319" s="1817" t="s">
        <v>46</v>
      </c>
      <c r="S319" s="1817" t="s">
        <v>46</v>
      </c>
      <c r="T319" s="1817" t="s">
        <v>46</v>
      </c>
      <c r="U319" s="1817" t="s">
        <v>46</v>
      </c>
      <c r="V319" s="1817" t="s">
        <v>46</v>
      </c>
      <c r="W319" s="1817"/>
      <c r="X319" s="1817"/>
      <c r="Y319" s="1817" t="s">
        <v>46</v>
      </c>
      <c r="Z319" s="1817" t="s">
        <v>46</v>
      </c>
      <c r="AA319" s="1817" t="s">
        <v>46</v>
      </c>
      <c r="AB319" s="1817" t="s">
        <v>46</v>
      </c>
      <c r="AC319" s="1817" t="s">
        <v>46</v>
      </c>
      <c r="AD319" s="1817"/>
      <c r="AE319" s="1817"/>
      <c r="AF319" s="1817" t="s">
        <v>46</v>
      </c>
      <c r="AG319" s="1909"/>
    </row>
    <row r="320" spans="1:35" ht="18" customHeight="1" x14ac:dyDescent="0.2">
      <c r="A320" s="1081"/>
      <c r="B320" s="748" t="s">
        <v>385</v>
      </c>
      <c r="C320" s="636"/>
      <c r="D320" s="636" t="s">
        <v>46</v>
      </c>
      <c r="E320" s="636" t="s">
        <v>46</v>
      </c>
      <c r="F320" s="636" t="s">
        <v>46</v>
      </c>
      <c r="G320" s="636" t="s">
        <v>46</v>
      </c>
      <c r="H320" s="636" t="s">
        <v>46</v>
      </c>
      <c r="I320" s="636"/>
      <c r="J320" s="636"/>
      <c r="K320" s="636" t="s">
        <v>46</v>
      </c>
      <c r="L320" s="636" t="s">
        <v>46</v>
      </c>
      <c r="M320" s="636" t="s">
        <v>46</v>
      </c>
      <c r="N320" s="636" t="s">
        <v>46</v>
      </c>
      <c r="O320" s="636" t="s">
        <v>46</v>
      </c>
      <c r="P320" s="636"/>
      <c r="Q320" s="636"/>
      <c r="R320" s="636" t="s">
        <v>46</v>
      </c>
      <c r="S320" s="636" t="s">
        <v>46</v>
      </c>
      <c r="T320" s="636" t="s">
        <v>46</v>
      </c>
      <c r="U320" s="636" t="s">
        <v>46</v>
      </c>
      <c r="V320" s="636" t="s">
        <v>46</v>
      </c>
      <c r="W320" s="636"/>
      <c r="X320" s="636"/>
      <c r="Y320" s="636" t="s">
        <v>46</v>
      </c>
      <c r="Z320" s="636" t="s">
        <v>46</v>
      </c>
      <c r="AA320" s="636" t="s">
        <v>46</v>
      </c>
      <c r="AB320" s="636" t="s">
        <v>46</v>
      </c>
      <c r="AC320" s="636" t="s">
        <v>46</v>
      </c>
      <c r="AD320" s="636"/>
      <c r="AE320" s="636"/>
      <c r="AF320" s="636" t="s">
        <v>46</v>
      </c>
      <c r="AG320" s="1543"/>
    </row>
    <row r="321" spans="1:36" ht="18" customHeight="1" x14ac:dyDescent="0.2">
      <c r="A321" s="1042"/>
      <c r="B321" s="748" t="s">
        <v>386</v>
      </c>
      <c r="C321" s="636"/>
      <c r="D321" s="636" t="s">
        <v>46</v>
      </c>
      <c r="E321" s="636" t="s">
        <v>46</v>
      </c>
      <c r="F321" s="636" t="s">
        <v>46</v>
      </c>
      <c r="G321" s="636" t="s">
        <v>46</v>
      </c>
      <c r="H321" s="636" t="s">
        <v>46</v>
      </c>
      <c r="I321" s="636"/>
      <c r="J321" s="636"/>
      <c r="K321" s="636" t="s">
        <v>46</v>
      </c>
      <c r="L321" s="636" t="s">
        <v>46</v>
      </c>
      <c r="M321" s="636" t="s">
        <v>46</v>
      </c>
      <c r="N321" s="636" t="s">
        <v>46</v>
      </c>
      <c r="O321" s="636" t="s">
        <v>46</v>
      </c>
      <c r="P321" s="636"/>
      <c r="Q321" s="636"/>
      <c r="R321" s="636" t="s">
        <v>46</v>
      </c>
      <c r="S321" s="636" t="s">
        <v>46</v>
      </c>
      <c r="T321" s="636" t="s">
        <v>46</v>
      </c>
      <c r="U321" s="636" t="s">
        <v>46</v>
      </c>
      <c r="V321" s="636" t="s">
        <v>46</v>
      </c>
      <c r="W321" s="636"/>
      <c r="X321" s="636"/>
      <c r="Y321" s="636" t="s">
        <v>46</v>
      </c>
      <c r="Z321" s="636" t="s">
        <v>46</v>
      </c>
      <c r="AA321" s="636" t="s">
        <v>46</v>
      </c>
      <c r="AB321" s="636" t="s">
        <v>46</v>
      </c>
      <c r="AC321" s="636" t="s">
        <v>46</v>
      </c>
      <c r="AD321" s="636"/>
      <c r="AE321" s="636"/>
      <c r="AF321" s="636" t="s">
        <v>46</v>
      </c>
      <c r="AG321" s="819"/>
    </row>
    <row r="322" spans="1:36" ht="18" customHeight="1" x14ac:dyDescent="0.2">
      <c r="A322" s="1042"/>
      <c r="B322" s="748" t="s">
        <v>387</v>
      </c>
      <c r="C322" s="636"/>
      <c r="D322" s="636" t="s">
        <v>46</v>
      </c>
      <c r="E322" s="636" t="s">
        <v>46</v>
      </c>
      <c r="F322" s="636" t="s">
        <v>46</v>
      </c>
      <c r="G322" s="636" t="s">
        <v>46</v>
      </c>
      <c r="H322" s="799" t="s">
        <v>46</v>
      </c>
      <c r="I322" s="799"/>
      <c r="J322" s="636"/>
      <c r="K322" s="636" t="s">
        <v>46</v>
      </c>
      <c r="L322" s="636" t="s">
        <v>46</v>
      </c>
      <c r="M322" s="636" t="s">
        <v>46</v>
      </c>
      <c r="N322" s="636" t="s">
        <v>46</v>
      </c>
      <c r="O322" s="799" t="s">
        <v>46</v>
      </c>
      <c r="P322" s="799"/>
      <c r="Q322" s="636"/>
      <c r="R322" s="636" t="s">
        <v>46</v>
      </c>
      <c r="S322" s="636" t="s">
        <v>46</v>
      </c>
      <c r="T322" s="636" t="s">
        <v>46</v>
      </c>
      <c r="U322" s="636" t="s">
        <v>46</v>
      </c>
      <c r="V322" s="799" t="s">
        <v>46</v>
      </c>
      <c r="W322" s="799"/>
      <c r="X322" s="636"/>
      <c r="Y322" s="636" t="s">
        <v>46</v>
      </c>
      <c r="Z322" s="636" t="s">
        <v>46</v>
      </c>
      <c r="AA322" s="636" t="s">
        <v>46</v>
      </c>
      <c r="AB322" s="636" t="s">
        <v>46</v>
      </c>
      <c r="AC322" s="799" t="s">
        <v>46</v>
      </c>
      <c r="AD322" s="799"/>
      <c r="AE322" s="636"/>
      <c r="AF322" s="636" t="s">
        <v>46</v>
      </c>
      <c r="AG322" s="819"/>
    </row>
    <row r="323" spans="1:36" ht="18" customHeight="1" x14ac:dyDescent="0.2">
      <c r="A323" s="1042"/>
      <c r="B323" s="748" t="s">
        <v>388</v>
      </c>
      <c r="C323" s="636"/>
      <c r="D323" s="636" t="s">
        <v>46</v>
      </c>
      <c r="E323" s="636" t="s">
        <v>46</v>
      </c>
      <c r="F323" s="636" t="s">
        <v>46</v>
      </c>
      <c r="G323" s="636" t="s">
        <v>46</v>
      </c>
      <c r="H323" s="636" t="s">
        <v>46</v>
      </c>
      <c r="I323" s="636"/>
      <c r="J323" s="636"/>
      <c r="K323" s="636" t="s">
        <v>46</v>
      </c>
      <c r="L323" s="636" t="s">
        <v>46</v>
      </c>
      <c r="M323" s="636" t="s">
        <v>46</v>
      </c>
      <c r="N323" s="636" t="s">
        <v>46</v>
      </c>
      <c r="O323" s="636" t="s">
        <v>46</v>
      </c>
      <c r="P323" s="636"/>
      <c r="Q323" s="636"/>
      <c r="R323" s="636" t="s">
        <v>46</v>
      </c>
      <c r="S323" s="636" t="s">
        <v>46</v>
      </c>
      <c r="T323" s="636" t="s">
        <v>46</v>
      </c>
      <c r="U323" s="636" t="s">
        <v>46</v>
      </c>
      <c r="V323" s="636" t="s">
        <v>46</v>
      </c>
      <c r="W323" s="636"/>
      <c r="X323" s="636"/>
      <c r="Y323" s="636" t="s">
        <v>46</v>
      </c>
      <c r="Z323" s="636" t="s">
        <v>46</v>
      </c>
      <c r="AA323" s="636" t="s">
        <v>46</v>
      </c>
      <c r="AB323" s="636" t="s">
        <v>46</v>
      </c>
      <c r="AC323" s="636" t="s">
        <v>46</v>
      </c>
      <c r="AD323" s="636"/>
      <c r="AE323" s="636"/>
      <c r="AF323" s="636" t="s">
        <v>46</v>
      </c>
      <c r="AG323" s="1543"/>
    </row>
    <row r="324" spans="1:36" ht="18" customHeight="1" x14ac:dyDescent="0.2">
      <c r="A324" s="1042"/>
      <c r="B324" s="748" t="s">
        <v>389</v>
      </c>
      <c r="C324" s="636"/>
      <c r="D324" s="636" t="s">
        <v>46</v>
      </c>
      <c r="E324" s="636" t="s">
        <v>46</v>
      </c>
      <c r="F324" s="636" t="s">
        <v>46</v>
      </c>
      <c r="G324" s="636" t="s">
        <v>46</v>
      </c>
      <c r="H324" s="636" t="s">
        <v>46</v>
      </c>
      <c r="I324" s="636"/>
      <c r="J324" s="636"/>
      <c r="K324" s="636" t="s">
        <v>46</v>
      </c>
      <c r="L324" s="636" t="s">
        <v>46</v>
      </c>
      <c r="M324" s="636" t="s">
        <v>46</v>
      </c>
      <c r="N324" s="636" t="s">
        <v>46</v>
      </c>
      <c r="O324" s="636" t="s">
        <v>46</v>
      </c>
      <c r="P324" s="636"/>
      <c r="Q324" s="636"/>
      <c r="R324" s="636" t="s">
        <v>46</v>
      </c>
      <c r="S324" s="636" t="s">
        <v>46</v>
      </c>
      <c r="T324" s="636" t="s">
        <v>46</v>
      </c>
      <c r="U324" s="636" t="s">
        <v>46</v>
      </c>
      <c r="V324" s="636" t="s">
        <v>46</v>
      </c>
      <c r="W324" s="636"/>
      <c r="X324" s="636"/>
      <c r="Y324" s="636" t="s">
        <v>46</v>
      </c>
      <c r="Z324" s="636" t="s">
        <v>46</v>
      </c>
      <c r="AA324" s="636" t="s">
        <v>46</v>
      </c>
      <c r="AB324" s="636" t="s">
        <v>46</v>
      </c>
      <c r="AC324" s="636" t="s">
        <v>46</v>
      </c>
      <c r="AD324" s="636"/>
      <c r="AE324" s="636"/>
      <c r="AF324" s="636" t="s">
        <v>46</v>
      </c>
      <c r="AG324" s="801"/>
    </row>
    <row r="325" spans="1:36" ht="18" customHeight="1" x14ac:dyDescent="0.2">
      <c r="A325" s="1042"/>
      <c r="B325" s="748" t="s">
        <v>390</v>
      </c>
      <c r="C325" s="636"/>
      <c r="D325" s="636" t="s">
        <v>46</v>
      </c>
      <c r="E325" s="636" t="s">
        <v>46</v>
      </c>
      <c r="F325" s="636" t="s">
        <v>46</v>
      </c>
      <c r="G325" s="636" t="s">
        <v>46</v>
      </c>
      <c r="H325" s="636" t="s">
        <v>46</v>
      </c>
      <c r="I325" s="636"/>
      <c r="J325" s="636"/>
      <c r="K325" s="636" t="s">
        <v>46</v>
      </c>
      <c r="L325" s="636" t="s">
        <v>46</v>
      </c>
      <c r="M325" s="636" t="s">
        <v>46</v>
      </c>
      <c r="N325" s="636" t="s">
        <v>46</v>
      </c>
      <c r="O325" s="636" t="s">
        <v>46</v>
      </c>
      <c r="P325" s="636"/>
      <c r="Q325" s="636"/>
      <c r="R325" s="636" t="s">
        <v>46</v>
      </c>
      <c r="S325" s="636" t="s">
        <v>46</v>
      </c>
      <c r="T325" s="636" t="s">
        <v>46</v>
      </c>
      <c r="U325" s="636" t="s">
        <v>46</v>
      </c>
      <c r="V325" s="636" t="s">
        <v>46</v>
      </c>
      <c r="W325" s="636"/>
      <c r="X325" s="636"/>
      <c r="Y325" s="636" t="s">
        <v>46</v>
      </c>
      <c r="Z325" s="636" t="s">
        <v>46</v>
      </c>
      <c r="AA325" s="636" t="s">
        <v>46</v>
      </c>
      <c r="AB325" s="636" t="s">
        <v>46</v>
      </c>
      <c r="AC325" s="636" t="s">
        <v>46</v>
      </c>
      <c r="AD325" s="636"/>
      <c r="AE325" s="636"/>
      <c r="AF325" s="636" t="s">
        <v>46</v>
      </c>
      <c r="AG325" s="801"/>
    </row>
    <row r="326" spans="1:36" ht="18" customHeight="1" x14ac:dyDescent="0.2">
      <c r="A326" s="1042"/>
      <c r="B326" s="748" t="s">
        <v>391</v>
      </c>
      <c r="C326" s="636"/>
      <c r="D326" s="636" t="s">
        <v>46</v>
      </c>
      <c r="E326" s="636" t="s">
        <v>46</v>
      </c>
      <c r="F326" s="636" t="s">
        <v>46</v>
      </c>
      <c r="G326" s="636" t="s">
        <v>46</v>
      </c>
      <c r="H326" s="636" t="s">
        <v>46</v>
      </c>
      <c r="I326" s="636"/>
      <c r="J326" s="636"/>
      <c r="K326" s="636" t="s">
        <v>46</v>
      </c>
      <c r="L326" s="636" t="s">
        <v>46</v>
      </c>
      <c r="M326" s="636" t="s">
        <v>46</v>
      </c>
      <c r="N326" s="636" t="s">
        <v>46</v>
      </c>
      <c r="O326" s="636" t="s">
        <v>46</v>
      </c>
      <c r="P326" s="636"/>
      <c r="Q326" s="636"/>
      <c r="R326" s="636" t="s">
        <v>46</v>
      </c>
      <c r="S326" s="636" t="s">
        <v>46</v>
      </c>
      <c r="T326" s="636" t="s">
        <v>46</v>
      </c>
      <c r="U326" s="636" t="s">
        <v>46</v>
      </c>
      <c r="V326" s="636" t="s">
        <v>46</v>
      </c>
      <c r="W326" s="636"/>
      <c r="X326" s="636"/>
      <c r="Y326" s="636" t="s">
        <v>46</v>
      </c>
      <c r="Z326" s="636" t="s">
        <v>46</v>
      </c>
      <c r="AA326" s="636" t="s">
        <v>46</v>
      </c>
      <c r="AB326" s="636" t="s">
        <v>46</v>
      </c>
      <c r="AC326" s="636" t="s">
        <v>46</v>
      </c>
      <c r="AD326" s="636"/>
      <c r="AE326" s="636"/>
      <c r="AF326" s="636" t="s">
        <v>46</v>
      </c>
      <c r="AG326" s="801"/>
    </row>
    <row r="327" spans="1:36" ht="18" customHeight="1" x14ac:dyDescent="0.2">
      <c r="A327" s="1042"/>
      <c r="B327" s="748" t="s">
        <v>392</v>
      </c>
      <c r="C327" s="636"/>
      <c r="D327" s="636" t="s">
        <v>46</v>
      </c>
      <c r="E327" s="636" t="s">
        <v>46</v>
      </c>
      <c r="F327" s="636" t="s">
        <v>46</v>
      </c>
      <c r="G327" s="636" t="s">
        <v>46</v>
      </c>
      <c r="H327" s="636" t="s">
        <v>46</v>
      </c>
      <c r="I327" s="636"/>
      <c r="J327" s="636"/>
      <c r="K327" s="636" t="s">
        <v>46</v>
      </c>
      <c r="L327" s="636" t="s">
        <v>46</v>
      </c>
      <c r="M327" s="636" t="s">
        <v>46</v>
      </c>
      <c r="N327" s="636" t="s">
        <v>46</v>
      </c>
      <c r="O327" s="636" t="s">
        <v>46</v>
      </c>
      <c r="P327" s="636"/>
      <c r="Q327" s="636"/>
      <c r="R327" s="636" t="s">
        <v>46</v>
      </c>
      <c r="S327" s="636" t="s">
        <v>46</v>
      </c>
      <c r="T327" s="636" t="s">
        <v>46</v>
      </c>
      <c r="U327" s="636" t="s">
        <v>46</v>
      </c>
      <c r="V327" s="636" t="s">
        <v>46</v>
      </c>
      <c r="W327" s="636"/>
      <c r="X327" s="636"/>
      <c r="Y327" s="636" t="s">
        <v>46</v>
      </c>
      <c r="Z327" s="636" t="s">
        <v>46</v>
      </c>
      <c r="AA327" s="636" t="s">
        <v>46</v>
      </c>
      <c r="AB327" s="636" t="s">
        <v>46</v>
      </c>
      <c r="AC327" s="636" t="s">
        <v>46</v>
      </c>
      <c r="AD327" s="636"/>
      <c r="AE327" s="636"/>
      <c r="AF327" s="636" t="s">
        <v>46</v>
      </c>
      <c r="AG327" s="801"/>
    </row>
    <row r="328" spans="1:36" ht="18" customHeight="1" x14ac:dyDescent="0.2">
      <c r="A328" s="1042"/>
      <c r="B328" s="748" t="s">
        <v>393</v>
      </c>
      <c r="C328" s="957"/>
      <c r="D328" s="636" t="s">
        <v>46</v>
      </c>
      <c r="E328" s="636" t="s">
        <v>46</v>
      </c>
      <c r="F328" s="636" t="s">
        <v>46</v>
      </c>
      <c r="G328" s="636" t="s">
        <v>46</v>
      </c>
      <c r="H328" s="636" t="s">
        <v>46</v>
      </c>
      <c r="I328" s="636"/>
      <c r="J328" s="957"/>
      <c r="K328" s="636" t="s">
        <v>46</v>
      </c>
      <c r="L328" s="636" t="s">
        <v>46</v>
      </c>
      <c r="M328" s="636" t="s">
        <v>46</v>
      </c>
      <c r="N328" s="636" t="s">
        <v>46</v>
      </c>
      <c r="O328" s="636" t="s">
        <v>46</v>
      </c>
      <c r="P328" s="636"/>
      <c r="Q328" s="957"/>
      <c r="R328" s="636" t="s">
        <v>46</v>
      </c>
      <c r="S328" s="636" t="s">
        <v>46</v>
      </c>
      <c r="T328" s="636" t="s">
        <v>46</v>
      </c>
      <c r="U328" s="636" t="s">
        <v>46</v>
      </c>
      <c r="V328" s="636" t="s">
        <v>46</v>
      </c>
      <c r="W328" s="636"/>
      <c r="X328" s="957"/>
      <c r="Y328" s="636" t="s">
        <v>46</v>
      </c>
      <c r="Z328" s="636" t="s">
        <v>46</v>
      </c>
      <c r="AA328" s="636" t="s">
        <v>46</v>
      </c>
      <c r="AB328" s="636" t="s">
        <v>46</v>
      </c>
      <c r="AC328" s="636" t="s">
        <v>46</v>
      </c>
      <c r="AD328" s="636"/>
      <c r="AE328" s="957"/>
      <c r="AF328" s="636" t="s">
        <v>46</v>
      </c>
      <c r="AG328" s="801"/>
    </row>
    <row r="329" spans="1:36" ht="18" customHeight="1" x14ac:dyDescent="0.2">
      <c r="A329" s="1544"/>
      <c r="B329" s="1545" t="s">
        <v>394</v>
      </c>
      <c r="C329" s="1212"/>
      <c r="D329" s="1212" t="s">
        <v>46</v>
      </c>
      <c r="E329" s="1212" t="s">
        <v>46</v>
      </c>
      <c r="F329" s="1212" t="s">
        <v>46</v>
      </c>
      <c r="G329" s="1212" t="s">
        <v>46</v>
      </c>
      <c r="H329" s="1212" t="s">
        <v>46</v>
      </c>
      <c r="I329" s="1212"/>
      <c r="J329" s="1212"/>
      <c r="K329" s="1212" t="s">
        <v>46</v>
      </c>
      <c r="L329" s="1212" t="s">
        <v>46</v>
      </c>
      <c r="M329" s="1212" t="s">
        <v>46</v>
      </c>
      <c r="N329" s="1212" t="s">
        <v>46</v>
      </c>
      <c r="O329" s="1212" t="s">
        <v>46</v>
      </c>
      <c r="P329" s="1212"/>
      <c r="Q329" s="1212"/>
      <c r="R329" s="1212" t="s">
        <v>46</v>
      </c>
      <c r="S329" s="1212" t="s">
        <v>46</v>
      </c>
      <c r="T329" s="1212" t="s">
        <v>46</v>
      </c>
      <c r="U329" s="1212" t="s">
        <v>46</v>
      </c>
      <c r="V329" s="1212" t="s">
        <v>46</v>
      </c>
      <c r="W329" s="1212"/>
      <c r="X329" s="1212"/>
      <c r="Y329" s="1212" t="s">
        <v>46</v>
      </c>
      <c r="Z329" s="1212" t="s">
        <v>46</v>
      </c>
      <c r="AA329" s="1212" t="s">
        <v>46</v>
      </c>
      <c r="AB329" s="1212" t="s">
        <v>46</v>
      </c>
      <c r="AC329" s="1212" t="s">
        <v>46</v>
      </c>
      <c r="AD329" s="1212"/>
      <c r="AE329" s="1212"/>
      <c r="AF329" s="1212" t="s">
        <v>46</v>
      </c>
      <c r="AG329" s="1972"/>
    </row>
    <row r="330" spans="1:36" ht="18" customHeight="1" x14ac:dyDescent="0.2">
      <c r="A330" s="1042"/>
      <c r="B330" s="748"/>
      <c r="C330" s="636"/>
      <c r="D330" s="813"/>
      <c r="E330" s="636"/>
      <c r="F330" s="636"/>
      <c r="G330" s="636"/>
      <c r="H330" s="636"/>
      <c r="I330" s="636"/>
      <c r="J330" s="636"/>
      <c r="K330" s="636"/>
      <c r="L330" s="636"/>
      <c r="M330" s="636"/>
      <c r="N330" s="636"/>
      <c r="O330" s="636"/>
      <c r="P330" s="636"/>
      <c r="Q330" s="636"/>
      <c r="R330" s="636"/>
      <c r="S330" s="636"/>
      <c r="T330" s="636"/>
      <c r="U330" s="636"/>
      <c r="V330" s="636"/>
      <c r="W330" s="636"/>
      <c r="X330" s="636"/>
      <c r="Y330" s="636"/>
      <c r="Z330" s="636"/>
      <c r="AA330" s="636"/>
      <c r="AB330" s="636"/>
      <c r="AC330" s="636"/>
      <c r="AD330" s="636"/>
      <c r="AE330" s="636"/>
      <c r="AF330" s="636"/>
      <c r="AG330" s="801"/>
    </row>
    <row r="331" spans="1:36" ht="18" customHeight="1" x14ac:dyDescent="0.2">
      <c r="A331" s="372"/>
      <c r="B331" s="1085"/>
      <c r="C331" s="712"/>
      <c r="D331" s="712"/>
      <c r="E331" s="712"/>
      <c r="F331" s="712"/>
      <c r="G331" s="712"/>
      <c r="H331" s="712"/>
      <c r="I331" s="712"/>
      <c r="J331" s="712"/>
      <c r="K331" s="712"/>
      <c r="L331" s="712"/>
      <c r="M331" s="712"/>
      <c r="N331" s="711"/>
      <c r="O331" s="711"/>
      <c r="P331" s="712"/>
      <c r="Q331" s="712"/>
      <c r="R331" s="712"/>
      <c r="S331" s="712"/>
      <c r="T331" s="712"/>
      <c r="U331" s="712"/>
      <c r="V331" s="712"/>
      <c r="W331" s="712"/>
      <c r="X331" s="712"/>
      <c r="Y331" s="712"/>
      <c r="Z331" s="712"/>
      <c r="AA331" s="712"/>
      <c r="AB331" s="711"/>
      <c r="AC331" s="711"/>
      <c r="AD331" s="712"/>
      <c r="AE331" s="712"/>
      <c r="AF331" s="712"/>
      <c r="AG331" s="1086"/>
    </row>
    <row r="332" spans="1:36" ht="18" customHeight="1" x14ac:dyDescent="0.2">
      <c r="A332" s="1087"/>
      <c r="B332" s="1088"/>
      <c r="C332" s="1973"/>
      <c r="D332" s="1974"/>
      <c r="E332" s="1974"/>
      <c r="F332" s="1974"/>
      <c r="G332" s="1974"/>
      <c r="H332" s="1974"/>
      <c r="I332" s="1974"/>
      <c r="J332" s="1974"/>
      <c r="K332" s="1974"/>
      <c r="L332" s="1974"/>
      <c r="M332" s="1974"/>
      <c r="N332" s="1975"/>
      <c r="O332" s="1975"/>
      <c r="P332" s="1974"/>
      <c r="Q332" s="1974"/>
      <c r="R332" s="1974"/>
      <c r="S332" s="1974"/>
      <c r="T332" s="1974"/>
      <c r="U332" s="1974"/>
      <c r="V332" s="1974"/>
      <c r="W332" s="1974"/>
      <c r="X332" s="1974"/>
      <c r="Y332" s="1974"/>
      <c r="Z332" s="1974"/>
      <c r="AA332" s="1974"/>
      <c r="AB332" s="1975"/>
      <c r="AC332" s="1975"/>
      <c r="AD332" s="1974"/>
      <c r="AE332" s="1974"/>
      <c r="AF332" s="1974"/>
      <c r="AG332" s="1976"/>
    </row>
    <row r="333" spans="1:36" ht="18" customHeight="1" x14ac:dyDescent="0.2">
      <c r="AH333" s="123"/>
      <c r="AI333" s="123"/>
      <c r="AJ333" s="123"/>
    </row>
    <row r="334" spans="1:36" ht="18" customHeight="1" x14ac:dyDescent="0.2">
      <c r="AH334" s="123"/>
      <c r="AI334" s="123"/>
      <c r="AJ334" s="123"/>
    </row>
    <row r="335" spans="1:36" x14ac:dyDescent="0.2">
      <c r="AH335" s="123"/>
      <c r="AI335" s="123"/>
      <c r="AJ335" s="123"/>
    </row>
    <row r="336" spans="1:36" x14ac:dyDescent="0.2">
      <c r="AH336" s="123"/>
      <c r="AI336" s="123"/>
      <c r="AJ336" s="123"/>
    </row>
  </sheetData>
  <sheetProtection algorithmName="SHA-512" hashValue="ZHIFjTW01axqhwCh4bhY30ZYPWuL2/m6NttqPlKI/HndMOTK+bNIbmOz9vJCXJyJGvSVipLk9M3r0Na05mzvRQ==" saltValue="o1TpjLu2F+zugfhmApKILA==" spinCount="100000" sheet="1" objects="1" scenarios="1"/>
  <mergeCells count="1">
    <mergeCell ref="T36:Z36"/>
  </mergeCells>
  <pageMargins left="0.7" right="0.7" top="0.75" bottom="0.75" header="0.3" footer="0.3"/>
  <pageSetup paperSize="9" scale="10" orientation="landscape" r:id="rId1"/>
  <ignoredErrors>
    <ignoredError sqref="G87 E87:F87" numberStoredAsTex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20">
    <pageSetUpPr fitToPage="1"/>
  </sheetPr>
  <dimension ref="A1:AN336"/>
  <sheetViews>
    <sheetView workbookViewId="0">
      <pane xSplit="2" ySplit="3" topLeftCell="D76" activePane="bottomRight" state="frozen"/>
      <selection pane="topRight" activeCell="C181" sqref="C181"/>
      <selection pane="bottomLeft" activeCell="C181" sqref="C181"/>
      <selection pane="bottomRight" activeCell="A131" sqref="A131:XFD131"/>
    </sheetView>
  </sheetViews>
  <sheetFormatPr defaultRowHeight="12" x14ac:dyDescent="0.2"/>
  <cols>
    <col min="2" max="2" width="31.28515625" customWidth="1"/>
    <col min="3" max="33" width="4.5703125" customWidth="1"/>
    <col min="34" max="34" width="7.85546875" customWidth="1"/>
    <col min="35" max="35" width="4.28515625" customWidth="1"/>
    <col min="39" max="40" width="11.85546875" customWidth="1"/>
  </cols>
  <sheetData>
    <row r="1" spans="1:38" ht="18" customHeight="1" x14ac:dyDescent="0.2">
      <c r="A1" t="s">
        <v>0</v>
      </c>
      <c r="B1" s="1" t="s">
        <v>1</v>
      </c>
      <c r="U1" t="s">
        <v>433</v>
      </c>
      <c r="Y1" t="s">
        <v>490</v>
      </c>
    </row>
    <row r="2" spans="1:38" ht="18" customHeight="1" x14ac:dyDescent="0.2">
      <c r="B2" s="2654" t="s">
        <v>2</v>
      </c>
      <c r="C2" s="2655" t="s">
        <v>3</v>
      </c>
      <c r="D2" s="2656"/>
      <c r="E2" s="2657" t="s">
        <v>4</v>
      </c>
      <c r="F2" s="2658"/>
      <c r="G2" s="2659"/>
      <c r="H2" s="2659"/>
      <c r="I2" s="2659"/>
      <c r="J2" s="2659"/>
      <c r="K2" s="2660"/>
      <c r="L2" s="2661" t="s">
        <v>5</v>
      </c>
      <c r="M2" s="2662"/>
      <c r="N2" s="2663"/>
      <c r="O2" s="2664" t="s">
        <v>6</v>
      </c>
      <c r="P2" s="2665"/>
      <c r="Q2" s="2666"/>
      <c r="R2" s="2667"/>
      <c r="S2" s="2668" t="s">
        <v>7</v>
      </c>
      <c r="T2" s="2669"/>
      <c r="U2" s="2670"/>
      <c r="V2" s="2669"/>
      <c r="W2" s="2671" t="s">
        <v>8</v>
      </c>
      <c r="X2" s="2672"/>
      <c r="Y2" s="2673"/>
      <c r="Z2" s="105" t="s">
        <v>9</v>
      </c>
      <c r="AA2" s="2674"/>
      <c r="AB2" s="2675"/>
      <c r="AC2" s="2676"/>
      <c r="AD2" s="2677" t="s">
        <v>10</v>
      </c>
      <c r="AE2" s="2678"/>
      <c r="AF2" s="2678"/>
      <c r="AG2" s="2679"/>
    </row>
    <row r="3" spans="1:38" ht="18" customHeight="1" x14ac:dyDescent="0.2">
      <c r="A3" s="1"/>
      <c r="B3" s="2680" t="s">
        <v>10</v>
      </c>
      <c r="C3" s="2681" t="s">
        <v>10</v>
      </c>
      <c r="D3" s="2682"/>
      <c r="E3" s="543"/>
      <c r="F3" s="544"/>
      <c r="G3" s="544"/>
      <c r="H3" s="545" t="s">
        <v>10</v>
      </c>
      <c r="I3" s="546"/>
      <c r="J3" s="546"/>
      <c r="K3" s="547"/>
      <c r="L3" s="2683" t="s">
        <v>11</v>
      </c>
      <c r="M3" s="2684"/>
      <c r="N3" s="2685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2684"/>
      <c r="AA3" s="2684"/>
      <c r="AB3" s="2686"/>
      <c r="AC3" s="2687"/>
      <c r="AD3" s="2688" t="s">
        <v>13</v>
      </c>
      <c r="AE3" s="2689"/>
      <c r="AF3" s="2689"/>
      <c r="AG3" s="2690"/>
      <c r="AH3" s="1129" t="s">
        <v>14</v>
      </c>
      <c r="AI3" s="1129"/>
      <c r="AJ3" s="1129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2691"/>
      <c r="D5" s="2692" t="s">
        <v>17</v>
      </c>
      <c r="E5" s="2693"/>
      <c r="F5" s="2691"/>
      <c r="G5" s="2692" t="s">
        <v>18</v>
      </c>
      <c r="H5" s="2693"/>
      <c r="I5" s="2691"/>
      <c r="J5" s="2692" t="s">
        <v>19</v>
      </c>
      <c r="K5" s="2693"/>
      <c r="L5" s="2691"/>
      <c r="M5" s="2692" t="s">
        <v>20</v>
      </c>
      <c r="N5" s="2693"/>
      <c r="O5" s="2691"/>
      <c r="P5" s="2692" t="s">
        <v>21</v>
      </c>
      <c r="Q5" s="2693"/>
      <c r="R5" s="2691"/>
      <c r="S5" s="2692" t="s">
        <v>22</v>
      </c>
      <c r="T5" s="2694"/>
      <c r="U5" s="2695"/>
      <c r="V5" s="2696" t="s">
        <v>23</v>
      </c>
      <c r="W5" s="2694"/>
    </row>
    <row r="6" spans="1:38" ht="18" customHeight="1" x14ac:dyDescent="0.2">
      <c r="A6" s="2697"/>
      <c r="B6" s="2698" t="s">
        <v>24</v>
      </c>
      <c r="C6" s="2699" t="s">
        <v>25</v>
      </c>
      <c r="D6" s="1139"/>
      <c r="E6" s="2433"/>
      <c r="F6" s="2700" t="s">
        <v>25</v>
      </c>
      <c r="G6" s="1142"/>
      <c r="H6" s="1142"/>
      <c r="I6" s="2699" t="s">
        <v>26</v>
      </c>
      <c r="J6" s="1142"/>
      <c r="K6" s="2433"/>
      <c r="L6" s="2700" t="s">
        <v>26</v>
      </c>
      <c r="M6" s="1142"/>
      <c r="N6" s="2433"/>
      <c r="O6" s="2700" t="s">
        <v>27</v>
      </c>
      <c r="P6" s="1142"/>
      <c r="Q6" s="2433"/>
      <c r="R6" s="1142"/>
      <c r="S6" s="1142"/>
      <c r="T6" s="1142"/>
      <c r="U6" s="2698"/>
      <c r="V6" s="1142"/>
      <c r="W6" s="2433"/>
      <c r="X6" s="1142"/>
      <c r="Y6" s="1142"/>
      <c r="Z6" s="1142"/>
      <c r="AA6" s="1142"/>
      <c r="AB6" s="1143"/>
      <c r="AC6" s="2433"/>
      <c r="AD6" s="123"/>
      <c r="AE6" s="123"/>
      <c r="AF6" s="123"/>
      <c r="AG6" s="123"/>
    </row>
    <row r="7" spans="1:38" ht="18" customHeight="1" x14ac:dyDescent="0.2">
      <c r="A7" s="2697"/>
      <c r="B7" s="2698" t="s">
        <v>28</v>
      </c>
      <c r="C7" s="2699" t="s">
        <v>29</v>
      </c>
      <c r="D7" s="1142"/>
      <c r="E7" s="2433"/>
      <c r="F7" s="2700" t="s">
        <v>29</v>
      </c>
      <c r="G7" s="1142"/>
      <c r="H7" s="1142"/>
      <c r="I7" s="2699" t="s">
        <v>29</v>
      </c>
      <c r="J7" s="1142"/>
      <c r="K7" s="2433"/>
      <c r="L7" s="2700" t="s">
        <v>29</v>
      </c>
      <c r="M7" s="1142"/>
      <c r="N7" s="2433"/>
      <c r="O7" s="2700" t="s">
        <v>30</v>
      </c>
      <c r="P7" s="1142"/>
      <c r="Q7" s="2433"/>
      <c r="R7" s="1142"/>
      <c r="S7" s="1142"/>
      <c r="T7" s="1142"/>
      <c r="U7" s="2698"/>
      <c r="V7" s="1142"/>
      <c r="W7" s="2433"/>
      <c r="X7" s="1142"/>
      <c r="Y7" s="1142"/>
      <c r="Z7" s="1142"/>
      <c r="AA7" s="1142"/>
      <c r="AB7" s="1144"/>
      <c r="AC7" s="2433"/>
      <c r="AD7" s="123"/>
      <c r="AE7" s="123"/>
      <c r="AF7" s="123"/>
      <c r="AG7" s="123"/>
    </row>
    <row r="8" spans="1:38" ht="18" customHeight="1" x14ac:dyDescent="0.2">
      <c r="A8" s="2698"/>
      <c r="B8" s="2698" t="s">
        <v>31</v>
      </c>
      <c r="C8" s="2701" t="s">
        <v>32</v>
      </c>
      <c r="D8" s="1146"/>
      <c r="E8" s="2702"/>
      <c r="F8" s="2700" t="s">
        <v>33</v>
      </c>
      <c r="G8" s="1146"/>
      <c r="H8" s="1146"/>
      <c r="I8" s="2701" t="s">
        <v>33</v>
      </c>
      <c r="J8" s="1146"/>
      <c r="K8" s="2702"/>
      <c r="L8" s="2700" t="s">
        <v>33</v>
      </c>
      <c r="M8" s="1146"/>
      <c r="N8" s="1146"/>
      <c r="O8" s="2701" t="s">
        <v>34</v>
      </c>
      <c r="P8" s="1146"/>
      <c r="Q8" s="2702"/>
      <c r="R8" s="1148" t="s">
        <v>35</v>
      </c>
      <c r="S8" s="367"/>
      <c r="T8" s="367"/>
      <c r="U8" s="1149" t="s">
        <v>35</v>
      </c>
      <c r="V8" s="367"/>
      <c r="W8" s="1150"/>
      <c r="X8" s="1142"/>
      <c r="Y8" s="1142"/>
      <c r="Z8" s="1142"/>
      <c r="AA8" s="1142"/>
      <c r="AB8" s="1144"/>
      <c r="AC8" s="2433"/>
      <c r="AD8" s="123"/>
      <c r="AE8" s="123"/>
      <c r="AF8" s="123"/>
      <c r="AG8" s="123"/>
    </row>
    <row r="9" spans="1:38" ht="18" customHeight="1" x14ac:dyDescent="0.2">
      <c r="A9" s="2698"/>
      <c r="B9" s="2698" t="s">
        <v>36</v>
      </c>
      <c r="C9" s="2699" t="s">
        <v>37</v>
      </c>
      <c r="D9" s="1146"/>
      <c r="E9" s="2702"/>
      <c r="F9" s="2700" t="s">
        <v>37</v>
      </c>
      <c r="G9" s="1142"/>
      <c r="H9" s="1142"/>
      <c r="I9" s="2699" t="s">
        <v>37</v>
      </c>
      <c r="J9" s="1142"/>
      <c r="K9" s="2433"/>
      <c r="L9" s="2700" t="s">
        <v>37</v>
      </c>
      <c r="M9" s="1142"/>
      <c r="N9" s="2433"/>
      <c r="O9" s="2700" t="s">
        <v>38</v>
      </c>
      <c r="P9" s="1142"/>
      <c r="Q9" s="2433"/>
      <c r="R9" s="2700" t="s">
        <v>39</v>
      </c>
      <c r="S9" s="1142"/>
      <c r="T9" s="1142"/>
      <c r="U9" s="2699" t="s">
        <v>40</v>
      </c>
      <c r="V9" s="1142"/>
      <c r="W9" s="2433"/>
      <c r="X9" s="1142"/>
      <c r="Y9" s="1142"/>
      <c r="Z9" s="1142"/>
      <c r="AA9" s="1142"/>
      <c r="AB9" s="1144"/>
      <c r="AC9" s="2433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H11" s="244"/>
      <c r="AI11" s="111"/>
      <c r="AJ11" s="2703" t="s">
        <v>41</v>
      </c>
    </row>
    <row r="12" spans="1:38" ht="18" customHeight="1" x14ac:dyDescent="0.2">
      <c r="AH12" s="116"/>
      <c r="AI12" s="116"/>
      <c r="AJ12" s="2703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114"/>
    </row>
    <row r="14" spans="1:38" ht="18" customHeight="1" thickBot="1" x14ac:dyDescent="0.25">
      <c r="A14" s="2704" t="s">
        <v>43</v>
      </c>
      <c r="B14" s="2705" t="s">
        <v>44</v>
      </c>
      <c r="C14" s="2706">
        <v>1</v>
      </c>
      <c r="D14" s="2706">
        <v>2</v>
      </c>
      <c r="E14" s="2706">
        <v>3</v>
      </c>
      <c r="F14" s="2706">
        <v>4</v>
      </c>
      <c r="G14" s="2707">
        <v>5</v>
      </c>
      <c r="H14" s="2707">
        <v>6</v>
      </c>
      <c r="I14" s="2706">
        <v>7</v>
      </c>
      <c r="J14" s="2706">
        <v>8</v>
      </c>
      <c r="K14" s="2706">
        <v>9</v>
      </c>
      <c r="L14" s="2706">
        <v>10</v>
      </c>
      <c r="M14" s="2706">
        <v>11</v>
      </c>
      <c r="N14" s="2707">
        <v>12</v>
      </c>
      <c r="O14" s="2707">
        <v>13</v>
      </c>
      <c r="P14" s="2706">
        <v>14</v>
      </c>
      <c r="Q14" s="2706">
        <v>15</v>
      </c>
      <c r="R14" s="2706">
        <v>16</v>
      </c>
      <c r="S14" s="2706">
        <v>17</v>
      </c>
      <c r="T14" s="2706">
        <v>18</v>
      </c>
      <c r="U14" s="2707">
        <v>19</v>
      </c>
      <c r="V14" s="2707">
        <v>20</v>
      </c>
      <c r="W14" s="2706">
        <v>21</v>
      </c>
      <c r="X14" s="2706">
        <v>22</v>
      </c>
      <c r="Y14" s="2706">
        <v>23</v>
      </c>
      <c r="Z14" s="2706">
        <v>24</v>
      </c>
      <c r="AA14" s="2706">
        <v>25</v>
      </c>
      <c r="AB14" s="2707">
        <v>26</v>
      </c>
      <c r="AC14" s="2707">
        <v>27</v>
      </c>
      <c r="AD14" s="2706">
        <v>28</v>
      </c>
      <c r="AE14" s="2706">
        <v>29</v>
      </c>
      <c r="AF14" s="2706">
        <v>30</v>
      </c>
      <c r="AG14" s="2706">
        <v>31</v>
      </c>
      <c r="AH14" s="116"/>
      <c r="AI14" s="116"/>
    </row>
    <row r="15" spans="1:38" ht="18" customHeight="1" x14ac:dyDescent="0.2">
      <c r="A15" s="2708">
        <v>8500</v>
      </c>
      <c r="B15" s="2709" t="s">
        <v>437</v>
      </c>
      <c r="C15" s="2710" t="s">
        <v>46</v>
      </c>
      <c r="D15" s="2710" t="s">
        <v>46</v>
      </c>
      <c r="E15" s="2710" t="s">
        <v>46</v>
      </c>
      <c r="F15" s="2710" t="s">
        <v>46</v>
      </c>
      <c r="G15" s="2711"/>
      <c r="H15" s="2711"/>
      <c r="I15" s="2711" t="s">
        <v>46</v>
      </c>
      <c r="J15" s="2711" t="s">
        <v>46</v>
      </c>
      <c r="K15" s="2711" t="s">
        <v>46</v>
      </c>
      <c r="L15" s="2711" t="s">
        <v>46</v>
      </c>
      <c r="M15" s="2712" t="s">
        <v>46</v>
      </c>
      <c r="N15" s="2711"/>
      <c r="O15" s="2711"/>
      <c r="P15" s="2711" t="s">
        <v>46</v>
      </c>
      <c r="Q15" s="2711" t="s">
        <v>46</v>
      </c>
      <c r="R15" s="2711" t="s">
        <v>46</v>
      </c>
      <c r="S15" s="2711" t="s">
        <v>46</v>
      </c>
      <c r="T15" s="2711" t="s">
        <v>46</v>
      </c>
      <c r="U15" s="2711"/>
      <c r="V15" s="2711"/>
      <c r="W15" s="2711" t="s">
        <v>46</v>
      </c>
      <c r="X15" s="2711" t="s">
        <v>46</v>
      </c>
      <c r="Y15" s="2711" t="s">
        <v>46</v>
      </c>
      <c r="Z15" s="2711" t="s">
        <v>46</v>
      </c>
      <c r="AA15" s="2711" t="s">
        <v>46</v>
      </c>
      <c r="AB15" s="2711"/>
      <c r="AC15" s="2711"/>
      <c r="AD15" s="2711" t="s">
        <v>46</v>
      </c>
      <c r="AE15" s="2711" t="s">
        <v>46</v>
      </c>
      <c r="AF15" s="2711" t="s">
        <v>46</v>
      </c>
      <c r="AG15" s="2711" t="s">
        <v>46</v>
      </c>
      <c r="AH15" s="116"/>
      <c r="AI15" s="116"/>
      <c r="AL15" t="s">
        <v>0</v>
      </c>
    </row>
    <row r="16" spans="1:38" ht="18" customHeight="1" thickBot="1" x14ac:dyDescent="0.25">
      <c r="A16" s="2713" t="s">
        <v>47</v>
      </c>
      <c r="B16" s="2714"/>
      <c r="C16" s="2714"/>
      <c r="D16" s="2714"/>
      <c r="E16" s="2714"/>
      <c r="F16" s="2714"/>
      <c r="G16" s="2714"/>
      <c r="H16" s="2714"/>
      <c r="I16" s="2714"/>
      <c r="J16" s="2714"/>
      <c r="K16" s="2714"/>
      <c r="L16" s="2714"/>
      <c r="M16" s="2714"/>
      <c r="N16" s="2714"/>
      <c r="O16" s="2714"/>
      <c r="P16" s="2714"/>
      <c r="Q16" s="2714"/>
      <c r="R16" s="2714"/>
      <c r="S16" s="2714"/>
      <c r="T16" s="2714"/>
      <c r="U16" s="2714"/>
      <c r="V16" s="2714"/>
      <c r="W16" s="2714"/>
      <c r="X16" s="2714"/>
      <c r="Y16" s="2714"/>
      <c r="Z16" s="2714"/>
      <c r="AA16" s="2714"/>
      <c r="AB16" s="2714"/>
      <c r="AC16" s="2714"/>
      <c r="AD16" s="2714"/>
      <c r="AE16" s="2714"/>
      <c r="AF16" s="2714"/>
      <c r="AG16" s="2714"/>
      <c r="AH16" s="116"/>
      <c r="AI16" s="116"/>
    </row>
    <row r="17" spans="1:40" ht="18" customHeight="1" x14ac:dyDescent="0.2">
      <c r="A17" s="2715">
        <v>8546</v>
      </c>
      <c r="B17" s="594" t="s">
        <v>438</v>
      </c>
      <c r="C17" s="596" t="s">
        <v>51</v>
      </c>
      <c r="D17" s="595" t="s">
        <v>51</v>
      </c>
      <c r="E17" s="595" t="s">
        <v>51</v>
      </c>
      <c r="F17" s="597" t="s">
        <v>51</v>
      </c>
      <c r="G17" s="597" t="s">
        <v>52</v>
      </c>
      <c r="H17" s="597" t="s">
        <v>52</v>
      </c>
      <c r="I17" s="595" t="s">
        <v>50</v>
      </c>
      <c r="J17" s="596" t="s">
        <v>50</v>
      </c>
      <c r="K17" s="597" t="s">
        <v>50</v>
      </c>
      <c r="L17" s="595" t="s">
        <v>50</v>
      </c>
      <c r="M17" s="595" t="s">
        <v>50</v>
      </c>
      <c r="N17" s="595" t="s">
        <v>53</v>
      </c>
      <c r="O17" s="595" t="s">
        <v>53</v>
      </c>
      <c r="P17" s="595" t="s">
        <v>49</v>
      </c>
      <c r="Q17" s="595" t="s">
        <v>49</v>
      </c>
      <c r="R17" s="595" t="s">
        <v>49</v>
      </c>
      <c r="S17" s="595" t="s">
        <v>49</v>
      </c>
      <c r="T17" s="595" t="s">
        <v>49</v>
      </c>
      <c r="U17" s="595"/>
      <c r="V17" s="595"/>
      <c r="W17" s="595" t="s">
        <v>50</v>
      </c>
      <c r="X17" s="595" t="s">
        <v>50</v>
      </c>
      <c r="Y17" s="595" t="s">
        <v>50</v>
      </c>
      <c r="Z17" s="595" t="s">
        <v>50</v>
      </c>
      <c r="AA17" s="595" t="s">
        <v>50</v>
      </c>
      <c r="AB17" s="595" t="s">
        <v>0</v>
      </c>
      <c r="AC17" s="595"/>
      <c r="AD17" s="595" t="s">
        <v>51</v>
      </c>
      <c r="AE17" s="596" t="s">
        <v>51</v>
      </c>
      <c r="AF17" s="595" t="s">
        <v>51</v>
      </c>
      <c r="AG17" s="1171" t="s">
        <v>51</v>
      </c>
      <c r="AH17" s="116"/>
      <c r="AI17" s="116"/>
    </row>
    <row r="18" spans="1:40" ht="18" customHeight="1" x14ac:dyDescent="0.2">
      <c r="A18" s="2716">
        <v>8500</v>
      </c>
      <c r="B18" s="2717" t="s">
        <v>439</v>
      </c>
      <c r="C18" s="2718" t="s">
        <v>50</v>
      </c>
      <c r="D18" s="2718" t="s">
        <v>50</v>
      </c>
      <c r="E18" s="2718" t="s">
        <v>50</v>
      </c>
      <c r="F18" s="2718" t="s">
        <v>50</v>
      </c>
      <c r="G18" s="2718" t="s">
        <v>53</v>
      </c>
      <c r="H18" s="2718" t="s">
        <v>53</v>
      </c>
      <c r="I18" s="2718" t="s">
        <v>49</v>
      </c>
      <c r="J18" s="2718" t="s">
        <v>49</v>
      </c>
      <c r="K18" s="2718" t="s">
        <v>49</v>
      </c>
      <c r="L18" s="2718" t="s">
        <v>49</v>
      </c>
      <c r="M18" s="2718" t="s">
        <v>49</v>
      </c>
      <c r="N18" s="2718"/>
      <c r="O18" s="2718"/>
      <c r="P18" s="2718" t="s">
        <v>50</v>
      </c>
      <c r="Q18" s="2718" t="s">
        <v>50</v>
      </c>
      <c r="R18" s="2718" t="s">
        <v>50</v>
      </c>
      <c r="S18" s="2718" t="s">
        <v>50</v>
      </c>
      <c r="T18" s="2718" t="s">
        <v>50</v>
      </c>
      <c r="U18" s="2719" t="s">
        <v>53</v>
      </c>
      <c r="V18" s="2695"/>
      <c r="W18" s="2718" t="s">
        <v>51</v>
      </c>
      <c r="X18" s="2718" t="s">
        <v>51</v>
      </c>
      <c r="Y18" s="2718" t="s">
        <v>51</v>
      </c>
      <c r="Z18" s="2720" t="s">
        <v>51</v>
      </c>
      <c r="AA18" s="2718" t="s">
        <v>51</v>
      </c>
      <c r="AB18" s="2718" t="s">
        <v>52</v>
      </c>
      <c r="AC18" s="2718" t="s">
        <v>52</v>
      </c>
      <c r="AD18" s="2718" t="s">
        <v>50</v>
      </c>
      <c r="AE18" s="2718" t="s">
        <v>50</v>
      </c>
      <c r="AF18" s="2718" t="s">
        <v>50</v>
      </c>
      <c r="AG18" s="2721" t="s">
        <v>50</v>
      </c>
      <c r="AH18" s="116"/>
      <c r="AI18" s="116"/>
    </row>
    <row r="19" spans="1:40" ht="18" customHeight="1" x14ac:dyDescent="0.2">
      <c r="A19" s="2716">
        <v>8500</v>
      </c>
      <c r="B19" s="2722" t="s">
        <v>440</v>
      </c>
      <c r="C19" s="2723" t="s">
        <v>49</v>
      </c>
      <c r="D19" s="2724" t="s">
        <v>49</v>
      </c>
      <c r="E19" s="2724" t="s">
        <v>49</v>
      </c>
      <c r="F19" s="2724" t="s">
        <v>49</v>
      </c>
      <c r="G19" s="2724"/>
      <c r="H19" s="2724"/>
      <c r="I19" s="2725" t="s">
        <v>50</v>
      </c>
      <c r="J19" s="2724" t="s">
        <v>50</v>
      </c>
      <c r="K19" s="2724" t="s">
        <v>50</v>
      </c>
      <c r="L19" s="2724" t="s">
        <v>50</v>
      </c>
      <c r="M19" s="2724" t="s">
        <v>50</v>
      </c>
      <c r="N19" s="2718"/>
      <c r="O19" s="2718"/>
      <c r="P19" s="2723" t="s">
        <v>51</v>
      </c>
      <c r="Q19" s="2723" t="s">
        <v>51</v>
      </c>
      <c r="R19" s="2723" t="s">
        <v>51</v>
      </c>
      <c r="S19" s="2724" t="s">
        <v>51</v>
      </c>
      <c r="T19" s="2724" t="s">
        <v>51</v>
      </c>
      <c r="U19" s="2724" t="s">
        <v>52</v>
      </c>
      <c r="V19" s="2724" t="s">
        <v>52</v>
      </c>
      <c r="W19" s="2726" t="s">
        <v>50</v>
      </c>
      <c r="X19" s="2727" t="s">
        <v>50</v>
      </c>
      <c r="Y19" s="2728" t="s">
        <v>50</v>
      </c>
      <c r="Z19" s="2729" t="s">
        <v>50</v>
      </c>
      <c r="AA19" s="2730" t="s">
        <v>50</v>
      </c>
      <c r="AB19" s="2731" t="s">
        <v>53</v>
      </c>
      <c r="AC19" s="2731" t="s">
        <v>491</v>
      </c>
      <c r="AD19" s="2724" t="s">
        <v>49</v>
      </c>
      <c r="AE19" s="2723" t="s">
        <v>49</v>
      </c>
      <c r="AF19" s="2724" t="s">
        <v>49</v>
      </c>
      <c r="AG19" s="2732" t="s">
        <v>49</v>
      </c>
      <c r="AH19" s="114"/>
      <c r="AI19" s="114"/>
      <c r="AJ19" s="241"/>
      <c r="AK19" s="241"/>
      <c r="AL19" s="241"/>
      <c r="AM19" s="241"/>
      <c r="AN19" s="241"/>
    </row>
    <row r="20" spans="1:40" ht="18" customHeight="1" thickBot="1" x14ac:dyDescent="0.25">
      <c r="A20" s="2716">
        <v>8546</v>
      </c>
      <c r="B20" s="2733"/>
      <c r="C20" s="2726" t="s">
        <v>50</v>
      </c>
      <c r="D20" s="2734" t="s">
        <v>50</v>
      </c>
      <c r="E20" s="2734" t="s">
        <v>50</v>
      </c>
      <c r="F20" s="2724" t="s">
        <v>50</v>
      </c>
      <c r="G20" s="2724"/>
      <c r="H20" s="2724"/>
      <c r="I20" s="2724" t="s">
        <v>51</v>
      </c>
      <c r="J20" s="2723" t="s">
        <v>51</v>
      </c>
      <c r="K20" s="2723" t="s">
        <v>51</v>
      </c>
      <c r="L20" s="2724" t="s">
        <v>51</v>
      </c>
      <c r="M20" s="2723" t="s">
        <v>51</v>
      </c>
      <c r="N20" s="2723" t="s">
        <v>52</v>
      </c>
      <c r="O20" s="2724" t="s">
        <v>52</v>
      </c>
      <c r="P20" s="2723" t="s">
        <v>50</v>
      </c>
      <c r="Q20" s="2723" t="s">
        <v>50</v>
      </c>
      <c r="R20" s="2723" t="s">
        <v>50</v>
      </c>
      <c r="S20" s="2723" t="s">
        <v>50</v>
      </c>
      <c r="T20" s="2723" t="s">
        <v>50</v>
      </c>
      <c r="U20" s="2718" t="s">
        <v>53</v>
      </c>
      <c r="V20" s="2718" t="s">
        <v>53</v>
      </c>
      <c r="W20" s="2724" t="s">
        <v>49</v>
      </c>
      <c r="X20" s="2724" t="s">
        <v>49</v>
      </c>
      <c r="Y20" s="2735" t="s">
        <v>49</v>
      </c>
      <c r="Z20" s="2724" t="s">
        <v>49</v>
      </c>
      <c r="AA20" s="2724" t="s">
        <v>49</v>
      </c>
      <c r="AB20" s="2724"/>
      <c r="AC20" s="2736"/>
      <c r="AD20" s="2724" t="s">
        <v>50</v>
      </c>
      <c r="AE20" s="2726" t="s">
        <v>50</v>
      </c>
      <c r="AF20" s="2734" t="s">
        <v>50</v>
      </c>
      <c r="AG20" s="2732" t="s">
        <v>50</v>
      </c>
      <c r="AH20" s="116"/>
      <c r="AI20" s="116"/>
      <c r="AJ20" s="123"/>
      <c r="AK20" s="123"/>
      <c r="AL20" s="123"/>
      <c r="AM20" s="215"/>
      <c r="AN20" s="215"/>
    </row>
    <row r="21" spans="1:40" ht="18" customHeight="1" thickBot="1" x14ac:dyDescent="0.25">
      <c r="A21" s="2716">
        <v>8546</v>
      </c>
      <c r="B21" s="2722" t="s">
        <v>441</v>
      </c>
      <c r="C21" s="2724" t="s">
        <v>24</v>
      </c>
      <c r="D21" s="2720" t="s">
        <v>24</v>
      </c>
      <c r="E21" s="2737" t="s">
        <v>46</v>
      </c>
      <c r="F21" s="2723" t="s">
        <v>24</v>
      </c>
      <c r="G21" s="2724"/>
      <c r="H21" s="2724"/>
      <c r="I21" s="2726" t="s">
        <v>28</v>
      </c>
      <c r="J21" s="2724" t="s">
        <v>28</v>
      </c>
      <c r="K21" s="2724" t="s">
        <v>28</v>
      </c>
      <c r="L21" s="2737" t="s">
        <v>28</v>
      </c>
      <c r="M21" s="2719" t="s">
        <v>28</v>
      </c>
      <c r="N21" s="2738"/>
      <c r="O21" s="2725"/>
      <c r="P21" s="2739" t="s">
        <v>24</v>
      </c>
      <c r="Q21" s="2739" t="s">
        <v>24</v>
      </c>
      <c r="R21" s="2739" t="s">
        <v>24</v>
      </c>
      <c r="S21" s="2739" t="s">
        <v>24</v>
      </c>
      <c r="T21" s="2739" t="s">
        <v>24</v>
      </c>
      <c r="U21" s="2739"/>
      <c r="V21" s="2739"/>
      <c r="W21" s="2724" t="s">
        <v>28</v>
      </c>
      <c r="X21" s="2726" t="s">
        <v>28</v>
      </c>
      <c r="Y21" s="2726" t="s">
        <v>28</v>
      </c>
      <c r="Z21" s="2724" t="s">
        <v>28</v>
      </c>
      <c r="AA21" s="2740" t="s">
        <v>28</v>
      </c>
      <c r="AB21" s="2741"/>
      <c r="AC21" s="2741"/>
      <c r="AD21" s="2741" t="s">
        <v>24</v>
      </c>
      <c r="AE21" s="2724" t="s">
        <v>24</v>
      </c>
      <c r="AF21" s="2726" t="s">
        <v>24</v>
      </c>
      <c r="AG21" s="2732" t="s">
        <v>24</v>
      </c>
      <c r="AH21" s="116"/>
      <c r="AI21" s="116"/>
      <c r="AJ21" s="123"/>
      <c r="AK21" s="123"/>
      <c r="AL21" s="123"/>
      <c r="AM21" s="215"/>
      <c r="AN21" s="215"/>
    </row>
    <row r="22" spans="1:40" ht="18" customHeight="1" thickBot="1" x14ac:dyDescent="0.25">
      <c r="A22" s="2742">
        <v>8546</v>
      </c>
      <c r="B22" s="2743" t="s">
        <v>492</v>
      </c>
      <c r="C22" s="2744" t="s">
        <v>28</v>
      </c>
      <c r="D22" s="2745" t="s">
        <v>28</v>
      </c>
      <c r="E22" s="2746" t="s">
        <v>28</v>
      </c>
      <c r="F22" s="2745" t="s">
        <v>28</v>
      </c>
      <c r="G22" s="2745"/>
      <c r="H22" s="2747"/>
      <c r="I22" s="2724" t="s">
        <v>24</v>
      </c>
      <c r="J22" s="2747" t="s">
        <v>24</v>
      </c>
      <c r="K22" s="2724" t="s">
        <v>24</v>
      </c>
      <c r="L22" s="2737" t="s">
        <v>24</v>
      </c>
      <c r="M22" s="2712" t="s">
        <v>24</v>
      </c>
      <c r="N22" s="2748" t="s">
        <v>0</v>
      </c>
      <c r="O22" s="2749" t="s">
        <v>52</v>
      </c>
      <c r="P22" s="2750" t="s">
        <v>28</v>
      </c>
      <c r="Q22" s="2745" t="s">
        <v>28</v>
      </c>
      <c r="R22" s="2745" t="s">
        <v>28</v>
      </c>
      <c r="S22" s="2745" t="s">
        <v>28</v>
      </c>
      <c r="T22" s="2745" t="s">
        <v>28</v>
      </c>
      <c r="U22" s="2751"/>
      <c r="V22" s="2752"/>
      <c r="W22" s="2753" t="s">
        <v>24</v>
      </c>
      <c r="X22" s="2753" t="s">
        <v>24</v>
      </c>
      <c r="Y22" s="2754" t="s">
        <v>24</v>
      </c>
      <c r="Z22" s="2755" t="s">
        <v>24</v>
      </c>
      <c r="AA22" s="2755" t="s">
        <v>24</v>
      </c>
      <c r="AB22" s="2756" t="s">
        <v>53</v>
      </c>
      <c r="AC22" s="2747"/>
      <c r="AD22" s="2747" t="s">
        <v>28</v>
      </c>
      <c r="AE22" s="2747" t="s">
        <v>28</v>
      </c>
      <c r="AF22" s="2745" t="s">
        <v>28</v>
      </c>
      <c r="AG22" s="2757" t="s">
        <v>28</v>
      </c>
      <c r="AH22" s="116"/>
      <c r="AI22" s="116"/>
      <c r="AJ22" s="123"/>
      <c r="AK22" s="123"/>
      <c r="AL22" s="123"/>
      <c r="AM22" s="215"/>
      <c r="AN22" s="215"/>
    </row>
    <row r="23" spans="1:40" ht="18" customHeight="1" thickBot="1" x14ac:dyDescent="0.25">
      <c r="A23" s="2758" t="s">
        <v>60</v>
      </c>
      <c r="B23" s="2759"/>
      <c r="C23" s="2759"/>
      <c r="D23" s="2759"/>
      <c r="E23" s="2759"/>
      <c r="F23" s="2759"/>
      <c r="G23" s="2759"/>
      <c r="H23" s="2759"/>
      <c r="I23" s="2759"/>
      <c r="J23" s="2759"/>
      <c r="K23" s="2759"/>
      <c r="L23" s="2759"/>
      <c r="M23" s="2759"/>
      <c r="N23" s="2759"/>
      <c r="O23" s="2759"/>
      <c r="P23" s="2759"/>
      <c r="Q23" s="2759"/>
      <c r="R23" s="2759"/>
      <c r="S23" s="2759"/>
      <c r="T23" s="2759"/>
      <c r="U23" s="2759"/>
      <c r="V23" s="2759"/>
      <c r="W23" s="2759"/>
      <c r="X23" s="2759"/>
      <c r="Y23" s="2759"/>
      <c r="Z23" s="2759"/>
      <c r="AA23" s="2759"/>
      <c r="AB23" s="2759"/>
      <c r="AC23" s="2759"/>
      <c r="AD23" s="2759"/>
      <c r="AE23" s="2759"/>
      <c r="AF23" s="2759"/>
      <c r="AG23" s="2759"/>
      <c r="AJ23" s="123"/>
      <c r="AK23" s="123"/>
      <c r="AL23" s="123"/>
      <c r="AM23" s="215"/>
      <c r="AN23" s="215"/>
    </row>
    <row r="24" spans="1:40" ht="18" customHeight="1" x14ac:dyDescent="0.2">
      <c r="A24" s="626">
        <v>8500</v>
      </c>
      <c r="B24" s="2760" t="s">
        <v>443</v>
      </c>
      <c r="C24" s="2761" t="s">
        <v>46</v>
      </c>
      <c r="D24" s="2762" t="s">
        <v>46</v>
      </c>
      <c r="E24" s="2763" t="s">
        <v>46</v>
      </c>
      <c r="F24" s="2762" t="s">
        <v>46</v>
      </c>
      <c r="G24" s="2764"/>
      <c r="H24" s="2764"/>
      <c r="I24" s="2765" t="s">
        <v>46</v>
      </c>
      <c r="J24" s="2761" t="s">
        <v>46</v>
      </c>
      <c r="K24" s="2762" t="s">
        <v>46</v>
      </c>
      <c r="L24" s="2762" t="s">
        <v>46</v>
      </c>
      <c r="M24" s="2712" t="s">
        <v>46</v>
      </c>
      <c r="N24" s="2766"/>
      <c r="O24" s="2764"/>
      <c r="P24" s="2762" t="s">
        <v>46</v>
      </c>
      <c r="Q24" s="2761" t="s">
        <v>46</v>
      </c>
      <c r="R24" s="2767" t="s">
        <v>46</v>
      </c>
      <c r="S24" s="2762" t="s">
        <v>46</v>
      </c>
      <c r="T24" s="2768" t="s">
        <v>46</v>
      </c>
      <c r="U24" s="2764"/>
      <c r="V24" s="2764"/>
      <c r="W24" s="2769" t="s">
        <v>475</v>
      </c>
      <c r="X24" s="2761" t="s">
        <v>46</v>
      </c>
      <c r="Y24" s="2762" t="s">
        <v>46</v>
      </c>
      <c r="Z24" s="2762" t="s">
        <v>46</v>
      </c>
      <c r="AA24" s="2770" t="s">
        <v>46</v>
      </c>
      <c r="AB24" s="2764"/>
      <c r="AC24" s="2770" t="s">
        <v>53</v>
      </c>
      <c r="AD24" s="2762" t="s">
        <v>297</v>
      </c>
      <c r="AE24" s="2761" t="s">
        <v>46</v>
      </c>
      <c r="AF24" s="2762" t="s">
        <v>46</v>
      </c>
      <c r="AG24" s="2771" t="s">
        <v>46</v>
      </c>
      <c r="AJ24" s="2703" t="s">
        <v>41</v>
      </c>
      <c r="AK24" s="2703" t="s">
        <v>62</v>
      </c>
      <c r="AL24" s="2703" t="s">
        <v>63</v>
      </c>
      <c r="AM24" s="2703" t="s">
        <v>64</v>
      </c>
      <c r="AN24" s="2703" t="s">
        <v>65</v>
      </c>
    </row>
    <row r="25" spans="1:40" ht="18" customHeight="1" x14ac:dyDescent="0.2">
      <c r="A25" s="626">
        <v>8500</v>
      </c>
      <c r="B25" s="2722" t="s">
        <v>67</v>
      </c>
      <c r="C25" s="2724">
        <v>89</v>
      </c>
      <c r="D25" s="2724" t="s">
        <v>160</v>
      </c>
      <c r="E25" s="2724" t="s">
        <v>46</v>
      </c>
      <c r="F25" s="2725" t="s">
        <v>77</v>
      </c>
      <c r="G25" s="2718"/>
      <c r="H25" s="2724"/>
      <c r="I25" s="2724" t="s">
        <v>51</v>
      </c>
      <c r="J25" s="2723" t="s">
        <v>51</v>
      </c>
      <c r="K25" s="2724" t="s">
        <v>51</v>
      </c>
      <c r="L25" s="2724" t="s">
        <v>51</v>
      </c>
      <c r="M25" s="2723" t="s">
        <v>51</v>
      </c>
      <c r="N25" s="2738" t="s">
        <v>52</v>
      </c>
      <c r="O25" s="2772" t="s">
        <v>68</v>
      </c>
      <c r="P25" s="2773" t="s">
        <v>46</v>
      </c>
      <c r="Q25" s="2773" t="s">
        <v>46</v>
      </c>
      <c r="R25" s="2773" t="s">
        <v>46</v>
      </c>
      <c r="S25" s="2773" t="s">
        <v>46</v>
      </c>
      <c r="T25" s="2774" t="s">
        <v>46</v>
      </c>
      <c r="U25" s="2772" t="s">
        <v>68</v>
      </c>
      <c r="V25" s="2772" t="s">
        <v>68</v>
      </c>
      <c r="W25" s="2724" t="s">
        <v>49</v>
      </c>
      <c r="X25" s="2724" t="s">
        <v>49</v>
      </c>
      <c r="Y25" s="2719" t="s">
        <v>49</v>
      </c>
      <c r="Z25" s="2724" t="s">
        <v>49</v>
      </c>
      <c r="AA25" s="2724" t="s">
        <v>49</v>
      </c>
      <c r="AB25" s="2718" t="s">
        <v>68</v>
      </c>
      <c r="AC25" s="2718" t="s">
        <v>68</v>
      </c>
      <c r="AD25" s="2775" t="s">
        <v>50</v>
      </c>
      <c r="AE25" s="2724" t="s">
        <v>50</v>
      </c>
      <c r="AF25" s="2724" t="s">
        <v>50</v>
      </c>
      <c r="AG25" s="2724" t="s">
        <v>50</v>
      </c>
      <c r="AH25" s="123"/>
      <c r="AJ25" s="2776">
        <v>168.75</v>
      </c>
      <c r="AK25" s="2776">
        <v>8.25</v>
      </c>
      <c r="AL25" s="2776">
        <f>IF(AJ25="","",SUM(AJ25:AK25))</f>
        <v>177</v>
      </c>
      <c r="AM25" s="2777">
        <f>IF(AJ25="","",AL25-_xlfn.SINGLE(NormTid))</f>
        <v>16.669999999999987</v>
      </c>
      <c r="AN25" s="2777">
        <f>IF(AM25="","",AM25+'September 2024'!AN25)</f>
        <v>5.8499999999999304</v>
      </c>
    </row>
    <row r="26" spans="1:40" ht="18" customHeight="1" x14ac:dyDescent="0.2">
      <c r="A26" s="2778"/>
      <c r="B26" s="2695" t="s">
        <v>444</v>
      </c>
      <c r="C26" s="2767" t="s">
        <v>46</v>
      </c>
      <c r="D26" s="2767" t="s">
        <v>46</v>
      </c>
      <c r="E26" s="2767" t="s">
        <v>46</v>
      </c>
      <c r="F26" s="2767" t="s">
        <v>46</v>
      </c>
      <c r="G26" s="2734"/>
      <c r="H26" s="2718"/>
      <c r="I26" s="2767" t="s">
        <v>46</v>
      </c>
      <c r="J26" s="2767" t="s">
        <v>46</v>
      </c>
      <c r="K26" s="2767" t="s">
        <v>46</v>
      </c>
      <c r="L26" s="2767" t="s">
        <v>46</v>
      </c>
      <c r="M26" s="2712" t="s">
        <v>46</v>
      </c>
      <c r="N26" s="2734"/>
      <c r="O26" s="2718"/>
      <c r="P26" s="2779" t="s">
        <v>174</v>
      </c>
      <c r="Q26" s="2767" t="s">
        <v>46</v>
      </c>
      <c r="R26" s="2767" t="s">
        <v>46</v>
      </c>
      <c r="S26" s="2767" t="s">
        <v>46</v>
      </c>
      <c r="T26" s="2767" t="s">
        <v>46</v>
      </c>
      <c r="U26" s="2738"/>
      <c r="V26" s="2718"/>
      <c r="W26" s="2780" t="s">
        <v>46</v>
      </c>
      <c r="X26" s="2780" t="s">
        <v>46</v>
      </c>
      <c r="Y26" s="2767" t="s">
        <v>46</v>
      </c>
      <c r="Z26" s="2767" t="s">
        <v>46</v>
      </c>
      <c r="AA26" s="2767" t="s">
        <v>46</v>
      </c>
      <c r="AB26" s="2734"/>
      <c r="AC26" s="2718"/>
      <c r="AD26" s="2767" t="s">
        <v>46</v>
      </c>
      <c r="AE26" s="2767" t="s">
        <v>46</v>
      </c>
      <c r="AF26" s="2767" t="s">
        <v>46</v>
      </c>
      <c r="AG26" s="2767" t="s">
        <v>46</v>
      </c>
      <c r="AH26" s="123"/>
    </row>
    <row r="27" spans="1:40" ht="18" customHeight="1" thickBot="1" x14ac:dyDescent="0.25">
      <c r="A27" s="646"/>
      <c r="B27" s="2781" t="s">
        <v>445</v>
      </c>
      <c r="C27" s="2782" t="s">
        <v>46</v>
      </c>
      <c r="D27" s="2745" t="s">
        <v>46</v>
      </c>
      <c r="E27" s="2745" t="s">
        <v>46</v>
      </c>
      <c r="F27" s="2745" t="s">
        <v>46</v>
      </c>
      <c r="G27" s="2783"/>
      <c r="H27" s="2783"/>
      <c r="I27" s="2745" t="s">
        <v>46</v>
      </c>
      <c r="J27" s="2782" t="s">
        <v>46</v>
      </c>
      <c r="K27" s="2745" t="s">
        <v>46</v>
      </c>
      <c r="L27" s="2745" t="s">
        <v>46</v>
      </c>
      <c r="M27" s="2712" t="s">
        <v>46</v>
      </c>
      <c r="N27" s="2748"/>
      <c r="O27" s="2783"/>
      <c r="P27" s="2745" t="s">
        <v>46</v>
      </c>
      <c r="Q27" s="2782" t="s">
        <v>46</v>
      </c>
      <c r="R27" s="2745" t="s">
        <v>46</v>
      </c>
      <c r="S27" s="2738" t="s">
        <v>69</v>
      </c>
      <c r="T27" s="2718" t="s">
        <v>69</v>
      </c>
      <c r="U27" s="2783"/>
      <c r="V27" s="2783"/>
      <c r="W27" s="2745" t="s">
        <v>46</v>
      </c>
      <c r="X27" s="2782" t="s">
        <v>46</v>
      </c>
      <c r="Y27" s="2745" t="s">
        <v>46</v>
      </c>
      <c r="Z27" s="2745" t="s">
        <v>46</v>
      </c>
      <c r="AA27" s="2745" t="s">
        <v>46</v>
      </c>
      <c r="AB27" s="2783"/>
      <c r="AC27" s="2783"/>
      <c r="AD27" s="2745" t="s">
        <v>46</v>
      </c>
      <c r="AE27" s="2782" t="s">
        <v>46</v>
      </c>
      <c r="AF27" s="2745" t="s">
        <v>46</v>
      </c>
      <c r="AG27" s="2784" t="s">
        <v>46</v>
      </c>
      <c r="AH27" s="123"/>
    </row>
    <row r="28" spans="1:40" ht="18" customHeight="1" thickBot="1" x14ac:dyDescent="0.25">
      <c r="A28" s="245"/>
      <c r="B28" s="246"/>
      <c r="C28" s="247" t="s">
        <v>0</v>
      </c>
      <c r="D28" s="247" t="s">
        <v>0</v>
      </c>
      <c r="E28" s="247" t="s">
        <v>0</v>
      </c>
      <c r="F28" s="247" t="s">
        <v>0</v>
      </c>
      <c r="G28" s="853"/>
      <c r="H28" s="853"/>
      <c r="I28" s="247"/>
      <c r="J28" s="247"/>
      <c r="K28" s="247"/>
      <c r="L28" s="247">
        <v>1</v>
      </c>
      <c r="M28" s="247">
        <v>1</v>
      </c>
      <c r="N28" s="246"/>
      <c r="O28" s="330"/>
      <c r="P28" s="331" t="s">
        <v>0</v>
      </c>
      <c r="Q28" s="331" t="s">
        <v>0</v>
      </c>
      <c r="R28" s="331" t="s">
        <v>0</v>
      </c>
      <c r="S28" s="331"/>
      <c r="T28" s="331"/>
      <c r="U28" s="330"/>
      <c r="V28" s="330" t="s">
        <v>0</v>
      </c>
      <c r="W28" s="331" t="s">
        <v>0</v>
      </c>
      <c r="X28" s="331" t="s">
        <v>0</v>
      </c>
      <c r="Y28" s="331" t="s">
        <v>0</v>
      </c>
      <c r="Z28" s="331" t="s">
        <v>0</v>
      </c>
      <c r="AA28" s="2691" t="s">
        <v>0</v>
      </c>
      <c r="AB28" s="2510"/>
      <c r="AC28" s="2510"/>
      <c r="AD28" s="304" t="s">
        <v>297</v>
      </c>
      <c r="AE28" s="305" t="s">
        <v>0</v>
      </c>
      <c r="AF28" s="304" t="s">
        <v>0</v>
      </c>
      <c r="AG28" s="303"/>
      <c r="AH28" s="123"/>
    </row>
    <row r="29" spans="1:40" ht="18" customHeight="1" x14ac:dyDescent="0.2">
      <c r="A29" s="249"/>
      <c r="B29" s="250"/>
      <c r="C29" s="251"/>
      <c r="D29" s="252">
        <v>89</v>
      </c>
      <c r="E29" s="252"/>
      <c r="F29" s="252"/>
      <c r="G29" s="250"/>
      <c r="H29" s="250"/>
      <c r="I29" s="252"/>
      <c r="J29" s="252"/>
      <c r="K29" s="252"/>
      <c r="L29" s="252"/>
      <c r="M29" s="250"/>
      <c r="N29" s="341"/>
      <c r="O29" s="299"/>
      <c r="P29" s="299"/>
      <c r="Q29" s="299"/>
      <c r="R29" s="299"/>
      <c r="S29" s="134"/>
      <c r="T29" s="123"/>
      <c r="U29" s="123"/>
      <c r="V29" s="123"/>
      <c r="W29" s="123" t="s">
        <v>0</v>
      </c>
      <c r="X29" s="123" t="s">
        <v>0</v>
      </c>
      <c r="Y29" s="123" t="s">
        <v>160</v>
      </c>
      <c r="Z29" s="123"/>
      <c r="AA29" s="123" t="s">
        <v>0</v>
      </c>
      <c r="AB29" s="123" t="s">
        <v>0</v>
      </c>
      <c r="AC29" s="123" t="s">
        <v>0</v>
      </c>
      <c r="AD29" s="328">
        <v>3</v>
      </c>
      <c r="AE29" s="312" t="s">
        <v>0</v>
      </c>
      <c r="AF29" s="306">
        <v>3</v>
      </c>
      <c r="AG29" s="311"/>
      <c r="AH29" s="123"/>
    </row>
    <row r="30" spans="1:40" ht="18" customHeight="1" x14ac:dyDescent="0.2">
      <c r="A30" s="249"/>
      <c r="B30" s="250"/>
      <c r="C30" s="251"/>
      <c r="D30" s="252">
        <v>21</v>
      </c>
      <c r="E30" s="252">
        <v>21</v>
      </c>
      <c r="F30" s="252">
        <v>21</v>
      </c>
      <c r="G30" s="250">
        <v>21</v>
      </c>
      <c r="H30" s="250">
        <v>21</v>
      </c>
      <c r="I30" s="252" t="s">
        <v>0</v>
      </c>
      <c r="J30" s="251" t="s">
        <v>0</v>
      </c>
      <c r="K30" s="252" t="s">
        <v>0</v>
      </c>
      <c r="L30" s="250" t="s">
        <v>0</v>
      </c>
      <c r="N30" s="256"/>
      <c r="O30" s="123"/>
      <c r="P30" s="299"/>
      <c r="Q30" s="298"/>
      <c r="R30" s="299"/>
      <c r="S30" s="299"/>
      <c r="T30" s="299"/>
      <c r="U30" s="123" t="s">
        <v>0</v>
      </c>
      <c r="V30" s="123" t="s">
        <v>0</v>
      </c>
      <c r="W30" s="299"/>
      <c r="X30" s="298"/>
      <c r="Y30" s="299"/>
      <c r="Z30" s="299" t="s">
        <v>0</v>
      </c>
      <c r="AA30" s="299"/>
      <c r="AB30" s="123"/>
      <c r="AC30" s="123"/>
      <c r="AD30" s="328" t="s">
        <v>309</v>
      </c>
      <c r="AE30" s="312"/>
      <c r="AF30" s="306"/>
      <c r="AG30" s="311"/>
      <c r="AH30" s="123"/>
    </row>
    <row r="31" spans="1:40" ht="18" customHeight="1" x14ac:dyDescent="0.2">
      <c r="A31" s="249"/>
      <c r="B31" s="250"/>
      <c r="C31" s="251"/>
      <c r="D31" s="252"/>
      <c r="E31" s="252"/>
      <c r="F31" s="252"/>
      <c r="G31" s="250"/>
      <c r="H31" s="250"/>
      <c r="I31" s="252"/>
      <c r="J31" s="251"/>
      <c r="K31" s="252"/>
      <c r="L31" s="250"/>
      <c r="M31" s="250"/>
      <c r="N31" s="256"/>
      <c r="O31" s="300"/>
      <c r="P31" s="300" t="s">
        <v>0</v>
      </c>
      <c r="Q31" s="300" t="s">
        <v>0</v>
      </c>
      <c r="R31" s="300" t="s">
        <v>0</v>
      </c>
      <c r="S31" s="300" t="s">
        <v>0</v>
      </c>
      <c r="T31" s="300" t="s">
        <v>0</v>
      </c>
      <c r="U31" s="123"/>
      <c r="V31" s="123"/>
      <c r="W31" s="342"/>
      <c r="X31" s="342"/>
      <c r="Y31" s="342" t="s">
        <v>0</v>
      </c>
      <c r="Z31" s="123"/>
      <c r="AA31" s="123" t="s">
        <v>0</v>
      </c>
      <c r="AB31" s="123" t="s">
        <v>0</v>
      </c>
      <c r="AC31" s="123" t="s">
        <v>0</v>
      </c>
      <c r="AD31" s="328"/>
      <c r="AE31" s="312"/>
      <c r="AF31" s="306"/>
      <c r="AG31" s="311"/>
      <c r="AH31" s="123"/>
    </row>
    <row r="32" spans="1:40" ht="18" customHeight="1" x14ac:dyDescent="0.2">
      <c r="A32" s="249"/>
      <c r="B32" s="250"/>
      <c r="C32" s="251"/>
      <c r="D32" s="252"/>
      <c r="E32" s="252"/>
      <c r="F32" s="252"/>
      <c r="G32" s="250"/>
      <c r="H32" s="250"/>
      <c r="I32" s="252"/>
      <c r="J32" s="251"/>
      <c r="K32" s="252"/>
      <c r="L32" s="250"/>
      <c r="M32" s="250"/>
      <c r="N32" s="256"/>
      <c r="O32" s="123"/>
      <c r="P32" s="299"/>
      <c r="Q32" s="298"/>
      <c r="R32" s="299"/>
      <c r="S32" s="299"/>
      <c r="T32" s="134" t="s">
        <v>0</v>
      </c>
      <c r="U32" s="134" t="s">
        <v>0</v>
      </c>
      <c r="V32" s="134" t="s">
        <v>0</v>
      </c>
      <c r="W32" s="299"/>
      <c r="X32" s="298"/>
      <c r="Y32" s="299"/>
      <c r="Z32" s="123" t="s">
        <v>0</v>
      </c>
      <c r="AA32" s="123" t="s">
        <v>0</v>
      </c>
      <c r="AB32" s="123" t="s">
        <v>0</v>
      </c>
      <c r="AC32" s="123" t="s">
        <v>0</v>
      </c>
      <c r="AD32" s="328"/>
      <c r="AE32" s="312"/>
      <c r="AF32" s="306"/>
      <c r="AG32" s="311"/>
      <c r="AH32" s="123"/>
    </row>
    <row r="33" spans="1:38" ht="18" customHeight="1" x14ac:dyDescent="0.2">
      <c r="A33" s="249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6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310"/>
      <c r="AE33" s="311"/>
      <c r="AF33" s="311"/>
      <c r="AG33" s="311"/>
    </row>
    <row r="34" spans="1:38" ht="18" customHeight="1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303"/>
      <c r="P34" s="303"/>
      <c r="Q34" s="303"/>
      <c r="R34" s="303"/>
      <c r="S34" s="303"/>
      <c r="T34" s="303"/>
      <c r="U34" s="303"/>
      <c r="V34" s="303"/>
      <c r="W34" s="303"/>
      <c r="X34" s="303"/>
      <c r="Y34" s="303"/>
      <c r="Z34" s="303"/>
      <c r="AA34" s="303"/>
      <c r="AB34" s="303"/>
      <c r="AC34" s="303"/>
      <c r="AD34" s="311"/>
      <c r="AE34" s="311"/>
      <c r="AF34" s="311"/>
      <c r="AG34" s="311"/>
    </row>
    <row r="35" spans="1:38" ht="18" customHeight="1" x14ac:dyDescent="0.2">
      <c r="A35" s="103" t="s">
        <v>82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83</v>
      </c>
      <c r="R35" s="48" t="s">
        <v>0</v>
      </c>
      <c r="S35" s="48" t="s">
        <v>84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K35" s="1"/>
    </row>
    <row r="36" spans="1:38" ht="18" customHeight="1" x14ac:dyDescent="0.2">
      <c r="A36" s="2785" t="s">
        <v>85</v>
      </c>
      <c r="B36" s="2786"/>
      <c r="C36" s="2786"/>
      <c r="D36" s="2787" t="s">
        <v>86</v>
      </c>
      <c r="E36" s="2788"/>
      <c r="F36" s="2788"/>
      <c r="G36" s="2788"/>
      <c r="H36" s="2788"/>
      <c r="I36" s="2788"/>
      <c r="J36" s="2788"/>
      <c r="K36" s="2788"/>
      <c r="L36" s="2788"/>
      <c r="M36" s="2789" t="s">
        <v>87</v>
      </c>
      <c r="N36" s="2788"/>
      <c r="O36" s="2788"/>
      <c r="P36" s="2788"/>
      <c r="Q36" s="2788"/>
      <c r="R36" s="2788"/>
      <c r="S36" s="2790"/>
      <c r="T36" s="4982" t="s">
        <v>88</v>
      </c>
      <c r="U36" s="4982"/>
      <c r="V36" s="4982"/>
      <c r="W36" s="4982"/>
      <c r="X36" s="4982"/>
      <c r="Y36" s="4982"/>
      <c r="Z36" s="4982"/>
      <c r="AA36" s="2791" t="s">
        <v>89</v>
      </c>
      <c r="AB36" s="2792"/>
      <c r="AC36" s="2792"/>
      <c r="AD36" s="2792"/>
      <c r="AE36" s="2792"/>
      <c r="AF36" s="2792"/>
      <c r="AG36" s="2793"/>
      <c r="AK36" s="1"/>
    </row>
    <row r="37" spans="1:38" ht="18" customHeight="1" x14ac:dyDescent="0.2">
      <c r="A37" s="2794" t="s">
        <v>90</v>
      </c>
      <c r="B37" s="2795"/>
      <c r="C37" s="2795"/>
      <c r="D37" s="2796" t="s">
        <v>91</v>
      </c>
      <c r="E37" s="2797"/>
      <c r="F37" s="2684"/>
      <c r="G37" s="2684"/>
      <c r="H37" s="2684"/>
      <c r="I37" s="2684"/>
      <c r="J37" s="2684"/>
      <c r="K37" s="2684"/>
      <c r="L37" s="2798"/>
      <c r="M37" s="2799" t="s">
        <v>92</v>
      </c>
      <c r="N37" s="2795"/>
      <c r="O37" s="2800"/>
      <c r="P37" s="2795"/>
      <c r="Q37" s="2795"/>
      <c r="R37" s="2795"/>
      <c r="S37" s="2801"/>
      <c r="T37" s="2796" t="s">
        <v>93</v>
      </c>
      <c r="U37" s="2684"/>
      <c r="V37" s="2797"/>
      <c r="W37" s="2684"/>
      <c r="X37" s="2684"/>
      <c r="Y37" s="2684"/>
      <c r="Z37" s="2798"/>
      <c r="AA37" s="104" t="s">
        <v>94</v>
      </c>
      <c r="AD37" s="60"/>
      <c r="AG37" s="63"/>
      <c r="AK37" s="1"/>
    </row>
    <row r="38" spans="1:38" ht="18" customHeight="1" x14ac:dyDescent="0.2">
      <c r="A38" s="2802" t="s">
        <v>95</v>
      </c>
      <c r="B38" s="2684"/>
      <c r="C38" s="2684"/>
      <c r="D38" s="2803"/>
      <c r="E38" s="2684"/>
      <c r="F38" s="2684"/>
      <c r="G38" s="2798"/>
      <c r="H38" s="2804" t="s">
        <v>96</v>
      </c>
      <c r="I38" s="2684"/>
      <c r="J38" s="2684"/>
      <c r="K38" s="2684"/>
      <c r="L38" s="2684"/>
      <c r="M38" s="2805"/>
      <c r="N38" s="2684"/>
      <c r="O38" s="2684"/>
      <c r="P38" s="2684"/>
      <c r="Q38" s="2684"/>
      <c r="R38" s="2684"/>
      <c r="S38" s="2684"/>
      <c r="T38" s="2803"/>
      <c r="U38" s="103" t="s">
        <v>97</v>
      </c>
      <c r="AA38" s="2800"/>
      <c r="AB38" s="2795"/>
      <c r="AC38" s="2795"/>
      <c r="AD38" s="2795"/>
      <c r="AE38" s="2795"/>
      <c r="AF38" s="2795"/>
      <c r="AG38" s="2806"/>
      <c r="AK38" s="42"/>
    </row>
    <row r="39" spans="1:38" ht="18" customHeight="1" x14ac:dyDescent="0.2">
      <c r="A39" s="2807" t="s">
        <v>98</v>
      </c>
      <c r="B39" s="2808"/>
      <c r="C39" s="2808"/>
      <c r="D39" s="2809"/>
      <c r="E39" s="2808"/>
      <c r="F39" s="2808"/>
      <c r="G39" s="2810"/>
      <c r="H39" s="2811" t="s">
        <v>99</v>
      </c>
      <c r="I39" s="2810"/>
      <c r="J39" s="2808"/>
      <c r="K39" s="2808"/>
      <c r="L39" s="2808"/>
      <c r="M39" s="2812"/>
      <c r="N39" s="2808"/>
      <c r="O39" s="2808"/>
      <c r="P39" s="2808"/>
      <c r="Q39" s="2813"/>
      <c r="R39" s="2813"/>
      <c r="S39" s="2813"/>
      <c r="T39" s="2809"/>
      <c r="U39" s="2814" t="s">
        <v>100</v>
      </c>
      <c r="V39" s="2808"/>
      <c r="W39" s="2808"/>
      <c r="X39" s="2808"/>
      <c r="Y39" s="2808"/>
      <c r="Z39" s="2808"/>
      <c r="AA39" s="2808"/>
      <c r="AB39" s="2808"/>
      <c r="AC39" s="2808"/>
      <c r="AD39" s="2808"/>
      <c r="AE39" s="2808"/>
      <c r="AF39" s="2808"/>
      <c r="AG39" s="2815"/>
      <c r="AK39" s="1"/>
    </row>
    <row r="40" spans="1:38" ht="18" customHeight="1" x14ac:dyDescent="0.2">
      <c r="B40" s="64" t="s">
        <v>42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</row>
    <row r="41" spans="1:38" ht="18" customHeight="1" x14ac:dyDescent="0.2">
      <c r="A41" s="2816" t="s">
        <v>43</v>
      </c>
      <c r="B41" s="2817" t="s">
        <v>448</v>
      </c>
      <c r="C41" s="2706">
        <v>1</v>
      </c>
      <c r="D41" s="2706">
        <v>2</v>
      </c>
      <c r="E41" s="2706">
        <v>3</v>
      </c>
      <c r="F41" s="2706">
        <v>4</v>
      </c>
      <c r="G41" s="2707">
        <v>5</v>
      </c>
      <c r="H41" s="2707">
        <v>6</v>
      </c>
      <c r="I41" s="2706">
        <v>7</v>
      </c>
      <c r="J41" s="2706">
        <v>8</v>
      </c>
      <c r="K41" s="2706">
        <v>9</v>
      </c>
      <c r="L41" s="2706">
        <v>10</v>
      </c>
      <c r="M41" s="2706">
        <v>11</v>
      </c>
      <c r="N41" s="2707">
        <v>12</v>
      </c>
      <c r="O41" s="2707">
        <v>13</v>
      </c>
      <c r="P41" s="2706">
        <v>14</v>
      </c>
      <c r="Q41" s="2706">
        <v>15</v>
      </c>
      <c r="R41" s="2706">
        <v>16</v>
      </c>
      <c r="S41" s="2706">
        <v>17</v>
      </c>
      <c r="T41" s="2706">
        <v>18</v>
      </c>
      <c r="U41" s="2707">
        <v>19</v>
      </c>
      <c r="V41" s="2707">
        <v>20</v>
      </c>
      <c r="W41" s="2706">
        <v>21</v>
      </c>
      <c r="X41" s="2706">
        <v>22</v>
      </c>
      <c r="Y41" s="2706">
        <v>23</v>
      </c>
      <c r="Z41" s="2706">
        <v>24</v>
      </c>
      <c r="AA41" s="2706">
        <v>25</v>
      </c>
      <c r="AB41" s="2707">
        <v>26</v>
      </c>
      <c r="AC41" s="2707">
        <v>27</v>
      </c>
      <c r="AD41" s="2706">
        <v>28</v>
      </c>
      <c r="AE41" s="2706">
        <v>29</v>
      </c>
      <c r="AF41" s="2706">
        <v>30</v>
      </c>
      <c r="AG41" s="2706">
        <v>31</v>
      </c>
      <c r="AH41" s="110"/>
      <c r="AI41" s="111"/>
      <c r="AL41" t="s">
        <v>0</v>
      </c>
    </row>
    <row r="42" spans="1:38" ht="18" customHeight="1" x14ac:dyDescent="0.2">
      <c r="A42" s="2818">
        <v>1</v>
      </c>
      <c r="B42" s="2760"/>
      <c r="C42" s="2766" t="s">
        <v>50</v>
      </c>
      <c r="D42" s="2764" t="s">
        <v>50</v>
      </c>
      <c r="E42" s="2766" t="s">
        <v>50</v>
      </c>
      <c r="F42" s="2766" t="s">
        <v>50</v>
      </c>
      <c r="G42" s="2766" t="s">
        <v>107</v>
      </c>
      <c r="H42" s="2766" t="s">
        <v>107</v>
      </c>
      <c r="I42" s="2766">
        <v>7</v>
      </c>
      <c r="J42" s="2764">
        <v>7</v>
      </c>
      <c r="K42" s="2766">
        <v>7</v>
      </c>
      <c r="L42" s="2766">
        <v>7</v>
      </c>
      <c r="M42" s="2766">
        <v>7</v>
      </c>
      <c r="N42" s="2766"/>
      <c r="O42" s="2764"/>
      <c r="P42" s="2766">
        <v>4</v>
      </c>
      <c r="Q42" s="2765">
        <v>4</v>
      </c>
      <c r="R42" s="2764">
        <v>4</v>
      </c>
      <c r="S42" s="2766">
        <v>4</v>
      </c>
      <c r="T42" s="2766">
        <v>4</v>
      </c>
      <c r="U42" s="2766"/>
      <c r="V42" s="2766"/>
      <c r="W42" s="2766">
        <v>3</v>
      </c>
      <c r="X42" s="2765">
        <v>3</v>
      </c>
      <c r="Y42" s="2765">
        <v>3</v>
      </c>
      <c r="Z42" s="2766">
        <v>3</v>
      </c>
      <c r="AA42" s="2766">
        <v>3</v>
      </c>
      <c r="AB42" s="2765"/>
      <c r="AC42" s="2765"/>
      <c r="AD42" s="2765">
        <v>11</v>
      </c>
      <c r="AE42" s="2766">
        <v>11</v>
      </c>
      <c r="AF42" s="2766">
        <v>11</v>
      </c>
      <c r="AG42" s="2819">
        <v>11</v>
      </c>
      <c r="AH42" s="115"/>
      <c r="AI42" s="116"/>
    </row>
    <row r="43" spans="1:38" ht="18" customHeight="1" x14ac:dyDescent="0.2">
      <c r="A43" s="2820">
        <v>6</v>
      </c>
      <c r="B43" s="2722" t="s">
        <v>105</v>
      </c>
      <c r="C43" s="2767" t="s">
        <v>50</v>
      </c>
      <c r="D43" s="2767" t="s">
        <v>50</v>
      </c>
      <c r="E43" s="2767" t="s">
        <v>50</v>
      </c>
      <c r="F43" s="2767" t="s">
        <v>50</v>
      </c>
      <c r="G43" s="2767" t="s">
        <v>104</v>
      </c>
      <c r="H43" s="2767" t="s">
        <v>104</v>
      </c>
      <c r="I43" s="2767">
        <v>8</v>
      </c>
      <c r="J43" s="2767">
        <v>8</v>
      </c>
      <c r="K43" s="2767">
        <v>8</v>
      </c>
      <c r="L43" s="2767">
        <v>8</v>
      </c>
      <c r="M43" s="2767">
        <v>8</v>
      </c>
      <c r="N43" s="2767"/>
      <c r="O43" s="2767"/>
      <c r="P43" s="2767" t="s">
        <v>50</v>
      </c>
      <c r="Q43" s="2767" t="s">
        <v>50</v>
      </c>
      <c r="R43" s="2767" t="s">
        <v>50</v>
      </c>
      <c r="S43" s="2767" t="s">
        <v>50</v>
      </c>
      <c r="T43" s="2767" t="s">
        <v>50</v>
      </c>
      <c r="U43" s="2767"/>
      <c r="V43" s="2767"/>
      <c r="W43" s="2767">
        <v>1</v>
      </c>
      <c r="X43" s="2767">
        <v>1</v>
      </c>
      <c r="Y43" s="2767">
        <v>1</v>
      </c>
      <c r="Z43" s="2767">
        <v>1</v>
      </c>
      <c r="AA43" s="2821">
        <v>1</v>
      </c>
      <c r="AB43" s="2767"/>
      <c r="AC43" s="2767"/>
      <c r="AD43" s="2739">
        <v>9</v>
      </c>
      <c r="AE43" s="2739">
        <v>9</v>
      </c>
      <c r="AF43" s="2739">
        <v>9</v>
      </c>
      <c r="AG43" s="2822">
        <v>9</v>
      </c>
      <c r="AH43" s="115"/>
      <c r="AI43" s="116"/>
    </row>
    <row r="44" spans="1:38" ht="18" customHeight="1" x14ac:dyDescent="0.2">
      <c r="A44" s="2823">
        <v>11</v>
      </c>
      <c r="B44" s="2743" t="s">
        <v>108</v>
      </c>
      <c r="C44" s="2748" t="s">
        <v>50</v>
      </c>
      <c r="D44" s="2748" t="s">
        <v>50</v>
      </c>
      <c r="E44" s="2824" t="s">
        <v>50</v>
      </c>
      <c r="F44" s="2748" t="s">
        <v>50</v>
      </c>
      <c r="G44" s="2748" t="s">
        <v>103</v>
      </c>
      <c r="H44" s="2748" t="s">
        <v>104</v>
      </c>
      <c r="I44" s="2754">
        <v>6</v>
      </c>
      <c r="J44" s="2754">
        <v>6</v>
      </c>
      <c r="K44" s="2754">
        <v>6</v>
      </c>
      <c r="L44" s="2754">
        <v>6</v>
      </c>
      <c r="M44" s="2754">
        <v>6</v>
      </c>
      <c r="N44" s="2754"/>
      <c r="O44" s="2754"/>
      <c r="P44" s="2748" t="s">
        <v>50</v>
      </c>
      <c r="Q44" s="2748" t="s">
        <v>50</v>
      </c>
      <c r="R44" s="2748" t="s">
        <v>50</v>
      </c>
      <c r="S44" s="2748" t="s">
        <v>50</v>
      </c>
      <c r="T44" s="2745" t="s">
        <v>50</v>
      </c>
      <c r="U44" s="2748"/>
      <c r="V44" s="2748"/>
      <c r="W44" s="2754">
        <v>5</v>
      </c>
      <c r="X44" s="2754">
        <v>5</v>
      </c>
      <c r="Y44" s="2754">
        <v>5</v>
      </c>
      <c r="Z44" s="2754">
        <v>5</v>
      </c>
      <c r="AA44" s="2754">
        <v>5</v>
      </c>
      <c r="AB44" s="2754"/>
      <c r="AC44" s="2754"/>
      <c r="AD44" s="2748">
        <v>10</v>
      </c>
      <c r="AE44" s="2748">
        <v>10</v>
      </c>
      <c r="AF44" s="2748">
        <v>10</v>
      </c>
      <c r="AG44" s="2825">
        <v>10</v>
      </c>
      <c r="AH44" s="115"/>
      <c r="AI44" s="116"/>
    </row>
    <row r="45" spans="1:38" ht="18" customHeight="1" x14ac:dyDescent="0.2">
      <c r="A45" s="2818">
        <v>2</v>
      </c>
      <c r="B45" s="2760" t="s">
        <v>0</v>
      </c>
      <c r="C45" s="2762">
        <v>7</v>
      </c>
      <c r="D45" s="2762">
        <v>7</v>
      </c>
      <c r="E45" s="2762">
        <v>7</v>
      </c>
      <c r="F45" s="2826">
        <v>7</v>
      </c>
      <c r="G45" s="2826"/>
      <c r="H45" s="2766"/>
      <c r="I45" s="2766">
        <v>4</v>
      </c>
      <c r="J45" s="2764">
        <v>4</v>
      </c>
      <c r="K45" s="2764">
        <v>4</v>
      </c>
      <c r="L45" s="2766">
        <v>4</v>
      </c>
      <c r="M45" s="2766">
        <v>4</v>
      </c>
      <c r="N45" s="2766"/>
      <c r="O45" s="2765"/>
      <c r="P45" s="2766">
        <v>3</v>
      </c>
      <c r="Q45" s="2765">
        <v>3</v>
      </c>
      <c r="R45" s="2765">
        <v>3</v>
      </c>
      <c r="S45" s="2764">
        <v>3</v>
      </c>
      <c r="T45" s="2765">
        <v>3</v>
      </c>
      <c r="U45" s="2765"/>
      <c r="V45" s="2765"/>
      <c r="W45" s="2765">
        <v>11</v>
      </c>
      <c r="X45" s="2765">
        <v>11</v>
      </c>
      <c r="Y45" s="2766">
        <v>11</v>
      </c>
      <c r="Z45" s="2766">
        <v>11</v>
      </c>
      <c r="AA45" s="2766">
        <v>11</v>
      </c>
      <c r="AB45" s="2766" t="s">
        <v>109</v>
      </c>
      <c r="AC45" s="2765" t="s">
        <v>109</v>
      </c>
      <c r="AD45" s="2765" t="s">
        <v>50</v>
      </c>
      <c r="AE45" s="2766" t="s">
        <v>50</v>
      </c>
      <c r="AF45" s="2766" t="s">
        <v>50</v>
      </c>
      <c r="AG45" s="2819" t="s">
        <v>50</v>
      </c>
      <c r="AH45" s="115"/>
      <c r="AI45" s="116"/>
    </row>
    <row r="46" spans="1:38" ht="18" customHeight="1" thickBot="1" x14ac:dyDescent="0.25">
      <c r="A46" s="2820">
        <v>7</v>
      </c>
      <c r="B46" s="2722" t="s">
        <v>114</v>
      </c>
      <c r="C46" s="2695">
        <v>8</v>
      </c>
      <c r="D46" s="2695">
        <v>8</v>
      </c>
      <c r="E46" s="2695">
        <v>8</v>
      </c>
      <c r="F46" s="2695">
        <v>8</v>
      </c>
      <c r="G46" s="2738"/>
      <c r="H46" s="2738"/>
      <c r="I46" s="2718" t="s">
        <v>50</v>
      </c>
      <c r="J46" s="2734" t="s">
        <v>50</v>
      </c>
      <c r="K46" s="2734" t="s">
        <v>50</v>
      </c>
      <c r="L46" s="2734" t="s">
        <v>50</v>
      </c>
      <c r="M46" s="2734" t="s">
        <v>50</v>
      </c>
      <c r="N46" s="2827"/>
      <c r="O46" s="2827"/>
      <c r="P46" s="2734">
        <v>1</v>
      </c>
      <c r="Q46" s="2734">
        <v>1</v>
      </c>
      <c r="R46" s="2734">
        <v>1</v>
      </c>
      <c r="S46" s="2734">
        <v>1</v>
      </c>
      <c r="T46" s="2734">
        <v>1</v>
      </c>
      <c r="U46" s="2827"/>
      <c r="V46" s="2719" t="s">
        <v>53</v>
      </c>
      <c r="W46" s="2452">
        <v>9</v>
      </c>
      <c r="X46" s="2738">
        <v>9</v>
      </c>
      <c r="Y46" s="2738">
        <v>9</v>
      </c>
      <c r="Z46" s="2738" t="s">
        <v>51</v>
      </c>
      <c r="AA46" s="2738">
        <v>9</v>
      </c>
      <c r="AB46" s="2738" t="s">
        <v>70</v>
      </c>
      <c r="AC46" s="2828" t="s">
        <v>70</v>
      </c>
      <c r="AD46" s="2738" t="s">
        <v>50</v>
      </c>
      <c r="AE46" s="2738" t="s">
        <v>50</v>
      </c>
      <c r="AF46" s="2738" t="s">
        <v>50</v>
      </c>
      <c r="AG46" s="2829" t="s">
        <v>50</v>
      </c>
      <c r="AH46" s="115"/>
      <c r="AI46" s="116"/>
    </row>
    <row r="47" spans="1:38" ht="18" customHeight="1" thickBot="1" x14ac:dyDescent="0.25">
      <c r="A47" s="2823">
        <v>12</v>
      </c>
      <c r="B47" s="2830" t="s">
        <v>115</v>
      </c>
      <c r="C47" s="2828">
        <v>6</v>
      </c>
      <c r="D47" s="2828">
        <v>6</v>
      </c>
      <c r="E47" s="2828">
        <v>6</v>
      </c>
      <c r="F47" s="2828">
        <v>6</v>
      </c>
      <c r="G47" s="2828"/>
      <c r="H47" s="2831" t="s">
        <v>70</v>
      </c>
      <c r="I47" s="2828" t="s">
        <v>50</v>
      </c>
      <c r="J47" s="2828" t="s">
        <v>50</v>
      </c>
      <c r="K47" s="2828" t="s">
        <v>50</v>
      </c>
      <c r="L47" s="2828" t="s">
        <v>50</v>
      </c>
      <c r="M47" s="2712" t="s">
        <v>50</v>
      </c>
      <c r="N47" s="2828"/>
      <c r="O47" s="2828"/>
      <c r="P47" s="2828">
        <v>5</v>
      </c>
      <c r="Q47" s="2828">
        <v>5</v>
      </c>
      <c r="R47" s="2828">
        <v>5</v>
      </c>
      <c r="S47" s="2828">
        <v>5</v>
      </c>
      <c r="T47" s="2828">
        <v>5</v>
      </c>
      <c r="U47" s="2828"/>
      <c r="V47" s="2828"/>
      <c r="W47" s="2828">
        <v>10</v>
      </c>
      <c r="X47" s="2828">
        <v>10</v>
      </c>
      <c r="Y47" s="2828">
        <v>10</v>
      </c>
      <c r="Z47" s="2750">
        <v>10</v>
      </c>
      <c r="AA47" s="2828">
        <v>10</v>
      </c>
      <c r="AB47" s="2828" t="s">
        <v>106</v>
      </c>
      <c r="AC47" s="2828" t="s">
        <v>106</v>
      </c>
      <c r="AD47" s="2828" t="s">
        <v>50</v>
      </c>
      <c r="AE47" s="2828" t="s">
        <v>50</v>
      </c>
      <c r="AF47" s="2828" t="s">
        <v>50</v>
      </c>
      <c r="AG47" s="2832" t="s">
        <v>50</v>
      </c>
      <c r="AH47" s="115"/>
      <c r="AI47" s="116"/>
    </row>
    <row r="48" spans="1:38" ht="18" customHeight="1" x14ac:dyDescent="0.2">
      <c r="A48" s="2818">
        <v>3</v>
      </c>
      <c r="B48" s="2833" t="s">
        <v>116</v>
      </c>
      <c r="C48" s="711">
        <v>4</v>
      </c>
      <c r="D48" s="597">
        <v>4</v>
      </c>
      <c r="E48" s="712">
        <v>4</v>
      </c>
      <c r="F48" s="1782">
        <v>4</v>
      </c>
      <c r="G48" s="712"/>
      <c r="H48" s="712"/>
      <c r="I48" s="1285">
        <v>3</v>
      </c>
      <c r="J48" s="1285">
        <v>3</v>
      </c>
      <c r="K48" s="1285">
        <v>3</v>
      </c>
      <c r="L48" s="1285">
        <v>3</v>
      </c>
      <c r="M48" s="1285">
        <v>3</v>
      </c>
      <c r="N48" s="1285"/>
      <c r="O48" s="1285"/>
      <c r="P48" s="597">
        <v>11</v>
      </c>
      <c r="Q48" s="597">
        <v>11</v>
      </c>
      <c r="R48" s="712">
        <v>11</v>
      </c>
      <c r="S48" s="712">
        <v>11</v>
      </c>
      <c r="T48" s="712">
        <v>11</v>
      </c>
      <c r="U48" s="712" t="s">
        <v>109</v>
      </c>
      <c r="V48" s="597" t="s">
        <v>109</v>
      </c>
      <c r="W48" s="1741" t="s">
        <v>50</v>
      </c>
      <c r="X48" s="1741" t="s">
        <v>50</v>
      </c>
      <c r="Y48" s="2719" t="s">
        <v>50</v>
      </c>
      <c r="Z48" s="712" t="s">
        <v>50</v>
      </c>
      <c r="AA48" s="1741" t="s">
        <v>50</v>
      </c>
      <c r="AB48" s="712" t="s">
        <v>104</v>
      </c>
      <c r="AC48" s="596" t="s">
        <v>104</v>
      </c>
      <c r="AD48" s="1783">
        <v>8</v>
      </c>
      <c r="AE48" s="1783">
        <v>8</v>
      </c>
      <c r="AF48" s="1783">
        <v>8</v>
      </c>
      <c r="AG48" s="1086">
        <v>8</v>
      </c>
      <c r="AH48" s="115"/>
      <c r="AI48" s="116"/>
    </row>
    <row r="49" spans="1:37" ht="18" customHeight="1" thickBot="1" x14ac:dyDescent="0.25">
      <c r="A49" s="2820">
        <v>8</v>
      </c>
      <c r="B49" s="2722" t="s">
        <v>117</v>
      </c>
      <c r="C49" s="2734" t="s">
        <v>50</v>
      </c>
      <c r="D49" s="2734" t="s">
        <v>50</v>
      </c>
      <c r="E49" s="2734" t="s">
        <v>50</v>
      </c>
      <c r="F49" s="2734" t="s">
        <v>50</v>
      </c>
      <c r="G49" s="2734"/>
      <c r="H49" s="2734"/>
      <c r="I49" s="2725">
        <v>1</v>
      </c>
      <c r="J49" s="2734">
        <v>1</v>
      </c>
      <c r="K49" s="2834">
        <v>1</v>
      </c>
      <c r="L49" s="2834">
        <v>1</v>
      </c>
      <c r="M49" s="2712">
        <v>1</v>
      </c>
      <c r="N49" s="2723"/>
      <c r="O49" s="2734"/>
      <c r="P49" s="2734">
        <v>9</v>
      </c>
      <c r="Q49" s="2734">
        <v>9</v>
      </c>
      <c r="R49" s="2734">
        <v>9</v>
      </c>
      <c r="S49" s="2734">
        <v>9</v>
      </c>
      <c r="T49" s="2734">
        <v>9</v>
      </c>
      <c r="U49" s="2734" t="s">
        <v>70</v>
      </c>
      <c r="V49" s="2828" t="s">
        <v>70</v>
      </c>
      <c r="W49" s="2738" t="s">
        <v>50</v>
      </c>
      <c r="X49" s="2718" t="s">
        <v>50</v>
      </c>
      <c r="Y49" s="2719" t="s">
        <v>50</v>
      </c>
      <c r="Z49" s="2738" t="s">
        <v>50</v>
      </c>
      <c r="AA49" s="2738" t="s">
        <v>50</v>
      </c>
      <c r="AB49" s="2738" t="s">
        <v>103</v>
      </c>
      <c r="AC49" s="2738" t="s">
        <v>104</v>
      </c>
      <c r="AD49" s="2723">
        <v>6</v>
      </c>
      <c r="AE49" s="2723">
        <v>6</v>
      </c>
      <c r="AF49" s="2827">
        <v>6</v>
      </c>
      <c r="AG49" s="2829">
        <v>6</v>
      </c>
      <c r="AH49" s="115"/>
      <c r="AI49" s="116"/>
    </row>
    <row r="50" spans="1:37" ht="18" customHeight="1" thickBot="1" x14ac:dyDescent="0.25">
      <c r="A50" s="2823">
        <v>13</v>
      </c>
      <c r="B50" s="2743" t="s">
        <v>118</v>
      </c>
      <c r="C50" s="2749">
        <v>6</v>
      </c>
      <c r="D50" s="2749">
        <v>6</v>
      </c>
      <c r="E50" s="2748" t="s">
        <v>50</v>
      </c>
      <c r="F50" s="2748" t="s">
        <v>50</v>
      </c>
      <c r="G50" s="2748"/>
      <c r="H50" s="2748"/>
      <c r="I50" s="2835">
        <v>5</v>
      </c>
      <c r="J50" s="2835">
        <v>5</v>
      </c>
      <c r="K50" s="2835">
        <v>5</v>
      </c>
      <c r="L50" s="2835">
        <v>5</v>
      </c>
      <c r="M50" s="2835">
        <v>5</v>
      </c>
      <c r="N50" s="2751"/>
      <c r="O50" s="2751"/>
      <c r="P50" s="2835">
        <v>10</v>
      </c>
      <c r="Q50" s="2835">
        <v>10</v>
      </c>
      <c r="R50" s="2835">
        <v>10</v>
      </c>
      <c r="S50" s="2835">
        <v>10</v>
      </c>
      <c r="T50" s="2835">
        <v>10</v>
      </c>
      <c r="U50" s="2748" t="s">
        <v>106</v>
      </c>
      <c r="V50" s="2748" t="s">
        <v>106</v>
      </c>
      <c r="W50" s="2748" t="s">
        <v>50</v>
      </c>
      <c r="X50" s="2748" t="s">
        <v>50</v>
      </c>
      <c r="Y50" s="2783" t="s">
        <v>50</v>
      </c>
      <c r="Z50" s="2748" t="s">
        <v>50</v>
      </c>
      <c r="AA50" s="2748" t="s">
        <v>50</v>
      </c>
      <c r="AB50" s="2835" t="s">
        <v>107</v>
      </c>
      <c r="AC50" s="2835" t="s">
        <v>107</v>
      </c>
      <c r="AD50" s="2836">
        <v>7</v>
      </c>
      <c r="AE50" s="2836">
        <v>7</v>
      </c>
      <c r="AF50" s="2836">
        <v>7</v>
      </c>
      <c r="AG50" s="2837">
        <v>7</v>
      </c>
      <c r="AH50" s="115"/>
      <c r="AI50" s="116"/>
    </row>
    <row r="51" spans="1:37" ht="18" customHeight="1" x14ac:dyDescent="0.2">
      <c r="A51" s="2818">
        <v>4</v>
      </c>
      <c r="B51" s="2760" t="s">
        <v>119</v>
      </c>
      <c r="C51" s="2838">
        <v>3</v>
      </c>
      <c r="D51" s="2838">
        <v>3</v>
      </c>
      <c r="E51" s="2838">
        <v>3</v>
      </c>
      <c r="F51" s="2764">
        <v>3</v>
      </c>
      <c r="G51" s="2764"/>
      <c r="H51" s="2764"/>
      <c r="I51" s="2769">
        <v>11</v>
      </c>
      <c r="J51" s="2769">
        <v>11</v>
      </c>
      <c r="K51" s="2769">
        <v>11</v>
      </c>
      <c r="L51" s="2769">
        <v>11</v>
      </c>
      <c r="M51" s="2769">
        <v>11</v>
      </c>
      <c r="N51" s="2839" t="s">
        <v>109</v>
      </c>
      <c r="O51" s="2839" t="s">
        <v>109</v>
      </c>
      <c r="P51" s="2765" t="s">
        <v>50</v>
      </c>
      <c r="Q51" s="2765" t="s">
        <v>50</v>
      </c>
      <c r="R51" s="2765" t="s">
        <v>50</v>
      </c>
      <c r="S51" s="2765" t="s">
        <v>50</v>
      </c>
      <c r="T51" s="2766" t="s">
        <v>50</v>
      </c>
      <c r="U51" s="2769" t="s">
        <v>104</v>
      </c>
      <c r="V51" s="2769" t="s">
        <v>104</v>
      </c>
      <c r="W51" s="2769">
        <v>8</v>
      </c>
      <c r="X51" s="2839">
        <v>8</v>
      </c>
      <c r="Y51" s="2839">
        <v>8</v>
      </c>
      <c r="Z51" s="2839">
        <v>8</v>
      </c>
      <c r="AA51" s="2840">
        <v>8</v>
      </c>
      <c r="AB51" s="2738"/>
      <c r="AC51" s="2766"/>
      <c r="AD51" s="2766" t="s">
        <v>50</v>
      </c>
      <c r="AE51" s="2765" t="s">
        <v>50</v>
      </c>
      <c r="AF51" s="2766" t="s">
        <v>50</v>
      </c>
      <c r="AG51" s="2819" t="s">
        <v>50</v>
      </c>
      <c r="AH51" s="115"/>
      <c r="AI51" s="116"/>
    </row>
    <row r="52" spans="1:37" ht="18" customHeight="1" x14ac:dyDescent="0.2">
      <c r="A52" s="2820">
        <v>9</v>
      </c>
      <c r="B52" s="2722" t="s">
        <v>120</v>
      </c>
      <c r="C52" s="2739">
        <v>1</v>
      </c>
      <c r="D52" s="2739">
        <v>1</v>
      </c>
      <c r="E52" s="2739">
        <v>1</v>
      </c>
      <c r="F52" s="2739">
        <v>1</v>
      </c>
      <c r="G52" s="2738"/>
      <c r="H52" s="2738"/>
      <c r="I52" s="2738">
        <v>9</v>
      </c>
      <c r="J52" s="2738">
        <v>9</v>
      </c>
      <c r="K52" s="2738">
        <v>9</v>
      </c>
      <c r="L52" s="2738">
        <v>9</v>
      </c>
      <c r="M52" s="2738">
        <v>9</v>
      </c>
      <c r="N52" s="2738" t="s">
        <v>70</v>
      </c>
      <c r="O52" s="2828" t="s">
        <v>70</v>
      </c>
      <c r="P52" s="2738" t="s">
        <v>50</v>
      </c>
      <c r="Q52" s="2718" t="s">
        <v>50</v>
      </c>
      <c r="R52" s="2738" t="s">
        <v>50</v>
      </c>
      <c r="S52" s="2738" t="s">
        <v>50</v>
      </c>
      <c r="T52" s="2738" t="s">
        <v>50</v>
      </c>
      <c r="U52" s="2738" t="s">
        <v>103</v>
      </c>
      <c r="V52" s="2738" t="s">
        <v>104</v>
      </c>
      <c r="W52" s="2738">
        <v>6</v>
      </c>
      <c r="X52" s="2738">
        <v>6</v>
      </c>
      <c r="Y52" s="2738">
        <v>6</v>
      </c>
      <c r="Z52" s="2738">
        <v>6</v>
      </c>
      <c r="AA52" s="2738">
        <v>6</v>
      </c>
      <c r="AB52" s="2738"/>
      <c r="AC52" s="2738"/>
      <c r="AD52" s="2738" t="s">
        <v>50</v>
      </c>
      <c r="AE52" s="2738" t="s">
        <v>50</v>
      </c>
      <c r="AF52" s="2738" t="s">
        <v>50</v>
      </c>
      <c r="AG52" s="2829" t="s">
        <v>50</v>
      </c>
      <c r="AH52" s="115"/>
      <c r="AI52" s="116"/>
    </row>
    <row r="53" spans="1:37" ht="18" customHeight="1" x14ac:dyDescent="0.2">
      <c r="A53" s="2823">
        <v>14</v>
      </c>
      <c r="B53" s="2743" t="s">
        <v>121</v>
      </c>
      <c r="C53" s="2841">
        <v>5</v>
      </c>
      <c r="D53" s="2841" t="s">
        <v>113</v>
      </c>
      <c r="E53" s="2752">
        <v>5</v>
      </c>
      <c r="F53" s="2752">
        <v>5</v>
      </c>
      <c r="G53" s="2751"/>
      <c r="H53" s="2751"/>
      <c r="I53" s="2842">
        <v>10</v>
      </c>
      <c r="J53" s="2842">
        <v>10</v>
      </c>
      <c r="K53" s="2842">
        <v>10</v>
      </c>
      <c r="L53" s="2842">
        <v>10</v>
      </c>
      <c r="M53" s="2842">
        <v>10</v>
      </c>
      <c r="N53" s="2842" t="s">
        <v>106</v>
      </c>
      <c r="O53" s="2842" t="s">
        <v>106</v>
      </c>
      <c r="P53" s="2748" t="s">
        <v>50</v>
      </c>
      <c r="Q53" s="2748" t="s">
        <v>50</v>
      </c>
      <c r="R53" s="2783" t="s">
        <v>50</v>
      </c>
      <c r="S53" s="2748" t="s">
        <v>50</v>
      </c>
      <c r="T53" s="2748" t="s">
        <v>50</v>
      </c>
      <c r="U53" s="2748" t="s">
        <v>107</v>
      </c>
      <c r="V53" s="2748" t="s">
        <v>107</v>
      </c>
      <c r="W53" s="2748">
        <v>7</v>
      </c>
      <c r="X53" s="2783">
        <v>7</v>
      </c>
      <c r="Y53" s="2748">
        <v>7</v>
      </c>
      <c r="Z53" s="2748">
        <v>7</v>
      </c>
      <c r="AA53" s="2748">
        <v>7</v>
      </c>
      <c r="AB53" s="2748"/>
      <c r="AC53" s="2783"/>
      <c r="AD53" s="2748">
        <v>4</v>
      </c>
      <c r="AE53" s="2748">
        <v>4</v>
      </c>
      <c r="AF53" s="2783">
        <v>4</v>
      </c>
      <c r="AG53" s="2843">
        <v>4</v>
      </c>
      <c r="AH53" s="115"/>
      <c r="AI53" s="116"/>
      <c r="AK53" t="s">
        <v>0</v>
      </c>
    </row>
    <row r="54" spans="1:37" ht="18" customHeight="1" x14ac:dyDescent="0.2">
      <c r="A54" s="2818">
        <v>5</v>
      </c>
      <c r="B54" s="2722" t="s">
        <v>122</v>
      </c>
      <c r="C54" s="2764">
        <v>11</v>
      </c>
      <c r="D54" s="2764">
        <v>11</v>
      </c>
      <c r="E54" s="2764">
        <v>11</v>
      </c>
      <c r="F54" s="2826">
        <v>11</v>
      </c>
      <c r="G54" s="2765" t="s">
        <v>109</v>
      </c>
      <c r="H54" s="2765" t="s">
        <v>109</v>
      </c>
      <c r="I54" s="2765" t="s">
        <v>50</v>
      </c>
      <c r="J54" s="2765" t="s">
        <v>50</v>
      </c>
      <c r="K54" s="2766" t="s">
        <v>50</v>
      </c>
      <c r="L54" s="2766" t="s">
        <v>50</v>
      </c>
      <c r="M54" s="2766" t="s">
        <v>50</v>
      </c>
      <c r="N54" s="2839" t="s">
        <v>104</v>
      </c>
      <c r="O54" s="2839" t="s">
        <v>104</v>
      </c>
      <c r="P54" s="2769">
        <v>8</v>
      </c>
      <c r="Q54" s="2769">
        <v>8</v>
      </c>
      <c r="R54" s="2769">
        <v>8</v>
      </c>
      <c r="S54" s="2769">
        <v>8</v>
      </c>
      <c r="T54" s="2769">
        <v>8</v>
      </c>
      <c r="U54" s="2765"/>
      <c r="V54" s="2765"/>
      <c r="W54" s="2765" t="s">
        <v>50</v>
      </c>
      <c r="X54" s="2765" t="s">
        <v>50</v>
      </c>
      <c r="Y54" s="2844" t="s">
        <v>50</v>
      </c>
      <c r="Z54" s="2765" t="s">
        <v>50</v>
      </c>
      <c r="AA54" s="2765" t="s">
        <v>50</v>
      </c>
      <c r="AB54" s="2765"/>
      <c r="AC54" s="2765"/>
      <c r="AD54" s="2845">
        <v>1</v>
      </c>
      <c r="AE54" s="2845">
        <v>1</v>
      </c>
      <c r="AF54" s="2846">
        <v>1</v>
      </c>
      <c r="AG54" s="2847">
        <v>1</v>
      </c>
      <c r="AH54" s="115"/>
      <c r="AI54" s="116"/>
    </row>
    <row r="55" spans="1:37" ht="18" customHeight="1" thickBot="1" x14ac:dyDescent="0.25">
      <c r="A55" s="2820">
        <v>10</v>
      </c>
      <c r="B55" s="2722" t="s">
        <v>123</v>
      </c>
      <c r="C55" s="2723">
        <v>9</v>
      </c>
      <c r="D55" s="2723">
        <v>9</v>
      </c>
      <c r="E55" s="2723">
        <v>9</v>
      </c>
      <c r="F55" s="2723">
        <v>9</v>
      </c>
      <c r="G55" s="2725" t="s">
        <v>70</v>
      </c>
      <c r="H55" s="2841" t="s">
        <v>70</v>
      </c>
      <c r="I55" s="2731" t="s">
        <v>102</v>
      </c>
      <c r="J55" s="2848" t="s">
        <v>50</v>
      </c>
      <c r="K55" s="2848" t="s">
        <v>50</v>
      </c>
      <c r="L55" s="2725" t="s">
        <v>50</v>
      </c>
      <c r="M55" s="2725" t="s">
        <v>50</v>
      </c>
      <c r="N55" s="2725" t="s">
        <v>103</v>
      </c>
      <c r="O55" s="2723" t="s">
        <v>104</v>
      </c>
      <c r="P55" s="2723">
        <v>6</v>
      </c>
      <c r="Q55" s="2723">
        <v>6</v>
      </c>
      <c r="R55" s="2723">
        <v>6</v>
      </c>
      <c r="S55" s="2723">
        <v>6</v>
      </c>
      <c r="T55" s="2725">
        <v>6</v>
      </c>
      <c r="U55" s="2725"/>
      <c r="V55" s="2734"/>
      <c r="W55" s="2734" t="s">
        <v>50</v>
      </c>
      <c r="X55" s="2734" t="s">
        <v>50</v>
      </c>
      <c r="Y55" s="2734" t="s">
        <v>50</v>
      </c>
      <c r="Z55" s="2719">
        <v>5</v>
      </c>
      <c r="AA55" s="2734" t="s">
        <v>50</v>
      </c>
      <c r="AB55" s="2734"/>
      <c r="AC55" s="2738"/>
      <c r="AD55" s="2738">
        <v>5</v>
      </c>
      <c r="AE55" s="2738">
        <v>5</v>
      </c>
      <c r="AF55" s="2738">
        <v>5</v>
      </c>
      <c r="AG55" s="2829">
        <v>5</v>
      </c>
      <c r="AH55" s="115"/>
      <c r="AI55" s="116"/>
    </row>
    <row r="56" spans="1:37" ht="18" customHeight="1" thickBot="1" x14ac:dyDescent="0.25">
      <c r="A56" s="2823">
        <v>15</v>
      </c>
      <c r="B56" s="2743" t="s">
        <v>124</v>
      </c>
      <c r="C56" s="2748">
        <v>10</v>
      </c>
      <c r="D56" s="2748">
        <v>10</v>
      </c>
      <c r="E56" s="2748">
        <v>10</v>
      </c>
      <c r="F56" s="2751">
        <v>10</v>
      </c>
      <c r="G56" s="2751" t="s">
        <v>106</v>
      </c>
      <c r="H56" s="2751" t="s">
        <v>106</v>
      </c>
      <c r="I56" s="2751" t="s">
        <v>50</v>
      </c>
      <c r="J56" s="2751" t="s">
        <v>50</v>
      </c>
      <c r="K56" s="2783" t="s">
        <v>50</v>
      </c>
      <c r="L56" s="2748" t="s">
        <v>50</v>
      </c>
      <c r="M56" s="2748" t="s">
        <v>50</v>
      </c>
      <c r="N56" s="2748" t="s">
        <v>107</v>
      </c>
      <c r="O56" s="2828" t="s">
        <v>107</v>
      </c>
      <c r="P56" s="2828">
        <v>7</v>
      </c>
      <c r="Q56" s="2828">
        <v>7</v>
      </c>
      <c r="R56" s="2828">
        <v>7</v>
      </c>
      <c r="S56" s="2828">
        <v>7</v>
      </c>
      <c r="T56" s="2828">
        <v>7</v>
      </c>
      <c r="U56" s="2828"/>
      <c r="V56" s="2748"/>
      <c r="W56" s="2748">
        <v>4</v>
      </c>
      <c r="X56" s="2748">
        <v>4</v>
      </c>
      <c r="Y56" s="2783">
        <v>4</v>
      </c>
      <c r="Z56" s="2748">
        <v>4</v>
      </c>
      <c r="AA56" s="2748">
        <v>4</v>
      </c>
      <c r="AB56" s="2841"/>
      <c r="AC56" s="2841"/>
      <c r="AD56" s="2841">
        <v>3</v>
      </c>
      <c r="AE56" s="2849">
        <v>3</v>
      </c>
      <c r="AF56" s="2849">
        <v>3</v>
      </c>
      <c r="AG56" s="2850">
        <v>3</v>
      </c>
      <c r="AH56" s="115"/>
      <c r="AI56" s="116"/>
    </row>
    <row r="57" spans="1:37" ht="18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1809" t="s">
        <v>0</v>
      </c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37" ht="18" customHeight="1" x14ac:dyDescent="0.2">
      <c r="A58" s="69"/>
      <c r="B58" s="42" t="s">
        <v>125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37" ht="18" customHeight="1" x14ac:dyDescent="0.2">
      <c r="A59" s="2696" t="s">
        <v>43</v>
      </c>
      <c r="B59" s="2696"/>
      <c r="C59" s="2695"/>
      <c r="D59" s="2696" t="s">
        <v>17</v>
      </c>
      <c r="E59" s="2694"/>
      <c r="F59" s="2695"/>
      <c r="G59" s="2696" t="s">
        <v>18</v>
      </c>
      <c r="H59" s="2694"/>
      <c r="I59" s="2695"/>
      <c r="J59" s="2696" t="s">
        <v>19</v>
      </c>
      <c r="K59" s="2694"/>
      <c r="L59" s="2695"/>
      <c r="M59" s="2696" t="s">
        <v>20</v>
      </c>
      <c r="N59" s="2694"/>
      <c r="O59" s="2695"/>
      <c r="P59" s="2696" t="s">
        <v>21</v>
      </c>
      <c r="Q59" s="2694"/>
      <c r="R59" s="2691"/>
      <c r="S59" s="2692" t="s">
        <v>22</v>
      </c>
      <c r="T59" s="2694"/>
      <c r="U59" s="2695"/>
      <c r="V59" s="2696" t="s">
        <v>23</v>
      </c>
      <c r="W59" s="2694"/>
      <c r="X59" s="2851" t="s">
        <v>126</v>
      </c>
      <c r="Y59" s="2694"/>
      <c r="Z59" s="2694"/>
      <c r="AA59" s="2852"/>
      <c r="AB59" s="2686"/>
      <c r="AC59" s="2686"/>
      <c r="AD59" s="2686"/>
      <c r="AE59" s="2686"/>
      <c r="AF59" s="2686"/>
      <c r="AG59" s="2687"/>
      <c r="AH59" s="1"/>
    </row>
    <row r="60" spans="1:37" ht="18" customHeight="1" x14ac:dyDescent="0.2">
      <c r="A60" s="2853">
        <v>8517</v>
      </c>
      <c r="B60" s="2854" t="s">
        <v>127</v>
      </c>
      <c r="C60" s="2855" t="s">
        <v>128</v>
      </c>
      <c r="D60" s="2856"/>
      <c r="E60" s="2685"/>
      <c r="F60" s="2855" t="s">
        <v>128</v>
      </c>
      <c r="G60" s="2856"/>
      <c r="H60" s="2685"/>
      <c r="I60" s="2855" t="s">
        <v>128</v>
      </c>
      <c r="J60" s="2856"/>
      <c r="K60" s="2685"/>
      <c r="L60" s="2855" t="s">
        <v>128</v>
      </c>
      <c r="M60" s="2856"/>
      <c r="N60" s="2685"/>
      <c r="O60" s="2855" t="s">
        <v>129</v>
      </c>
      <c r="P60" s="2856"/>
      <c r="Q60" s="2685"/>
      <c r="R60" s="2855"/>
      <c r="S60" s="2856"/>
      <c r="T60" s="2685"/>
      <c r="U60" s="2855" t="s">
        <v>130</v>
      </c>
      <c r="V60" s="2856"/>
      <c r="W60" s="2685"/>
      <c r="X60" s="2683"/>
      <c r="Y60" s="2686"/>
      <c r="Z60" s="2686"/>
      <c r="AA60" s="2686"/>
      <c r="AB60" s="2686"/>
      <c r="AC60" s="2686"/>
      <c r="AD60" s="2686"/>
      <c r="AE60" s="2686"/>
      <c r="AF60" s="2686"/>
      <c r="AG60" s="2687"/>
      <c r="AH60" s="1"/>
    </row>
    <row r="61" spans="1:37" ht="18" customHeight="1" x14ac:dyDescent="0.2">
      <c r="B61" s="2716" t="s">
        <v>131</v>
      </c>
      <c r="C61" s="2857" t="s">
        <v>132</v>
      </c>
      <c r="D61" s="2858"/>
      <c r="E61" s="2859"/>
      <c r="F61" s="2857" t="s">
        <v>132</v>
      </c>
      <c r="G61" s="2860"/>
      <c r="H61" s="2859"/>
      <c r="I61" s="2855" t="s">
        <v>132</v>
      </c>
      <c r="J61" s="2856"/>
      <c r="K61" s="2861"/>
      <c r="L61" s="2855" t="s">
        <v>132</v>
      </c>
      <c r="M61" s="2856"/>
      <c r="N61" s="2861"/>
      <c r="O61" s="2855" t="s">
        <v>133</v>
      </c>
      <c r="P61" s="2856"/>
      <c r="Q61" s="2685"/>
      <c r="R61" s="2862" t="s">
        <v>0</v>
      </c>
      <c r="S61" s="2856"/>
      <c r="T61" s="2861"/>
      <c r="U61" s="2856" t="s">
        <v>0</v>
      </c>
      <c r="V61" s="2856"/>
      <c r="W61" s="2685"/>
      <c r="X61" s="2176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37" ht="18" customHeight="1" x14ac:dyDescent="0.2">
      <c r="A62" s="2863"/>
      <c r="B62" s="2854" t="s">
        <v>134</v>
      </c>
      <c r="C62" s="2857" t="s">
        <v>135</v>
      </c>
      <c r="D62" s="2858"/>
      <c r="E62" s="2860"/>
      <c r="F62" s="2857" t="s">
        <v>135</v>
      </c>
      <c r="G62" s="2858"/>
      <c r="H62" s="2860"/>
      <c r="I62" s="2857" t="s">
        <v>135</v>
      </c>
      <c r="J62" s="2858"/>
      <c r="K62" s="2860"/>
      <c r="L62" s="2857" t="s">
        <v>135</v>
      </c>
      <c r="M62" s="2858"/>
      <c r="N62" s="2860"/>
      <c r="O62" s="2857" t="s">
        <v>136</v>
      </c>
      <c r="P62" s="2858"/>
      <c r="Q62" s="2860"/>
      <c r="R62" s="2178"/>
      <c r="S62" s="208"/>
      <c r="T62" s="2859"/>
      <c r="U62" s="2858"/>
      <c r="V62" s="2858"/>
      <c r="W62" s="2860"/>
      <c r="X62" s="2683"/>
      <c r="Y62" s="2686"/>
      <c r="Z62" s="2686"/>
      <c r="AA62" s="2686"/>
      <c r="AB62" s="2686"/>
      <c r="AC62" s="2686"/>
      <c r="AD62" s="2686"/>
      <c r="AE62" s="2686"/>
      <c r="AF62" s="2686"/>
      <c r="AG62" s="2687"/>
      <c r="AH62" s="1"/>
    </row>
    <row r="63" spans="1:37" ht="18" customHeight="1" x14ac:dyDescent="0.2">
      <c r="A63" s="2696"/>
      <c r="B63" s="2854"/>
      <c r="C63" s="2864" t="s">
        <v>237</v>
      </c>
      <c r="D63" s="2684"/>
      <c r="E63" s="2684"/>
      <c r="F63" s="2864" t="s">
        <v>238</v>
      </c>
      <c r="G63" s="2805"/>
      <c r="H63" s="2684"/>
      <c r="I63" s="2864" t="s">
        <v>239</v>
      </c>
      <c r="J63" s="2805" t="s">
        <v>240</v>
      </c>
      <c r="L63" s="2864" t="s">
        <v>239</v>
      </c>
      <c r="M63" s="2805" t="s">
        <v>240</v>
      </c>
      <c r="N63" s="2798"/>
      <c r="O63" s="2864" t="s">
        <v>241</v>
      </c>
      <c r="P63" s="2684"/>
      <c r="Q63" s="2684"/>
      <c r="R63" s="457" t="s">
        <v>143</v>
      </c>
      <c r="S63" s="875" t="s">
        <v>242</v>
      </c>
      <c r="U63" s="2434" t="s">
        <v>143</v>
      </c>
      <c r="V63" s="2805" t="s">
        <v>242</v>
      </c>
      <c r="Y63" s="467"/>
      <c r="Z63" s="467"/>
      <c r="AC63" s="2434"/>
      <c r="AD63" s="2434"/>
      <c r="AE63" s="2434">
        <v>68</v>
      </c>
      <c r="AF63" s="2684"/>
      <c r="AG63" s="2798"/>
      <c r="AH63" s="1"/>
      <c r="AJ63" t="s">
        <v>137</v>
      </c>
    </row>
    <row r="64" spans="1:37" ht="18" customHeight="1" thickBot="1" x14ac:dyDescent="0.25">
      <c r="A64" s="37"/>
      <c r="B64" s="62"/>
      <c r="C64" s="46"/>
      <c r="D64" s="46"/>
      <c r="E64" s="6"/>
      <c r="F64" s="46"/>
      <c r="G64" s="46"/>
      <c r="H64" s="6"/>
      <c r="I64" s="46"/>
      <c r="J64" s="46"/>
      <c r="K64" s="6"/>
      <c r="L64" s="46"/>
      <c r="M64" s="46"/>
      <c r="N64" s="6"/>
      <c r="O64" s="46"/>
      <c r="P64" s="46"/>
      <c r="Q64" s="6"/>
      <c r="R64" s="46"/>
      <c r="S64" s="46"/>
      <c r="T64" s="6"/>
      <c r="U64" s="46"/>
      <c r="V64" s="46"/>
      <c r="W64" s="6"/>
      <c r="X64" s="6"/>
      <c r="Y64" s="48"/>
      <c r="Z64" s="48"/>
      <c r="AA64" s="48"/>
      <c r="AB64" s="48"/>
      <c r="AC64" s="48"/>
      <c r="AD64" s="48"/>
      <c r="AE64" s="48"/>
      <c r="AF64" s="48"/>
      <c r="AG64" s="48"/>
      <c r="AH64" s="1"/>
    </row>
    <row r="65" spans="1:40" ht="18" customHeight="1" thickBot="1" x14ac:dyDescent="0.25">
      <c r="A65" s="2435"/>
      <c r="B65" s="2436" t="s">
        <v>44</v>
      </c>
      <c r="C65" s="2706">
        <v>1</v>
      </c>
      <c r="D65" s="2706">
        <v>2</v>
      </c>
      <c r="E65" s="2706">
        <v>3</v>
      </c>
      <c r="F65" s="2706">
        <v>4</v>
      </c>
      <c r="G65" s="2707">
        <v>5</v>
      </c>
      <c r="H65" s="2707">
        <v>6</v>
      </c>
      <c r="I65" s="2706">
        <v>7</v>
      </c>
      <c r="J65" s="2706">
        <v>8</v>
      </c>
      <c r="K65" s="2706">
        <v>9</v>
      </c>
      <c r="L65" s="2706">
        <v>10</v>
      </c>
      <c r="M65" s="2706">
        <v>11</v>
      </c>
      <c r="N65" s="2707">
        <v>12</v>
      </c>
      <c r="O65" s="2707">
        <v>13</v>
      </c>
      <c r="P65" s="2706">
        <v>14</v>
      </c>
      <c r="Q65" s="2706">
        <v>15</v>
      </c>
      <c r="R65" s="2706">
        <v>16</v>
      </c>
      <c r="S65" s="2706">
        <v>17</v>
      </c>
      <c r="T65" s="2706">
        <v>18</v>
      </c>
      <c r="U65" s="2707">
        <v>19</v>
      </c>
      <c r="V65" s="2707">
        <v>20</v>
      </c>
      <c r="W65" s="2706">
        <v>21</v>
      </c>
      <c r="X65" s="2706">
        <v>22</v>
      </c>
      <c r="Y65" s="2706">
        <v>23</v>
      </c>
      <c r="Z65" s="2706">
        <v>24</v>
      </c>
      <c r="AA65" s="2706">
        <v>25</v>
      </c>
      <c r="AB65" s="2707">
        <v>26</v>
      </c>
      <c r="AC65" s="2707">
        <v>27</v>
      </c>
      <c r="AD65" s="2706">
        <v>28</v>
      </c>
      <c r="AE65" s="2706">
        <v>29</v>
      </c>
      <c r="AF65" s="2706">
        <v>30</v>
      </c>
      <c r="AG65" s="2706">
        <v>31</v>
      </c>
      <c r="AH65" s="1"/>
      <c r="AJ65" s="2703" t="s">
        <v>41</v>
      </c>
      <c r="AK65" s="2703" t="s">
        <v>62</v>
      </c>
      <c r="AL65" s="2703" t="s">
        <v>63</v>
      </c>
      <c r="AM65" s="2703" t="s">
        <v>64</v>
      </c>
      <c r="AN65" s="2703" t="s">
        <v>65</v>
      </c>
    </row>
    <row r="66" spans="1:40" ht="18" customHeight="1" thickBot="1" x14ac:dyDescent="0.25">
      <c r="A66" s="2865"/>
      <c r="B66" s="2866" t="s">
        <v>138</v>
      </c>
      <c r="C66" s="2769">
        <v>25</v>
      </c>
      <c r="D66" s="2769">
        <v>25</v>
      </c>
      <c r="E66" s="2867" t="s">
        <v>50</v>
      </c>
      <c r="F66" s="2867" t="s">
        <v>50</v>
      </c>
      <c r="G66" s="2826" t="s">
        <v>68</v>
      </c>
      <c r="H66" s="2764"/>
      <c r="I66" s="2868" t="s">
        <v>142</v>
      </c>
      <c r="J66" s="2868" t="s">
        <v>142</v>
      </c>
      <c r="K66" s="2868" t="s">
        <v>142</v>
      </c>
      <c r="L66" s="2783" t="s">
        <v>142</v>
      </c>
      <c r="M66" s="2783" t="s">
        <v>142</v>
      </c>
      <c r="N66" s="2783" t="s">
        <v>143</v>
      </c>
      <c r="O66" s="2783" t="s">
        <v>143</v>
      </c>
      <c r="P66" s="2766" t="s">
        <v>50</v>
      </c>
      <c r="Q66" s="2766" t="s">
        <v>50</v>
      </c>
      <c r="R66" s="2766" t="s">
        <v>50</v>
      </c>
      <c r="S66" s="2766" t="s">
        <v>50</v>
      </c>
      <c r="T66" s="2766" t="s">
        <v>50</v>
      </c>
      <c r="U66" s="2764"/>
      <c r="V66" s="2764"/>
      <c r="W66" s="2868" t="s">
        <v>142</v>
      </c>
      <c r="X66" s="2868" t="s">
        <v>142</v>
      </c>
      <c r="Y66" s="2868" t="s">
        <v>142</v>
      </c>
      <c r="Z66" s="2783" t="s">
        <v>142</v>
      </c>
      <c r="AA66" s="2783" t="s">
        <v>142</v>
      </c>
      <c r="AB66" s="2783" t="s">
        <v>143</v>
      </c>
      <c r="AC66" s="2783" t="s">
        <v>143</v>
      </c>
      <c r="AD66" s="2766" t="s">
        <v>50</v>
      </c>
      <c r="AE66" s="2766" t="s">
        <v>50</v>
      </c>
      <c r="AF66" s="2766" t="s">
        <v>50</v>
      </c>
      <c r="AG66" s="2766" t="s">
        <v>50</v>
      </c>
      <c r="AH66" s="1"/>
      <c r="AJ66" s="638">
        <v>160.1</v>
      </c>
      <c r="AK66" s="638">
        <v>11.75</v>
      </c>
      <c r="AL66" s="638">
        <f>IF(AJ66="","",SUM(AJ66:AK66))</f>
        <v>171.85</v>
      </c>
      <c r="AM66" s="639">
        <f t="shared" ref="AM66:AM94" si="0">IF(AJ66="","",AL66-_xlfn.SINGLE(NormTid))</f>
        <v>11.519999999999982</v>
      </c>
      <c r="AN66" s="639">
        <f>IF(AM66="","",AM66+'September 2024'!AN66)</f>
        <v>182.09999999999994</v>
      </c>
    </row>
    <row r="67" spans="1:40" ht="18" customHeight="1" thickBot="1" x14ac:dyDescent="0.25">
      <c r="A67" s="748"/>
      <c r="B67" s="749" t="s">
        <v>144</v>
      </c>
      <c r="C67" s="2695" t="s">
        <v>50</v>
      </c>
      <c r="D67" s="2734" t="s">
        <v>50</v>
      </c>
      <c r="E67" s="2695" t="s">
        <v>50</v>
      </c>
      <c r="F67" s="2695" t="s">
        <v>50</v>
      </c>
      <c r="G67" s="2734"/>
      <c r="H67" s="2718"/>
      <c r="I67" s="2718">
        <v>22</v>
      </c>
      <c r="J67" s="2718">
        <v>22</v>
      </c>
      <c r="K67" s="2718">
        <v>22</v>
      </c>
      <c r="L67" s="2869">
        <v>22</v>
      </c>
      <c r="M67" s="2718">
        <v>22</v>
      </c>
      <c r="N67" s="2718">
        <v>22</v>
      </c>
      <c r="O67" s="2718">
        <v>22</v>
      </c>
      <c r="P67" s="2766" t="s">
        <v>50</v>
      </c>
      <c r="Q67" s="2766" t="s">
        <v>50</v>
      </c>
      <c r="R67" s="340" t="s">
        <v>209</v>
      </c>
      <c r="S67" s="340" t="s">
        <v>209</v>
      </c>
      <c r="T67" s="340" t="s">
        <v>209</v>
      </c>
      <c r="U67" s="2734"/>
      <c r="V67" s="2738"/>
      <c r="W67" s="2867">
        <v>11</v>
      </c>
      <c r="X67" s="2867">
        <v>11</v>
      </c>
      <c r="Y67" s="2867">
        <v>11</v>
      </c>
      <c r="Z67" s="2867">
        <v>11</v>
      </c>
      <c r="AA67" s="2770">
        <v>11</v>
      </c>
      <c r="AB67" s="2867" t="s">
        <v>109</v>
      </c>
      <c r="AC67" s="2867" t="s">
        <v>109</v>
      </c>
      <c r="AD67" s="2766" t="s">
        <v>50</v>
      </c>
      <c r="AE67" s="2870" t="s">
        <v>157</v>
      </c>
      <c r="AF67" s="2870" t="s">
        <v>157</v>
      </c>
      <c r="AG67" s="2770" t="s">
        <v>50</v>
      </c>
      <c r="AH67" s="1"/>
      <c r="AJ67" s="638">
        <v>132.5</v>
      </c>
      <c r="AK67" s="638">
        <v>11</v>
      </c>
      <c r="AL67" s="638">
        <f t="shared" ref="AL67:AL94" si="1">IF(AJ67="","",SUM(AJ67:AK67))</f>
        <v>143.5</v>
      </c>
      <c r="AM67" s="639">
        <f t="shared" si="0"/>
        <v>-16.830000000000013</v>
      </c>
      <c r="AN67" s="639">
        <f>IF(AM67="","",AM67+'September 2024'!AN67)</f>
        <v>-2.200000000000081</v>
      </c>
    </row>
    <row r="68" spans="1:40" ht="18" customHeight="1" x14ac:dyDescent="0.2">
      <c r="A68" s="748"/>
      <c r="B68" s="754" t="s">
        <v>146</v>
      </c>
      <c r="C68" s="2443" t="s">
        <v>46</v>
      </c>
      <c r="D68" s="2443" t="s">
        <v>46</v>
      </c>
      <c r="E68" s="2443" t="s">
        <v>46</v>
      </c>
      <c r="F68" s="2443" t="s">
        <v>46</v>
      </c>
      <c r="G68" s="2443"/>
      <c r="H68" s="2443"/>
      <c r="I68" s="2443" t="s">
        <v>46</v>
      </c>
      <c r="J68" s="2443" t="s">
        <v>46</v>
      </c>
      <c r="K68" s="2443" t="s">
        <v>46</v>
      </c>
      <c r="L68" s="2443" t="s">
        <v>46</v>
      </c>
      <c r="M68" s="2444" t="s">
        <v>46</v>
      </c>
      <c r="N68" s="2444"/>
      <c r="O68" s="2445"/>
      <c r="P68" s="2445" t="s">
        <v>46</v>
      </c>
      <c r="Q68" s="2445" t="s">
        <v>46</v>
      </c>
      <c r="R68" s="2445" t="s">
        <v>46</v>
      </c>
      <c r="S68" s="2445" t="s">
        <v>69</v>
      </c>
      <c r="T68" s="2443" t="s">
        <v>69</v>
      </c>
      <c r="U68" s="2443"/>
      <c r="V68" s="2443"/>
      <c r="W68" s="2443">
        <v>21</v>
      </c>
      <c r="X68" s="2443">
        <v>21</v>
      </c>
      <c r="Y68" s="2443">
        <v>21</v>
      </c>
      <c r="Z68" s="2443">
        <v>21</v>
      </c>
      <c r="AA68" s="2443">
        <v>21</v>
      </c>
      <c r="AB68" s="2443">
        <v>21</v>
      </c>
      <c r="AC68" s="2443">
        <v>21</v>
      </c>
      <c r="AD68" s="2845" t="s">
        <v>50</v>
      </c>
      <c r="AE68" s="2845" t="s">
        <v>50</v>
      </c>
      <c r="AF68" s="2845" t="s">
        <v>50</v>
      </c>
      <c r="AG68" s="2845" t="s">
        <v>50</v>
      </c>
      <c r="AH68" s="1"/>
      <c r="AJ68" s="638">
        <f t="shared" ref="AJ68:AJ93" si="2">$AJ$12</f>
        <v>160.33000000000001</v>
      </c>
      <c r="AK68" s="638">
        <v>5.75</v>
      </c>
      <c r="AL68" s="638">
        <f t="shared" si="1"/>
        <v>166.08</v>
      </c>
      <c r="AM68" s="639">
        <f t="shared" si="0"/>
        <v>5.75</v>
      </c>
      <c r="AN68" s="639">
        <f>IF(AM68="","",AM68+'September 2024'!AN68)</f>
        <v>30.479999999999926</v>
      </c>
    </row>
    <row r="69" spans="1:40" ht="18" customHeight="1" thickBot="1" x14ac:dyDescent="0.25">
      <c r="A69" s="748"/>
      <c r="B69" s="754" t="s">
        <v>151</v>
      </c>
      <c r="C69" s="2734" t="s">
        <v>50</v>
      </c>
      <c r="D69" s="2734" t="s">
        <v>50</v>
      </c>
      <c r="E69" s="2734" t="s">
        <v>50</v>
      </c>
      <c r="F69" s="1363" t="s">
        <v>149</v>
      </c>
      <c r="G69" s="1363" t="s">
        <v>150</v>
      </c>
      <c r="H69" s="1363" t="s">
        <v>0</v>
      </c>
      <c r="I69" s="2734" t="s">
        <v>50</v>
      </c>
      <c r="J69" s="2871" t="s">
        <v>46</v>
      </c>
      <c r="K69" s="2871" t="s">
        <v>46</v>
      </c>
      <c r="L69" s="2871" t="s">
        <v>46</v>
      </c>
      <c r="M69" s="2738" t="s">
        <v>408</v>
      </c>
      <c r="N69" s="2723"/>
      <c r="O69" s="2723"/>
      <c r="P69" s="2723">
        <v>26</v>
      </c>
      <c r="Q69" s="2738" t="s">
        <v>186</v>
      </c>
      <c r="R69" s="2734" t="s">
        <v>50</v>
      </c>
      <c r="S69" s="2734" t="s">
        <v>50</v>
      </c>
      <c r="T69" s="1363" t="s">
        <v>149</v>
      </c>
      <c r="U69" s="1363" t="s">
        <v>150</v>
      </c>
      <c r="V69" s="1363" t="s">
        <v>71</v>
      </c>
      <c r="W69" s="2734" t="s">
        <v>50</v>
      </c>
      <c r="X69" s="2734" t="s">
        <v>50</v>
      </c>
      <c r="Y69" s="2734" t="s">
        <v>50</v>
      </c>
      <c r="Z69" s="2738" t="s">
        <v>404</v>
      </c>
      <c r="AA69" s="2738" t="s">
        <v>110</v>
      </c>
      <c r="AB69" s="2738"/>
      <c r="AC69" s="2738"/>
      <c r="AD69" s="2738" t="s">
        <v>142</v>
      </c>
      <c r="AE69" s="2738" t="s">
        <v>142</v>
      </c>
      <c r="AF69" s="2738" t="s">
        <v>142</v>
      </c>
      <c r="AG69" s="2779" t="s">
        <v>142</v>
      </c>
      <c r="AH69" s="1"/>
      <c r="AJ69" s="638">
        <v>148.5</v>
      </c>
      <c r="AK69" s="638">
        <v>5.25</v>
      </c>
      <c r="AL69" s="638">
        <f t="shared" si="1"/>
        <v>153.75</v>
      </c>
      <c r="AM69" s="639">
        <f t="shared" si="0"/>
        <v>-6.5800000000000125</v>
      </c>
      <c r="AN69" s="639">
        <f>IF(AM69="","",AM69+'September 2024'!AN69)</f>
        <v>42.999999999999936</v>
      </c>
    </row>
    <row r="70" spans="1:40" ht="18" customHeight="1" thickBot="1" x14ac:dyDescent="0.25">
      <c r="A70" s="748"/>
      <c r="B70" s="1145" t="s">
        <v>155</v>
      </c>
      <c r="C70" s="2739">
        <v>7</v>
      </c>
      <c r="D70" s="2739">
        <v>7</v>
      </c>
      <c r="E70" s="2739">
        <v>7</v>
      </c>
      <c r="F70" s="2739">
        <v>7</v>
      </c>
      <c r="G70" s="2739"/>
      <c r="H70" s="2872" t="s">
        <v>71</v>
      </c>
      <c r="I70" s="2734" t="s">
        <v>50</v>
      </c>
      <c r="J70" s="2734" t="s">
        <v>50</v>
      </c>
      <c r="K70" s="2734" t="s">
        <v>50</v>
      </c>
      <c r="L70" s="2734" t="s">
        <v>50</v>
      </c>
      <c r="M70" s="2873" t="s">
        <v>145</v>
      </c>
      <c r="N70" s="2873" t="s">
        <v>147</v>
      </c>
      <c r="O70" s="853" t="s">
        <v>148</v>
      </c>
      <c r="P70" s="2734" t="s">
        <v>50</v>
      </c>
      <c r="Q70" s="2734" t="s">
        <v>50</v>
      </c>
      <c r="R70" s="2734">
        <v>26</v>
      </c>
      <c r="S70" s="2734">
        <v>26</v>
      </c>
      <c r="T70" s="2734">
        <v>26</v>
      </c>
      <c r="U70" s="2734"/>
      <c r="V70" s="2718"/>
      <c r="W70" s="2739" t="s">
        <v>46</v>
      </c>
      <c r="X70" s="2739" t="s">
        <v>46</v>
      </c>
      <c r="Y70" s="2739" t="s">
        <v>46</v>
      </c>
      <c r="Z70" s="2739" t="s">
        <v>46</v>
      </c>
      <c r="AA70" s="2872" t="s">
        <v>145</v>
      </c>
      <c r="AB70" s="2872" t="s">
        <v>147</v>
      </c>
      <c r="AC70" s="2872" t="s">
        <v>148</v>
      </c>
      <c r="AD70" s="2874" t="s">
        <v>475</v>
      </c>
      <c r="AE70" s="2734" t="s">
        <v>50</v>
      </c>
      <c r="AF70" s="2734" t="s">
        <v>50</v>
      </c>
      <c r="AG70" s="2442">
        <v>3</v>
      </c>
      <c r="AH70" s="1"/>
      <c r="AJ70" s="638">
        <v>154.5</v>
      </c>
      <c r="AK70" s="638">
        <v>8.5</v>
      </c>
      <c r="AL70" s="638">
        <f t="shared" si="1"/>
        <v>163</v>
      </c>
      <c r="AM70" s="639">
        <f t="shared" si="0"/>
        <v>2.6699999999999875</v>
      </c>
      <c r="AN70" s="639">
        <f>IF(AM70="","",AM70+'September 2024'!AN70)</f>
        <v>9.4999999999999289</v>
      </c>
    </row>
    <row r="71" spans="1:40" ht="18" customHeight="1" thickBot="1" x14ac:dyDescent="0.25">
      <c r="A71" s="1614"/>
      <c r="B71" s="749" t="s">
        <v>156</v>
      </c>
      <c r="C71" s="2734">
        <v>7</v>
      </c>
      <c r="D71" s="2734">
        <v>7</v>
      </c>
      <c r="E71" s="2734">
        <v>7</v>
      </c>
      <c r="F71" s="2734">
        <v>7</v>
      </c>
      <c r="G71" s="2734"/>
      <c r="H71" s="2718">
        <v>26</v>
      </c>
      <c r="I71" s="2840">
        <v>26</v>
      </c>
      <c r="J71" s="2840">
        <v>26</v>
      </c>
      <c r="K71" s="2840">
        <v>26</v>
      </c>
      <c r="L71" s="2840">
        <v>26</v>
      </c>
      <c r="M71" s="2840">
        <v>26</v>
      </c>
      <c r="N71" s="2734"/>
      <c r="O71" s="2718"/>
      <c r="P71" s="2868" t="s">
        <v>142</v>
      </c>
      <c r="Q71" s="2868" t="s">
        <v>142</v>
      </c>
      <c r="R71" s="2868" t="s">
        <v>142</v>
      </c>
      <c r="S71" s="2749" t="s">
        <v>142</v>
      </c>
      <c r="T71" s="2783" t="s">
        <v>142</v>
      </c>
      <c r="U71" s="2783" t="s">
        <v>143</v>
      </c>
      <c r="V71" s="2783" t="s">
        <v>143</v>
      </c>
      <c r="W71" s="2718" t="s">
        <v>50</v>
      </c>
      <c r="X71" s="2718" t="s">
        <v>50</v>
      </c>
      <c r="Y71" s="2834" t="s">
        <v>50</v>
      </c>
      <c r="Z71" s="2734" t="s">
        <v>50</v>
      </c>
      <c r="AA71" s="2734" t="s">
        <v>50</v>
      </c>
      <c r="AB71" s="2719" t="s">
        <v>163</v>
      </c>
      <c r="AC71" s="2719" t="s">
        <v>164</v>
      </c>
      <c r="AD71" s="2779">
        <v>25</v>
      </c>
      <c r="AE71" s="2779">
        <v>25</v>
      </c>
      <c r="AF71" s="2779">
        <v>25</v>
      </c>
      <c r="AG71" s="2875">
        <v>25</v>
      </c>
      <c r="AJ71" s="638">
        <v>195</v>
      </c>
      <c r="AK71" s="638">
        <v>13.5</v>
      </c>
      <c r="AL71" s="638">
        <f t="shared" si="1"/>
        <v>208.5</v>
      </c>
      <c r="AM71" s="639">
        <f t="shared" si="0"/>
        <v>48.169999999999987</v>
      </c>
      <c r="AN71" s="639">
        <f>IF(AM71="","",AM71+'September 2024'!AN71)</f>
        <v>57.499999999999936</v>
      </c>
    </row>
    <row r="72" spans="1:40" ht="18" customHeight="1" thickBot="1" x14ac:dyDescent="0.25">
      <c r="A72" s="368"/>
      <c r="B72" s="749" t="s">
        <v>159</v>
      </c>
      <c r="C72" s="2734" t="s">
        <v>50</v>
      </c>
      <c r="D72" s="2734" t="s">
        <v>50</v>
      </c>
      <c r="E72" s="2734" t="s">
        <v>50</v>
      </c>
      <c r="F72" s="2734" t="s">
        <v>50</v>
      </c>
      <c r="G72" s="2734"/>
      <c r="H72" s="2725" t="s">
        <v>71</v>
      </c>
      <c r="I72" s="2725" t="s">
        <v>50</v>
      </c>
      <c r="J72" s="2725" t="s">
        <v>50</v>
      </c>
      <c r="K72" s="2734" t="s">
        <v>50</v>
      </c>
      <c r="L72" s="2734" t="s">
        <v>50</v>
      </c>
      <c r="M72" s="1212" t="s">
        <v>139</v>
      </c>
      <c r="N72" s="1212" t="s">
        <v>140</v>
      </c>
      <c r="O72" s="1212" t="s">
        <v>141</v>
      </c>
      <c r="P72" s="2734" t="s">
        <v>50</v>
      </c>
      <c r="Q72" s="2734" t="s">
        <v>50</v>
      </c>
      <c r="R72" s="2731" t="s">
        <v>411</v>
      </c>
      <c r="S72" s="2695" t="s">
        <v>50</v>
      </c>
      <c r="T72" s="2695" t="s">
        <v>50</v>
      </c>
      <c r="U72" s="2695"/>
      <c r="V72" s="2695"/>
      <c r="W72" s="2867" t="s">
        <v>50</v>
      </c>
      <c r="X72" s="2766" t="s">
        <v>50</v>
      </c>
      <c r="Y72" s="2876" t="s">
        <v>475</v>
      </c>
      <c r="Z72" s="2867" t="s">
        <v>493</v>
      </c>
      <c r="AA72" s="2766" t="s">
        <v>50</v>
      </c>
      <c r="AB72" s="1363" t="s">
        <v>475</v>
      </c>
      <c r="AC72" s="1363" t="s">
        <v>475</v>
      </c>
      <c r="AD72" s="2766" t="s">
        <v>50</v>
      </c>
      <c r="AE72" s="2766" t="s">
        <v>50</v>
      </c>
      <c r="AF72" s="2766" t="s">
        <v>50</v>
      </c>
      <c r="AG72" s="2766" t="s">
        <v>50</v>
      </c>
      <c r="AH72" s="1"/>
      <c r="AJ72" s="638">
        <v>88.5</v>
      </c>
      <c r="AK72" s="638">
        <v>6.75</v>
      </c>
      <c r="AL72" s="638">
        <f t="shared" si="1"/>
        <v>95.25</v>
      </c>
      <c r="AM72" s="639">
        <f t="shared" si="0"/>
        <v>-65.080000000000013</v>
      </c>
      <c r="AN72" s="639">
        <f>IF(AM72="","",AM72+'September 2024'!AN72)</f>
        <v>70.599999999999937</v>
      </c>
    </row>
    <row r="73" spans="1:40" ht="18" customHeight="1" x14ac:dyDescent="0.2">
      <c r="A73" s="764"/>
      <c r="B73" s="1145" t="s">
        <v>161</v>
      </c>
      <c r="C73" s="635" t="s">
        <v>162</v>
      </c>
      <c r="D73" s="635" t="s">
        <v>162</v>
      </c>
      <c r="E73" s="635" t="s">
        <v>162</v>
      </c>
      <c r="F73" s="636" t="s">
        <v>162</v>
      </c>
      <c r="G73" s="636" t="s">
        <v>163</v>
      </c>
      <c r="H73" s="636" t="s">
        <v>164</v>
      </c>
      <c r="I73" s="2877" t="s">
        <v>50</v>
      </c>
      <c r="J73" s="2877" t="s">
        <v>50</v>
      </c>
      <c r="K73" s="2877" t="s">
        <v>50</v>
      </c>
      <c r="L73" s="2877" t="s">
        <v>50</v>
      </c>
      <c r="M73" s="2877" t="s">
        <v>50</v>
      </c>
      <c r="N73" s="2738"/>
      <c r="O73" s="2738"/>
      <c r="P73" s="635" t="s">
        <v>162</v>
      </c>
      <c r="Q73" s="635" t="s">
        <v>162</v>
      </c>
      <c r="R73" s="635" t="s">
        <v>162</v>
      </c>
      <c r="S73" s="636" t="s">
        <v>162</v>
      </c>
      <c r="T73" s="636" t="s">
        <v>162</v>
      </c>
      <c r="U73" s="636" t="s">
        <v>163</v>
      </c>
      <c r="V73" s="636" t="s">
        <v>164</v>
      </c>
      <c r="W73" s="2877" t="s">
        <v>50</v>
      </c>
      <c r="X73" s="2877" t="s">
        <v>50</v>
      </c>
      <c r="Y73" s="2877" t="s">
        <v>50</v>
      </c>
      <c r="Z73" s="2877" t="s">
        <v>50</v>
      </c>
      <c r="AA73" s="2877" t="s">
        <v>50</v>
      </c>
      <c r="AB73" s="2718"/>
      <c r="AC73" s="2738"/>
      <c r="AD73" s="635" t="s">
        <v>162</v>
      </c>
      <c r="AE73" s="635" t="s">
        <v>162</v>
      </c>
      <c r="AF73" s="635" t="s">
        <v>162</v>
      </c>
      <c r="AG73" s="635" t="s">
        <v>162</v>
      </c>
      <c r="AH73" s="1"/>
      <c r="AJ73" s="638">
        <v>172</v>
      </c>
      <c r="AK73" s="638">
        <v>13</v>
      </c>
      <c r="AL73" s="638">
        <f t="shared" si="1"/>
        <v>185</v>
      </c>
      <c r="AM73" s="639">
        <f t="shared" si="0"/>
        <v>24.669999999999987</v>
      </c>
      <c r="AN73" s="639">
        <f>IF(AM73="","",AM73+'September 2024'!AN73)</f>
        <v>-17.550000000000075</v>
      </c>
    </row>
    <row r="74" spans="1:40" ht="18" customHeight="1" x14ac:dyDescent="0.2">
      <c r="A74" s="764"/>
      <c r="B74" s="1145" t="s">
        <v>165</v>
      </c>
      <c r="C74" s="2734">
        <v>26</v>
      </c>
      <c r="D74" s="2452">
        <v>26</v>
      </c>
      <c r="E74" s="2718">
        <v>26</v>
      </c>
      <c r="F74" s="2718">
        <v>26</v>
      </c>
      <c r="G74" s="2739"/>
      <c r="H74" s="2739"/>
      <c r="I74" s="2720" t="s">
        <v>46</v>
      </c>
      <c r="J74" s="2734">
        <v>6</v>
      </c>
      <c r="K74" s="2734">
        <v>6</v>
      </c>
      <c r="L74" s="2734">
        <v>6</v>
      </c>
      <c r="M74" s="2739" t="s">
        <v>46</v>
      </c>
      <c r="N74" s="2739"/>
      <c r="O74" s="2739"/>
      <c r="P74" s="2878" t="s">
        <v>174</v>
      </c>
      <c r="Q74" s="2718" t="s">
        <v>174</v>
      </c>
      <c r="R74" s="2718" t="s">
        <v>174</v>
      </c>
      <c r="S74" s="2718" t="s">
        <v>50</v>
      </c>
      <c r="T74" s="2734" t="s">
        <v>50</v>
      </c>
      <c r="U74" s="2734"/>
      <c r="V74" s="2718"/>
      <c r="W74" s="2718">
        <v>25</v>
      </c>
      <c r="X74" s="2734">
        <v>25</v>
      </c>
      <c r="Y74" s="2734">
        <v>25</v>
      </c>
      <c r="Z74" s="2718">
        <v>25</v>
      </c>
      <c r="AA74" s="2739" t="s">
        <v>46</v>
      </c>
      <c r="AB74" s="2718"/>
      <c r="AC74" s="2718">
        <v>26</v>
      </c>
      <c r="AD74" s="2718">
        <v>26</v>
      </c>
      <c r="AE74" s="2718">
        <v>26</v>
      </c>
      <c r="AF74" s="2779">
        <v>26</v>
      </c>
      <c r="AG74" s="2721">
        <v>26</v>
      </c>
      <c r="AH74" s="1"/>
      <c r="AJ74" s="638">
        <v>154.75</v>
      </c>
      <c r="AK74" s="638">
        <v>9</v>
      </c>
      <c r="AL74" s="638">
        <f t="shared" si="1"/>
        <v>163.75</v>
      </c>
      <c r="AM74" s="639">
        <f t="shared" si="0"/>
        <v>3.4199999999999875</v>
      </c>
      <c r="AN74" s="639">
        <f>IF(AM74="","",AM74+'September 2024'!AN74)</f>
        <v>10.64999999999992</v>
      </c>
    </row>
    <row r="75" spans="1:40" ht="18" customHeight="1" x14ac:dyDescent="0.2">
      <c r="A75" s="768"/>
      <c r="B75" s="1145" t="s">
        <v>166</v>
      </c>
      <c r="C75" s="2879" t="s">
        <v>160</v>
      </c>
      <c r="D75" s="2734" t="s">
        <v>160</v>
      </c>
      <c r="E75" s="2734" t="s">
        <v>160</v>
      </c>
      <c r="F75" s="2734" t="s">
        <v>160</v>
      </c>
      <c r="G75" s="2734"/>
      <c r="H75" s="2734"/>
      <c r="I75" s="2734" t="s">
        <v>160</v>
      </c>
      <c r="J75" s="2734" t="s">
        <v>160</v>
      </c>
      <c r="K75" s="2734" t="s">
        <v>160</v>
      </c>
      <c r="L75" s="2734" t="s">
        <v>160</v>
      </c>
      <c r="M75" s="2734" t="s">
        <v>160</v>
      </c>
      <c r="N75" s="2734"/>
      <c r="O75" s="2734"/>
      <c r="P75" s="2734" t="s">
        <v>160</v>
      </c>
      <c r="Q75" s="2734" t="s">
        <v>160</v>
      </c>
      <c r="R75" s="2734" t="s">
        <v>160</v>
      </c>
      <c r="S75" s="2734" t="s">
        <v>160</v>
      </c>
      <c r="T75" s="2734" t="s">
        <v>160</v>
      </c>
      <c r="U75" s="2734"/>
      <c r="V75" s="2734"/>
      <c r="W75" s="2739" t="s">
        <v>46</v>
      </c>
      <c r="X75" s="2739" t="s">
        <v>46</v>
      </c>
      <c r="Y75" s="2739" t="s">
        <v>46</v>
      </c>
      <c r="Z75" s="2739" t="s">
        <v>46</v>
      </c>
      <c r="AA75" s="2739" t="s">
        <v>46</v>
      </c>
      <c r="AB75" s="2739"/>
      <c r="AC75" s="2739"/>
      <c r="AD75" s="2734" t="s">
        <v>160</v>
      </c>
      <c r="AE75" s="2734" t="s">
        <v>160</v>
      </c>
      <c r="AF75" s="2734" t="s">
        <v>160</v>
      </c>
      <c r="AG75" s="2734" t="s">
        <v>160</v>
      </c>
      <c r="AH75" s="1"/>
      <c r="AJ75" s="638">
        <v>163.75</v>
      </c>
      <c r="AK75" s="638">
        <v>0</v>
      </c>
      <c r="AL75" s="638">
        <f t="shared" si="1"/>
        <v>163.75</v>
      </c>
      <c r="AM75" s="639">
        <f t="shared" si="0"/>
        <v>3.4199999999999875</v>
      </c>
      <c r="AN75" s="639">
        <f>IF(AM75="","",AM75+'September 2024'!AN75)</f>
        <v>-30.600000000000087</v>
      </c>
    </row>
    <row r="76" spans="1:40" ht="18" customHeight="1" x14ac:dyDescent="0.2">
      <c r="A76" s="768"/>
      <c r="B76" s="769" t="s">
        <v>167</v>
      </c>
      <c r="C76" s="2718" t="s">
        <v>168</v>
      </c>
      <c r="D76" s="2718" t="s">
        <v>168</v>
      </c>
      <c r="E76" s="2718" t="s">
        <v>168</v>
      </c>
      <c r="F76" s="2718" t="s">
        <v>168</v>
      </c>
      <c r="G76" s="2880"/>
      <c r="H76" s="2718"/>
      <c r="I76" s="2718" t="s">
        <v>168</v>
      </c>
      <c r="J76" s="2719" t="s">
        <v>168</v>
      </c>
      <c r="K76" s="2719" t="s">
        <v>168</v>
      </c>
      <c r="L76" s="2712" t="s">
        <v>168</v>
      </c>
      <c r="M76" s="2712" t="s">
        <v>168</v>
      </c>
      <c r="N76" s="2734"/>
      <c r="O76" s="2734">
        <v>26</v>
      </c>
      <c r="P76" s="2718" t="s">
        <v>168</v>
      </c>
      <c r="Q76" s="2719" t="s">
        <v>168</v>
      </c>
      <c r="R76" s="2718" t="s">
        <v>168</v>
      </c>
      <c r="S76" s="2718" t="s">
        <v>168</v>
      </c>
      <c r="T76" s="2695" t="s">
        <v>168</v>
      </c>
      <c r="U76" s="2719"/>
      <c r="V76" s="2881"/>
      <c r="W76" s="2731" t="s">
        <v>168</v>
      </c>
      <c r="X76" s="2731" t="s">
        <v>169</v>
      </c>
      <c r="Y76" s="2879" t="s">
        <v>168</v>
      </c>
      <c r="Z76" s="2718" t="s">
        <v>168</v>
      </c>
      <c r="AA76" s="2718" t="s">
        <v>168</v>
      </c>
      <c r="AB76" s="2734"/>
      <c r="AC76" s="2718"/>
      <c r="AD76" s="2718" t="s">
        <v>168</v>
      </c>
      <c r="AE76" s="2718" t="s">
        <v>168</v>
      </c>
      <c r="AF76" s="2718" t="s">
        <v>168</v>
      </c>
      <c r="AG76" s="2718" t="s">
        <v>168</v>
      </c>
      <c r="AH76" s="1"/>
      <c r="AJ76" s="638">
        <v>169.5</v>
      </c>
      <c r="AK76" s="638">
        <v>0</v>
      </c>
      <c r="AL76" s="638">
        <f t="shared" si="1"/>
        <v>169.5</v>
      </c>
      <c r="AM76" s="639">
        <f t="shared" si="0"/>
        <v>9.1699999999999875</v>
      </c>
      <c r="AN76" s="639">
        <f>IF(AM76="","",AM76+'September 2024'!AN76)</f>
        <v>7.9499999999999247</v>
      </c>
    </row>
    <row r="77" spans="1:40" ht="18" customHeight="1" thickBot="1" x14ac:dyDescent="0.25">
      <c r="A77" s="768"/>
      <c r="B77" s="769" t="s">
        <v>170</v>
      </c>
      <c r="C77" s="2878">
        <v>25</v>
      </c>
      <c r="D77" s="2878">
        <v>25</v>
      </c>
      <c r="E77" s="2718">
        <v>25</v>
      </c>
      <c r="F77" s="2718">
        <v>25</v>
      </c>
      <c r="G77" s="2738"/>
      <c r="H77" s="2718"/>
      <c r="I77" s="2718">
        <v>25</v>
      </c>
      <c r="J77" s="2734">
        <v>25</v>
      </c>
      <c r="K77" s="2734">
        <v>25</v>
      </c>
      <c r="L77" s="2734">
        <v>25</v>
      </c>
      <c r="M77" s="2719">
        <v>25</v>
      </c>
      <c r="N77" s="2723"/>
      <c r="O77" s="2723"/>
      <c r="P77" s="2723">
        <v>25</v>
      </c>
      <c r="Q77" s="2723">
        <v>25</v>
      </c>
      <c r="R77" s="2723">
        <v>25</v>
      </c>
      <c r="S77" s="2723">
        <v>25</v>
      </c>
      <c r="T77" s="2723">
        <v>25</v>
      </c>
      <c r="U77" s="2734"/>
      <c r="V77" s="2738"/>
      <c r="W77" s="2734" t="s">
        <v>160</v>
      </c>
      <c r="X77" s="2734" t="s">
        <v>160</v>
      </c>
      <c r="Y77" s="2734">
        <v>5</v>
      </c>
      <c r="Z77" s="2734" t="s">
        <v>160</v>
      </c>
      <c r="AA77" s="2834" t="s">
        <v>160</v>
      </c>
      <c r="AB77" s="1615" t="s">
        <v>150</v>
      </c>
      <c r="AC77" s="1615" t="s">
        <v>71</v>
      </c>
      <c r="AD77" s="2718">
        <v>9</v>
      </c>
      <c r="AE77" s="2718">
        <v>9</v>
      </c>
      <c r="AF77" s="2718">
        <v>9</v>
      </c>
      <c r="AG77" s="2829" t="s">
        <v>493</v>
      </c>
      <c r="AH77" s="1"/>
      <c r="AJ77" s="638">
        <v>194.5</v>
      </c>
      <c r="AK77" s="638">
        <v>12.5</v>
      </c>
      <c r="AL77" s="638">
        <f t="shared" si="1"/>
        <v>207</v>
      </c>
      <c r="AM77" s="639">
        <f t="shared" si="0"/>
        <v>46.669999999999987</v>
      </c>
      <c r="AN77" s="639">
        <f>IF(AM77="","",AM77+'September 2024'!AN77)</f>
        <v>75.949999999999932</v>
      </c>
    </row>
    <row r="78" spans="1:40" ht="18" customHeight="1" x14ac:dyDescent="0.2">
      <c r="A78" s="768"/>
      <c r="B78" s="772" t="s">
        <v>176</v>
      </c>
      <c r="C78" s="2734" t="s">
        <v>50</v>
      </c>
      <c r="D78" s="2734" t="s">
        <v>50</v>
      </c>
      <c r="E78" s="2734" t="s">
        <v>50</v>
      </c>
      <c r="F78" s="2734" t="s">
        <v>50</v>
      </c>
      <c r="G78" s="2734"/>
      <c r="H78" s="2718"/>
      <c r="I78" s="2451" t="s">
        <v>46</v>
      </c>
      <c r="J78" s="2882" t="s">
        <v>46</v>
      </c>
      <c r="K78" s="2882" t="s">
        <v>46</v>
      </c>
      <c r="L78" s="2882" t="s">
        <v>46</v>
      </c>
      <c r="M78" s="2882" t="s">
        <v>46</v>
      </c>
      <c r="N78" s="2882"/>
      <c r="O78" s="2451"/>
      <c r="P78" s="2451" t="s">
        <v>46</v>
      </c>
      <c r="Q78" s="2882" t="s">
        <v>46</v>
      </c>
      <c r="R78" s="2882" t="s">
        <v>46</v>
      </c>
      <c r="S78" s="2882" t="s">
        <v>46</v>
      </c>
      <c r="T78" s="2882" t="s">
        <v>46</v>
      </c>
      <c r="U78" s="2882"/>
      <c r="V78" s="2451"/>
      <c r="W78" s="2451" t="s">
        <v>46</v>
      </c>
      <c r="X78" s="2882" t="s">
        <v>46</v>
      </c>
      <c r="Y78" s="2882" t="s">
        <v>46</v>
      </c>
      <c r="Z78" s="2882" t="s">
        <v>46</v>
      </c>
      <c r="AA78" s="2882" t="s">
        <v>46</v>
      </c>
      <c r="AB78" s="2882"/>
      <c r="AC78" s="2451"/>
      <c r="AD78" s="2451" t="s">
        <v>46</v>
      </c>
      <c r="AE78" s="2220" t="s">
        <v>475</v>
      </c>
      <c r="AF78" s="635" t="s">
        <v>475</v>
      </c>
      <c r="AG78" s="635" t="s">
        <v>475</v>
      </c>
      <c r="AH78" s="1"/>
      <c r="AJ78" s="638">
        <v>154.75</v>
      </c>
      <c r="AK78" s="638">
        <v>3</v>
      </c>
      <c r="AL78" s="638">
        <f t="shared" si="1"/>
        <v>157.75</v>
      </c>
      <c r="AM78" s="639">
        <f t="shared" si="0"/>
        <v>-2.5800000000000125</v>
      </c>
      <c r="AN78" s="639">
        <f>IF(AM78="","",AM78+'September 2024'!AN78)</f>
        <v>19.449999999999932</v>
      </c>
    </row>
    <row r="79" spans="1:40" ht="18" customHeight="1" thickBot="1" x14ac:dyDescent="0.25">
      <c r="A79" s="768"/>
      <c r="B79" s="1145" t="s">
        <v>177</v>
      </c>
      <c r="C79" s="2739" t="s">
        <v>46</v>
      </c>
      <c r="D79" s="2739" t="s">
        <v>46</v>
      </c>
      <c r="E79" s="2739" t="s">
        <v>46</v>
      </c>
      <c r="F79" s="2739" t="s">
        <v>46</v>
      </c>
      <c r="G79" s="2739"/>
      <c r="H79" s="2739"/>
      <c r="I79" s="2443" t="s">
        <v>494</v>
      </c>
      <c r="J79" s="2883" t="s">
        <v>46</v>
      </c>
      <c r="K79" s="2883" t="s">
        <v>46</v>
      </c>
      <c r="L79" s="2695" t="s">
        <v>46</v>
      </c>
      <c r="M79" s="2695" t="s">
        <v>46</v>
      </c>
      <c r="N79" s="2695"/>
      <c r="O79" s="2883"/>
      <c r="P79" s="2883" t="s">
        <v>46</v>
      </c>
      <c r="Q79" s="2883" t="s">
        <v>46</v>
      </c>
      <c r="R79" s="2883" t="s">
        <v>46</v>
      </c>
      <c r="S79" s="2883" t="s">
        <v>46</v>
      </c>
      <c r="T79" s="2883" t="s">
        <v>46</v>
      </c>
      <c r="U79" s="2695"/>
      <c r="V79" s="2695"/>
      <c r="W79" s="2884" t="s">
        <v>46</v>
      </c>
      <c r="X79" s="2884" t="s">
        <v>46</v>
      </c>
      <c r="Y79" s="2884" t="s">
        <v>46</v>
      </c>
      <c r="Z79" s="2752" t="s">
        <v>46</v>
      </c>
      <c r="AA79" s="2752" t="s">
        <v>46</v>
      </c>
      <c r="AB79" s="2752"/>
      <c r="AC79" s="2752"/>
      <c r="AD79" s="2885" t="s">
        <v>46</v>
      </c>
      <c r="AE79" s="2885" t="s">
        <v>46</v>
      </c>
      <c r="AF79" s="2885" t="s">
        <v>46</v>
      </c>
      <c r="AG79" s="2886" t="s">
        <v>46</v>
      </c>
      <c r="AH79" s="1"/>
      <c r="AJ79" s="638">
        <f t="shared" si="2"/>
        <v>160.33000000000001</v>
      </c>
      <c r="AK79" s="638"/>
      <c r="AL79" s="638">
        <f t="shared" si="1"/>
        <v>160.33000000000001</v>
      </c>
      <c r="AM79" s="639">
        <f t="shared" si="0"/>
        <v>0</v>
      </c>
      <c r="AN79" s="639">
        <f>IF(AM79="","",AM79+'September 2024'!AN79)</f>
        <v>-71.32000000000005</v>
      </c>
    </row>
    <row r="80" spans="1:40" ht="18" customHeight="1" thickBot="1" x14ac:dyDescent="0.25">
      <c r="A80" s="768"/>
      <c r="B80" s="1145" t="s">
        <v>178</v>
      </c>
      <c r="C80" s="2766" t="s">
        <v>50</v>
      </c>
      <c r="D80" s="2764" t="s">
        <v>50</v>
      </c>
      <c r="E80" s="2766" t="s">
        <v>50</v>
      </c>
      <c r="F80" s="2766" t="s">
        <v>50</v>
      </c>
      <c r="G80" s="2766" t="s">
        <v>107</v>
      </c>
      <c r="H80" s="2766" t="s">
        <v>107</v>
      </c>
      <c r="I80" s="2766">
        <v>7</v>
      </c>
      <c r="J80" s="2764">
        <v>7</v>
      </c>
      <c r="K80" s="2770">
        <v>7</v>
      </c>
      <c r="L80" s="2887">
        <v>7</v>
      </c>
      <c r="M80" s="2766">
        <v>7</v>
      </c>
      <c r="N80" s="2766"/>
      <c r="O80" s="2764"/>
      <c r="P80" s="2766">
        <v>4</v>
      </c>
      <c r="Q80" s="2765">
        <v>4</v>
      </c>
      <c r="R80" s="2764">
        <v>4</v>
      </c>
      <c r="S80" s="2766">
        <v>4</v>
      </c>
      <c r="T80" s="2766">
        <v>4</v>
      </c>
      <c r="U80" s="2766"/>
      <c r="V80" s="2766"/>
      <c r="W80" s="2766">
        <v>3</v>
      </c>
      <c r="X80" s="2765">
        <v>3</v>
      </c>
      <c r="Y80" s="2765">
        <v>3</v>
      </c>
      <c r="Z80" s="2765">
        <v>3</v>
      </c>
      <c r="AA80" s="2765">
        <v>3</v>
      </c>
      <c r="AB80" s="2765"/>
      <c r="AC80" s="2765"/>
      <c r="AD80" s="2765">
        <v>11</v>
      </c>
      <c r="AE80" s="2766">
        <v>11</v>
      </c>
      <c r="AF80" s="2766">
        <v>11</v>
      </c>
      <c r="AG80" s="2819">
        <v>11</v>
      </c>
      <c r="AH80" s="1"/>
      <c r="AJ80" s="638">
        <v>178.25</v>
      </c>
      <c r="AK80" s="638">
        <v>6</v>
      </c>
      <c r="AL80" s="638">
        <f t="shared" si="1"/>
        <v>184.25</v>
      </c>
      <c r="AM80" s="639">
        <f t="shared" si="0"/>
        <v>23.919999999999987</v>
      </c>
      <c r="AN80" s="639">
        <f>IF(AM80="","",AM80+'September 2024'!AN80)</f>
        <v>-16.17000000000008</v>
      </c>
    </row>
    <row r="81" spans="1:40" ht="18" customHeight="1" x14ac:dyDescent="0.2">
      <c r="A81" s="2888"/>
      <c r="B81" s="749" t="s">
        <v>180</v>
      </c>
      <c r="C81" s="2889" t="s">
        <v>50</v>
      </c>
      <c r="D81" s="2877" t="s">
        <v>50</v>
      </c>
      <c r="E81" s="2877" t="s">
        <v>50</v>
      </c>
      <c r="F81" s="2890" t="s">
        <v>50</v>
      </c>
      <c r="G81" s="2877"/>
      <c r="H81" s="2877"/>
      <c r="I81" s="2890" t="s">
        <v>209</v>
      </c>
      <c r="J81" s="2890" t="s">
        <v>209</v>
      </c>
      <c r="K81" s="2890" t="s">
        <v>209</v>
      </c>
      <c r="L81" s="2890" t="s">
        <v>209</v>
      </c>
      <c r="M81" s="2890" t="s">
        <v>209</v>
      </c>
      <c r="N81" s="2890" t="s">
        <v>210</v>
      </c>
      <c r="O81" s="2877" t="s">
        <v>211</v>
      </c>
      <c r="P81" s="2890" t="s">
        <v>50</v>
      </c>
      <c r="Q81" s="2890" t="s">
        <v>50</v>
      </c>
      <c r="R81" s="2890" t="s">
        <v>50</v>
      </c>
      <c r="S81" s="2890" t="s">
        <v>50</v>
      </c>
      <c r="T81" s="2890" t="s">
        <v>50</v>
      </c>
      <c r="U81" s="2890"/>
      <c r="V81" s="2877"/>
      <c r="W81" s="2877" t="s">
        <v>209</v>
      </c>
      <c r="X81" s="2889" t="s">
        <v>209</v>
      </c>
      <c r="Y81" s="2877" t="s">
        <v>209</v>
      </c>
      <c r="Z81" s="2877" t="s">
        <v>209</v>
      </c>
      <c r="AA81" s="2890" t="s">
        <v>209</v>
      </c>
      <c r="AB81" s="2877" t="s">
        <v>210</v>
      </c>
      <c r="AC81" s="2877" t="s">
        <v>211</v>
      </c>
      <c r="AD81" s="2877" t="s">
        <v>50</v>
      </c>
      <c r="AE81" s="2889" t="s">
        <v>50</v>
      </c>
      <c r="AF81" s="2877" t="s">
        <v>50</v>
      </c>
      <c r="AG81" s="2891" t="s">
        <v>50</v>
      </c>
      <c r="AH81" s="1"/>
      <c r="AJ81" s="638">
        <v>136</v>
      </c>
      <c r="AK81" s="638">
        <v>11.25</v>
      </c>
      <c r="AL81" s="638">
        <f t="shared" si="1"/>
        <v>147.25</v>
      </c>
      <c r="AM81" s="639">
        <f t="shared" si="0"/>
        <v>-13.080000000000013</v>
      </c>
      <c r="AN81" s="639">
        <f>IF(AM81="","",AM81+'September 2024'!AN81)</f>
        <v>-2.4000000000000625</v>
      </c>
    </row>
    <row r="82" spans="1:40" ht="18" customHeight="1" thickBot="1" x14ac:dyDescent="0.25">
      <c r="A82" s="2888"/>
      <c r="B82" s="2892" t="s">
        <v>181</v>
      </c>
      <c r="C82" s="2738" t="s">
        <v>50</v>
      </c>
      <c r="D82" s="2738" t="s">
        <v>50</v>
      </c>
      <c r="E82" s="2738" t="s">
        <v>50</v>
      </c>
      <c r="F82" s="2734" t="s">
        <v>50</v>
      </c>
      <c r="G82" s="2734"/>
      <c r="H82" s="2718"/>
      <c r="I82" s="2718">
        <v>6</v>
      </c>
      <c r="J82" s="2718" t="s">
        <v>46</v>
      </c>
      <c r="K82" s="2718"/>
      <c r="L82" s="2718" t="s">
        <v>46</v>
      </c>
      <c r="M82" s="1363" t="s">
        <v>149</v>
      </c>
      <c r="N82" s="1363" t="s">
        <v>150</v>
      </c>
      <c r="O82" s="1363" t="s">
        <v>71</v>
      </c>
      <c r="P82" s="2718" t="s">
        <v>50</v>
      </c>
      <c r="Q82" s="2718" t="s">
        <v>50</v>
      </c>
      <c r="R82" s="2718" t="s">
        <v>50</v>
      </c>
      <c r="S82" s="2718" t="s">
        <v>50</v>
      </c>
      <c r="T82" s="2893" t="s">
        <v>50</v>
      </c>
      <c r="U82" s="2718"/>
      <c r="V82" s="2734"/>
      <c r="W82" s="2220" t="s">
        <v>475</v>
      </c>
      <c r="X82" s="635" t="s">
        <v>475</v>
      </c>
      <c r="Y82" s="635" t="s">
        <v>475</v>
      </c>
      <c r="Z82" s="635" t="s">
        <v>475</v>
      </c>
      <c r="AA82" s="635" t="s">
        <v>475</v>
      </c>
      <c r="AB82" s="1363" t="s">
        <v>0</v>
      </c>
      <c r="AC82" s="1363" t="s">
        <v>0</v>
      </c>
      <c r="AD82" s="2738" t="s">
        <v>50</v>
      </c>
      <c r="AE82" s="2738" t="s">
        <v>50</v>
      </c>
      <c r="AF82" s="2738" t="s">
        <v>50</v>
      </c>
      <c r="AG82" s="2466" t="s">
        <v>50</v>
      </c>
      <c r="AH82" s="1"/>
      <c r="AJ82" s="638">
        <v>124.5</v>
      </c>
      <c r="AK82" s="638">
        <v>9.75</v>
      </c>
      <c r="AL82" s="638">
        <f t="shared" si="1"/>
        <v>134.25</v>
      </c>
      <c r="AM82" s="639">
        <f t="shared" si="0"/>
        <v>-26.080000000000013</v>
      </c>
      <c r="AN82" s="639">
        <f>IF(AM82="","",AM82+'September 2024'!AN82)</f>
        <v>-38.32000000000005</v>
      </c>
    </row>
    <row r="83" spans="1:40" ht="18" customHeight="1" thickBot="1" x14ac:dyDescent="0.25">
      <c r="A83" s="768"/>
      <c r="B83" s="2760" t="s">
        <v>101</v>
      </c>
      <c r="C83" s="2731" t="s">
        <v>46</v>
      </c>
      <c r="D83" s="2731"/>
      <c r="E83" s="2731" t="s">
        <v>46</v>
      </c>
      <c r="F83" s="2731" t="s">
        <v>46</v>
      </c>
      <c r="G83" s="2731"/>
      <c r="H83" s="2731"/>
      <c r="I83" s="2731" t="s">
        <v>46</v>
      </c>
      <c r="J83" s="2731" t="s">
        <v>46</v>
      </c>
      <c r="K83" s="2731" t="s">
        <v>405</v>
      </c>
      <c r="L83" s="2695" t="s">
        <v>46</v>
      </c>
      <c r="M83" s="2695" t="s">
        <v>46</v>
      </c>
      <c r="N83" s="2695"/>
      <c r="O83" s="2879"/>
      <c r="P83" s="2879" t="s">
        <v>46</v>
      </c>
      <c r="Q83" s="2879" t="s">
        <v>46</v>
      </c>
      <c r="R83" s="2879"/>
      <c r="S83" s="2879" t="s">
        <v>46</v>
      </c>
      <c r="T83" s="2879" t="s">
        <v>46</v>
      </c>
      <c r="U83" s="2879"/>
      <c r="V83" s="2879"/>
      <c r="W83" s="2879" t="s">
        <v>46</v>
      </c>
      <c r="X83" s="2894" t="s">
        <v>46</v>
      </c>
      <c r="Y83" s="2894"/>
      <c r="Z83" s="2894" t="s">
        <v>46</v>
      </c>
      <c r="AA83" s="2894" t="s">
        <v>46</v>
      </c>
      <c r="AB83" s="2731"/>
      <c r="AC83" s="2731"/>
      <c r="AD83" s="2731" t="s">
        <v>46</v>
      </c>
      <c r="AE83" s="2731" t="s">
        <v>46</v>
      </c>
      <c r="AF83" s="2731"/>
      <c r="AG83" s="2731" t="s">
        <v>46</v>
      </c>
      <c r="AH83" s="1"/>
      <c r="AJ83" s="638">
        <f t="shared" si="2"/>
        <v>160.33000000000001</v>
      </c>
      <c r="AK83" s="638"/>
      <c r="AL83" s="638">
        <f t="shared" si="1"/>
        <v>160.33000000000001</v>
      </c>
      <c r="AM83" s="639">
        <f t="shared" si="0"/>
        <v>0</v>
      </c>
      <c r="AN83" s="639">
        <f>IF(AM83="","",AM83+'September 2024'!AN83)</f>
        <v>-4.5800000000000125</v>
      </c>
    </row>
    <row r="84" spans="1:40" ht="18" customHeight="1" thickBot="1" x14ac:dyDescent="0.25">
      <c r="A84" s="768"/>
      <c r="B84" s="2701" t="s">
        <v>183</v>
      </c>
      <c r="C84" s="2868" t="s">
        <v>142</v>
      </c>
      <c r="D84" s="2868" t="s">
        <v>142</v>
      </c>
      <c r="E84" s="2783" t="s">
        <v>142</v>
      </c>
      <c r="F84" s="2783" t="s">
        <v>142</v>
      </c>
      <c r="G84" s="2783" t="s">
        <v>143</v>
      </c>
      <c r="H84" s="2783" t="s">
        <v>143</v>
      </c>
      <c r="I84" s="2890" t="s">
        <v>50</v>
      </c>
      <c r="J84" s="2890" t="s">
        <v>50</v>
      </c>
      <c r="K84" s="2890" t="s">
        <v>50</v>
      </c>
      <c r="L84" s="2890" t="s">
        <v>50</v>
      </c>
      <c r="M84" s="2712" t="s">
        <v>50</v>
      </c>
      <c r="N84" s="780"/>
      <c r="O84" s="780"/>
      <c r="P84" s="636">
        <v>3</v>
      </c>
      <c r="Q84" s="2895">
        <v>3</v>
      </c>
      <c r="R84" s="2895">
        <v>3</v>
      </c>
      <c r="S84" s="2895" t="s">
        <v>309</v>
      </c>
      <c r="T84" s="2895" t="s">
        <v>309</v>
      </c>
      <c r="U84" s="2895"/>
      <c r="V84" s="636"/>
      <c r="W84" s="2896" t="s">
        <v>46</v>
      </c>
      <c r="X84" s="2896" t="s">
        <v>46</v>
      </c>
      <c r="Y84" s="2739" t="s">
        <v>46</v>
      </c>
      <c r="Z84" s="2739" t="s">
        <v>495</v>
      </c>
      <c r="AA84" s="2872" t="s">
        <v>46</v>
      </c>
      <c r="AB84" s="2872"/>
      <c r="AC84" s="2872"/>
      <c r="AD84" s="2895" t="s">
        <v>322</v>
      </c>
      <c r="AE84" s="2895" t="s">
        <v>322</v>
      </c>
      <c r="AF84" s="2895" t="s">
        <v>322</v>
      </c>
      <c r="AG84" s="801" t="s">
        <v>322</v>
      </c>
      <c r="AH84" s="1"/>
      <c r="AJ84" s="638">
        <v>164.75</v>
      </c>
      <c r="AK84" s="638">
        <v>4.25</v>
      </c>
      <c r="AL84" s="638">
        <f t="shared" ref="AL84:AL91" si="3">IF(AJ84="","",SUM(AJ84:AK84))</f>
        <v>169</v>
      </c>
      <c r="AM84" s="639">
        <f t="shared" ref="AM84:AM90" si="4">IF(AJ84="","",AL84-_xlfn.SINGLE(NormTid))</f>
        <v>8.6699999999999875</v>
      </c>
      <c r="AN84" s="639">
        <f>IF(AM84="","",AM84+'September 2024'!AN90)</f>
        <v>107.65999999999994</v>
      </c>
    </row>
    <row r="85" spans="1:40" ht="18" customHeight="1" thickBot="1" x14ac:dyDescent="0.25">
      <c r="A85" s="768"/>
      <c r="B85" s="754" t="s">
        <v>426</v>
      </c>
      <c r="C85" s="2476" t="s">
        <v>451</v>
      </c>
      <c r="D85" s="2897" t="s">
        <v>451</v>
      </c>
      <c r="E85" s="2897" t="s">
        <v>451</v>
      </c>
      <c r="F85" s="2897" t="s">
        <v>451</v>
      </c>
      <c r="G85" s="2895"/>
      <c r="H85" s="636"/>
      <c r="I85" s="2898" t="s">
        <v>451</v>
      </c>
      <c r="J85" s="2898" t="s">
        <v>451</v>
      </c>
      <c r="K85" s="2898" t="s">
        <v>451</v>
      </c>
      <c r="L85" s="2898" t="s">
        <v>451</v>
      </c>
      <c r="M85" s="2898" t="s">
        <v>451</v>
      </c>
      <c r="N85" s="2895"/>
      <c r="O85" s="636"/>
      <c r="P85" s="2898" t="s">
        <v>451</v>
      </c>
      <c r="Q85" s="2898" t="s">
        <v>451</v>
      </c>
      <c r="R85" s="2898" t="s">
        <v>451</v>
      </c>
      <c r="S85" s="2898" t="s">
        <v>451</v>
      </c>
      <c r="T85" s="2898" t="s">
        <v>451</v>
      </c>
      <c r="U85" s="853" t="s">
        <v>0</v>
      </c>
      <c r="V85" s="853" t="s">
        <v>0</v>
      </c>
      <c r="W85" s="2898" t="s">
        <v>451</v>
      </c>
      <c r="X85" s="2898" t="s">
        <v>451</v>
      </c>
      <c r="Y85" s="2898" t="s">
        <v>451</v>
      </c>
      <c r="Z85" s="2898" t="s">
        <v>451</v>
      </c>
      <c r="AA85" s="2898" t="s">
        <v>451</v>
      </c>
      <c r="AB85" s="2895"/>
      <c r="AC85" s="636"/>
      <c r="AD85" s="2898" t="s">
        <v>451</v>
      </c>
      <c r="AE85" s="2898" t="s">
        <v>451</v>
      </c>
      <c r="AF85" s="2898" t="s">
        <v>451</v>
      </c>
      <c r="AG85" s="2898" t="s">
        <v>451</v>
      </c>
      <c r="AH85" s="1"/>
      <c r="AJ85" s="638">
        <v>171.25</v>
      </c>
      <c r="AK85" s="638">
        <v>0</v>
      </c>
      <c r="AL85" s="638">
        <f t="shared" si="3"/>
        <v>171.25</v>
      </c>
      <c r="AM85" s="639">
        <f t="shared" si="4"/>
        <v>10.919999999999987</v>
      </c>
      <c r="AN85" s="639">
        <f>IF(AM85="","",AM85+'September 2024'!AN84)</f>
        <v>44.309999999999974</v>
      </c>
    </row>
    <row r="86" spans="1:40" ht="18" customHeight="1" x14ac:dyDescent="0.2">
      <c r="A86" s="768"/>
      <c r="B86" s="748" t="s">
        <v>391</v>
      </c>
      <c r="C86" s="2899">
        <v>1</v>
      </c>
      <c r="D86" s="2767">
        <v>1</v>
      </c>
      <c r="E86" s="2767">
        <v>1</v>
      </c>
      <c r="F86" s="2767">
        <v>1</v>
      </c>
      <c r="G86" s="2895"/>
      <c r="H86" s="636"/>
      <c r="I86" s="2890">
        <v>21</v>
      </c>
      <c r="J86" s="2890">
        <v>21</v>
      </c>
      <c r="K86" s="2890">
        <v>21</v>
      </c>
      <c r="L86" s="2890">
        <v>21</v>
      </c>
      <c r="M86" s="2890">
        <v>21</v>
      </c>
      <c r="N86" s="2890">
        <v>21</v>
      </c>
      <c r="O86" s="2890">
        <v>21</v>
      </c>
      <c r="P86" s="2767" t="s">
        <v>50</v>
      </c>
      <c r="Q86" s="2767" t="s">
        <v>50</v>
      </c>
      <c r="R86" s="2767" t="s">
        <v>50</v>
      </c>
      <c r="S86" s="2767" t="s">
        <v>50</v>
      </c>
      <c r="T86" s="2767" t="s">
        <v>50</v>
      </c>
      <c r="U86" s="2895"/>
      <c r="V86" s="636"/>
      <c r="W86" s="247">
        <v>22</v>
      </c>
      <c r="X86" s="247">
        <v>22</v>
      </c>
      <c r="Y86" s="247">
        <v>22</v>
      </c>
      <c r="Z86" s="247">
        <v>22</v>
      </c>
      <c r="AA86" s="247">
        <v>22</v>
      </c>
      <c r="AB86" s="246">
        <v>22</v>
      </c>
      <c r="AC86" s="246">
        <v>22</v>
      </c>
      <c r="AD86" s="2767" t="s">
        <v>50</v>
      </c>
      <c r="AE86" s="2767" t="s">
        <v>50</v>
      </c>
      <c r="AF86" s="2767" t="s">
        <v>50</v>
      </c>
      <c r="AG86" s="2767" t="s">
        <v>50</v>
      </c>
      <c r="AH86" s="1"/>
      <c r="AJ86" s="638">
        <v>162</v>
      </c>
      <c r="AK86" s="638">
        <v>11.25</v>
      </c>
      <c r="AL86" s="638">
        <f t="shared" si="3"/>
        <v>173.25</v>
      </c>
      <c r="AM86" s="639">
        <f t="shared" si="4"/>
        <v>12.919999999999987</v>
      </c>
      <c r="AN86" s="639">
        <f>IF(AM86="","",AM86+'September 2024'!AN85)</f>
        <v>6.5599999999999739</v>
      </c>
    </row>
    <row r="87" spans="1:40" ht="18" customHeight="1" thickBot="1" x14ac:dyDescent="0.25">
      <c r="A87" s="768"/>
      <c r="B87" s="748" t="s">
        <v>452</v>
      </c>
      <c r="C87" s="2900" t="s">
        <v>496</v>
      </c>
      <c r="D87" s="805" t="s">
        <v>72</v>
      </c>
      <c r="E87" s="805" t="s">
        <v>209</v>
      </c>
      <c r="F87" s="2901" t="s">
        <v>145</v>
      </c>
      <c r="G87" s="2901" t="s">
        <v>147</v>
      </c>
      <c r="H87" s="2901" t="s">
        <v>497</v>
      </c>
      <c r="I87" s="2767" t="s">
        <v>50</v>
      </c>
      <c r="J87" s="2767" t="s">
        <v>50</v>
      </c>
      <c r="K87" s="2767" t="s">
        <v>50</v>
      </c>
      <c r="L87" s="2895" t="s">
        <v>50</v>
      </c>
      <c r="M87" s="2895" t="s">
        <v>50</v>
      </c>
      <c r="N87" s="833" t="s">
        <v>68</v>
      </c>
      <c r="O87" s="833" t="s">
        <v>68</v>
      </c>
      <c r="P87" s="803">
        <v>8</v>
      </c>
      <c r="Q87" s="803">
        <v>8</v>
      </c>
      <c r="R87" s="803">
        <v>8</v>
      </c>
      <c r="S87" s="803">
        <v>8</v>
      </c>
      <c r="T87" s="803">
        <v>8</v>
      </c>
      <c r="U87" s="2895"/>
      <c r="V87" s="636"/>
      <c r="W87" s="803">
        <v>21</v>
      </c>
      <c r="X87" s="803">
        <v>21</v>
      </c>
      <c r="Y87" s="803">
        <v>21</v>
      </c>
      <c r="Z87" s="803">
        <v>21</v>
      </c>
      <c r="AA87" s="2895" t="s">
        <v>68</v>
      </c>
      <c r="AB87" s="2895">
        <v>21</v>
      </c>
      <c r="AC87" s="636">
        <v>21</v>
      </c>
      <c r="AD87" s="2767" t="s">
        <v>50</v>
      </c>
      <c r="AE87" s="2767" t="s">
        <v>50</v>
      </c>
      <c r="AF87" s="2767" t="s">
        <v>50</v>
      </c>
      <c r="AG87" s="801" t="s">
        <v>399</v>
      </c>
      <c r="AH87" s="1"/>
      <c r="AJ87" s="638">
        <v>156</v>
      </c>
      <c r="AK87" s="638">
        <v>11.5</v>
      </c>
      <c r="AL87" s="638">
        <f t="shared" si="3"/>
        <v>167.5</v>
      </c>
      <c r="AM87" s="639">
        <f t="shared" si="4"/>
        <v>7.1699999999999875</v>
      </c>
      <c r="AN87" s="639">
        <f>IF(AM87="","",AM87+'September 2024'!AN86)</f>
        <v>6.9199999999999875</v>
      </c>
    </row>
    <row r="88" spans="1:40" ht="18" customHeight="1" x14ac:dyDescent="0.2">
      <c r="A88" s="768"/>
      <c r="B88" s="748" t="s">
        <v>453</v>
      </c>
      <c r="C88" s="2099" t="s">
        <v>297</v>
      </c>
      <c r="D88" s="636" t="s">
        <v>297</v>
      </c>
      <c r="E88" s="636" t="s">
        <v>297</v>
      </c>
      <c r="F88" s="803" t="s">
        <v>297</v>
      </c>
      <c r="G88" s="2895"/>
      <c r="H88" s="636"/>
      <c r="I88" s="636" t="s">
        <v>297</v>
      </c>
      <c r="J88" s="636" t="s">
        <v>297</v>
      </c>
      <c r="K88" s="636" t="s">
        <v>297</v>
      </c>
      <c r="L88" s="636" t="s">
        <v>297</v>
      </c>
      <c r="M88" s="636" t="s">
        <v>297</v>
      </c>
      <c r="N88" s="636"/>
      <c r="O88" s="636"/>
      <c r="P88" s="2767" t="s">
        <v>297</v>
      </c>
      <c r="Q88" s="2767" t="s">
        <v>297</v>
      </c>
      <c r="R88" s="2767" t="s">
        <v>297</v>
      </c>
      <c r="S88" s="2767" t="s">
        <v>297</v>
      </c>
      <c r="T88" s="2767" t="s">
        <v>297</v>
      </c>
      <c r="U88" s="2895"/>
      <c r="V88" s="636"/>
      <c r="W88" s="636" t="s">
        <v>297</v>
      </c>
      <c r="X88" s="636" t="s">
        <v>297</v>
      </c>
      <c r="Y88" s="636" t="s">
        <v>297</v>
      </c>
      <c r="Z88" s="636" t="s">
        <v>297</v>
      </c>
      <c r="AA88" s="636" t="s">
        <v>297</v>
      </c>
      <c r="AB88" s="1842"/>
      <c r="AC88" s="1842"/>
      <c r="AD88" s="636" t="s">
        <v>297</v>
      </c>
      <c r="AE88" s="636" t="s">
        <v>297</v>
      </c>
      <c r="AF88" s="636" t="s">
        <v>297</v>
      </c>
      <c r="AG88" s="636" t="s">
        <v>297</v>
      </c>
      <c r="AJ88" s="638">
        <v>167.75</v>
      </c>
      <c r="AK88" s="638">
        <v>0</v>
      </c>
      <c r="AL88" s="638">
        <f t="shared" si="3"/>
        <v>167.75</v>
      </c>
      <c r="AM88" s="639">
        <f t="shared" si="4"/>
        <v>7.4199999999999875</v>
      </c>
      <c r="AN88" s="639">
        <f>IF(AM88="","",AM88+'September 2024'!AN87)</f>
        <v>-21.910000000000025</v>
      </c>
    </row>
    <row r="89" spans="1:40" ht="18" customHeight="1" x14ac:dyDescent="0.2">
      <c r="A89" s="2902"/>
      <c r="B89" s="748" t="s">
        <v>477</v>
      </c>
      <c r="C89" s="2903" t="s">
        <v>46</v>
      </c>
      <c r="D89" s="803">
        <v>69</v>
      </c>
      <c r="E89" s="803">
        <v>79</v>
      </c>
      <c r="F89" s="803">
        <v>4</v>
      </c>
      <c r="G89" s="2895"/>
      <c r="H89" s="2895"/>
      <c r="I89" s="2895">
        <v>4</v>
      </c>
      <c r="J89" s="2895">
        <v>4</v>
      </c>
      <c r="K89" s="2895">
        <v>4</v>
      </c>
      <c r="L89" s="2895">
        <v>4</v>
      </c>
      <c r="M89" s="2895">
        <v>4</v>
      </c>
      <c r="N89" s="2895"/>
      <c r="O89" s="2895"/>
      <c r="P89" s="2895">
        <v>79</v>
      </c>
      <c r="Q89" s="2895">
        <v>79</v>
      </c>
      <c r="R89" s="2895">
        <v>79</v>
      </c>
      <c r="S89" s="2895">
        <v>79</v>
      </c>
      <c r="T89" s="2895">
        <v>79</v>
      </c>
      <c r="U89" s="2895"/>
      <c r="V89" s="2895"/>
      <c r="W89" s="961" t="s">
        <v>46</v>
      </c>
      <c r="X89" s="2895">
        <v>69</v>
      </c>
      <c r="Y89" s="2895">
        <v>69</v>
      </c>
      <c r="Z89" s="2895" t="s">
        <v>50</v>
      </c>
      <c r="AA89" s="2895" t="s">
        <v>50</v>
      </c>
      <c r="AB89" s="2904" t="s">
        <v>107</v>
      </c>
      <c r="AC89" s="2904" t="s">
        <v>107</v>
      </c>
      <c r="AD89" s="2905" t="s">
        <v>498</v>
      </c>
      <c r="AE89" s="2691">
        <v>99</v>
      </c>
      <c r="AF89" s="2905" t="s">
        <v>498</v>
      </c>
      <c r="AG89" s="2906">
        <v>7</v>
      </c>
      <c r="AH89" s="1"/>
      <c r="AJ89" s="638">
        <v>167.75</v>
      </c>
      <c r="AK89" s="638">
        <v>0.75</v>
      </c>
      <c r="AL89" s="638">
        <f t="shared" si="3"/>
        <v>168.5</v>
      </c>
      <c r="AM89" s="639">
        <f t="shared" si="4"/>
        <v>8.1699999999999875</v>
      </c>
      <c r="AN89" s="639">
        <f>IF(AM89="","",AM89+'September 2024'!AN88)</f>
        <v>8.1699999999999875</v>
      </c>
    </row>
    <row r="90" spans="1:40" ht="18" customHeight="1" x14ac:dyDescent="0.2">
      <c r="A90" s="2902"/>
      <c r="B90" s="748" t="s">
        <v>478</v>
      </c>
      <c r="C90" s="2903"/>
      <c r="D90" s="2907"/>
      <c r="E90" s="2907"/>
      <c r="F90" s="2907"/>
      <c r="G90" s="2895"/>
      <c r="H90" s="2895"/>
      <c r="I90" s="2895"/>
      <c r="J90" s="2895"/>
      <c r="K90" s="2895"/>
      <c r="L90" s="2895"/>
      <c r="M90" s="2895"/>
      <c r="N90" s="2895"/>
      <c r="O90" s="2895"/>
      <c r="P90" s="2895"/>
      <c r="Q90" s="2895"/>
      <c r="R90" s="2895"/>
      <c r="S90" s="2895"/>
      <c r="T90" s="2895"/>
      <c r="U90" s="2895"/>
      <c r="V90" s="2895"/>
      <c r="W90" s="833"/>
      <c r="X90" s="2895"/>
      <c r="Y90" s="2895"/>
      <c r="Z90" s="2895"/>
      <c r="AA90" s="2895"/>
      <c r="AB90" s="635"/>
      <c r="AC90" s="635"/>
      <c r="AD90" s="635" t="s">
        <v>46</v>
      </c>
      <c r="AE90" s="2907">
        <v>3</v>
      </c>
      <c r="AF90" s="803" t="s">
        <v>186</v>
      </c>
      <c r="AG90" s="803" t="s">
        <v>142</v>
      </c>
      <c r="AH90" s="1"/>
      <c r="AJ90" s="638">
        <f>$AJ$12</f>
        <v>160.33000000000001</v>
      </c>
      <c r="AK90" s="638">
        <v>1.5</v>
      </c>
      <c r="AL90" s="638">
        <f t="shared" si="3"/>
        <v>161.83000000000001</v>
      </c>
      <c r="AM90" s="639">
        <f t="shared" si="4"/>
        <v>1.5</v>
      </c>
      <c r="AN90" s="639">
        <f>IF(AM90="","",AM90+'September 2024'!AN89)</f>
        <v>1.5</v>
      </c>
    </row>
    <row r="91" spans="1:40" ht="18" customHeight="1" thickBot="1" x14ac:dyDescent="0.25">
      <c r="A91" s="2902"/>
      <c r="B91" s="749" t="s">
        <v>190</v>
      </c>
      <c r="C91" s="2895" t="s">
        <v>451</v>
      </c>
      <c r="D91" s="2895" t="s">
        <v>46</v>
      </c>
      <c r="E91" s="2895" t="s">
        <v>50</v>
      </c>
      <c r="F91" s="2895" t="s">
        <v>50</v>
      </c>
      <c r="G91" s="2895"/>
      <c r="H91" s="636"/>
      <c r="I91" s="2895" t="s">
        <v>50</v>
      </c>
      <c r="J91" s="2895" t="s">
        <v>50</v>
      </c>
      <c r="K91" s="2895" t="s">
        <v>50</v>
      </c>
      <c r="L91" s="2895" t="s">
        <v>50</v>
      </c>
      <c r="M91" s="2895" t="s">
        <v>50</v>
      </c>
      <c r="N91" s="2895"/>
      <c r="O91" s="636"/>
      <c r="P91" s="2895" t="s">
        <v>50</v>
      </c>
      <c r="Q91" s="2895" t="s">
        <v>50</v>
      </c>
      <c r="R91" s="2895" t="s">
        <v>50</v>
      </c>
      <c r="S91" s="2895" t="s">
        <v>50</v>
      </c>
      <c r="T91" s="2895" t="s">
        <v>50</v>
      </c>
      <c r="U91" s="2895"/>
      <c r="V91" s="636"/>
      <c r="W91" s="2895" t="s">
        <v>50</v>
      </c>
      <c r="X91" s="2895" t="s">
        <v>50</v>
      </c>
      <c r="Y91" s="2895" t="s">
        <v>50</v>
      </c>
      <c r="Z91" s="2895" t="s">
        <v>50</v>
      </c>
      <c r="AA91" s="2895" t="s">
        <v>50</v>
      </c>
      <c r="AB91" s="2895"/>
      <c r="AC91" s="636"/>
      <c r="AD91" s="2895" t="s">
        <v>50</v>
      </c>
      <c r="AE91" s="2895" t="s">
        <v>50</v>
      </c>
      <c r="AF91" s="2895" t="s">
        <v>50</v>
      </c>
      <c r="AG91" s="2895" t="s">
        <v>50</v>
      </c>
      <c r="AH91" s="1"/>
      <c r="AJ91" s="638">
        <f t="shared" si="2"/>
        <v>160.33000000000001</v>
      </c>
      <c r="AK91" s="638"/>
      <c r="AL91" s="638">
        <f t="shared" si="3"/>
        <v>160.33000000000001</v>
      </c>
      <c r="AM91" s="639">
        <f t="shared" si="0"/>
        <v>0</v>
      </c>
      <c r="AN91" s="639">
        <f>IF(AM91="","",AM91+'September 2024'!AN89)</f>
        <v>0</v>
      </c>
    </row>
    <row r="92" spans="1:40" ht="18" customHeight="1" thickBot="1" x14ac:dyDescent="0.25">
      <c r="A92" s="242"/>
      <c r="B92" s="2908" t="s">
        <v>182</v>
      </c>
      <c r="C92" s="2909">
        <v>1</v>
      </c>
      <c r="D92" s="2909">
        <v>2</v>
      </c>
      <c r="E92" s="2909">
        <v>3</v>
      </c>
      <c r="F92" s="2909">
        <v>4</v>
      </c>
      <c r="G92" s="2910">
        <v>5</v>
      </c>
      <c r="H92" s="2910">
        <v>6</v>
      </c>
      <c r="I92" s="2909">
        <v>7</v>
      </c>
      <c r="J92" s="2909">
        <v>8</v>
      </c>
      <c r="K92" s="2909">
        <v>9</v>
      </c>
      <c r="L92" s="2909">
        <v>10</v>
      </c>
      <c r="M92" s="2909">
        <v>11</v>
      </c>
      <c r="N92" s="2910">
        <v>12</v>
      </c>
      <c r="O92" s="2910">
        <v>13</v>
      </c>
      <c r="P92" s="2909">
        <v>14</v>
      </c>
      <c r="Q92" s="2909">
        <v>15</v>
      </c>
      <c r="R92" s="2909">
        <v>16</v>
      </c>
      <c r="S92" s="2909">
        <v>17</v>
      </c>
      <c r="T92" s="2909">
        <v>18</v>
      </c>
      <c r="U92" s="2910">
        <v>19</v>
      </c>
      <c r="V92" s="2910">
        <v>20</v>
      </c>
      <c r="W92" s="2909">
        <v>21</v>
      </c>
      <c r="X92" s="2909">
        <v>22</v>
      </c>
      <c r="Y92" s="2909">
        <v>23</v>
      </c>
      <c r="Z92" s="2909">
        <v>24</v>
      </c>
      <c r="AA92" s="2909">
        <v>25</v>
      </c>
      <c r="AB92" s="2910">
        <v>26</v>
      </c>
      <c r="AC92" s="2910">
        <v>27</v>
      </c>
      <c r="AD92" s="2909">
        <v>28</v>
      </c>
      <c r="AE92" s="2909">
        <v>29</v>
      </c>
      <c r="AF92" s="2909">
        <v>30</v>
      </c>
      <c r="AG92" s="2909">
        <v>31</v>
      </c>
      <c r="AH92" s="1"/>
      <c r="AJ92" s="638"/>
      <c r="AK92" s="638"/>
      <c r="AL92" s="638"/>
      <c r="AM92" s="639"/>
      <c r="AN92" s="639"/>
    </row>
    <row r="93" spans="1:40" ht="18" customHeight="1" x14ac:dyDescent="0.2">
      <c r="A93" s="388"/>
      <c r="B93" s="2911" t="s">
        <v>0</v>
      </c>
      <c r="C93" s="2912" t="s">
        <v>50</v>
      </c>
      <c r="D93" s="2912" t="s">
        <v>50</v>
      </c>
      <c r="E93" s="2912" t="s">
        <v>50</v>
      </c>
      <c r="F93" s="2912" t="s">
        <v>50</v>
      </c>
      <c r="G93" s="2890" t="s">
        <v>0</v>
      </c>
      <c r="H93" s="2890" t="s">
        <v>0</v>
      </c>
      <c r="I93" s="2912" t="s">
        <v>46</v>
      </c>
      <c r="J93" s="2912" t="s">
        <v>46</v>
      </c>
      <c r="K93" s="2912" t="s">
        <v>46</v>
      </c>
      <c r="L93" s="2912" t="s">
        <v>46</v>
      </c>
      <c r="M93" s="2912" t="s">
        <v>46</v>
      </c>
      <c r="N93" s="2890" t="s">
        <v>0</v>
      </c>
      <c r="O93" s="2890" t="s">
        <v>0</v>
      </c>
      <c r="P93" s="2912" t="s">
        <v>50</v>
      </c>
      <c r="Q93" s="2912" t="s">
        <v>50</v>
      </c>
      <c r="R93" s="2912" t="s">
        <v>50</v>
      </c>
      <c r="S93" s="2912" t="s">
        <v>50</v>
      </c>
      <c r="T93" s="2912" t="s">
        <v>50</v>
      </c>
      <c r="U93" s="2912"/>
      <c r="V93" s="2890"/>
      <c r="W93" s="2912" t="s">
        <v>46</v>
      </c>
      <c r="X93" s="2912" t="s">
        <v>46</v>
      </c>
      <c r="Y93" s="2912" t="s">
        <v>46</v>
      </c>
      <c r="Z93" s="2912" t="s">
        <v>46</v>
      </c>
      <c r="AA93" s="2912" t="s">
        <v>46</v>
      </c>
      <c r="AB93" s="2890" t="s">
        <v>0</v>
      </c>
      <c r="AC93" s="2890" t="s">
        <v>0</v>
      </c>
      <c r="AD93" s="2912" t="s">
        <v>50</v>
      </c>
      <c r="AE93" s="2912" t="s">
        <v>50</v>
      </c>
      <c r="AF93" s="2912" t="s">
        <v>50</v>
      </c>
      <c r="AG93" s="2913" t="s">
        <v>50</v>
      </c>
      <c r="AH93" s="1"/>
      <c r="AJ93" s="638">
        <f t="shared" si="2"/>
        <v>160.33000000000001</v>
      </c>
      <c r="AK93" s="638"/>
      <c r="AL93" s="638">
        <f t="shared" si="1"/>
        <v>160.33000000000001</v>
      </c>
      <c r="AM93" s="639">
        <f t="shared" si="0"/>
        <v>0</v>
      </c>
      <c r="AN93" s="639">
        <f>IF(AM93="","",AM93+'September 2024'!AN90)</f>
        <v>98.989999999999952</v>
      </c>
    </row>
    <row r="94" spans="1:40" ht="18" customHeight="1" x14ac:dyDescent="0.2">
      <c r="A94" s="2914"/>
      <c r="B94" s="2915" t="s">
        <v>409</v>
      </c>
      <c r="C94" s="2895" t="s">
        <v>50</v>
      </c>
      <c r="D94" s="2895" t="s">
        <v>50</v>
      </c>
      <c r="E94" s="2895" t="s">
        <v>50</v>
      </c>
      <c r="F94" s="636" t="s">
        <v>139</v>
      </c>
      <c r="G94" s="636" t="s">
        <v>140</v>
      </c>
      <c r="H94" s="636" t="s">
        <v>141</v>
      </c>
      <c r="I94" s="2895" t="s">
        <v>50</v>
      </c>
      <c r="J94" s="2895" t="s">
        <v>50</v>
      </c>
      <c r="K94" s="2895" t="s">
        <v>50</v>
      </c>
      <c r="L94" s="2895" t="s">
        <v>50</v>
      </c>
      <c r="M94" s="2895" t="s">
        <v>50</v>
      </c>
      <c r="N94" s="2895"/>
      <c r="O94" s="636"/>
      <c r="P94" s="2895" t="s">
        <v>50</v>
      </c>
      <c r="Q94" s="2895" t="s">
        <v>50</v>
      </c>
      <c r="R94" s="2895" t="s">
        <v>50</v>
      </c>
      <c r="S94" s="2895" t="s">
        <v>50</v>
      </c>
      <c r="T94" s="636" t="s">
        <v>139</v>
      </c>
      <c r="U94" s="636" t="s">
        <v>140</v>
      </c>
      <c r="V94" s="636" t="s">
        <v>141</v>
      </c>
      <c r="W94" s="2895" t="s">
        <v>50</v>
      </c>
      <c r="X94" s="2895" t="s">
        <v>50</v>
      </c>
      <c r="Y94" s="2895" t="s">
        <v>50</v>
      </c>
      <c r="Z94" s="2895" t="s">
        <v>50</v>
      </c>
      <c r="AA94" s="636" t="s">
        <v>139</v>
      </c>
      <c r="AB94" s="636" t="s">
        <v>140</v>
      </c>
      <c r="AC94" s="636" t="s">
        <v>141</v>
      </c>
      <c r="AD94" s="2895" t="s">
        <v>72</v>
      </c>
      <c r="AE94" s="2895" t="s">
        <v>50</v>
      </c>
      <c r="AF94" s="2895" t="s">
        <v>50</v>
      </c>
      <c r="AG94" s="801" t="s">
        <v>50</v>
      </c>
      <c r="AH94" s="1"/>
      <c r="AJ94" s="638">
        <v>112</v>
      </c>
      <c r="AK94" s="638">
        <v>8.25</v>
      </c>
      <c r="AL94" s="638">
        <f t="shared" si="1"/>
        <v>120.25</v>
      </c>
      <c r="AM94" s="639">
        <f t="shared" si="0"/>
        <v>-40.080000000000013</v>
      </c>
      <c r="AN94" s="639">
        <f>IF(AM94="","",AM94+'September 2024'!AN93)</f>
        <v>-36.940000000000026</v>
      </c>
    </row>
    <row r="95" spans="1:40" ht="18" customHeight="1" x14ac:dyDescent="0.2">
      <c r="A95" s="2914"/>
      <c r="B95" s="2916"/>
      <c r="C95" s="2895" t="s">
        <v>50</v>
      </c>
      <c r="D95" s="2895" t="s">
        <v>50</v>
      </c>
      <c r="E95" s="2895" t="s">
        <v>50</v>
      </c>
      <c r="F95" s="2895" t="s">
        <v>50</v>
      </c>
      <c r="G95" s="2895"/>
      <c r="H95" s="636"/>
      <c r="I95" s="636">
        <v>1</v>
      </c>
      <c r="J95" s="2895">
        <v>1</v>
      </c>
      <c r="K95" s="2895">
        <v>1</v>
      </c>
      <c r="L95" s="2895">
        <v>1</v>
      </c>
      <c r="M95" s="2895">
        <v>1</v>
      </c>
      <c r="N95" s="2895"/>
      <c r="O95" s="636"/>
      <c r="P95" s="636">
        <v>11</v>
      </c>
      <c r="Q95" s="2895">
        <v>11</v>
      </c>
      <c r="R95" s="2895">
        <v>11</v>
      </c>
      <c r="S95" s="2895">
        <v>11</v>
      </c>
      <c r="T95" s="2895">
        <v>11</v>
      </c>
      <c r="U95" s="2895" t="s">
        <v>109</v>
      </c>
      <c r="V95" s="636" t="s">
        <v>109</v>
      </c>
      <c r="W95" s="636" t="s">
        <v>50</v>
      </c>
      <c r="X95" s="2895" t="s">
        <v>50</v>
      </c>
      <c r="Y95" s="2895" t="s">
        <v>50</v>
      </c>
      <c r="Z95" s="2895" t="s">
        <v>50</v>
      </c>
      <c r="AA95" s="2895" t="s">
        <v>50</v>
      </c>
      <c r="AB95" s="2895"/>
      <c r="AC95" s="636"/>
      <c r="AD95" s="2718"/>
      <c r="AE95" s="2718"/>
      <c r="AF95" s="2718"/>
      <c r="AG95" s="2718"/>
      <c r="AH95" s="1"/>
      <c r="AJ95" s="638"/>
      <c r="AK95" s="638"/>
      <c r="AL95" s="638"/>
      <c r="AM95" s="639"/>
      <c r="AN95" s="639"/>
    </row>
    <row r="96" spans="1:40" ht="18" customHeight="1" x14ac:dyDescent="0.2">
      <c r="A96" s="768"/>
      <c r="B96" s="2698"/>
      <c r="C96" s="636"/>
      <c r="D96" s="636"/>
      <c r="E96" s="635"/>
      <c r="F96" s="636"/>
      <c r="G96" s="636"/>
      <c r="H96" s="636"/>
      <c r="I96" s="636"/>
      <c r="J96" s="636"/>
      <c r="K96" s="636"/>
      <c r="L96" s="636"/>
      <c r="M96" s="636"/>
      <c r="N96" s="636"/>
      <c r="O96" s="2895"/>
      <c r="P96" s="2895"/>
      <c r="Q96" s="2895"/>
      <c r="R96" s="2895"/>
      <c r="S96" s="2895"/>
      <c r="T96" s="2895"/>
      <c r="U96" s="2895"/>
      <c r="V96" s="2895"/>
      <c r="W96" s="636"/>
      <c r="X96" s="636"/>
      <c r="Y96" s="636"/>
      <c r="Z96" s="636"/>
      <c r="AA96" s="636"/>
      <c r="AB96" s="636"/>
      <c r="AC96" s="636"/>
      <c r="AD96" s="635"/>
      <c r="AE96" s="636"/>
      <c r="AF96" s="636"/>
      <c r="AG96" s="801"/>
      <c r="AH96" s="1"/>
      <c r="AJ96" s="638"/>
      <c r="AK96" s="638"/>
      <c r="AL96" s="638"/>
      <c r="AM96" s="639"/>
      <c r="AN96" s="639"/>
    </row>
    <row r="97" spans="1:40" ht="18" customHeight="1" x14ac:dyDescent="0.2">
      <c r="A97" s="768"/>
      <c r="B97" s="2698"/>
      <c r="C97" s="636"/>
      <c r="D97" s="636"/>
      <c r="E97" s="636"/>
      <c r="F97" s="636"/>
      <c r="G97" s="636"/>
      <c r="H97" s="636"/>
      <c r="I97" s="636"/>
      <c r="J97" s="636"/>
      <c r="K97" s="636"/>
      <c r="L97" s="636"/>
      <c r="M97" s="636"/>
      <c r="N97" s="636"/>
      <c r="O97" s="636"/>
      <c r="P97" s="636"/>
      <c r="Q97" s="636"/>
      <c r="R97" s="636"/>
      <c r="S97" s="636"/>
      <c r="T97" s="636"/>
      <c r="U97" s="636"/>
      <c r="V97" s="636"/>
      <c r="W97" s="636"/>
      <c r="X97" s="636"/>
      <c r="Y97" s="636"/>
      <c r="Z97" s="636"/>
      <c r="AA97" s="636"/>
      <c r="AB97" s="636"/>
      <c r="AC97" s="636"/>
      <c r="AD97" s="636"/>
      <c r="AE97" s="636"/>
      <c r="AF97" s="636"/>
      <c r="AG97" s="819"/>
      <c r="AH97" s="1"/>
      <c r="AJ97" s="638"/>
      <c r="AK97" s="638"/>
      <c r="AL97" s="638"/>
      <c r="AM97" s="639"/>
      <c r="AN97" s="639"/>
    </row>
    <row r="98" spans="1:40" ht="18" customHeight="1" x14ac:dyDescent="0.2">
      <c r="A98" s="768"/>
      <c r="B98" s="749" t="s">
        <v>0</v>
      </c>
      <c r="C98" s="636"/>
      <c r="D98" s="636"/>
      <c r="E98" s="636"/>
      <c r="F98" s="2917"/>
      <c r="G98" s="2917"/>
      <c r="H98" s="2918"/>
      <c r="I98" s="2918"/>
      <c r="J98" s="2918"/>
      <c r="K98" s="2918"/>
      <c r="L98" s="2918"/>
      <c r="M98" s="2918"/>
      <c r="N98" s="2918"/>
      <c r="O98" s="2918"/>
      <c r="P98" s="2918"/>
      <c r="Q98" s="2918"/>
      <c r="R98" s="2918"/>
      <c r="S98" s="2918"/>
      <c r="T98" s="2918"/>
      <c r="U98" s="2918"/>
      <c r="V98" s="2918"/>
      <c r="W98" s="2918"/>
      <c r="X98" s="2918"/>
      <c r="Y98" s="2918"/>
      <c r="Z98" s="2918"/>
      <c r="AA98" s="2918"/>
      <c r="AB98" s="2918"/>
      <c r="AC98" s="2918"/>
      <c r="AD98" s="2918"/>
      <c r="AE98" s="2918"/>
      <c r="AF98" s="2918"/>
      <c r="AG98" s="819"/>
      <c r="AH98" s="1"/>
      <c r="AJ98" s="638"/>
      <c r="AK98" s="638"/>
      <c r="AL98" s="638"/>
      <c r="AM98" s="639"/>
      <c r="AN98" s="639"/>
    </row>
    <row r="99" spans="1:40" ht="18" customHeight="1" x14ac:dyDescent="0.2">
      <c r="A99" s="768"/>
      <c r="B99" s="749" t="s">
        <v>0</v>
      </c>
      <c r="C99" s="636"/>
      <c r="D99" s="636"/>
      <c r="E99" s="636"/>
      <c r="F99" s="2917"/>
      <c r="G99" s="2917"/>
      <c r="H99" s="2918"/>
      <c r="I99" s="2918"/>
      <c r="J99" s="2918"/>
      <c r="K99" s="2918"/>
      <c r="L99" s="2918"/>
      <c r="M99" s="2918"/>
      <c r="N99" s="2918"/>
      <c r="O99" s="2918"/>
      <c r="P99" s="2918"/>
      <c r="Q99" s="2918"/>
      <c r="R99" s="2918"/>
      <c r="S99" s="2918"/>
      <c r="T99" s="2918"/>
      <c r="U99" s="2918"/>
      <c r="V99" s="2918"/>
      <c r="W99" s="2918"/>
      <c r="X99" s="2918"/>
      <c r="Y99" s="2918"/>
      <c r="Z99" s="2918"/>
      <c r="AA99" s="2918"/>
      <c r="AB99" s="2918"/>
      <c r="AC99" s="2918"/>
      <c r="AD99" s="2918"/>
      <c r="AE99" s="2918"/>
      <c r="AF99" s="2918"/>
      <c r="AG99" s="819"/>
      <c r="AH99" s="1"/>
      <c r="AJ99" s="638"/>
      <c r="AK99" s="638"/>
      <c r="AL99" s="638"/>
      <c r="AM99" s="639"/>
      <c r="AN99" s="639"/>
    </row>
    <row r="100" spans="1:40" ht="18" customHeight="1" thickBot="1" x14ac:dyDescent="0.25">
      <c r="A100" s="768"/>
      <c r="B100" s="749" t="s">
        <v>0</v>
      </c>
      <c r="C100" s="1363"/>
      <c r="D100" s="1363"/>
      <c r="E100" s="1363"/>
      <c r="F100" s="820"/>
      <c r="G100" s="820"/>
      <c r="H100" s="655"/>
      <c r="I100" s="655"/>
      <c r="J100" s="655"/>
      <c r="K100" s="655"/>
      <c r="L100" s="655"/>
      <c r="M100" s="655"/>
      <c r="N100" s="655"/>
      <c r="O100" s="655"/>
      <c r="P100" s="655"/>
      <c r="Q100" s="655"/>
      <c r="R100" s="655"/>
      <c r="S100" s="655"/>
      <c r="T100" s="655"/>
      <c r="U100" s="655"/>
      <c r="V100" s="655"/>
      <c r="W100" s="655"/>
      <c r="X100" s="655"/>
      <c r="Y100" s="655"/>
      <c r="Z100" s="655"/>
      <c r="AA100" s="655"/>
      <c r="AB100" s="655"/>
      <c r="AC100" s="655"/>
      <c r="AD100" s="655"/>
      <c r="AE100" s="655"/>
      <c r="AF100" s="655"/>
      <c r="AG100" s="821"/>
      <c r="AH100" s="1"/>
      <c r="AJ100" s="638"/>
      <c r="AK100" s="638"/>
      <c r="AL100" s="638"/>
      <c r="AM100" s="639"/>
      <c r="AN100" s="639"/>
    </row>
    <row r="101" spans="1:40" ht="18" customHeight="1" thickBot="1" x14ac:dyDescent="0.25">
      <c r="A101" s="42"/>
      <c r="B101" s="2908" t="s">
        <v>191</v>
      </c>
      <c r="C101" s="1810">
        <v>1</v>
      </c>
      <c r="D101" s="1810">
        <v>2</v>
      </c>
      <c r="E101" s="1810">
        <v>3</v>
      </c>
      <c r="F101" s="1810">
        <v>4</v>
      </c>
      <c r="G101" s="2486">
        <v>5</v>
      </c>
      <c r="H101" s="2486">
        <v>6</v>
      </c>
      <c r="I101" s="1810">
        <v>7</v>
      </c>
      <c r="J101" s="1810">
        <v>8</v>
      </c>
      <c r="K101" s="1810">
        <v>9</v>
      </c>
      <c r="L101" s="1810">
        <v>10</v>
      </c>
      <c r="M101" s="1810">
        <v>11</v>
      </c>
      <c r="N101" s="2486">
        <v>12</v>
      </c>
      <c r="O101" s="2486">
        <v>13</v>
      </c>
      <c r="P101" s="1810">
        <v>14</v>
      </c>
      <c r="Q101" s="1810">
        <v>15</v>
      </c>
      <c r="R101" s="1810">
        <v>16</v>
      </c>
      <c r="S101" s="1810">
        <v>17</v>
      </c>
      <c r="T101" s="1810">
        <v>18</v>
      </c>
      <c r="U101" s="2486">
        <v>19</v>
      </c>
      <c r="V101" s="2486">
        <v>20</v>
      </c>
      <c r="W101" s="1810">
        <v>21</v>
      </c>
      <c r="X101" s="1810">
        <v>22</v>
      </c>
      <c r="Y101" s="1810">
        <v>23</v>
      </c>
      <c r="Z101" s="1810">
        <v>24</v>
      </c>
      <c r="AA101" s="1810">
        <v>25</v>
      </c>
      <c r="AB101" s="2486">
        <v>26</v>
      </c>
      <c r="AC101" s="2486">
        <v>27</v>
      </c>
      <c r="AD101" s="1810">
        <v>28</v>
      </c>
      <c r="AE101" s="1810">
        <v>29</v>
      </c>
      <c r="AF101" s="1810">
        <v>30</v>
      </c>
      <c r="AG101" s="1810">
        <v>31</v>
      </c>
      <c r="AH101" s="1"/>
      <c r="AJ101" s="1638"/>
      <c r="AK101" s="1638"/>
      <c r="AL101" s="1638"/>
      <c r="AM101" s="1639"/>
      <c r="AN101" s="1639"/>
    </row>
    <row r="102" spans="1:40" ht="18" customHeight="1" thickBot="1" x14ac:dyDescent="0.25">
      <c r="A102" s="2919"/>
      <c r="B102" s="2649" t="s">
        <v>194</v>
      </c>
      <c r="C102" s="2920">
        <v>3</v>
      </c>
      <c r="D102" s="2921">
        <v>3</v>
      </c>
      <c r="E102" s="2921">
        <v>3</v>
      </c>
      <c r="F102" s="2921" t="s">
        <v>77</v>
      </c>
      <c r="G102" s="2922"/>
      <c r="H102" s="2922"/>
      <c r="I102" s="2922">
        <v>3</v>
      </c>
      <c r="J102" s="2922">
        <v>3</v>
      </c>
      <c r="K102" s="2922">
        <v>3</v>
      </c>
      <c r="L102" s="2922">
        <v>3</v>
      </c>
      <c r="M102" s="2922">
        <v>3</v>
      </c>
      <c r="N102" s="2922"/>
      <c r="O102" s="2921"/>
      <c r="P102" s="2923">
        <v>3</v>
      </c>
      <c r="Q102" s="2923">
        <v>3</v>
      </c>
      <c r="R102" s="2923" t="s">
        <v>395</v>
      </c>
      <c r="S102" s="2924">
        <v>3</v>
      </c>
      <c r="T102" s="2924">
        <v>3</v>
      </c>
      <c r="U102" s="2922"/>
      <c r="V102" s="2912">
        <v>26</v>
      </c>
      <c r="W102" s="2912">
        <v>26</v>
      </c>
      <c r="X102" s="2912">
        <v>26</v>
      </c>
      <c r="Y102" s="2912">
        <v>26</v>
      </c>
      <c r="Z102" s="2912">
        <v>26</v>
      </c>
      <c r="AA102" s="2912">
        <v>26</v>
      </c>
      <c r="AB102" s="2912"/>
      <c r="AC102" s="2877"/>
      <c r="AD102" s="2877" t="s">
        <v>46</v>
      </c>
      <c r="AE102" s="2877" t="s">
        <v>46</v>
      </c>
      <c r="AF102" s="2877" t="s">
        <v>46</v>
      </c>
      <c r="AG102" s="2877" t="s">
        <v>46</v>
      </c>
      <c r="AH102" s="1"/>
      <c r="AM102" s="337"/>
      <c r="AN102" s="337"/>
    </row>
    <row r="103" spans="1:40" ht="18" customHeight="1" x14ac:dyDescent="0.2">
      <c r="A103" s="2925"/>
      <c r="B103" s="748" t="s">
        <v>430</v>
      </c>
      <c r="C103" s="2926" t="s">
        <v>77</v>
      </c>
      <c r="D103" s="805">
        <v>99</v>
      </c>
      <c r="E103" s="805" t="s">
        <v>499</v>
      </c>
      <c r="F103" s="833" t="s">
        <v>77</v>
      </c>
      <c r="G103" s="2895"/>
      <c r="H103" s="636"/>
      <c r="I103" s="2927">
        <v>11</v>
      </c>
      <c r="J103" s="2927">
        <v>11</v>
      </c>
      <c r="K103" s="2927">
        <v>11</v>
      </c>
      <c r="L103" s="2927">
        <v>11</v>
      </c>
      <c r="M103" s="712" t="s">
        <v>46</v>
      </c>
      <c r="N103" s="712" t="s">
        <v>0</v>
      </c>
      <c r="O103" s="597" t="s">
        <v>0</v>
      </c>
      <c r="P103" s="2225" t="s">
        <v>50</v>
      </c>
      <c r="Q103" s="2225" t="s">
        <v>50</v>
      </c>
      <c r="R103" s="2225" t="s">
        <v>50</v>
      </c>
      <c r="S103" s="2225" t="s">
        <v>50</v>
      </c>
      <c r="T103" s="2225" t="s">
        <v>50</v>
      </c>
      <c r="U103" s="2928" t="s">
        <v>104</v>
      </c>
      <c r="V103" s="2929" t="s">
        <v>104</v>
      </c>
      <c r="W103" s="2929" t="s">
        <v>418</v>
      </c>
      <c r="X103" s="2766" t="s">
        <v>456</v>
      </c>
      <c r="Y103" s="2764">
        <v>3</v>
      </c>
      <c r="Z103" s="2766" t="s">
        <v>456</v>
      </c>
      <c r="AA103" s="2766" t="s">
        <v>456</v>
      </c>
      <c r="AB103" s="2895"/>
      <c r="AC103" s="636"/>
      <c r="AD103" s="810" t="s">
        <v>46</v>
      </c>
      <c r="AE103" s="810" t="s">
        <v>79</v>
      </c>
      <c r="AF103" s="638" t="s">
        <v>46</v>
      </c>
      <c r="AG103" s="801" t="s">
        <v>50</v>
      </c>
      <c r="AH103" s="1"/>
    </row>
    <row r="104" spans="1:40" ht="18" customHeight="1" thickBot="1" x14ac:dyDescent="0.25">
      <c r="A104" s="2925"/>
      <c r="B104" s="748" t="s">
        <v>431</v>
      </c>
      <c r="C104" s="2930">
        <v>99</v>
      </c>
      <c r="D104" s="803" t="s">
        <v>77</v>
      </c>
      <c r="E104" s="803">
        <v>99</v>
      </c>
      <c r="F104" s="803">
        <v>89</v>
      </c>
      <c r="G104" s="2895"/>
      <c r="H104" s="636"/>
      <c r="I104" s="2931">
        <v>5</v>
      </c>
      <c r="J104" s="2931">
        <v>5</v>
      </c>
      <c r="K104" s="2931">
        <v>5</v>
      </c>
      <c r="L104" s="2931">
        <v>5</v>
      </c>
      <c r="M104" s="712" t="s">
        <v>46</v>
      </c>
      <c r="N104" s="2895"/>
      <c r="O104" s="636"/>
      <c r="P104" s="2932">
        <v>10</v>
      </c>
      <c r="Q104" s="2932">
        <v>10</v>
      </c>
      <c r="R104" s="2932">
        <v>10</v>
      </c>
      <c r="S104" s="2932">
        <v>10</v>
      </c>
      <c r="T104" s="2932">
        <v>10</v>
      </c>
      <c r="U104" s="2895"/>
      <c r="V104" s="636"/>
      <c r="W104" s="2225" t="s">
        <v>50</v>
      </c>
      <c r="X104" s="2225" t="s">
        <v>50</v>
      </c>
      <c r="Y104" s="2225" t="s">
        <v>50</v>
      </c>
      <c r="Z104" s="2225" t="s">
        <v>50</v>
      </c>
      <c r="AA104" s="2225" t="s">
        <v>50</v>
      </c>
      <c r="AB104" s="2895"/>
      <c r="AC104" s="636"/>
      <c r="AD104" s="2475">
        <v>25</v>
      </c>
      <c r="AE104" s="2731">
        <v>25</v>
      </c>
      <c r="AF104" s="2933">
        <v>25</v>
      </c>
      <c r="AG104" s="2933" t="s">
        <v>500</v>
      </c>
      <c r="AH104" s="1"/>
      <c r="AJ104" s="123"/>
      <c r="AK104" s="123"/>
      <c r="AL104" s="123"/>
      <c r="AM104" s="123"/>
      <c r="AN104" s="123"/>
    </row>
    <row r="105" spans="1:40" ht="18" customHeight="1" thickBot="1" x14ac:dyDescent="0.25">
      <c r="A105" s="2934"/>
      <c r="B105" s="2935" t="s">
        <v>482</v>
      </c>
      <c r="C105" s="2936" t="s">
        <v>50</v>
      </c>
      <c r="D105" s="2937" t="s">
        <v>50</v>
      </c>
      <c r="E105" s="2937" t="s">
        <v>50</v>
      </c>
      <c r="F105" s="2937" t="s">
        <v>50</v>
      </c>
      <c r="G105" s="655"/>
      <c r="H105" s="655"/>
      <c r="I105" s="655" t="s">
        <v>46</v>
      </c>
      <c r="J105" s="655">
        <v>1</v>
      </c>
      <c r="K105" s="655">
        <v>1</v>
      </c>
      <c r="L105" s="655">
        <v>1</v>
      </c>
      <c r="M105" s="655">
        <v>1</v>
      </c>
      <c r="N105" s="655"/>
      <c r="O105" s="2937"/>
      <c r="P105" s="597" t="s">
        <v>46</v>
      </c>
      <c r="Q105" s="597">
        <v>11</v>
      </c>
      <c r="R105" s="712">
        <v>11</v>
      </c>
      <c r="S105" s="712">
        <v>11</v>
      </c>
      <c r="T105" s="712">
        <v>11</v>
      </c>
      <c r="U105" s="712" t="s">
        <v>70</v>
      </c>
      <c r="V105" s="597"/>
      <c r="W105" s="597" t="s">
        <v>46</v>
      </c>
      <c r="X105" s="711" t="s">
        <v>50</v>
      </c>
      <c r="Y105" s="712" t="s">
        <v>50</v>
      </c>
      <c r="Z105" s="712" t="s">
        <v>50</v>
      </c>
      <c r="AA105" s="712" t="s">
        <v>50</v>
      </c>
      <c r="AB105" s="2938" t="s">
        <v>104</v>
      </c>
      <c r="AC105" s="2939" t="s">
        <v>104</v>
      </c>
      <c r="AD105" s="714" t="s">
        <v>46</v>
      </c>
      <c r="AE105" s="714">
        <v>8</v>
      </c>
      <c r="AF105" s="714">
        <v>8</v>
      </c>
      <c r="AG105" s="2940">
        <v>8</v>
      </c>
      <c r="AH105" s="1"/>
      <c r="AJ105" s="123"/>
      <c r="AK105" s="123"/>
      <c r="AL105" s="123"/>
      <c r="AM105" s="123"/>
      <c r="AN105" s="123"/>
    </row>
    <row r="106" spans="1:40" ht="18" customHeight="1" thickBot="1" x14ac:dyDescent="0.25">
      <c r="A106" s="841"/>
      <c r="B106" s="2941" t="s">
        <v>44</v>
      </c>
      <c r="C106" s="273">
        <v>1</v>
      </c>
      <c r="D106" s="273">
        <v>2</v>
      </c>
      <c r="E106" s="273">
        <v>3</v>
      </c>
      <c r="F106" s="273">
        <v>4</v>
      </c>
      <c r="G106" s="272">
        <v>5</v>
      </c>
      <c r="H106" s="272">
        <v>6</v>
      </c>
      <c r="I106" s="273">
        <v>7</v>
      </c>
      <c r="J106" s="273">
        <v>8</v>
      </c>
      <c r="K106" s="273">
        <v>9</v>
      </c>
      <c r="L106" s="273">
        <v>10</v>
      </c>
      <c r="M106" s="273">
        <v>11</v>
      </c>
      <c r="N106" s="272">
        <v>12</v>
      </c>
      <c r="O106" s="272">
        <v>13</v>
      </c>
      <c r="P106" s="273">
        <v>14</v>
      </c>
      <c r="Q106" s="273">
        <v>15</v>
      </c>
      <c r="R106" s="273">
        <v>16</v>
      </c>
      <c r="S106" s="273">
        <v>17</v>
      </c>
      <c r="T106" s="273">
        <v>18</v>
      </c>
      <c r="U106" s="272">
        <v>19</v>
      </c>
      <c r="V106" s="272">
        <v>20</v>
      </c>
      <c r="W106" s="273">
        <v>21</v>
      </c>
      <c r="X106" s="273">
        <v>22</v>
      </c>
      <c r="Y106" s="273">
        <v>23</v>
      </c>
      <c r="Z106" s="273">
        <v>24</v>
      </c>
      <c r="AA106" s="273">
        <v>25</v>
      </c>
      <c r="AB106" s="272">
        <v>26</v>
      </c>
      <c r="AC106" s="272">
        <v>27</v>
      </c>
      <c r="AD106" s="273">
        <v>28</v>
      </c>
      <c r="AE106" s="273">
        <v>29</v>
      </c>
      <c r="AF106" s="273">
        <v>30</v>
      </c>
      <c r="AG106" s="273">
        <v>31</v>
      </c>
      <c r="AH106" s="1"/>
    </row>
    <row r="107" spans="1:40" ht="18" customHeight="1" x14ac:dyDescent="0.2">
      <c r="A107" s="2496"/>
      <c r="B107" s="2942" t="s">
        <v>195</v>
      </c>
      <c r="C107" s="2764"/>
      <c r="D107" s="2943"/>
      <c r="E107" s="2764"/>
      <c r="F107" s="2764"/>
      <c r="G107" s="2764"/>
      <c r="H107" s="2764"/>
      <c r="I107" s="2764"/>
      <c r="J107" s="2764"/>
      <c r="K107" s="2764"/>
      <c r="L107" s="2764"/>
      <c r="M107" s="2764"/>
      <c r="N107" s="2764"/>
      <c r="O107" s="2764"/>
      <c r="P107" s="2764"/>
      <c r="Q107" s="2764"/>
      <c r="R107" s="2764"/>
      <c r="S107" s="2764"/>
      <c r="T107" s="2764"/>
      <c r="U107" s="2764"/>
      <c r="V107" s="2764"/>
      <c r="W107" s="2764"/>
      <c r="X107" s="2764"/>
      <c r="Y107" s="2764"/>
      <c r="Z107" s="2764"/>
      <c r="AA107" s="2764"/>
      <c r="AB107" s="2764"/>
      <c r="AC107" s="2764"/>
      <c r="AD107" s="2764"/>
      <c r="AE107" s="2764"/>
      <c r="AF107" s="2764"/>
      <c r="AG107" s="2771"/>
      <c r="AH107" s="1"/>
    </row>
    <row r="108" spans="1:40" ht="18" customHeight="1" x14ac:dyDescent="0.2">
      <c r="A108" s="2496"/>
      <c r="B108" s="2722"/>
      <c r="C108" s="2506"/>
      <c r="D108" s="2506"/>
      <c r="E108" s="2506"/>
      <c r="F108" s="2725"/>
      <c r="G108" s="2725"/>
      <c r="H108" s="2506"/>
      <c r="I108" s="2506"/>
      <c r="J108" s="2506"/>
      <c r="K108" s="2506"/>
      <c r="L108" s="2506"/>
      <c r="M108" s="2506"/>
      <c r="N108" s="2506"/>
      <c r="O108" s="2506"/>
      <c r="P108" s="2506"/>
      <c r="Q108" s="2506"/>
      <c r="R108" s="2506"/>
      <c r="S108" s="2506"/>
      <c r="T108" s="2718"/>
      <c r="U108" s="2506"/>
      <c r="V108" s="2506"/>
      <c r="W108" s="2506"/>
      <c r="X108" s="2506"/>
      <c r="Y108" s="2506"/>
      <c r="Z108" s="2506"/>
      <c r="AA108" s="2506"/>
      <c r="AB108" s="2506"/>
      <c r="AC108" s="2506"/>
      <c r="AD108" s="2506"/>
      <c r="AE108" s="2506"/>
      <c r="AF108" s="2506"/>
      <c r="AG108" s="2507"/>
      <c r="AH108" s="1"/>
    </row>
    <row r="109" spans="1:40" ht="18" customHeight="1" x14ac:dyDescent="0.2">
      <c r="A109" s="2496"/>
      <c r="B109" s="2722"/>
      <c r="C109" s="2718"/>
      <c r="D109" s="2718"/>
      <c r="E109" s="2718"/>
      <c r="F109" s="2718"/>
      <c r="G109" s="2718"/>
      <c r="H109" s="2718"/>
      <c r="I109" s="2718"/>
      <c r="J109" s="2718"/>
      <c r="K109" s="2718"/>
      <c r="L109" s="2718"/>
      <c r="M109" s="2718"/>
      <c r="N109" s="2718"/>
      <c r="O109" s="2718"/>
      <c r="P109" s="2718"/>
      <c r="Q109" s="2718"/>
      <c r="R109" s="2718"/>
      <c r="S109" s="2718"/>
      <c r="T109" s="2718"/>
      <c r="U109" s="2718"/>
      <c r="V109" s="2718"/>
      <c r="W109" s="2718"/>
      <c r="X109" s="2718"/>
      <c r="Y109" s="2718"/>
      <c r="Z109" s="2718"/>
      <c r="AA109" s="2718"/>
      <c r="AB109" s="2718"/>
      <c r="AC109" s="2718"/>
      <c r="AD109" s="2718"/>
      <c r="AE109" s="2718"/>
      <c r="AF109" s="2718"/>
      <c r="AG109" s="2721"/>
      <c r="AH109" s="1"/>
    </row>
    <row r="110" spans="1:40" ht="18" customHeight="1" x14ac:dyDescent="0.2">
      <c r="A110" s="126"/>
      <c r="B110" s="2743"/>
      <c r="C110" s="2585"/>
      <c r="D110" s="2585"/>
      <c r="E110" s="2585"/>
      <c r="F110" s="2585"/>
      <c r="G110" s="2585"/>
      <c r="H110" s="2585"/>
      <c r="I110" s="2585"/>
      <c r="J110" s="2585"/>
      <c r="K110" s="2585"/>
      <c r="L110" s="2585"/>
      <c r="M110" s="2585"/>
      <c r="N110" s="2585"/>
      <c r="O110" s="2585"/>
      <c r="P110" s="2585"/>
      <c r="Q110" s="2585"/>
      <c r="R110" s="2585"/>
      <c r="S110" s="2585"/>
      <c r="T110" s="2585"/>
      <c r="U110" s="2585"/>
      <c r="V110" s="2585"/>
      <c r="W110" s="2585"/>
      <c r="X110" s="2585"/>
      <c r="Y110" s="2585"/>
      <c r="Z110" s="2585"/>
      <c r="AA110" s="2585"/>
      <c r="AB110" s="2585"/>
      <c r="AC110" s="2585"/>
      <c r="AD110" s="2585"/>
      <c r="AE110" s="2585"/>
      <c r="AF110" s="2585"/>
      <c r="AG110" s="2784"/>
      <c r="AH110" s="1"/>
    </row>
    <row r="111" spans="1:40" ht="18" customHeight="1" x14ac:dyDescent="0.2">
      <c r="A111" s="126"/>
      <c r="B111" s="127"/>
      <c r="C111" s="142"/>
      <c r="D111" s="142"/>
      <c r="E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28"/>
      <c r="AH111" s="1"/>
    </row>
    <row r="112" spans="1:40" ht="18" customHeight="1" x14ac:dyDescent="0.2">
      <c r="A112" s="216" t="s">
        <v>197</v>
      </c>
      <c r="B112" s="127"/>
      <c r="C112" s="142"/>
      <c r="D112" s="142"/>
      <c r="E112" s="142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237"/>
      <c r="S112" s="237"/>
      <c r="T112" s="237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28"/>
      <c r="AH112" s="1"/>
    </row>
    <row r="113" spans="1:40" ht="18" customHeight="1" x14ac:dyDescent="0.25">
      <c r="A113" s="126"/>
      <c r="B113" s="217"/>
      <c r="C113" s="218"/>
      <c r="D113" s="218"/>
      <c r="E113" s="221" t="s">
        <v>198</v>
      </c>
      <c r="F113" s="218"/>
      <c r="G113" s="218"/>
      <c r="H113" s="218"/>
      <c r="I113" s="218"/>
      <c r="J113" s="218"/>
      <c r="K113" s="226" t="s">
        <v>13</v>
      </c>
      <c r="L113" s="222"/>
      <c r="M113" s="222"/>
      <c r="N113" s="222"/>
      <c r="O113" s="222"/>
      <c r="P113" s="222"/>
      <c r="Q113" s="222"/>
      <c r="R113" s="222"/>
      <c r="S113" s="222"/>
      <c r="T113" s="223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"/>
    </row>
    <row r="114" spans="1:40" ht="18" customHeight="1" x14ac:dyDescent="0.25">
      <c r="A114" s="126"/>
      <c r="B114" s="217" t="s">
        <v>199</v>
      </c>
      <c r="C114" s="218"/>
      <c r="D114" s="218"/>
      <c r="E114" s="219" t="s">
        <v>200</v>
      </c>
      <c r="F114" s="218"/>
      <c r="G114" s="218"/>
      <c r="H114" s="218"/>
      <c r="I114" s="218"/>
      <c r="J114" s="218"/>
      <c r="K114" s="218" t="s">
        <v>201</v>
      </c>
      <c r="L114" s="218"/>
      <c r="M114" s="218"/>
      <c r="N114" s="218"/>
      <c r="O114" s="218"/>
      <c r="P114" s="218"/>
      <c r="Q114" s="218"/>
      <c r="R114" s="236" t="s">
        <v>202</v>
      </c>
      <c r="S114" s="236"/>
      <c r="T114" s="2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"/>
    </row>
    <row r="115" spans="1:40" ht="18" customHeight="1" x14ac:dyDescent="0.25">
      <c r="A115" s="126"/>
      <c r="B115" s="217" t="s">
        <v>22</v>
      </c>
      <c r="C115" s="218"/>
      <c r="D115" s="218"/>
      <c r="E115" s="221" t="s">
        <v>203</v>
      </c>
      <c r="F115" s="218"/>
      <c r="G115" s="218"/>
      <c r="H115" s="218"/>
      <c r="I115" s="218"/>
      <c r="J115" s="218"/>
      <c r="K115" s="218" t="s">
        <v>204</v>
      </c>
      <c r="L115" s="218"/>
      <c r="M115" s="218"/>
      <c r="N115" s="218"/>
      <c r="O115" s="218"/>
      <c r="P115" s="218"/>
      <c r="Q115" s="218"/>
      <c r="R115" s="218"/>
      <c r="S115" s="218"/>
      <c r="T115" s="220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"/>
    </row>
    <row r="116" spans="1:40" ht="18" customHeight="1" x14ac:dyDescent="0.25">
      <c r="A116" s="126"/>
      <c r="B116" s="217" t="s">
        <v>205</v>
      </c>
      <c r="C116" s="218"/>
      <c r="D116" s="218"/>
      <c r="E116" s="221" t="s">
        <v>206</v>
      </c>
      <c r="F116" s="218"/>
      <c r="G116" s="218"/>
      <c r="H116" s="218"/>
      <c r="I116" s="218"/>
      <c r="J116" s="218"/>
      <c r="K116" s="218" t="s">
        <v>207</v>
      </c>
      <c r="L116" s="229"/>
      <c r="M116" s="229"/>
      <c r="N116" s="229"/>
      <c r="O116" s="229"/>
      <c r="P116" s="229"/>
      <c r="Q116" s="229"/>
      <c r="R116" s="229"/>
      <c r="S116" s="229"/>
      <c r="T116" s="230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"/>
    </row>
    <row r="117" spans="1:40" ht="18" customHeight="1" x14ac:dyDescent="0.25">
      <c r="A117" s="126"/>
      <c r="B117" s="227"/>
      <c r="C117" s="227"/>
      <c r="D117" s="227"/>
      <c r="E117" s="228"/>
      <c r="F117" s="227"/>
      <c r="G117" s="227"/>
      <c r="H117" s="227"/>
      <c r="I117" s="227"/>
      <c r="J117" s="227"/>
      <c r="K117" s="227"/>
      <c r="L117" s="231"/>
      <c r="M117" s="231"/>
      <c r="N117" s="231"/>
      <c r="O117" s="231"/>
      <c r="P117" s="231"/>
      <c r="Q117" s="231"/>
      <c r="R117" s="231"/>
      <c r="S117" s="231"/>
      <c r="T117" s="231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"/>
    </row>
    <row r="118" spans="1:40" ht="18" customHeight="1" x14ac:dyDescent="0.25">
      <c r="A118" s="126"/>
      <c r="B118" s="2508" t="s">
        <v>448</v>
      </c>
      <c r="C118" s="2706">
        <v>1</v>
      </c>
      <c r="D118" s="2706">
        <v>2</v>
      </c>
      <c r="E118" s="2706">
        <v>3</v>
      </c>
      <c r="F118" s="2706">
        <v>4</v>
      </c>
      <c r="G118" s="2707">
        <v>5</v>
      </c>
      <c r="H118" s="2707">
        <v>6</v>
      </c>
      <c r="I118" s="2706">
        <v>7</v>
      </c>
      <c r="J118" s="2706">
        <v>8</v>
      </c>
      <c r="K118" s="2706">
        <v>9</v>
      </c>
      <c r="L118" s="2706">
        <v>10</v>
      </c>
      <c r="M118" s="2706">
        <v>11</v>
      </c>
      <c r="N118" s="2707">
        <v>12</v>
      </c>
      <c r="O118" s="2707">
        <v>13</v>
      </c>
      <c r="P118" s="2706">
        <v>14</v>
      </c>
      <c r="Q118" s="2706">
        <v>15</v>
      </c>
      <c r="R118" s="2706">
        <v>16</v>
      </c>
      <c r="S118" s="2706">
        <v>17</v>
      </c>
      <c r="T118" s="2706">
        <v>18</v>
      </c>
      <c r="U118" s="2707">
        <v>19</v>
      </c>
      <c r="V118" s="2707">
        <v>20</v>
      </c>
      <c r="W118" s="2706">
        <v>21</v>
      </c>
      <c r="X118" s="2706">
        <v>22</v>
      </c>
      <c r="Y118" s="2706">
        <v>23</v>
      </c>
      <c r="Z118" s="2706">
        <v>24</v>
      </c>
      <c r="AA118" s="2706">
        <v>25</v>
      </c>
      <c r="AB118" s="2707">
        <v>26</v>
      </c>
      <c r="AC118" s="2707">
        <v>27</v>
      </c>
      <c r="AD118" s="2706">
        <v>28</v>
      </c>
      <c r="AE118" s="2706">
        <v>29</v>
      </c>
      <c r="AF118" s="2706">
        <v>30</v>
      </c>
      <c r="AG118" s="2706">
        <v>31</v>
      </c>
      <c r="AH118" s="1"/>
      <c r="AJ118" s="2703" t="s">
        <v>41</v>
      </c>
      <c r="AK118" s="2703" t="s">
        <v>62</v>
      </c>
      <c r="AL118" s="2703" t="s">
        <v>63</v>
      </c>
      <c r="AM118" s="2703" t="s">
        <v>64</v>
      </c>
      <c r="AN118" s="2703" t="s">
        <v>65</v>
      </c>
    </row>
    <row r="119" spans="1:40" ht="18" customHeight="1" x14ac:dyDescent="0.2">
      <c r="B119" s="2944" t="s">
        <v>484</v>
      </c>
      <c r="C119" s="2945" t="s">
        <v>50</v>
      </c>
      <c r="D119" s="2945" t="s">
        <v>50</v>
      </c>
      <c r="E119" s="2945" t="s">
        <v>50</v>
      </c>
      <c r="F119" s="2945" t="s">
        <v>50</v>
      </c>
      <c r="G119" s="2945" t="s">
        <v>50</v>
      </c>
      <c r="H119" s="2945" t="s">
        <v>50</v>
      </c>
      <c r="I119" s="2945" t="s">
        <v>209</v>
      </c>
      <c r="J119" s="2945" t="s">
        <v>209</v>
      </c>
      <c r="K119" s="2945" t="s">
        <v>209</v>
      </c>
      <c r="L119" s="2945" t="s">
        <v>209</v>
      </c>
      <c r="M119" s="2945" t="s">
        <v>209</v>
      </c>
      <c r="N119" s="2945" t="s">
        <v>210</v>
      </c>
      <c r="O119" s="2945" t="s">
        <v>211</v>
      </c>
      <c r="P119" s="2945" t="s">
        <v>50</v>
      </c>
      <c r="Q119" s="2945" t="s">
        <v>50</v>
      </c>
      <c r="R119" s="2945" t="s">
        <v>50</v>
      </c>
      <c r="S119" s="2945" t="s">
        <v>50</v>
      </c>
      <c r="T119" s="2945" t="s">
        <v>50</v>
      </c>
      <c r="U119" s="2945" t="s">
        <v>50</v>
      </c>
      <c r="V119" s="2945" t="s">
        <v>50</v>
      </c>
      <c r="W119" s="2945" t="s">
        <v>209</v>
      </c>
      <c r="X119" s="2945" t="s">
        <v>209</v>
      </c>
      <c r="Y119" s="2945" t="s">
        <v>209</v>
      </c>
      <c r="Z119" s="2945" t="s">
        <v>209</v>
      </c>
      <c r="AA119" s="2945" t="s">
        <v>209</v>
      </c>
      <c r="AB119" s="2945" t="s">
        <v>210</v>
      </c>
      <c r="AC119" s="2945" t="s">
        <v>211</v>
      </c>
      <c r="AD119" s="2945" t="s">
        <v>50</v>
      </c>
      <c r="AE119" s="2945" t="s">
        <v>50</v>
      </c>
      <c r="AF119" s="2945" t="s">
        <v>50</v>
      </c>
      <c r="AG119" s="2946" t="s">
        <v>50</v>
      </c>
      <c r="AH119" s="1"/>
      <c r="AJ119" s="638">
        <f>$AJ$12</f>
        <v>160.33000000000001</v>
      </c>
      <c r="AK119" s="638"/>
      <c r="AL119" s="638">
        <f>IF(AJ119="","",SUM(AJ119:AK119))</f>
        <v>160.33000000000001</v>
      </c>
      <c r="AM119" s="639">
        <f t="shared" ref="AM119:AM120" si="5">IF(AJ119="","",AL119-AJ119)</f>
        <v>0</v>
      </c>
      <c r="AN119" s="639">
        <f>IF(AM119="","",AM119+'September 2024'!AN116)</f>
        <v>-24.330000000000013</v>
      </c>
    </row>
    <row r="120" spans="1:40" ht="18" customHeight="1" x14ac:dyDescent="0.2">
      <c r="B120" s="851" t="s">
        <v>212</v>
      </c>
      <c r="C120" s="2917" t="s">
        <v>209</v>
      </c>
      <c r="D120" s="802" t="s">
        <v>209</v>
      </c>
      <c r="E120" s="802" t="s">
        <v>209</v>
      </c>
      <c r="F120" s="636" t="s">
        <v>209</v>
      </c>
      <c r="G120" s="635" t="s">
        <v>210</v>
      </c>
      <c r="H120" s="635" t="s">
        <v>211</v>
      </c>
      <c r="I120" s="636" t="s">
        <v>50</v>
      </c>
      <c r="J120" s="636" t="s">
        <v>50</v>
      </c>
      <c r="K120" s="636" t="s">
        <v>50</v>
      </c>
      <c r="L120" s="636" t="s">
        <v>50</v>
      </c>
      <c r="M120" s="636" t="s">
        <v>50</v>
      </c>
      <c r="N120" s="1842" t="s">
        <v>147</v>
      </c>
      <c r="O120" s="635"/>
      <c r="P120" s="635" t="s">
        <v>209</v>
      </c>
      <c r="Q120" s="2917" t="s">
        <v>209</v>
      </c>
      <c r="R120" s="2947" t="s">
        <v>209</v>
      </c>
      <c r="S120" s="2947" t="s">
        <v>209</v>
      </c>
      <c r="T120" s="2947" t="s">
        <v>209</v>
      </c>
      <c r="U120" s="635" t="s">
        <v>210</v>
      </c>
      <c r="V120" s="635" t="s">
        <v>211</v>
      </c>
      <c r="W120" s="636" t="s">
        <v>50</v>
      </c>
      <c r="X120" s="636" t="s">
        <v>50</v>
      </c>
      <c r="Y120" s="636" t="s">
        <v>50</v>
      </c>
      <c r="Z120" s="636" t="s">
        <v>50</v>
      </c>
      <c r="AA120" s="636" t="s">
        <v>50</v>
      </c>
      <c r="AB120" s="636"/>
      <c r="AC120" s="635"/>
      <c r="AD120" s="2917" t="s">
        <v>209</v>
      </c>
      <c r="AE120" s="2917" t="s">
        <v>209</v>
      </c>
      <c r="AF120" s="635" t="s">
        <v>209</v>
      </c>
      <c r="AG120" s="801" t="s">
        <v>209</v>
      </c>
      <c r="AH120" s="1"/>
      <c r="AJ120" s="2510">
        <f t="shared" ref="AJ120" si="6">$AJ$12</f>
        <v>160.33000000000001</v>
      </c>
      <c r="AK120" s="2510"/>
      <c r="AL120" s="2510">
        <f t="shared" ref="AL120" si="7">IF(AJ120="","",SUM(AJ120:AK120))</f>
        <v>160.33000000000001</v>
      </c>
      <c r="AM120" s="2511">
        <f t="shared" si="5"/>
        <v>0</v>
      </c>
      <c r="AN120" s="639">
        <f>IF(AM120="","",AM120+'September 2024'!AN117)</f>
        <v>-10.330000000000013</v>
      </c>
    </row>
    <row r="121" spans="1:40" ht="18" customHeight="1" x14ac:dyDescent="0.2">
      <c r="B121" s="2512" t="s">
        <v>0</v>
      </c>
      <c r="C121" s="853" t="s">
        <v>0</v>
      </c>
      <c r="D121" s="853" t="s">
        <v>0</v>
      </c>
      <c r="E121" s="854" t="s">
        <v>0</v>
      </c>
      <c r="F121" s="853" t="s">
        <v>145</v>
      </c>
      <c r="G121" s="853" t="s">
        <v>147</v>
      </c>
      <c r="H121" s="853" t="s">
        <v>148</v>
      </c>
      <c r="I121" s="1363"/>
      <c r="J121" s="1363" t="s">
        <v>0</v>
      </c>
      <c r="K121" s="1363" t="s">
        <v>0</v>
      </c>
      <c r="L121" s="1363" t="s">
        <v>0</v>
      </c>
      <c r="M121" s="1363" t="s">
        <v>145</v>
      </c>
      <c r="N121" s="1363" t="s">
        <v>147</v>
      </c>
      <c r="O121" s="853" t="s">
        <v>148</v>
      </c>
      <c r="P121" s="853" t="s">
        <v>0</v>
      </c>
      <c r="Q121" s="853" t="s">
        <v>0</v>
      </c>
      <c r="R121" s="853" t="s">
        <v>0</v>
      </c>
      <c r="S121" s="854" t="s">
        <v>0</v>
      </c>
      <c r="T121" s="853" t="s">
        <v>145</v>
      </c>
      <c r="U121" s="853" t="s">
        <v>147</v>
      </c>
      <c r="V121" s="853" t="s">
        <v>148</v>
      </c>
      <c r="W121" s="1363"/>
      <c r="X121" s="1363" t="s">
        <v>0</v>
      </c>
      <c r="Y121" s="1363" t="s">
        <v>0</v>
      </c>
      <c r="Z121" s="1363" t="s">
        <v>0</v>
      </c>
      <c r="AA121" s="1363" t="s">
        <v>145</v>
      </c>
      <c r="AB121" s="1363" t="s">
        <v>147</v>
      </c>
      <c r="AC121" s="853" t="s">
        <v>148</v>
      </c>
      <c r="AD121" s="853" t="s">
        <v>0</v>
      </c>
      <c r="AE121" s="853" t="s">
        <v>0</v>
      </c>
      <c r="AF121" s="853" t="s">
        <v>0</v>
      </c>
      <c r="AG121" s="1384" t="s">
        <v>0</v>
      </c>
      <c r="AH121" s="1"/>
      <c r="AJ121" s="2513"/>
      <c r="AK121" s="2513"/>
      <c r="AL121" s="2513"/>
      <c r="AM121" s="2514"/>
      <c r="AN121" s="2514"/>
    </row>
    <row r="122" spans="1:40" ht="18" customHeight="1" x14ac:dyDescent="0.2">
      <c r="B122" s="232"/>
      <c r="C122" s="233"/>
      <c r="D122" s="233"/>
      <c r="E122" s="234"/>
      <c r="F122" s="234"/>
      <c r="G122" s="234"/>
      <c r="H122" s="234"/>
      <c r="I122" s="234"/>
      <c r="J122" s="234"/>
      <c r="K122" s="234"/>
      <c r="L122" s="234"/>
      <c r="M122" s="234"/>
      <c r="N122" s="234"/>
      <c r="O122" s="234"/>
      <c r="P122" s="234"/>
      <c r="Q122" s="234"/>
      <c r="R122" s="234"/>
      <c r="S122" s="234"/>
      <c r="T122" s="234"/>
      <c r="U122" s="234"/>
      <c r="V122" s="234"/>
      <c r="W122" s="234"/>
      <c r="X122" s="234"/>
      <c r="Y122" s="234"/>
      <c r="Z122" s="234"/>
      <c r="AA122" s="234"/>
      <c r="AB122" s="234"/>
      <c r="AC122" s="234"/>
      <c r="AD122" s="234"/>
      <c r="AE122" s="234"/>
      <c r="AF122" s="234"/>
      <c r="AG122" s="234"/>
      <c r="AH122" s="1"/>
      <c r="AJ122" s="123"/>
      <c r="AK122" s="123"/>
      <c r="AL122" s="123"/>
      <c r="AM122" s="215"/>
      <c r="AN122" s="215"/>
    </row>
    <row r="123" spans="1:40" ht="18" customHeight="1" x14ac:dyDescent="0.2">
      <c r="A123" s="3" t="s">
        <v>213</v>
      </c>
      <c r="AH123" s="1"/>
      <c r="AJ123" s="123"/>
      <c r="AK123" s="123"/>
      <c r="AL123" s="123"/>
      <c r="AM123" s="215"/>
      <c r="AN123" s="215"/>
    </row>
    <row r="124" spans="1:40" ht="18" customHeight="1" x14ac:dyDescent="0.25">
      <c r="B124" s="217"/>
      <c r="C124" s="218"/>
      <c r="D124" s="218"/>
      <c r="E124" s="221" t="s">
        <v>198</v>
      </c>
      <c r="F124" s="218"/>
      <c r="G124" s="218"/>
      <c r="H124" s="218"/>
      <c r="I124" s="218"/>
      <c r="J124" s="218"/>
      <c r="K124" s="226" t="s">
        <v>13</v>
      </c>
      <c r="L124" s="222"/>
      <c r="M124" s="222"/>
      <c r="N124" s="222"/>
      <c r="O124" s="222"/>
      <c r="P124" s="222"/>
      <c r="Q124" s="222"/>
      <c r="R124" s="222"/>
      <c r="S124" s="222"/>
      <c r="T124" s="223"/>
      <c r="AH124" s="1"/>
      <c r="AJ124" s="123"/>
      <c r="AK124" s="123"/>
      <c r="AL124" s="123"/>
      <c r="AM124" s="215"/>
      <c r="AN124" s="215"/>
    </row>
    <row r="125" spans="1:40" ht="18" customHeight="1" x14ac:dyDescent="0.25">
      <c r="B125" s="217" t="s">
        <v>199</v>
      </c>
      <c r="C125" s="218"/>
      <c r="D125" s="218"/>
      <c r="E125" s="219" t="s">
        <v>214</v>
      </c>
      <c r="F125" s="218"/>
      <c r="G125" s="218"/>
      <c r="H125" s="218"/>
      <c r="I125" s="218"/>
      <c r="J125" s="218"/>
      <c r="K125" s="218" t="s">
        <v>215</v>
      </c>
      <c r="L125" s="218"/>
      <c r="M125" s="218"/>
      <c r="N125" s="218"/>
      <c r="O125" s="218"/>
      <c r="P125" s="218"/>
      <c r="Q125" s="218"/>
      <c r="R125" s="236" t="s">
        <v>216</v>
      </c>
      <c r="S125" s="236"/>
      <c r="T125" s="236"/>
      <c r="AH125" s="1"/>
      <c r="AJ125" s="123"/>
      <c r="AK125" s="123"/>
      <c r="AL125" s="123"/>
      <c r="AM125" s="215"/>
      <c r="AN125" s="215"/>
    </row>
    <row r="126" spans="1:40" ht="18" customHeight="1" x14ac:dyDescent="0.25">
      <c r="B126" s="217" t="s">
        <v>22</v>
      </c>
      <c r="C126" s="218"/>
      <c r="D126" s="218"/>
      <c r="E126" s="221" t="s">
        <v>217</v>
      </c>
      <c r="F126" s="218"/>
      <c r="G126" s="218"/>
      <c r="H126" s="218"/>
      <c r="I126" s="218"/>
      <c r="J126" s="218"/>
      <c r="K126" s="218" t="s">
        <v>218</v>
      </c>
      <c r="L126" s="218"/>
      <c r="M126" s="218"/>
      <c r="N126" s="218"/>
      <c r="O126" s="218"/>
      <c r="P126" s="218"/>
      <c r="Q126" s="218"/>
      <c r="R126" s="218"/>
      <c r="S126" s="218"/>
      <c r="T126" s="220"/>
      <c r="AH126" s="1"/>
      <c r="AJ126" s="123"/>
      <c r="AK126" s="123"/>
      <c r="AL126" s="123"/>
      <c r="AM126" s="215"/>
      <c r="AN126" s="215"/>
    </row>
    <row r="127" spans="1:40" ht="18" customHeight="1" x14ac:dyDescent="0.25">
      <c r="B127" s="217" t="s">
        <v>205</v>
      </c>
      <c r="C127" s="218"/>
      <c r="D127" s="218"/>
      <c r="E127" s="221" t="s">
        <v>219</v>
      </c>
      <c r="F127" s="218"/>
      <c r="G127" s="218"/>
      <c r="H127" s="218"/>
      <c r="I127" s="218"/>
      <c r="J127" s="218"/>
      <c r="K127" s="218" t="s">
        <v>220</v>
      </c>
      <c r="L127" s="229"/>
      <c r="M127" s="229"/>
      <c r="N127" s="229"/>
      <c r="O127" s="229"/>
      <c r="P127" s="229"/>
      <c r="Q127" s="229"/>
      <c r="R127" s="229"/>
      <c r="S127" s="229"/>
      <c r="T127" s="230"/>
      <c r="U127" s="108"/>
      <c r="V127" s="108"/>
      <c r="AH127" s="1"/>
      <c r="AJ127" s="123"/>
      <c r="AK127" s="123"/>
      <c r="AL127" s="123"/>
      <c r="AM127" s="215"/>
      <c r="AN127" s="215"/>
    </row>
    <row r="128" spans="1:40" ht="18" customHeight="1" x14ac:dyDescent="0.2">
      <c r="T128" s="108"/>
      <c r="U128" s="108"/>
      <c r="V128" s="108"/>
      <c r="AH128" s="1"/>
      <c r="AJ128" s="123"/>
      <c r="AK128" s="123"/>
      <c r="AL128" s="123"/>
      <c r="AM128" s="215"/>
      <c r="AN128" s="215"/>
    </row>
    <row r="129" spans="1:40" ht="18" customHeight="1" x14ac:dyDescent="0.2">
      <c r="B129" s="2948" t="s">
        <v>448</v>
      </c>
      <c r="C129" s="2706">
        <v>1</v>
      </c>
      <c r="D129" s="2706">
        <v>2</v>
      </c>
      <c r="E129" s="2706">
        <v>3</v>
      </c>
      <c r="F129" s="2706">
        <v>4</v>
      </c>
      <c r="G129" s="2707">
        <v>5</v>
      </c>
      <c r="H129" s="2707">
        <v>6</v>
      </c>
      <c r="I129" s="2706">
        <v>7</v>
      </c>
      <c r="J129" s="2706">
        <v>8</v>
      </c>
      <c r="K129" s="2706">
        <v>9</v>
      </c>
      <c r="L129" s="2706">
        <v>10</v>
      </c>
      <c r="M129" s="2706">
        <v>11</v>
      </c>
      <c r="N129" s="2707">
        <v>12</v>
      </c>
      <c r="O129" s="2707">
        <v>13</v>
      </c>
      <c r="P129" s="2706">
        <v>14</v>
      </c>
      <c r="Q129" s="2706">
        <v>15</v>
      </c>
      <c r="R129" s="2706">
        <v>16</v>
      </c>
      <c r="S129" s="2706">
        <v>17</v>
      </c>
      <c r="T129" s="2706">
        <v>18</v>
      </c>
      <c r="U129" s="2707">
        <v>19</v>
      </c>
      <c r="V129" s="2707">
        <v>20</v>
      </c>
      <c r="W129" s="2706">
        <v>21</v>
      </c>
      <c r="X129" s="2706">
        <v>22</v>
      </c>
      <c r="Y129" s="2706">
        <v>23</v>
      </c>
      <c r="Z129" s="2706">
        <v>24</v>
      </c>
      <c r="AA129" s="2706">
        <v>25</v>
      </c>
      <c r="AB129" s="2707">
        <v>26</v>
      </c>
      <c r="AC129" s="2707">
        <v>27</v>
      </c>
      <c r="AD129" s="2706">
        <v>28</v>
      </c>
      <c r="AE129" s="2706">
        <v>29</v>
      </c>
      <c r="AF129" s="2706">
        <v>30</v>
      </c>
      <c r="AG129" s="2706">
        <v>31</v>
      </c>
      <c r="AH129" s="1"/>
      <c r="AJ129" s="2703" t="s">
        <v>41</v>
      </c>
      <c r="AK129" s="2703" t="s">
        <v>62</v>
      </c>
      <c r="AL129" s="2703" t="s">
        <v>63</v>
      </c>
      <c r="AM129" s="2703" t="s">
        <v>64</v>
      </c>
      <c r="AN129" s="2703" t="s">
        <v>65</v>
      </c>
    </row>
    <row r="130" spans="1:40" ht="18" customHeight="1" x14ac:dyDescent="0.2">
      <c r="B130" s="2515" t="s">
        <v>221</v>
      </c>
      <c r="C130" s="370" t="s">
        <v>50</v>
      </c>
      <c r="D130" s="370" t="s">
        <v>50</v>
      </c>
      <c r="E130" s="370" t="s">
        <v>50</v>
      </c>
      <c r="F130" s="370" t="s">
        <v>50</v>
      </c>
      <c r="G130" s="370"/>
      <c r="H130" s="373"/>
      <c r="I130" s="373" t="s">
        <v>72</v>
      </c>
      <c r="J130" s="373" t="s">
        <v>72</v>
      </c>
      <c r="K130" s="373" t="s">
        <v>72</v>
      </c>
      <c r="L130" s="373" t="s">
        <v>72</v>
      </c>
      <c r="M130" s="370" t="s">
        <v>72</v>
      </c>
      <c r="N130" s="370" t="s">
        <v>73</v>
      </c>
      <c r="O130" s="370" t="s">
        <v>74</v>
      </c>
      <c r="P130" s="370" t="s">
        <v>50</v>
      </c>
      <c r="Q130" s="370" t="s">
        <v>50</v>
      </c>
      <c r="R130" s="370" t="s">
        <v>50</v>
      </c>
      <c r="S130" s="370" t="s">
        <v>50</v>
      </c>
      <c r="T130" s="370" t="s">
        <v>50</v>
      </c>
      <c r="U130" s="370"/>
      <c r="V130" s="373"/>
      <c r="W130" s="373" t="s">
        <v>72</v>
      </c>
      <c r="X130" s="373" t="s">
        <v>72</v>
      </c>
      <c r="Y130" s="373" t="s">
        <v>72</v>
      </c>
      <c r="Z130" s="373" t="s">
        <v>72</v>
      </c>
      <c r="AA130" s="370" t="s">
        <v>72</v>
      </c>
      <c r="AB130" s="370" t="s">
        <v>73</v>
      </c>
      <c r="AC130" s="370" t="s">
        <v>74</v>
      </c>
      <c r="AD130" s="370" t="s">
        <v>50</v>
      </c>
      <c r="AE130" s="370" t="s">
        <v>50</v>
      </c>
      <c r="AF130" s="370" t="s">
        <v>50</v>
      </c>
      <c r="AG130" s="2890" t="s">
        <v>50</v>
      </c>
      <c r="AH130" s="1"/>
      <c r="AJ130" s="638">
        <f>$AJ$12</f>
        <v>160.33000000000001</v>
      </c>
      <c r="AK130" s="638"/>
      <c r="AL130" s="638">
        <f>IF(AJ130="","",SUM(AJ130:AK130))</f>
        <v>160.33000000000001</v>
      </c>
      <c r="AM130" s="639">
        <f>IF(AJ130="","",AL130-AJ130)</f>
        <v>0</v>
      </c>
      <c r="AN130" s="639">
        <f>IF(AM130="","",AM130+'September 2024'!AN127)</f>
        <v>-36.330000000000013</v>
      </c>
    </row>
    <row r="131" spans="1:40" ht="18" customHeight="1" x14ac:dyDescent="0.2">
      <c r="B131" s="2516" t="s">
        <v>222</v>
      </c>
      <c r="C131" s="635" t="s">
        <v>72</v>
      </c>
      <c r="D131" s="635" t="s">
        <v>72</v>
      </c>
      <c r="E131" s="635" t="s">
        <v>72</v>
      </c>
      <c r="F131" s="636" t="s">
        <v>72</v>
      </c>
      <c r="G131" s="636" t="s">
        <v>73</v>
      </c>
      <c r="H131" s="636" t="s">
        <v>74</v>
      </c>
      <c r="I131" s="636" t="s">
        <v>50</v>
      </c>
      <c r="J131" s="636" t="s">
        <v>50</v>
      </c>
      <c r="K131" s="636" t="s">
        <v>50</v>
      </c>
      <c r="L131" s="636" t="s">
        <v>50</v>
      </c>
      <c r="M131" s="636" t="s">
        <v>50</v>
      </c>
      <c r="N131" s="636"/>
      <c r="O131" s="635"/>
      <c r="P131" s="635" t="s">
        <v>72</v>
      </c>
      <c r="Q131" s="635" t="s">
        <v>72</v>
      </c>
      <c r="R131" s="635" t="s">
        <v>72</v>
      </c>
      <c r="S131" s="635" t="s">
        <v>72</v>
      </c>
      <c r="T131" s="636" t="s">
        <v>72</v>
      </c>
      <c r="U131" s="636" t="s">
        <v>73</v>
      </c>
      <c r="V131" s="636" t="s">
        <v>74</v>
      </c>
      <c r="W131" s="636" t="s">
        <v>50</v>
      </c>
      <c r="X131" s="636" t="s">
        <v>50</v>
      </c>
      <c r="Y131" s="636" t="s">
        <v>50</v>
      </c>
      <c r="Z131" s="636" t="s">
        <v>50</v>
      </c>
      <c r="AA131" s="636" t="s">
        <v>50</v>
      </c>
      <c r="AB131" s="636"/>
      <c r="AC131" s="635"/>
      <c r="AD131" s="2256" t="s">
        <v>501</v>
      </c>
      <c r="AE131" s="635" t="s">
        <v>72</v>
      </c>
      <c r="AF131" s="635" t="s">
        <v>72</v>
      </c>
      <c r="AG131" s="636" t="s">
        <v>72</v>
      </c>
      <c r="AH131" s="1"/>
      <c r="AJ131" s="638">
        <f>$AJ$12</f>
        <v>160.33000000000001</v>
      </c>
      <c r="AK131" s="638"/>
      <c r="AL131" s="638">
        <f>IF(AJ131="","",SUM(AJ131:AK131))</f>
        <v>160.33000000000001</v>
      </c>
      <c r="AM131" s="639">
        <f>IF(AJ131="","",AL131-AJ131)</f>
        <v>0</v>
      </c>
      <c r="AN131" s="639">
        <f>IF(AM131="","",AM131+'September 2024'!AN128)</f>
        <v>-10.330000000000013</v>
      </c>
    </row>
    <row r="132" spans="1:40" ht="18" customHeight="1" thickBot="1" x14ac:dyDescent="0.25">
      <c r="B132" s="2517" t="s">
        <v>0</v>
      </c>
      <c r="C132" s="2518" t="s">
        <v>50</v>
      </c>
      <c r="D132" s="2518" t="s">
        <v>50</v>
      </c>
      <c r="E132" s="2518" t="s">
        <v>50</v>
      </c>
      <c r="F132" s="2518" t="s">
        <v>139</v>
      </c>
      <c r="G132" s="2518" t="s">
        <v>140</v>
      </c>
      <c r="H132" s="2518" t="s">
        <v>141</v>
      </c>
      <c r="I132" s="2518" t="s">
        <v>50</v>
      </c>
      <c r="J132" s="2518" t="s">
        <v>50</v>
      </c>
      <c r="K132" s="2518" t="s">
        <v>50</v>
      </c>
      <c r="L132" s="2518" t="s">
        <v>50</v>
      </c>
      <c r="M132" s="2518" t="s">
        <v>139</v>
      </c>
      <c r="N132" s="2518" t="s">
        <v>140</v>
      </c>
      <c r="O132" s="2518" t="s">
        <v>141</v>
      </c>
      <c r="P132" s="2518" t="s">
        <v>50</v>
      </c>
      <c r="Q132" s="2518" t="s">
        <v>50</v>
      </c>
      <c r="R132" s="2518" t="s">
        <v>50</v>
      </c>
      <c r="S132" s="2518" t="s">
        <v>50</v>
      </c>
      <c r="T132" s="2518" t="s">
        <v>139</v>
      </c>
      <c r="U132" s="2518" t="s">
        <v>140</v>
      </c>
      <c r="V132" s="2518" t="s">
        <v>141</v>
      </c>
      <c r="W132" s="2518" t="s">
        <v>50</v>
      </c>
      <c r="X132" s="2518" t="s">
        <v>50</v>
      </c>
      <c r="Y132" s="2518" t="s">
        <v>50</v>
      </c>
      <c r="Z132" s="2518" t="s">
        <v>50</v>
      </c>
      <c r="AA132" s="2518" t="s">
        <v>139</v>
      </c>
      <c r="AB132" s="2518" t="s">
        <v>140</v>
      </c>
      <c r="AC132" s="2518" t="s">
        <v>141</v>
      </c>
      <c r="AD132" s="2518" t="s">
        <v>50</v>
      </c>
      <c r="AE132" s="2518" t="s">
        <v>50</v>
      </c>
      <c r="AF132" s="2518" t="s">
        <v>50</v>
      </c>
      <c r="AG132" s="2518" t="s">
        <v>50</v>
      </c>
      <c r="AH132" s="1"/>
    </row>
    <row r="133" spans="1:40" ht="18" customHeight="1" x14ac:dyDescent="0.2">
      <c r="B133" s="235" t="s">
        <v>0</v>
      </c>
      <c r="C133" s="234" t="s">
        <v>0</v>
      </c>
      <c r="D133" s="234" t="s">
        <v>0</v>
      </c>
      <c r="E133" s="234" t="s">
        <v>0</v>
      </c>
      <c r="F133" s="234" t="s">
        <v>0</v>
      </c>
      <c r="G133" s="234" t="s">
        <v>0</v>
      </c>
      <c r="H133" s="234" t="s">
        <v>0</v>
      </c>
      <c r="I133" s="234" t="s">
        <v>0</v>
      </c>
      <c r="J133" s="234" t="s">
        <v>0</v>
      </c>
      <c r="K133" s="234" t="s">
        <v>0</v>
      </c>
      <c r="L133" s="234" t="s">
        <v>0</v>
      </c>
      <c r="M133" s="234" t="s">
        <v>0</v>
      </c>
      <c r="N133" s="234" t="s">
        <v>0</v>
      </c>
      <c r="O133" s="234" t="s">
        <v>0</v>
      </c>
      <c r="P133" s="234" t="s">
        <v>0</v>
      </c>
      <c r="Q133" s="234" t="s">
        <v>0</v>
      </c>
      <c r="R133" s="234" t="s">
        <v>0</v>
      </c>
      <c r="S133" s="234" t="s">
        <v>0</v>
      </c>
      <c r="T133" s="234" t="s">
        <v>0</v>
      </c>
      <c r="U133" s="234" t="s">
        <v>0</v>
      </c>
      <c r="V133" s="234" t="s">
        <v>0</v>
      </c>
      <c r="W133" s="234" t="s">
        <v>0</v>
      </c>
      <c r="X133" s="234" t="s">
        <v>0</v>
      </c>
      <c r="Y133" s="234" t="s">
        <v>0</v>
      </c>
      <c r="Z133" s="234" t="s">
        <v>0</v>
      </c>
      <c r="AA133" s="234" t="s">
        <v>0</v>
      </c>
      <c r="AB133" s="234" t="s">
        <v>0</v>
      </c>
      <c r="AC133" s="234" t="s">
        <v>0</v>
      </c>
      <c r="AD133" s="234" t="s">
        <v>0</v>
      </c>
      <c r="AE133" s="234" t="s">
        <v>0</v>
      </c>
      <c r="AF133" s="234" t="s">
        <v>0</v>
      </c>
      <c r="AG133" s="234" t="s">
        <v>0</v>
      </c>
      <c r="AH133" s="1"/>
      <c r="AJ133" s="123"/>
      <c r="AK133" s="123"/>
      <c r="AL133" s="123"/>
      <c r="AM133" s="215"/>
      <c r="AN133" s="215"/>
    </row>
    <row r="134" spans="1:40" ht="18" customHeight="1" x14ac:dyDescent="0.2">
      <c r="A134" s="3" t="s">
        <v>223</v>
      </c>
      <c r="AH134" s="1"/>
      <c r="AJ134" s="123"/>
      <c r="AK134" s="123"/>
      <c r="AL134" s="123"/>
      <c r="AM134" s="215"/>
      <c r="AN134" s="215"/>
    </row>
    <row r="135" spans="1:40" ht="18" customHeight="1" x14ac:dyDescent="0.25">
      <c r="B135" s="217"/>
      <c r="C135" s="218"/>
      <c r="D135" s="218"/>
      <c r="E135" s="221" t="s">
        <v>198</v>
      </c>
      <c r="F135" s="218"/>
      <c r="G135" s="218"/>
      <c r="H135" s="218"/>
      <c r="I135" s="218"/>
      <c r="J135" s="218"/>
      <c r="K135" s="226" t="s">
        <v>13</v>
      </c>
      <c r="L135" s="222"/>
      <c r="M135" s="222"/>
      <c r="N135" s="222"/>
      <c r="O135" s="222"/>
      <c r="P135" s="222"/>
      <c r="Q135" s="222"/>
      <c r="R135" s="222"/>
      <c r="S135" s="222"/>
      <c r="T135" s="223"/>
      <c r="AH135" s="1"/>
      <c r="AJ135" s="123"/>
      <c r="AK135" s="123"/>
      <c r="AL135" s="123"/>
      <c r="AM135" s="215"/>
      <c r="AN135" s="215"/>
    </row>
    <row r="136" spans="1:40" ht="18" customHeight="1" x14ac:dyDescent="0.25">
      <c r="B136" s="217" t="s">
        <v>199</v>
      </c>
      <c r="C136" s="218"/>
      <c r="D136" s="218"/>
      <c r="E136" s="219" t="s">
        <v>224</v>
      </c>
      <c r="F136" s="218"/>
      <c r="G136" s="218"/>
      <c r="H136" s="218"/>
      <c r="I136" s="218"/>
      <c r="J136" s="218"/>
      <c r="K136" s="218" t="s">
        <v>225</v>
      </c>
      <c r="L136" s="218"/>
      <c r="M136" s="218"/>
      <c r="N136" s="218"/>
      <c r="O136" s="218"/>
      <c r="P136" s="218"/>
      <c r="Q136" s="218"/>
      <c r="R136" s="236" t="s">
        <v>226</v>
      </c>
      <c r="S136" s="236"/>
      <c r="T136" s="236"/>
      <c r="AH136" s="1"/>
      <c r="AJ136" s="123"/>
      <c r="AK136" s="123"/>
      <c r="AL136" s="123"/>
      <c r="AM136" s="215"/>
      <c r="AN136" s="215"/>
    </row>
    <row r="137" spans="1:40" ht="18" customHeight="1" x14ac:dyDescent="0.25">
      <c r="B137" s="217" t="s">
        <v>22</v>
      </c>
      <c r="C137" s="218"/>
      <c r="D137" s="218"/>
      <c r="E137" s="221" t="s">
        <v>227</v>
      </c>
      <c r="F137" s="218"/>
      <c r="G137" s="218"/>
      <c r="H137" s="218"/>
      <c r="I137" s="218"/>
      <c r="J137" s="218"/>
      <c r="K137" s="218" t="s">
        <v>228</v>
      </c>
      <c r="L137" s="218"/>
      <c r="M137" s="218"/>
      <c r="N137" s="218"/>
      <c r="O137" s="218"/>
      <c r="P137" s="218"/>
      <c r="Q137" s="218"/>
      <c r="R137" s="218"/>
      <c r="S137" s="218"/>
      <c r="T137" s="220"/>
      <c r="AH137" s="1"/>
      <c r="AJ137" s="123"/>
      <c r="AK137" s="123"/>
      <c r="AL137" s="123"/>
      <c r="AM137" s="215"/>
      <c r="AN137" s="215"/>
    </row>
    <row r="138" spans="1:40" ht="18" customHeight="1" x14ac:dyDescent="0.25">
      <c r="B138" s="217" t="s">
        <v>205</v>
      </c>
      <c r="C138" s="218"/>
      <c r="D138" s="218"/>
      <c r="E138" s="221" t="s">
        <v>229</v>
      </c>
      <c r="F138" s="218"/>
      <c r="G138" s="218"/>
      <c r="H138" s="218"/>
      <c r="I138" s="218"/>
      <c r="J138" s="218"/>
      <c r="K138" s="218" t="s">
        <v>230</v>
      </c>
      <c r="L138" s="229"/>
      <c r="M138" s="229"/>
      <c r="N138" s="229"/>
      <c r="O138" s="229"/>
      <c r="P138" s="229"/>
      <c r="Q138" s="229"/>
      <c r="R138" s="229"/>
      <c r="S138" s="229"/>
      <c r="T138" s="230"/>
      <c r="U138" s="108"/>
      <c r="V138" s="108"/>
      <c r="AH138" s="1"/>
      <c r="AJ138" s="123"/>
      <c r="AK138" s="123"/>
      <c r="AL138" s="123"/>
      <c r="AM138" s="215"/>
      <c r="AN138" s="215"/>
    </row>
    <row r="139" spans="1:40" ht="18" customHeight="1" x14ac:dyDescent="0.2">
      <c r="T139" s="108"/>
      <c r="U139" s="108"/>
      <c r="V139" s="108"/>
      <c r="AH139" s="1"/>
      <c r="AJ139" s="123"/>
      <c r="AK139" s="123"/>
      <c r="AL139" s="123"/>
      <c r="AM139" s="215"/>
      <c r="AN139" s="215"/>
    </row>
    <row r="140" spans="1:40" ht="18" customHeight="1" thickBot="1" x14ac:dyDescent="0.25">
      <c r="B140" s="2948" t="s">
        <v>448</v>
      </c>
      <c r="C140" s="2706">
        <v>1</v>
      </c>
      <c r="D140" s="2706">
        <v>2</v>
      </c>
      <c r="E140" s="2706">
        <v>3</v>
      </c>
      <c r="F140" s="2706">
        <v>4</v>
      </c>
      <c r="G140" s="2707">
        <v>5</v>
      </c>
      <c r="H140" s="2707">
        <v>6</v>
      </c>
      <c r="I140" s="2706">
        <v>7</v>
      </c>
      <c r="J140" s="2706">
        <v>8</v>
      </c>
      <c r="K140" s="2706">
        <v>9</v>
      </c>
      <c r="L140" s="2706">
        <v>10</v>
      </c>
      <c r="M140" s="2706">
        <v>11</v>
      </c>
      <c r="N140" s="2707">
        <v>12</v>
      </c>
      <c r="O140" s="2707">
        <v>13</v>
      </c>
      <c r="P140" s="2706">
        <v>14</v>
      </c>
      <c r="Q140" s="2706">
        <v>15</v>
      </c>
      <c r="R140" s="2706">
        <v>16</v>
      </c>
      <c r="S140" s="2706">
        <v>17</v>
      </c>
      <c r="T140" s="2706">
        <v>18</v>
      </c>
      <c r="U140" s="2707">
        <v>19</v>
      </c>
      <c r="V140" s="2707">
        <v>20</v>
      </c>
      <c r="W140" s="2706">
        <v>21</v>
      </c>
      <c r="X140" s="2706">
        <v>22</v>
      </c>
      <c r="Y140" s="2706">
        <v>23</v>
      </c>
      <c r="Z140" s="2706">
        <v>24</v>
      </c>
      <c r="AA140" s="2706">
        <v>25</v>
      </c>
      <c r="AB140" s="2707">
        <v>26</v>
      </c>
      <c r="AC140" s="2707">
        <v>27</v>
      </c>
      <c r="AD140" s="2706">
        <v>28</v>
      </c>
      <c r="AE140" s="2706">
        <v>29</v>
      </c>
      <c r="AF140" s="2706">
        <v>30</v>
      </c>
      <c r="AG140" s="2706">
        <v>31</v>
      </c>
      <c r="AH140" s="1"/>
      <c r="AJ140" s="2703" t="s">
        <v>41</v>
      </c>
      <c r="AK140" s="2703" t="s">
        <v>62</v>
      </c>
      <c r="AL140" s="2703" t="s">
        <v>63</v>
      </c>
      <c r="AM140" s="2703" t="s">
        <v>64</v>
      </c>
      <c r="AN140" s="2703" t="s">
        <v>65</v>
      </c>
    </row>
    <row r="141" spans="1:40" ht="18" customHeight="1" thickBot="1" x14ac:dyDescent="0.25">
      <c r="B141" s="2949" t="s">
        <v>502</v>
      </c>
      <c r="C141" s="2890" t="s">
        <v>50</v>
      </c>
      <c r="D141" s="2890" t="s">
        <v>50</v>
      </c>
      <c r="E141" s="2890" t="s">
        <v>50</v>
      </c>
      <c r="F141" s="2950" t="s">
        <v>50</v>
      </c>
      <c r="G141" s="2950" t="s">
        <v>147</v>
      </c>
      <c r="H141" s="2950" t="s">
        <v>148</v>
      </c>
      <c r="I141" s="2877" t="s">
        <v>162</v>
      </c>
      <c r="J141" s="2877" t="s">
        <v>162</v>
      </c>
      <c r="K141" s="2877" t="s">
        <v>162</v>
      </c>
      <c r="L141" s="2877" t="s">
        <v>162</v>
      </c>
      <c r="M141" s="2890" t="s">
        <v>162</v>
      </c>
      <c r="N141" s="2890" t="s">
        <v>163</v>
      </c>
      <c r="O141" s="2890" t="s">
        <v>164</v>
      </c>
      <c r="P141" s="2890" t="s">
        <v>50</v>
      </c>
      <c r="Q141" s="2890" t="s">
        <v>50</v>
      </c>
      <c r="R141" s="2890" t="s">
        <v>50</v>
      </c>
      <c r="S141" s="2890" t="s">
        <v>50</v>
      </c>
      <c r="T141" s="1615" t="s">
        <v>145</v>
      </c>
      <c r="U141" s="1615" t="s">
        <v>147</v>
      </c>
      <c r="V141" s="1615" t="s">
        <v>148</v>
      </c>
      <c r="W141" s="2877" t="s">
        <v>162</v>
      </c>
      <c r="X141" s="2877" t="s">
        <v>162</v>
      </c>
      <c r="Y141" s="2877" t="s">
        <v>162</v>
      </c>
      <c r="Z141" s="2877" t="s">
        <v>162</v>
      </c>
      <c r="AA141" s="2890" t="s">
        <v>162</v>
      </c>
      <c r="AB141" s="2951" t="s">
        <v>163</v>
      </c>
      <c r="AC141" s="2951" t="s">
        <v>164</v>
      </c>
      <c r="AD141" s="2890" t="s">
        <v>50</v>
      </c>
      <c r="AE141" s="2890" t="s">
        <v>50</v>
      </c>
      <c r="AF141" s="2890" t="s">
        <v>50</v>
      </c>
      <c r="AG141" s="2890" t="s">
        <v>50</v>
      </c>
      <c r="AH141" s="1"/>
      <c r="AJ141" s="638">
        <f>$AJ$12</f>
        <v>160.33000000000001</v>
      </c>
      <c r="AK141" s="638"/>
      <c r="AL141" s="638">
        <f>IF(AJ141="","",SUM(AJ141:AK141))</f>
        <v>160.33000000000001</v>
      </c>
      <c r="AM141" s="639">
        <f>IF(AJ141="","",AL141-AJ141)</f>
        <v>0</v>
      </c>
      <c r="AN141" s="639">
        <f>IF(AM141="","",AM141+'September 2024'!AN138)</f>
        <v>-24.330000000000013</v>
      </c>
    </row>
    <row r="142" spans="1:40" ht="18" customHeight="1" x14ac:dyDescent="0.2">
      <c r="B142" s="863" t="s">
        <v>0</v>
      </c>
      <c r="C142" s="635" t="s">
        <v>162</v>
      </c>
      <c r="D142" s="635" t="s">
        <v>162</v>
      </c>
      <c r="E142" s="635" t="s">
        <v>162</v>
      </c>
      <c r="F142" s="636" t="s">
        <v>162</v>
      </c>
      <c r="G142" s="636" t="s">
        <v>163</v>
      </c>
      <c r="H142" s="636" t="s">
        <v>164</v>
      </c>
      <c r="I142" s="636" t="s">
        <v>50</v>
      </c>
      <c r="J142" s="636" t="s">
        <v>50</v>
      </c>
      <c r="K142" s="636" t="s">
        <v>50</v>
      </c>
      <c r="L142" s="636" t="s">
        <v>50</v>
      </c>
      <c r="M142" s="636" t="s">
        <v>50</v>
      </c>
      <c r="N142" s="636"/>
      <c r="O142" s="635"/>
      <c r="P142" s="635" t="s">
        <v>162</v>
      </c>
      <c r="Q142" s="635" t="s">
        <v>162</v>
      </c>
      <c r="R142" s="635" t="s">
        <v>162</v>
      </c>
      <c r="S142" s="635" t="s">
        <v>162</v>
      </c>
      <c r="T142" s="636" t="s">
        <v>162</v>
      </c>
      <c r="U142" s="636" t="s">
        <v>163</v>
      </c>
      <c r="V142" s="636" t="s">
        <v>164</v>
      </c>
      <c r="W142" s="636" t="s">
        <v>50</v>
      </c>
      <c r="X142" s="636" t="s">
        <v>50</v>
      </c>
      <c r="Y142" s="636" t="s">
        <v>50</v>
      </c>
      <c r="Z142" s="636" t="s">
        <v>50</v>
      </c>
      <c r="AA142" s="636" t="s">
        <v>50</v>
      </c>
      <c r="AB142" s="636"/>
      <c r="AC142" s="635"/>
      <c r="AD142" s="635" t="s">
        <v>162</v>
      </c>
      <c r="AE142" s="635" t="s">
        <v>162</v>
      </c>
      <c r="AF142" s="635" t="s">
        <v>162</v>
      </c>
      <c r="AG142" s="636" t="s">
        <v>162</v>
      </c>
      <c r="AH142" s="1"/>
      <c r="AJ142" s="638">
        <f>$AJ$12</f>
        <v>160.33000000000001</v>
      </c>
      <c r="AK142" s="638"/>
      <c r="AL142" s="638">
        <f>IF(AJ142="","",SUM(AJ142:AK142))</f>
        <v>160.33000000000001</v>
      </c>
      <c r="AM142" s="639">
        <f>IF(AJ142="","",AL142-AJ142)</f>
        <v>0</v>
      </c>
      <c r="AN142" s="639">
        <f>IF(AM142="","",AM142+'September 2024'!AN139)</f>
        <v>0</v>
      </c>
    </row>
    <row r="143" spans="1:40" ht="18" customHeight="1" thickBot="1" x14ac:dyDescent="0.25">
      <c r="B143" s="864" t="s">
        <v>0</v>
      </c>
      <c r="C143" s="1363" t="s">
        <v>50</v>
      </c>
      <c r="D143" s="1363" t="s">
        <v>50</v>
      </c>
      <c r="E143" s="1363" t="s">
        <v>50</v>
      </c>
      <c r="F143" s="1363" t="s">
        <v>149</v>
      </c>
      <c r="G143" s="1363" t="s">
        <v>150</v>
      </c>
      <c r="H143" s="1363" t="s">
        <v>71</v>
      </c>
      <c r="I143" s="1363" t="s">
        <v>50</v>
      </c>
      <c r="J143" s="1363" t="s">
        <v>50</v>
      </c>
      <c r="K143" s="1363" t="s">
        <v>50</v>
      </c>
      <c r="L143" s="1363" t="s">
        <v>50</v>
      </c>
      <c r="M143" s="1363" t="s">
        <v>149</v>
      </c>
      <c r="N143" s="1363" t="s">
        <v>150</v>
      </c>
      <c r="O143" s="1363" t="s">
        <v>71</v>
      </c>
      <c r="P143" s="1363" t="s">
        <v>50</v>
      </c>
      <c r="Q143" s="1363" t="s">
        <v>50</v>
      </c>
      <c r="R143" s="1363" t="s">
        <v>50</v>
      </c>
      <c r="S143" s="1363" t="s">
        <v>50</v>
      </c>
      <c r="T143" s="1363" t="s">
        <v>149</v>
      </c>
      <c r="U143" s="1363" t="s">
        <v>150</v>
      </c>
      <c r="V143" s="1363" t="s">
        <v>71</v>
      </c>
      <c r="W143" s="1363" t="s">
        <v>50</v>
      </c>
      <c r="X143" s="1363" t="s">
        <v>50</v>
      </c>
      <c r="Y143" s="1363" t="s">
        <v>50</v>
      </c>
      <c r="Z143" s="1363" t="s">
        <v>50</v>
      </c>
      <c r="AA143" s="1363" t="s">
        <v>149</v>
      </c>
      <c r="AB143" s="1363" t="s">
        <v>150</v>
      </c>
      <c r="AC143" s="1363" t="s">
        <v>71</v>
      </c>
      <c r="AD143" s="1363" t="s">
        <v>50</v>
      </c>
      <c r="AE143" s="1363" t="s">
        <v>50</v>
      </c>
      <c r="AF143" s="1363" t="s">
        <v>50</v>
      </c>
      <c r="AG143" s="1363" t="s">
        <v>50</v>
      </c>
      <c r="AH143" s="1"/>
      <c r="AJ143" s="123"/>
      <c r="AK143" s="123"/>
      <c r="AL143" s="123"/>
      <c r="AM143" s="215"/>
      <c r="AN143" s="215"/>
    </row>
    <row r="144" spans="1:40" ht="18" customHeight="1" x14ac:dyDescent="0.2">
      <c r="B144" s="227"/>
      <c r="C144" s="128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"/>
      <c r="AJ144" s="123"/>
      <c r="AK144" s="123"/>
      <c r="AL144" s="123"/>
      <c r="AM144" s="215"/>
      <c r="AN144" s="215"/>
    </row>
    <row r="145" spans="1:40" ht="18" customHeight="1" thickBot="1" x14ac:dyDescent="0.25">
      <c r="A145" s="3" t="s">
        <v>503</v>
      </c>
      <c r="AH145" s="1"/>
      <c r="AJ145" s="123"/>
      <c r="AK145" s="123"/>
      <c r="AL145" s="123"/>
      <c r="AM145" s="215"/>
      <c r="AN145" s="215"/>
    </row>
    <row r="146" spans="1:40" ht="18" customHeight="1" thickBot="1" x14ac:dyDescent="0.3">
      <c r="B146" s="217"/>
      <c r="C146" s="218"/>
      <c r="D146" s="218"/>
      <c r="E146" s="221" t="s">
        <v>198</v>
      </c>
      <c r="F146" s="218"/>
      <c r="G146" s="218"/>
      <c r="H146" s="218"/>
      <c r="I146" s="218"/>
      <c r="J146" s="218"/>
      <c r="K146" s="226" t="s">
        <v>13</v>
      </c>
      <c r="L146" s="222"/>
      <c r="M146" s="222"/>
      <c r="N146" s="222"/>
      <c r="O146" s="222"/>
      <c r="P146" s="222"/>
      <c r="Q146" s="222"/>
      <c r="R146" s="222"/>
      <c r="S146" s="222"/>
      <c r="T146" s="223"/>
      <c r="AH146" s="1"/>
      <c r="AJ146" s="123"/>
      <c r="AK146" s="123"/>
      <c r="AL146" s="123"/>
      <c r="AM146" s="215"/>
      <c r="AN146" s="215"/>
    </row>
    <row r="147" spans="1:40" ht="18" customHeight="1" thickBot="1" x14ac:dyDescent="0.3">
      <c r="B147" s="217" t="s">
        <v>487</v>
      </c>
      <c r="C147" s="218"/>
      <c r="D147" s="218"/>
      <c r="E147" s="219" t="s">
        <v>488</v>
      </c>
      <c r="F147" s="218"/>
      <c r="G147" s="218"/>
      <c r="H147" s="218"/>
      <c r="I147" s="218"/>
      <c r="J147" s="218"/>
      <c r="K147" s="218" t="s">
        <v>0</v>
      </c>
      <c r="L147" s="218"/>
      <c r="M147" s="218"/>
      <c r="N147" s="218"/>
      <c r="O147" s="218"/>
      <c r="P147" s="218"/>
      <c r="Q147" s="218"/>
      <c r="R147" s="236" t="s">
        <v>0</v>
      </c>
      <c r="S147" s="236"/>
      <c r="T147" s="236"/>
      <c r="AH147" s="1"/>
      <c r="AJ147" s="123"/>
      <c r="AK147" s="123"/>
      <c r="AL147" s="123"/>
      <c r="AM147" s="215"/>
      <c r="AN147" s="215"/>
    </row>
    <row r="148" spans="1:40" ht="18" customHeight="1" thickBot="1" x14ac:dyDescent="0.3">
      <c r="B148" s="217" t="s">
        <v>0</v>
      </c>
      <c r="C148" s="218"/>
      <c r="D148" s="218"/>
      <c r="E148" s="221" t="s">
        <v>0</v>
      </c>
      <c r="F148" s="218"/>
      <c r="G148" s="218"/>
      <c r="H148" s="218"/>
      <c r="I148" s="218"/>
      <c r="J148" s="218"/>
      <c r="K148" s="218" t="s">
        <v>0</v>
      </c>
      <c r="L148" s="218"/>
      <c r="M148" s="218"/>
      <c r="N148" s="218"/>
      <c r="O148" s="218"/>
      <c r="P148" s="218"/>
      <c r="Q148" s="218"/>
      <c r="R148" s="218"/>
      <c r="S148" s="218"/>
      <c r="T148" s="220"/>
      <c r="AH148" s="1"/>
      <c r="AJ148" s="123"/>
      <c r="AK148" s="123"/>
      <c r="AL148" s="123"/>
      <c r="AM148" s="215"/>
      <c r="AN148" s="215"/>
    </row>
    <row r="149" spans="1:40" ht="18" customHeight="1" thickBot="1" x14ac:dyDescent="0.3">
      <c r="B149" s="217" t="s">
        <v>0</v>
      </c>
      <c r="C149" s="218"/>
      <c r="D149" s="218"/>
      <c r="E149" s="221" t="s">
        <v>0</v>
      </c>
      <c r="F149" s="218"/>
      <c r="G149" s="218"/>
      <c r="H149" s="218"/>
      <c r="I149" s="218"/>
      <c r="J149" s="218"/>
      <c r="K149" s="218" t="s">
        <v>0</v>
      </c>
      <c r="L149" s="229"/>
      <c r="M149" s="229"/>
      <c r="N149" s="229"/>
      <c r="O149" s="229"/>
      <c r="P149" s="229"/>
      <c r="Q149" s="229"/>
      <c r="R149" s="229"/>
      <c r="S149" s="229"/>
      <c r="T149" s="230"/>
      <c r="U149" s="108"/>
      <c r="V149" s="108"/>
      <c r="AH149" s="1"/>
      <c r="AJ149" s="123"/>
      <c r="AK149" s="123"/>
      <c r="AL149" s="123"/>
      <c r="AM149" s="215"/>
      <c r="AN149" s="215"/>
    </row>
    <row r="150" spans="1:40" ht="18" customHeight="1" thickBot="1" x14ac:dyDescent="0.25">
      <c r="T150" s="108"/>
      <c r="U150" s="108"/>
      <c r="V150" s="108"/>
      <c r="AH150" s="1"/>
      <c r="AJ150" s="123"/>
      <c r="AK150" s="123"/>
      <c r="AL150" s="123"/>
      <c r="AM150" s="215"/>
      <c r="AN150" s="215"/>
    </row>
    <row r="151" spans="1:40" ht="18" customHeight="1" thickBot="1" x14ac:dyDescent="0.25">
      <c r="B151" s="2948" t="s">
        <v>448</v>
      </c>
      <c r="C151" s="2706">
        <v>1</v>
      </c>
      <c r="D151" s="2706">
        <v>2</v>
      </c>
      <c r="E151" s="2706">
        <v>3</v>
      </c>
      <c r="F151" s="2706">
        <v>4</v>
      </c>
      <c r="G151" s="2707">
        <v>5</v>
      </c>
      <c r="H151" s="2707">
        <v>6</v>
      </c>
      <c r="I151" s="2706">
        <v>7</v>
      </c>
      <c r="J151" s="2706">
        <v>8</v>
      </c>
      <c r="K151" s="2706">
        <v>9</v>
      </c>
      <c r="L151" s="2706">
        <v>10</v>
      </c>
      <c r="M151" s="2706">
        <v>11</v>
      </c>
      <c r="N151" s="2707">
        <v>12</v>
      </c>
      <c r="O151" s="2707">
        <v>13</v>
      </c>
      <c r="P151" s="2706">
        <v>14</v>
      </c>
      <c r="Q151" s="2706">
        <v>15</v>
      </c>
      <c r="R151" s="2706">
        <v>16</v>
      </c>
      <c r="S151" s="2706">
        <v>17</v>
      </c>
      <c r="T151" s="2706">
        <v>18</v>
      </c>
      <c r="U151" s="2707">
        <v>19</v>
      </c>
      <c r="V151" s="2707">
        <v>20</v>
      </c>
      <c r="W151" s="2706">
        <v>21</v>
      </c>
      <c r="X151" s="2706">
        <v>22</v>
      </c>
      <c r="Y151" s="2706">
        <v>23</v>
      </c>
      <c r="Z151" s="2706">
        <v>24</v>
      </c>
      <c r="AA151" s="2706">
        <v>25</v>
      </c>
      <c r="AB151" s="2707">
        <v>26</v>
      </c>
      <c r="AC151" s="2707">
        <v>27</v>
      </c>
      <c r="AD151" s="2706">
        <v>28</v>
      </c>
      <c r="AE151" s="2706">
        <v>29</v>
      </c>
      <c r="AF151" s="2706">
        <v>30</v>
      </c>
      <c r="AG151" s="2706">
        <v>31</v>
      </c>
      <c r="AH151" s="1"/>
      <c r="AJ151" s="123"/>
      <c r="AK151" s="123"/>
      <c r="AL151" s="123"/>
      <c r="AM151" s="215"/>
      <c r="AN151" s="215"/>
    </row>
    <row r="152" spans="1:40" ht="18" customHeight="1" x14ac:dyDescent="0.2">
      <c r="B152" s="2949" t="s">
        <v>0</v>
      </c>
      <c r="C152" s="635" t="s">
        <v>475</v>
      </c>
      <c r="D152" s="635" t="s">
        <v>475</v>
      </c>
      <c r="E152" s="635" t="s">
        <v>475</v>
      </c>
      <c r="F152" s="635" t="s">
        <v>475</v>
      </c>
      <c r="G152" s="636" t="s">
        <v>0</v>
      </c>
      <c r="H152" s="636" t="s">
        <v>0</v>
      </c>
      <c r="I152" s="636" t="s">
        <v>50</v>
      </c>
      <c r="J152" s="636" t="s">
        <v>50</v>
      </c>
      <c r="K152" s="636" t="s">
        <v>50</v>
      </c>
      <c r="L152" s="636" t="s">
        <v>50</v>
      </c>
      <c r="M152" s="636" t="s">
        <v>50</v>
      </c>
      <c r="N152" s="636"/>
      <c r="O152" s="635"/>
      <c r="P152" s="635" t="s">
        <v>475</v>
      </c>
      <c r="Q152" s="635" t="s">
        <v>475</v>
      </c>
      <c r="R152" s="635" t="s">
        <v>475</v>
      </c>
      <c r="S152" s="635" t="s">
        <v>475</v>
      </c>
      <c r="T152" s="635" t="s">
        <v>475</v>
      </c>
      <c r="U152" s="636" t="s">
        <v>0</v>
      </c>
      <c r="V152" s="636" t="s">
        <v>0</v>
      </c>
      <c r="W152" s="636" t="s">
        <v>50</v>
      </c>
      <c r="X152" s="636" t="s">
        <v>50</v>
      </c>
      <c r="Y152" s="636" t="s">
        <v>50</v>
      </c>
      <c r="Z152" s="636" t="s">
        <v>50</v>
      </c>
      <c r="AA152" s="636" t="s">
        <v>50</v>
      </c>
      <c r="AB152" s="636"/>
      <c r="AC152" s="635"/>
      <c r="AD152" s="635" t="s">
        <v>475</v>
      </c>
      <c r="AE152" s="635" t="s">
        <v>475</v>
      </c>
      <c r="AF152" s="635" t="s">
        <v>475</v>
      </c>
      <c r="AG152" s="635" t="s">
        <v>475</v>
      </c>
      <c r="AH152" s="1"/>
      <c r="AJ152" s="123"/>
      <c r="AK152" s="123"/>
      <c r="AL152" s="123"/>
      <c r="AM152" s="215"/>
      <c r="AN152" s="215"/>
    </row>
    <row r="153" spans="1:40" ht="18" customHeight="1" x14ac:dyDescent="0.2">
      <c r="B153" s="863" t="s">
        <v>0</v>
      </c>
      <c r="C153" s="636" t="s">
        <v>50</v>
      </c>
      <c r="D153" s="636" t="s">
        <v>50</v>
      </c>
      <c r="E153" s="636" t="s">
        <v>50</v>
      </c>
      <c r="F153" s="636" t="s">
        <v>50</v>
      </c>
      <c r="G153" s="636" t="s">
        <v>50</v>
      </c>
      <c r="H153" s="636" t="s">
        <v>50</v>
      </c>
      <c r="I153" s="635" t="s">
        <v>475</v>
      </c>
      <c r="J153" s="635" t="s">
        <v>475</v>
      </c>
      <c r="K153" s="635" t="s">
        <v>475</v>
      </c>
      <c r="L153" s="635" t="s">
        <v>475</v>
      </c>
      <c r="M153" s="635" t="s">
        <v>475</v>
      </c>
      <c r="N153" s="636" t="s">
        <v>0</v>
      </c>
      <c r="O153" s="635"/>
      <c r="P153" s="636" t="s">
        <v>50</v>
      </c>
      <c r="Q153" s="636" t="s">
        <v>50</v>
      </c>
      <c r="R153" s="636" t="s">
        <v>50</v>
      </c>
      <c r="S153" s="636" t="s">
        <v>50</v>
      </c>
      <c r="T153" s="636" t="s">
        <v>50</v>
      </c>
      <c r="U153" s="636" t="s">
        <v>0</v>
      </c>
      <c r="V153" s="636" t="s">
        <v>0</v>
      </c>
      <c r="W153" s="635" t="s">
        <v>475</v>
      </c>
      <c r="X153" s="635" t="s">
        <v>475</v>
      </c>
      <c r="Y153" s="635" t="s">
        <v>475</v>
      </c>
      <c r="Z153" s="635" t="s">
        <v>475</v>
      </c>
      <c r="AA153" s="635" t="s">
        <v>475</v>
      </c>
      <c r="AB153" s="636" t="s">
        <v>0</v>
      </c>
      <c r="AC153" s="636" t="s">
        <v>0</v>
      </c>
      <c r="AD153" s="636" t="s">
        <v>50</v>
      </c>
      <c r="AE153" s="636" t="s">
        <v>50</v>
      </c>
      <c r="AF153" s="636" t="s">
        <v>50</v>
      </c>
      <c r="AG153" s="636" t="s">
        <v>50</v>
      </c>
      <c r="AH153" s="1"/>
      <c r="AJ153" s="123"/>
      <c r="AK153" s="123"/>
      <c r="AL153" s="123"/>
      <c r="AM153" s="215"/>
      <c r="AN153" s="215"/>
    </row>
    <row r="154" spans="1:40" ht="18" customHeight="1" thickBot="1" x14ac:dyDescent="0.25">
      <c r="B154" s="864" t="s">
        <v>0</v>
      </c>
      <c r="C154" s="1363" t="s">
        <v>50</v>
      </c>
      <c r="D154" s="1363" t="s">
        <v>50</v>
      </c>
      <c r="E154" s="1363" t="s">
        <v>50</v>
      </c>
      <c r="F154" s="1363" t="s">
        <v>504</v>
      </c>
      <c r="G154" s="1363" t="s">
        <v>505</v>
      </c>
      <c r="H154" s="1363" t="s">
        <v>506</v>
      </c>
      <c r="I154" s="1363" t="s">
        <v>50</v>
      </c>
      <c r="J154" s="1363" t="s">
        <v>50</v>
      </c>
      <c r="K154" s="1363" t="s">
        <v>50</v>
      </c>
      <c r="L154" s="1363" t="s">
        <v>50</v>
      </c>
      <c r="M154" s="1363" t="s">
        <v>504</v>
      </c>
      <c r="N154" s="1363" t="s">
        <v>505</v>
      </c>
      <c r="O154" s="1363" t="s">
        <v>506</v>
      </c>
      <c r="P154" s="1363" t="s">
        <v>50</v>
      </c>
      <c r="Q154" s="1363" t="s">
        <v>50</v>
      </c>
      <c r="R154" s="1363" t="s">
        <v>50</v>
      </c>
      <c r="S154" s="1363" t="s">
        <v>50</v>
      </c>
      <c r="T154" s="1363" t="s">
        <v>504</v>
      </c>
      <c r="U154" s="1363" t="s">
        <v>505</v>
      </c>
      <c r="V154" s="1363" t="s">
        <v>506</v>
      </c>
      <c r="W154" s="1363" t="s">
        <v>50</v>
      </c>
      <c r="X154" s="1363" t="s">
        <v>50</v>
      </c>
      <c r="Y154" s="1363" t="s">
        <v>50</v>
      </c>
      <c r="Z154" s="1363" t="s">
        <v>50</v>
      </c>
      <c r="AA154" s="1363" t="s">
        <v>504</v>
      </c>
      <c r="AB154" s="1363" t="s">
        <v>505</v>
      </c>
      <c r="AC154" s="1363" t="s">
        <v>506</v>
      </c>
      <c r="AD154" s="1363" t="s">
        <v>50</v>
      </c>
      <c r="AE154" s="1363" t="s">
        <v>50</v>
      </c>
      <c r="AF154" s="1363" t="s">
        <v>50</v>
      </c>
      <c r="AG154" s="1363" t="s">
        <v>50</v>
      </c>
      <c r="AH154" s="1"/>
    </row>
    <row r="155" spans="1:40" ht="18" customHeight="1" thickBot="1" x14ac:dyDescent="0.25">
      <c r="A155" s="129"/>
      <c r="B155" s="123"/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  <c r="Y155" s="130"/>
      <c r="Z155" s="130"/>
      <c r="AA155" s="130"/>
      <c r="AB155" s="130"/>
      <c r="AC155" s="130"/>
      <c r="AD155" s="130"/>
      <c r="AE155" s="130"/>
      <c r="AF155" s="130"/>
      <c r="AG155" s="131"/>
      <c r="AH155" s="132"/>
      <c r="AI155" s="116"/>
    </row>
    <row r="156" spans="1:40" ht="18" customHeight="1" x14ac:dyDescent="0.2">
      <c r="A156" s="48"/>
      <c r="B156" s="2952" t="s">
        <v>247</v>
      </c>
      <c r="C156" s="2953"/>
      <c r="D156" s="2954" t="s">
        <v>17</v>
      </c>
      <c r="E156" s="2955"/>
      <c r="F156" s="2953"/>
      <c r="G156" s="2956" t="s">
        <v>18</v>
      </c>
      <c r="H156" s="2957"/>
      <c r="I156" s="2958"/>
      <c r="J156" s="2956" t="s">
        <v>19</v>
      </c>
      <c r="K156" s="2959"/>
      <c r="L156" s="2958"/>
      <c r="M156" s="2960" t="s">
        <v>20</v>
      </c>
      <c r="N156" s="2959"/>
      <c r="O156" s="2958"/>
      <c r="P156" s="2956" t="s">
        <v>21</v>
      </c>
      <c r="Q156" s="2961"/>
      <c r="R156" s="2958"/>
      <c r="S156" s="2956" t="s">
        <v>22</v>
      </c>
      <c r="T156" s="2962"/>
      <c r="U156" s="2958"/>
      <c r="V156" s="2956" t="s">
        <v>23</v>
      </c>
      <c r="W156" s="2961"/>
      <c r="X156" s="2963" t="s">
        <v>234</v>
      </c>
      <c r="Y156" s="2964"/>
      <c r="Z156" s="2964"/>
      <c r="AA156" s="2965"/>
      <c r="AB156" s="2966" t="s">
        <v>126</v>
      </c>
      <c r="AC156" s="2967"/>
      <c r="AD156" s="2967"/>
      <c r="AE156" s="2968"/>
      <c r="AF156" s="2968"/>
      <c r="AG156" s="2969"/>
      <c r="AH156" s="132"/>
      <c r="AI156" s="116"/>
    </row>
    <row r="157" spans="1:40" ht="18" customHeight="1" x14ac:dyDescent="0.2">
      <c r="A157" s="48"/>
      <c r="B157" s="2539" t="s">
        <v>248</v>
      </c>
      <c r="C157" s="2540" t="s">
        <v>249</v>
      </c>
      <c r="D157" s="2686"/>
      <c r="E157" s="2687"/>
      <c r="F157" s="2540" t="s">
        <v>249</v>
      </c>
      <c r="G157" s="2686"/>
      <c r="H157" s="2687"/>
      <c r="I157" s="2540" t="s">
        <v>249</v>
      </c>
      <c r="J157" s="2686"/>
      <c r="K157" s="2687"/>
      <c r="L157" s="2540" t="s">
        <v>249</v>
      </c>
      <c r="M157" s="2686"/>
      <c r="N157" s="2687"/>
      <c r="O157" s="2540" t="s">
        <v>250</v>
      </c>
      <c r="P157" s="2686"/>
      <c r="Q157" s="2687"/>
      <c r="R157" s="2540"/>
      <c r="S157" s="2686"/>
      <c r="T157" s="2687"/>
      <c r="U157" s="2540"/>
      <c r="V157" s="2686"/>
      <c r="W157" s="2687"/>
      <c r="X157" s="2540"/>
      <c r="Y157" s="2541"/>
      <c r="Z157" s="2541"/>
      <c r="AA157" s="2541"/>
      <c r="AB157" s="2683"/>
      <c r="AC157" s="2541"/>
      <c r="AD157" s="2541"/>
      <c r="AE157" s="2541"/>
      <c r="AF157" s="2541"/>
      <c r="AG157" s="2542"/>
      <c r="AH157" s="132"/>
      <c r="AI157" s="116"/>
    </row>
    <row r="158" spans="1:40" ht="18" customHeight="1" x14ac:dyDescent="0.2">
      <c r="A158" s="48"/>
      <c r="B158" s="4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132"/>
      <c r="AI158" s="116"/>
    </row>
    <row r="159" spans="1:40" ht="18" customHeight="1" thickBot="1" x14ac:dyDescent="0.25">
      <c r="A159" s="2543" t="s">
        <v>43</v>
      </c>
      <c r="B159" s="2817" t="s">
        <v>448</v>
      </c>
      <c r="C159" s="2706">
        <v>1</v>
      </c>
      <c r="D159" s="2706">
        <v>2</v>
      </c>
      <c r="E159" s="2706">
        <v>3</v>
      </c>
      <c r="F159" s="2706">
        <v>4</v>
      </c>
      <c r="G159" s="2707">
        <v>5</v>
      </c>
      <c r="H159" s="2707">
        <v>6</v>
      </c>
      <c r="I159" s="2706">
        <v>7</v>
      </c>
      <c r="J159" s="2706">
        <v>8</v>
      </c>
      <c r="K159" s="2706">
        <v>9</v>
      </c>
      <c r="L159" s="2706">
        <v>10</v>
      </c>
      <c r="M159" s="2706">
        <v>11</v>
      </c>
      <c r="N159" s="2707">
        <v>12</v>
      </c>
      <c r="O159" s="2707">
        <v>13</v>
      </c>
      <c r="P159" s="2706">
        <v>14</v>
      </c>
      <c r="Q159" s="2706">
        <v>15</v>
      </c>
      <c r="R159" s="2706">
        <v>16</v>
      </c>
      <c r="S159" s="2706">
        <v>17</v>
      </c>
      <c r="T159" s="2706">
        <v>18</v>
      </c>
      <c r="U159" s="2707">
        <v>19</v>
      </c>
      <c r="V159" s="2707">
        <v>20</v>
      </c>
      <c r="W159" s="2706">
        <v>21</v>
      </c>
      <c r="X159" s="2706">
        <v>22</v>
      </c>
      <c r="Y159" s="2706">
        <v>23</v>
      </c>
      <c r="Z159" s="2706">
        <v>24</v>
      </c>
      <c r="AA159" s="2706">
        <v>25</v>
      </c>
      <c r="AB159" s="2707">
        <v>26</v>
      </c>
      <c r="AC159" s="2707">
        <v>27</v>
      </c>
      <c r="AD159" s="2706">
        <v>28</v>
      </c>
      <c r="AE159" s="2706">
        <v>29</v>
      </c>
      <c r="AF159" s="2706">
        <v>30</v>
      </c>
      <c r="AG159" s="2706">
        <v>31</v>
      </c>
      <c r="AH159" s="132"/>
      <c r="AI159" s="116"/>
    </row>
    <row r="160" spans="1:40" ht="18" customHeight="1" x14ac:dyDescent="0.2">
      <c r="A160" s="2970">
        <v>8520</v>
      </c>
      <c r="B160" s="2971" t="s">
        <v>251</v>
      </c>
      <c r="C160" s="2764" t="s">
        <v>252</v>
      </c>
      <c r="D160" s="2764" t="s">
        <v>252</v>
      </c>
      <c r="E160" s="2770" t="s">
        <v>252</v>
      </c>
      <c r="F160" s="2764" t="s">
        <v>252</v>
      </c>
      <c r="G160" s="2764"/>
      <c r="H160" s="2764"/>
      <c r="I160" s="2764" t="s">
        <v>252</v>
      </c>
      <c r="J160" s="2764" t="s">
        <v>252</v>
      </c>
      <c r="K160" s="2764" t="s">
        <v>252</v>
      </c>
      <c r="L160" s="2764" t="s">
        <v>252</v>
      </c>
      <c r="M160" s="2712" t="s">
        <v>69</v>
      </c>
      <c r="N160" s="2764"/>
      <c r="O160" s="2764"/>
      <c r="P160" s="2764" t="s">
        <v>252</v>
      </c>
      <c r="Q160" s="2764" t="s">
        <v>252</v>
      </c>
      <c r="R160" s="2764" t="s">
        <v>252</v>
      </c>
      <c r="S160" s="2972" t="s">
        <v>252</v>
      </c>
      <c r="T160" s="2972" t="s">
        <v>252</v>
      </c>
      <c r="U160" s="2764"/>
      <c r="V160" s="2764"/>
      <c r="W160" s="2973" t="s">
        <v>252</v>
      </c>
      <c r="X160" s="2764" t="s">
        <v>252</v>
      </c>
      <c r="Y160" s="2764" t="s">
        <v>252</v>
      </c>
      <c r="Z160" s="2764" t="s">
        <v>252</v>
      </c>
      <c r="AA160" s="2764" t="s">
        <v>252</v>
      </c>
      <c r="AB160" s="2764"/>
      <c r="AC160" s="2764"/>
      <c r="AD160" s="2764" t="s">
        <v>252</v>
      </c>
      <c r="AE160" s="2764" t="s">
        <v>252</v>
      </c>
      <c r="AF160" s="2764" t="s">
        <v>252</v>
      </c>
      <c r="AG160" s="2771" t="s">
        <v>252</v>
      </c>
      <c r="AH160" s="132"/>
      <c r="AI160" s="116"/>
    </row>
    <row r="161" spans="1:35" ht="18" customHeight="1" x14ac:dyDescent="0.2">
      <c r="A161" s="136"/>
      <c r="B161" s="135"/>
      <c r="C161" s="128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28"/>
      <c r="AH161" s="132"/>
      <c r="AI161" s="116"/>
    </row>
    <row r="162" spans="1:35" ht="18" customHeight="1" x14ac:dyDescent="0.2">
      <c r="AH162" s="67"/>
      <c r="AI162" s="67"/>
    </row>
    <row r="163" spans="1:35" ht="18" customHeight="1" x14ac:dyDescent="0.2">
      <c r="A163" s="107" t="s">
        <v>254</v>
      </c>
      <c r="B163" s="108"/>
      <c r="C163" s="108"/>
      <c r="D163" s="109"/>
      <c r="E163" s="109"/>
      <c r="F163" s="109"/>
      <c r="G163" s="65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8"/>
      <c r="AI163" s="108"/>
    </row>
    <row r="164" spans="1:35" ht="18" customHeight="1" x14ac:dyDescent="0.2">
      <c r="A164" s="107"/>
      <c r="B164" s="2952" t="s">
        <v>255</v>
      </c>
      <c r="C164" s="2974"/>
      <c r="D164" s="2975" t="s">
        <v>17</v>
      </c>
      <c r="E164" s="2976"/>
      <c r="F164" s="2977"/>
      <c r="G164" s="2974"/>
      <c r="H164" s="2975" t="s">
        <v>18</v>
      </c>
      <c r="I164" s="2976"/>
      <c r="J164" s="2977"/>
      <c r="K164" s="2974"/>
      <c r="L164" s="2975" t="s">
        <v>19</v>
      </c>
      <c r="M164" s="2976"/>
      <c r="N164" s="2977"/>
      <c r="O164" s="2974"/>
      <c r="P164" s="2975" t="s">
        <v>20</v>
      </c>
      <c r="Q164" s="2976"/>
      <c r="R164" s="2977"/>
      <c r="S164" s="2974"/>
      <c r="T164" s="2975" t="s">
        <v>21</v>
      </c>
      <c r="U164" s="2976"/>
      <c r="V164" s="2977"/>
      <c r="W164" s="2974"/>
      <c r="X164" s="2975" t="s">
        <v>22</v>
      </c>
      <c r="Y164" s="2976"/>
      <c r="Z164" s="2977"/>
      <c r="AA164" s="2974"/>
      <c r="AB164" s="2975" t="s">
        <v>23</v>
      </c>
      <c r="AC164" s="2976"/>
      <c r="AD164" s="2976"/>
      <c r="AE164" s="2978" t="s">
        <v>126</v>
      </c>
      <c r="AF164" s="2976"/>
      <c r="AG164" s="2976"/>
      <c r="AH164" s="2976"/>
      <c r="AI164" s="2979"/>
    </row>
    <row r="165" spans="1:35" ht="18" customHeight="1" x14ac:dyDescent="0.2">
      <c r="A165" s="107"/>
      <c r="B165" s="2552" t="s">
        <v>235</v>
      </c>
      <c r="C165" s="2553">
        <v>69</v>
      </c>
      <c r="D165" s="2554" t="s">
        <v>256</v>
      </c>
      <c r="E165" s="2554"/>
      <c r="F165" s="2555"/>
      <c r="G165" s="2553">
        <v>69</v>
      </c>
      <c r="H165" s="2554" t="s">
        <v>256</v>
      </c>
      <c r="I165" s="2554"/>
      <c r="J165" s="2555"/>
      <c r="K165" s="2553">
        <v>69</v>
      </c>
      <c r="L165" s="2554" t="s">
        <v>256</v>
      </c>
      <c r="M165" s="2554"/>
      <c r="N165" s="2555"/>
      <c r="O165" s="2553">
        <v>69</v>
      </c>
      <c r="P165" s="2554" t="s">
        <v>256</v>
      </c>
      <c r="Q165" s="2554"/>
      <c r="R165" s="2555"/>
      <c r="S165" s="2553">
        <v>69</v>
      </c>
      <c r="T165" s="2554" t="s">
        <v>256</v>
      </c>
      <c r="U165" s="2554"/>
      <c r="V165" s="2555"/>
      <c r="W165" s="2553"/>
      <c r="X165" s="2556"/>
      <c r="Y165" s="2556"/>
      <c r="Z165" s="2557"/>
      <c r="AA165" s="2553"/>
      <c r="AB165" s="2554"/>
      <c r="AC165" s="2554"/>
      <c r="AD165" s="2856"/>
      <c r="AE165" s="2558">
        <v>35</v>
      </c>
      <c r="AF165" s="2554"/>
      <c r="AG165" s="2554"/>
      <c r="AH165" s="2856"/>
      <c r="AI165" s="2559"/>
    </row>
    <row r="166" spans="1:35" ht="18" customHeight="1" x14ac:dyDescent="0.2">
      <c r="A166" s="107"/>
      <c r="B166" s="2552" t="s">
        <v>236</v>
      </c>
      <c r="C166" s="2553">
        <v>79</v>
      </c>
      <c r="D166" s="2554" t="s">
        <v>257</v>
      </c>
      <c r="E166" s="2554"/>
      <c r="F166" s="2555"/>
      <c r="G166" s="2553">
        <v>79</v>
      </c>
      <c r="H166" s="2554" t="s">
        <v>257</v>
      </c>
      <c r="I166" s="2554"/>
      <c r="J166" s="2555"/>
      <c r="K166" s="2553">
        <v>79</v>
      </c>
      <c r="L166" s="2554" t="s">
        <v>257</v>
      </c>
      <c r="M166" s="2554"/>
      <c r="N166" s="2555"/>
      <c r="O166" s="2553">
        <v>79</v>
      </c>
      <c r="P166" s="2554" t="s">
        <v>257</v>
      </c>
      <c r="Q166" s="2554"/>
      <c r="R166" s="2555"/>
      <c r="S166" s="2553">
        <v>79</v>
      </c>
      <c r="T166" s="2554" t="s">
        <v>257</v>
      </c>
      <c r="U166" s="2554"/>
      <c r="V166" s="2555"/>
      <c r="W166" s="2553"/>
      <c r="X166" s="2554"/>
      <c r="Y166" s="2554"/>
      <c r="Z166" s="2555"/>
      <c r="AA166" s="2554"/>
      <c r="AB166" s="2554"/>
      <c r="AC166" s="2554"/>
      <c r="AD166" s="2856"/>
      <c r="AE166" s="2558">
        <v>40</v>
      </c>
      <c r="AF166" s="2554"/>
      <c r="AG166" s="2554"/>
      <c r="AH166" s="2856"/>
      <c r="AI166" s="2559"/>
    </row>
    <row r="167" spans="1:35" ht="18" customHeight="1" x14ac:dyDescent="0.2">
      <c r="A167" s="107"/>
      <c r="B167" s="2552" t="s">
        <v>243</v>
      </c>
      <c r="C167" s="2553">
        <v>89</v>
      </c>
      <c r="D167" s="2554" t="s">
        <v>258</v>
      </c>
      <c r="E167" s="2554"/>
      <c r="F167" s="2555"/>
      <c r="G167" s="2553">
        <v>89</v>
      </c>
      <c r="H167" s="2554" t="s">
        <v>258</v>
      </c>
      <c r="I167" s="2554"/>
      <c r="J167" s="2555"/>
      <c r="K167" s="2553">
        <v>89</v>
      </c>
      <c r="L167" s="2554" t="s">
        <v>258</v>
      </c>
      <c r="M167" s="2554"/>
      <c r="N167" s="2555"/>
      <c r="O167" s="2553">
        <v>89</v>
      </c>
      <c r="P167" s="2554" t="s">
        <v>258</v>
      </c>
      <c r="Q167" s="2554"/>
      <c r="R167" s="2555"/>
      <c r="S167" s="2553">
        <v>89</v>
      </c>
      <c r="T167" s="2554" t="s">
        <v>259</v>
      </c>
      <c r="U167" s="2554"/>
      <c r="V167" s="2555"/>
      <c r="W167" s="2560"/>
      <c r="X167" s="2561" t="s">
        <v>260</v>
      </c>
      <c r="Y167" s="2561"/>
      <c r="Z167" s="2562"/>
      <c r="AA167" s="2560"/>
      <c r="AB167" s="2561"/>
      <c r="AC167" s="2561"/>
      <c r="AD167" s="2858"/>
      <c r="AE167" s="2558">
        <v>44</v>
      </c>
      <c r="AF167" s="2554"/>
      <c r="AG167" s="2554"/>
      <c r="AH167" s="2856"/>
      <c r="AI167" s="2559"/>
    </row>
    <row r="168" spans="1:35" ht="18" customHeight="1" x14ac:dyDescent="0.2">
      <c r="A168" s="107"/>
      <c r="B168" s="19" t="s">
        <v>245</v>
      </c>
      <c r="C168" s="2560">
        <v>99</v>
      </c>
      <c r="D168" s="2561" t="s">
        <v>261</v>
      </c>
      <c r="E168" s="2561"/>
      <c r="F168" s="2562"/>
      <c r="G168" s="2560">
        <v>99</v>
      </c>
      <c r="H168" s="2561" t="s">
        <v>261</v>
      </c>
      <c r="I168" s="2561"/>
      <c r="J168" s="2562"/>
      <c r="K168" s="2560">
        <v>99</v>
      </c>
      <c r="L168" s="2561" t="s">
        <v>261</v>
      </c>
      <c r="M168" s="2561"/>
      <c r="N168" s="2562"/>
      <c r="O168" s="2560">
        <v>99</v>
      </c>
      <c r="P168" s="2561" t="s">
        <v>261</v>
      </c>
      <c r="Q168" s="2561"/>
      <c r="R168" s="2562"/>
      <c r="S168" s="2560">
        <v>99</v>
      </c>
      <c r="T168" s="2561" t="s">
        <v>244</v>
      </c>
      <c r="U168" s="2561"/>
      <c r="V168" s="2858"/>
      <c r="W168" s="2857"/>
      <c r="X168" s="2858"/>
      <c r="Y168" s="2561"/>
      <c r="Z168" s="2562"/>
      <c r="AA168" s="2857"/>
      <c r="AB168" s="2858"/>
      <c r="AC168" s="2561"/>
      <c r="AD168" s="2562"/>
      <c r="AE168" s="2563">
        <v>28</v>
      </c>
      <c r="AF168" s="2561"/>
      <c r="AG168" s="2561"/>
      <c r="AH168" s="2858"/>
      <c r="AI168" s="2564"/>
    </row>
    <row r="169" spans="1:35" ht="18" customHeight="1" x14ac:dyDescent="0.2">
      <c r="A169" s="107"/>
      <c r="B169" s="2565" t="s">
        <v>262</v>
      </c>
      <c r="C169" s="2566" t="s">
        <v>77</v>
      </c>
      <c r="D169" s="2567" t="s">
        <v>263</v>
      </c>
      <c r="E169" s="2568"/>
      <c r="F169" s="2810"/>
      <c r="G169" s="2566" t="s">
        <v>77</v>
      </c>
      <c r="H169" s="2567" t="s">
        <v>263</v>
      </c>
      <c r="I169" s="2808"/>
      <c r="J169" s="2568"/>
      <c r="K169" s="2566" t="s">
        <v>77</v>
      </c>
      <c r="L169" s="2567" t="s">
        <v>263</v>
      </c>
      <c r="M169" s="2568"/>
      <c r="N169" s="2569"/>
      <c r="O169" s="2566" t="s">
        <v>77</v>
      </c>
      <c r="P169" s="2567" t="s">
        <v>263</v>
      </c>
      <c r="Q169" s="2568"/>
      <c r="R169" s="2567"/>
      <c r="S169" s="2566" t="s">
        <v>77</v>
      </c>
      <c r="T169" s="2812" t="s">
        <v>264</v>
      </c>
      <c r="U169" s="2567"/>
      <c r="V169" s="2569"/>
      <c r="W169" s="2568"/>
      <c r="X169" s="2567"/>
      <c r="Y169" s="2567"/>
      <c r="Z169" s="2567"/>
      <c r="AA169" s="2570"/>
      <c r="AB169" s="2571"/>
      <c r="AC169" s="2567"/>
      <c r="AD169" s="2572"/>
      <c r="AE169" s="2567"/>
      <c r="AF169" s="2567"/>
      <c r="AG169" s="2567"/>
      <c r="AH169" s="2573"/>
      <c r="AI169" s="2574"/>
    </row>
    <row r="170" spans="1:35" ht="18" customHeight="1" x14ac:dyDescent="0.2">
      <c r="A170" s="68"/>
      <c r="B170" s="107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8"/>
      <c r="AI170" s="108"/>
    </row>
    <row r="171" spans="1:35" ht="18" customHeight="1" thickBot="1" x14ac:dyDescent="0.25">
      <c r="A171" s="2543"/>
      <c r="B171" s="2817" t="s">
        <v>448</v>
      </c>
      <c r="C171" s="2706">
        <v>1</v>
      </c>
      <c r="D171" s="2706">
        <v>2</v>
      </c>
      <c r="E171" s="2706">
        <v>3</v>
      </c>
      <c r="F171" s="2706">
        <v>4</v>
      </c>
      <c r="G171" s="2707">
        <v>5</v>
      </c>
      <c r="H171" s="2707">
        <v>6</v>
      </c>
      <c r="I171" s="2706">
        <v>7</v>
      </c>
      <c r="J171" s="2706">
        <v>8</v>
      </c>
      <c r="K171" s="2706">
        <v>9</v>
      </c>
      <c r="L171" s="2706">
        <v>10</v>
      </c>
      <c r="M171" s="2706">
        <v>11</v>
      </c>
      <c r="N171" s="2707">
        <v>12</v>
      </c>
      <c r="O171" s="2707">
        <v>13</v>
      </c>
      <c r="P171" s="2706">
        <v>14</v>
      </c>
      <c r="Q171" s="2706">
        <v>15</v>
      </c>
      <c r="R171" s="2706">
        <v>16</v>
      </c>
      <c r="S171" s="2706">
        <v>17</v>
      </c>
      <c r="T171" s="2706">
        <v>18</v>
      </c>
      <c r="U171" s="2707">
        <v>19</v>
      </c>
      <c r="V171" s="2707">
        <v>20</v>
      </c>
      <c r="W171" s="2706">
        <v>21</v>
      </c>
      <c r="X171" s="2706">
        <v>22</v>
      </c>
      <c r="Y171" s="2706">
        <v>23</v>
      </c>
      <c r="Z171" s="2706">
        <v>24</v>
      </c>
      <c r="AA171" s="2706">
        <v>25</v>
      </c>
      <c r="AB171" s="2707">
        <v>26</v>
      </c>
      <c r="AC171" s="2707">
        <v>27</v>
      </c>
      <c r="AD171" s="2706">
        <v>28</v>
      </c>
      <c r="AE171" s="2706">
        <v>29</v>
      </c>
      <c r="AF171" s="2706">
        <v>30</v>
      </c>
      <c r="AG171" s="2706">
        <v>31</v>
      </c>
      <c r="AH171" s="110"/>
      <c r="AI171" s="111"/>
    </row>
    <row r="172" spans="1:35" ht="18" customHeight="1" thickBot="1" x14ac:dyDescent="0.25">
      <c r="A172" s="2980">
        <v>1</v>
      </c>
      <c r="B172" s="2981" t="s">
        <v>265</v>
      </c>
      <c r="C172" s="2766">
        <v>69</v>
      </c>
      <c r="D172" s="2769">
        <v>69</v>
      </c>
      <c r="E172" s="2982">
        <v>69</v>
      </c>
      <c r="F172" s="2764">
        <v>69</v>
      </c>
      <c r="G172" s="2765"/>
      <c r="H172" s="2766"/>
      <c r="I172" s="2765">
        <v>79</v>
      </c>
      <c r="J172" s="2765">
        <v>79</v>
      </c>
      <c r="K172" s="2766">
        <v>79</v>
      </c>
      <c r="L172" s="2765">
        <v>79</v>
      </c>
      <c r="M172" s="2983">
        <v>79</v>
      </c>
      <c r="N172" s="2766"/>
      <c r="O172" s="2766"/>
      <c r="P172" s="2766">
        <v>89</v>
      </c>
      <c r="Q172" s="2766">
        <v>89</v>
      </c>
      <c r="R172" s="2766">
        <v>89</v>
      </c>
      <c r="S172" s="2764">
        <v>89</v>
      </c>
      <c r="T172" s="2764">
        <v>89</v>
      </c>
      <c r="U172" s="2766">
        <v>89</v>
      </c>
      <c r="V172" s="2766"/>
      <c r="W172" s="2984" t="s">
        <v>498</v>
      </c>
      <c r="X172" s="2766">
        <v>99</v>
      </c>
      <c r="Y172" s="2766">
        <v>99</v>
      </c>
      <c r="Z172" s="2766">
        <v>99</v>
      </c>
      <c r="AA172" s="2765" t="s">
        <v>50</v>
      </c>
      <c r="AB172" s="2766"/>
      <c r="AC172" s="2766"/>
      <c r="AD172" s="2766" t="s">
        <v>77</v>
      </c>
      <c r="AE172" s="2766" t="s">
        <v>77</v>
      </c>
      <c r="AF172" s="2765" t="s">
        <v>77</v>
      </c>
      <c r="AG172" s="2819" t="s">
        <v>77</v>
      </c>
      <c r="AH172" s="124"/>
      <c r="AI172" s="67"/>
    </row>
    <row r="173" spans="1:35" ht="18" customHeight="1" thickBot="1" x14ac:dyDescent="0.25">
      <c r="A173" s="2575">
        <v>2</v>
      </c>
      <c r="B173" s="2576" t="s">
        <v>266</v>
      </c>
      <c r="C173" s="2725">
        <v>79</v>
      </c>
      <c r="D173" s="2718">
        <v>79</v>
      </c>
      <c r="E173" s="2779">
        <v>79</v>
      </c>
      <c r="F173" s="2578">
        <v>79</v>
      </c>
      <c r="G173" s="2725"/>
      <c r="H173" s="2738"/>
      <c r="I173" s="2723">
        <v>89</v>
      </c>
      <c r="J173" s="2738">
        <v>89</v>
      </c>
      <c r="K173" s="2738">
        <v>89</v>
      </c>
      <c r="L173" s="2982">
        <v>89</v>
      </c>
      <c r="M173" s="2712">
        <v>89</v>
      </c>
      <c r="N173" s="2738">
        <v>89</v>
      </c>
      <c r="O173" s="2738"/>
      <c r="P173" s="2738">
        <v>99</v>
      </c>
      <c r="Q173" s="2738">
        <v>99</v>
      </c>
      <c r="R173" s="2720">
        <v>99</v>
      </c>
      <c r="S173" s="2720">
        <v>99</v>
      </c>
      <c r="T173" s="2718" t="s">
        <v>50</v>
      </c>
      <c r="U173" s="2738"/>
      <c r="V173" s="2738"/>
      <c r="W173" s="2984" t="s">
        <v>77</v>
      </c>
      <c r="X173" s="2738" t="s">
        <v>77</v>
      </c>
      <c r="Y173" s="2738" t="s">
        <v>77</v>
      </c>
      <c r="Z173" s="2738" t="s">
        <v>77</v>
      </c>
      <c r="AA173" s="2718" t="s">
        <v>77</v>
      </c>
      <c r="AB173" s="2723"/>
      <c r="AC173" s="2734"/>
      <c r="AD173" s="2734">
        <v>69</v>
      </c>
      <c r="AE173" s="2734">
        <v>69</v>
      </c>
      <c r="AF173" s="2734">
        <v>69</v>
      </c>
      <c r="AG173" s="2442">
        <v>69</v>
      </c>
      <c r="AH173" s="125"/>
      <c r="AI173" s="106"/>
    </row>
    <row r="174" spans="1:35" ht="18" customHeight="1" thickBot="1" x14ac:dyDescent="0.25">
      <c r="A174" s="2575">
        <v>3</v>
      </c>
      <c r="B174" s="2576" t="s">
        <v>267</v>
      </c>
      <c r="C174" s="2774">
        <v>89</v>
      </c>
      <c r="D174" s="2718">
        <v>89</v>
      </c>
      <c r="E174" s="2982">
        <v>89</v>
      </c>
      <c r="F174" s="2779">
        <v>89</v>
      </c>
      <c r="G174" s="2723">
        <v>89</v>
      </c>
      <c r="H174" s="2579"/>
      <c r="I174" s="2723">
        <v>99</v>
      </c>
      <c r="J174" s="2579">
        <v>99</v>
      </c>
      <c r="K174" s="2579">
        <v>99</v>
      </c>
      <c r="L174" s="2982">
        <v>99</v>
      </c>
      <c r="M174" s="2712" t="s">
        <v>50</v>
      </c>
      <c r="N174" s="2738"/>
      <c r="O174" s="2734"/>
      <c r="P174" s="2985" t="s">
        <v>77</v>
      </c>
      <c r="Q174" s="2985" t="s">
        <v>77</v>
      </c>
      <c r="R174" s="2734" t="s">
        <v>77</v>
      </c>
      <c r="S174" s="2734" t="s">
        <v>77</v>
      </c>
      <c r="T174" s="2734" t="s">
        <v>77</v>
      </c>
      <c r="U174" s="2734"/>
      <c r="V174" s="2767"/>
      <c r="W174" s="2767">
        <v>69</v>
      </c>
      <c r="X174" s="2774">
        <v>69</v>
      </c>
      <c r="Y174" s="2774">
        <v>69</v>
      </c>
      <c r="Z174" s="2579">
        <v>69</v>
      </c>
      <c r="AA174" s="2986">
        <v>69</v>
      </c>
      <c r="AB174" s="2579"/>
      <c r="AC174" s="2579"/>
      <c r="AD174" s="2579">
        <v>79</v>
      </c>
      <c r="AE174" s="2579">
        <v>79</v>
      </c>
      <c r="AF174" s="2579">
        <v>79</v>
      </c>
      <c r="AG174" s="2583">
        <v>79</v>
      </c>
      <c r="AH174" s="124"/>
      <c r="AI174" s="67"/>
    </row>
    <row r="175" spans="1:35" ht="18" customHeight="1" thickBot="1" x14ac:dyDescent="0.25">
      <c r="A175" s="2575">
        <v>4</v>
      </c>
      <c r="B175" s="2576" t="s">
        <v>269</v>
      </c>
      <c r="C175" s="2779">
        <v>99</v>
      </c>
      <c r="D175" s="2779">
        <v>99</v>
      </c>
      <c r="E175" s="2779">
        <v>79</v>
      </c>
      <c r="F175" s="2718" t="s">
        <v>50</v>
      </c>
      <c r="G175" s="2718"/>
      <c r="H175" s="2718"/>
      <c r="I175" s="2723" t="s">
        <v>77</v>
      </c>
      <c r="J175" s="2718" t="s">
        <v>77</v>
      </c>
      <c r="K175" s="2718" t="s">
        <v>77</v>
      </c>
      <c r="L175" s="2982" t="s">
        <v>77</v>
      </c>
      <c r="M175" s="2712" t="s">
        <v>77</v>
      </c>
      <c r="N175" s="2738"/>
      <c r="O175" s="2718"/>
      <c r="P175" s="2718">
        <v>69</v>
      </c>
      <c r="Q175" s="2506">
        <v>69</v>
      </c>
      <c r="R175" s="2506">
        <v>69</v>
      </c>
      <c r="S175" s="2718">
        <v>69</v>
      </c>
      <c r="T175" s="2718">
        <v>69</v>
      </c>
      <c r="U175" s="2718"/>
      <c r="V175" s="2718"/>
      <c r="W175" s="2718">
        <v>79</v>
      </c>
      <c r="X175" s="2718">
        <v>79</v>
      </c>
      <c r="Y175" s="2506">
        <v>79</v>
      </c>
      <c r="Z175" s="2506">
        <v>79</v>
      </c>
      <c r="AA175" s="2718">
        <v>79</v>
      </c>
      <c r="AB175" s="2718"/>
      <c r="AC175" s="2718"/>
      <c r="AD175" s="2718">
        <v>89</v>
      </c>
      <c r="AE175" s="2718">
        <v>89</v>
      </c>
      <c r="AF175" s="2506">
        <v>89</v>
      </c>
      <c r="AG175" s="2442">
        <v>89</v>
      </c>
      <c r="AH175" s="124"/>
      <c r="AI175" s="67"/>
    </row>
    <row r="176" spans="1:35" ht="18" customHeight="1" thickBot="1" x14ac:dyDescent="0.25">
      <c r="A176" s="2584">
        <v>5</v>
      </c>
      <c r="B176" s="2830" t="s">
        <v>270</v>
      </c>
      <c r="C176" s="2835" t="s">
        <v>77</v>
      </c>
      <c r="D176" s="2835" t="s">
        <v>77</v>
      </c>
      <c r="E176" s="2987" t="s">
        <v>77</v>
      </c>
      <c r="F176" s="2988" t="s">
        <v>77</v>
      </c>
      <c r="G176" s="2828"/>
      <c r="H176" s="2748"/>
      <c r="I176" s="2748">
        <v>69</v>
      </c>
      <c r="J176" s="2748">
        <v>69</v>
      </c>
      <c r="K176" s="2748">
        <v>69</v>
      </c>
      <c r="L176" s="2982">
        <v>99</v>
      </c>
      <c r="M176" s="2712">
        <v>69</v>
      </c>
      <c r="N176" s="2748"/>
      <c r="O176" s="2585"/>
      <c r="P176" s="2754">
        <v>79</v>
      </c>
      <c r="Q176" s="2754">
        <v>79</v>
      </c>
      <c r="R176" s="2754">
        <v>79</v>
      </c>
      <c r="S176" s="2754">
        <v>79</v>
      </c>
      <c r="T176" s="2754">
        <v>79</v>
      </c>
      <c r="U176" s="2754"/>
      <c r="V176" s="2754"/>
      <c r="W176" s="2585">
        <v>89</v>
      </c>
      <c r="X176" s="2585">
        <v>89</v>
      </c>
      <c r="Y176" s="2585">
        <v>89</v>
      </c>
      <c r="Z176" s="2585">
        <v>89</v>
      </c>
      <c r="AA176" s="2986">
        <v>89</v>
      </c>
      <c r="AB176" s="2585">
        <v>89</v>
      </c>
      <c r="AC176" s="2783"/>
      <c r="AD176" s="2849">
        <v>99</v>
      </c>
      <c r="AE176" s="2849">
        <v>99</v>
      </c>
      <c r="AF176" s="2849" t="s">
        <v>411</v>
      </c>
      <c r="AG176" s="2587">
        <v>99</v>
      </c>
      <c r="AH176" s="124"/>
      <c r="AI176" s="67"/>
    </row>
    <row r="177" spans="1:35" ht="18" customHeight="1" x14ac:dyDescent="0.2">
      <c r="A177" s="129"/>
      <c r="B177" s="141"/>
      <c r="C177" s="142"/>
      <c r="D177" s="142"/>
      <c r="E177" s="142"/>
      <c r="F177" s="128"/>
      <c r="G177" s="140"/>
      <c r="H177" s="140"/>
      <c r="I177" s="140"/>
      <c r="J177" s="140"/>
      <c r="K177" s="140"/>
      <c r="L177" s="128"/>
      <c r="M177" s="128"/>
      <c r="N177" s="142"/>
      <c r="O177" s="142"/>
      <c r="P177" s="142"/>
      <c r="Q177" s="142"/>
      <c r="R177" s="142"/>
      <c r="S177" s="128"/>
      <c r="T177" s="143"/>
      <c r="U177" s="142"/>
      <c r="V177" s="142"/>
      <c r="W177" s="142"/>
      <c r="X177" s="142"/>
      <c r="Y177" s="142"/>
      <c r="Z177" s="144"/>
      <c r="AA177" s="144"/>
      <c r="AB177" s="142"/>
      <c r="AC177" s="142"/>
      <c r="AD177" s="142"/>
      <c r="AE177" s="142"/>
      <c r="AF177" s="142"/>
      <c r="AG177" s="144"/>
      <c r="AH177" s="124"/>
      <c r="AI177" s="2588"/>
    </row>
    <row r="178" spans="1:35" ht="18" customHeight="1" x14ac:dyDescent="0.2">
      <c r="A178" s="69"/>
      <c r="B178" s="70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7"/>
      <c r="AI178" s="67"/>
    </row>
    <row r="179" spans="1:35" ht="18" customHeight="1" x14ac:dyDescent="0.2">
      <c r="A179" s="107" t="s">
        <v>271</v>
      </c>
      <c r="B179" s="108"/>
      <c r="C179" s="108"/>
      <c r="D179" s="109"/>
      <c r="E179" s="109"/>
      <c r="F179" s="109"/>
      <c r="G179" s="65"/>
      <c r="H179" s="109"/>
      <c r="I179" s="109"/>
      <c r="J179" s="109"/>
      <c r="K179" s="109"/>
      <c r="L179" s="109"/>
      <c r="M179" s="109"/>
      <c r="N179" s="109"/>
      <c r="O179" s="109"/>
      <c r="P179" s="109" t="s">
        <v>77</v>
      </c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8"/>
      <c r="AI179" s="108"/>
    </row>
    <row r="180" spans="1:35" ht="18" customHeight="1" x14ac:dyDescent="0.2">
      <c r="A180" s="107"/>
      <c r="B180" s="2952" t="s">
        <v>255</v>
      </c>
      <c r="C180" s="2974"/>
      <c r="D180" s="2975" t="s">
        <v>17</v>
      </c>
      <c r="E180" s="2976"/>
      <c r="F180" s="2977"/>
      <c r="G180" s="2974"/>
      <c r="H180" s="2975" t="s">
        <v>18</v>
      </c>
      <c r="I180" s="2976"/>
      <c r="J180" s="2977"/>
      <c r="K180" s="2974"/>
      <c r="L180" s="2975" t="s">
        <v>19</v>
      </c>
      <c r="M180" s="2976"/>
      <c r="N180" s="2977"/>
      <c r="O180" s="2974"/>
      <c r="P180" s="2975" t="s">
        <v>20</v>
      </c>
      <c r="Q180" s="2976"/>
      <c r="R180" s="2977"/>
      <c r="S180" s="2974"/>
      <c r="T180" s="2975" t="s">
        <v>21</v>
      </c>
      <c r="U180" s="2976"/>
      <c r="V180" s="2977"/>
      <c r="W180" s="2974"/>
      <c r="X180" s="2975" t="s">
        <v>22</v>
      </c>
      <c r="Y180" s="2976"/>
      <c r="Z180" s="2977"/>
      <c r="AA180" s="2974"/>
      <c r="AB180" s="2975" t="s">
        <v>23</v>
      </c>
      <c r="AC180" s="2976"/>
      <c r="AD180" s="2976"/>
      <c r="AE180" s="2978" t="s">
        <v>126</v>
      </c>
      <c r="AF180" s="2976"/>
      <c r="AG180" s="2976"/>
      <c r="AH180" s="2976"/>
      <c r="AI180" s="2979"/>
    </row>
    <row r="181" spans="1:35" ht="18" customHeight="1" x14ac:dyDescent="0.2">
      <c r="A181" s="107"/>
      <c r="B181" s="2552" t="s">
        <v>272</v>
      </c>
      <c r="C181" s="2989" t="s">
        <v>273</v>
      </c>
      <c r="D181" s="2590"/>
      <c r="E181" s="2590"/>
      <c r="F181" s="2591"/>
      <c r="G181" s="2592" t="s">
        <v>273</v>
      </c>
      <c r="H181" s="2590"/>
      <c r="I181" s="2590"/>
      <c r="J181" s="2591"/>
      <c r="K181" s="2855" t="s">
        <v>273</v>
      </c>
      <c r="L181" s="2554"/>
      <c r="M181" s="2554"/>
      <c r="N181" s="2555"/>
      <c r="O181" s="2855" t="s">
        <v>274</v>
      </c>
      <c r="P181" s="2554"/>
      <c r="Q181" s="2554"/>
      <c r="R181" s="2555"/>
      <c r="S181" s="2855" t="s">
        <v>275</v>
      </c>
      <c r="T181" s="2554"/>
      <c r="U181" s="2554"/>
      <c r="V181" s="2555"/>
      <c r="W181" s="2855" t="s">
        <v>276</v>
      </c>
      <c r="X181" s="2556"/>
      <c r="Y181" s="2556"/>
      <c r="Z181" s="2557"/>
      <c r="AA181" s="2855" t="s">
        <v>276</v>
      </c>
      <c r="AB181" s="2554"/>
      <c r="AC181" s="2554"/>
      <c r="AD181" s="2856"/>
      <c r="AE181" s="2558">
        <v>68</v>
      </c>
      <c r="AF181" s="948"/>
      <c r="AG181" s="948"/>
      <c r="AH181" s="948"/>
      <c r="AI181" s="949"/>
    </row>
    <row r="182" spans="1:35" ht="18" customHeight="1" x14ac:dyDescent="0.2">
      <c r="A182" s="107"/>
      <c r="B182" s="2552"/>
      <c r="C182" s="2855" t="s">
        <v>244</v>
      </c>
      <c r="D182" s="2554"/>
      <c r="E182" s="2554"/>
      <c r="F182" s="2555"/>
      <c r="G182" s="2855" t="s">
        <v>244</v>
      </c>
      <c r="H182" s="2554"/>
      <c r="I182" s="2554"/>
      <c r="J182" s="2555"/>
      <c r="K182" s="2855" t="s">
        <v>244</v>
      </c>
      <c r="L182" s="2554"/>
      <c r="M182" s="2554"/>
      <c r="N182" s="2555"/>
      <c r="O182" s="2855" t="s">
        <v>244</v>
      </c>
      <c r="P182" s="2554"/>
      <c r="Q182" s="2554"/>
      <c r="R182" s="2555"/>
      <c r="S182" s="2855" t="s">
        <v>244</v>
      </c>
      <c r="T182" s="2554"/>
      <c r="U182" s="2554"/>
      <c r="V182" s="2555"/>
      <c r="W182" s="2855" t="s">
        <v>244</v>
      </c>
      <c r="X182" s="2554"/>
      <c r="Y182" s="2554"/>
      <c r="Z182" s="2555"/>
      <c r="AA182" s="2554" t="s">
        <v>244</v>
      </c>
      <c r="AB182" s="2554"/>
      <c r="AC182" s="2554"/>
      <c r="AD182" s="2856"/>
      <c r="AE182" s="2558">
        <v>0</v>
      </c>
      <c r="AF182" s="948"/>
      <c r="AG182" s="948"/>
      <c r="AH182" s="948"/>
      <c r="AI182" s="949"/>
    </row>
    <row r="183" spans="1:35" ht="18" customHeight="1" x14ac:dyDescent="0.2">
      <c r="A183" s="107"/>
      <c r="B183" s="2552" t="s">
        <v>277</v>
      </c>
      <c r="C183" s="2855" t="s">
        <v>274</v>
      </c>
      <c r="D183" s="2554"/>
      <c r="E183" s="2554"/>
      <c r="F183" s="2555"/>
      <c r="G183" s="2855" t="s">
        <v>274</v>
      </c>
      <c r="H183" s="2554"/>
      <c r="I183" s="2554"/>
      <c r="J183" s="2555"/>
      <c r="K183" s="2855" t="s">
        <v>274</v>
      </c>
      <c r="L183" s="2554"/>
      <c r="M183" s="2554"/>
      <c r="N183" s="2555"/>
      <c r="O183" s="2855" t="s">
        <v>273</v>
      </c>
      <c r="P183" s="2554"/>
      <c r="Q183" s="2554"/>
      <c r="R183" s="2555"/>
      <c r="S183" s="2855" t="s">
        <v>273</v>
      </c>
      <c r="T183" s="2554"/>
      <c r="U183" s="2554"/>
      <c r="V183" s="2555"/>
      <c r="W183" s="2855" t="s">
        <v>275</v>
      </c>
      <c r="X183" s="2556"/>
      <c r="Y183" s="2556"/>
      <c r="Z183" s="2557"/>
      <c r="AA183" s="2855" t="s">
        <v>275</v>
      </c>
      <c r="AB183" s="2554"/>
      <c r="AC183" s="2554"/>
      <c r="AD183" s="2856"/>
      <c r="AE183" s="2558">
        <v>68</v>
      </c>
      <c r="AF183" s="2554"/>
      <c r="AG183" s="2554" t="s">
        <v>0</v>
      </c>
      <c r="AH183" s="2856"/>
      <c r="AI183" s="2559"/>
    </row>
    <row r="184" spans="1:35" ht="18" customHeight="1" x14ac:dyDescent="0.2">
      <c r="A184" s="107"/>
      <c r="B184" s="2552"/>
      <c r="C184" s="2855" t="s">
        <v>244</v>
      </c>
      <c r="D184" s="2554"/>
      <c r="E184" s="2554"/>
      <c r="F184" s="2555"/>
      <c r="G184" s="2855" t="s">
        <v>244</v>
      </c>
      <c r="H184" s="2554"/>
      <c r="I184" s="2554"/>
      <c r="J184" s="2555"/>
      <c r="K184" s="2855" t="s">
        <v>244</v>
      </c>
      <c r="L184" s="2554"/>
      <c r="M184" s="2554"/>
      <c r="N184" s="2555"/>
      <c r="O184" s="2855" t="s">
        <v>244</v>
      </c>
      <c r="P184" s="2554"/>
      <c r="Q184" s="2554"/>
      <c r="R184" s="2555"/>
      <c r="S184" s="2855" t="s">
        <v>244</v>
      </c>
      <c r="T184" s="2554"/>
      <c r="U184" s="2554"/>
      <c r="V184" s="2555"/>
      <c r="W184" s="2855" t="s">
        <v>244</v>
      </c>
      <c r="X184" s="2554"/>
      <c r="Y184" s="2554"/>
      <c r="Z184" s="2555"/>
      <c r="AA184" s="2554" t="s">
        <v>244</v>
      </c>
      <c r="AB184" s="2554"/>
      <c r="AC184" s="2554"/>
      <c r="AD184" s="2856"/>
      <c r="AE184" s="2558">
        <v>0</v>
      </c>
      <c r="AF184" s="2554"/>
      <c r="AG184" s="2554"/>
      <c r="AH184" s="2856"/>
      <c r="AI184" s="2559"/>
    </row>
    <row r="185" spans="1:35" ht="18" customHeight="1" x14ac:dyDescent="0.2">
      <c r="A185" s="107"/>
      <c r="B185" s="2552" t="s">
        <v>278</v>
      </c>
      <c r="C185" s="2855" t="s">
        <v>273</v>
      </c>
      <c r="D185" s="2554"/>
      <c r="E185" s="2554"/>
      <c r="F185" s="2555"/>
      <c r="G185" s="2855" t="s">
        <v>273</v>
      </c>
      <c r="H185" s="2554"/>
      <c r="I185" s="2554"/>
      <c r="J185" s="2555"/>
      <c r="K185" s="2855" t="s">
        <v>273</v>
      </c>
      <c r="L185" s="2554"/>
      <c r="M185" s="2554"/>
      <c r="N185" s="2555"/>
      <c r="O185" s="2855" t="s">
        <v>273</v>
      </c>
      <c r="P185" s="2554"/>
      <c r="Q185" s="2554"/>
      <c r="R185" s="2555"/>
      <c r="S185" s="2855" t="s">
        <v>273</v>
      </c>
      <c r="T185" s="2554"/>
      <c r="U185" s="2554"/>
      <c r="V185" s="2555"/>
      <c r="W185" s="2855" t="s">
        <v>279</v>
      </c>
      <c r="X185" s="2561"/>
      <c r="Y185" s="2561"/>
      <c r="Z185" s="2562"/>
      <c r="AA185" s="2855" t="s">
        <v>279</v>
      </c>
      <c r="AB185" s="2561"/>
      <c r="AC185" s="2561"/>
      <c r="AD185" s="2858"/>
      <c r="AE185" s="2558">
        <v>68</v>
      </c>
      <c r="AF185" s="2554"/>
      <c r="AG185" s="2554"/>
      <c r="AH185" s="2856"/>
      <c r="AI185" s="2559"/>
    </row>
    <row r="186" spans="1:35" ht="18" customHeight="1" x14ac:dyDescent="0.2">
      <c r="A186" s="107"/>
      <c r="B186" s="2552"/>
      <c r="C186" s="2593" t="s">
        <v>244</v>
      </c>
      <c r="D186" s="2594"/>
      <c r="E186" s="2594"/>
      <c r="F186" s="2595"/>
      <c r="G186" s="2593" t="s">
        <v>244</v>
      </c>
      <c r="H186" s="2594"/>
      <c r="I186" s="2594"/>
      <c r="J186" s="2595"/>
      <c r="K186" s="2593" t="s">
        <v>244</v>
      </c>
      <c r="L186" s="2594"/>
      <c r="M186" s="2594"/>
      <c r="N186" s="2595"/>
      <c r="O186" s="2593" t="s">
        <v>244</v>
      </c>
      <c r="P186" s="2594"/>
      <c r="Q186" s="2594"/>
      <c r="R186" s="2595"/>
      <c r="S186" s="2593" t="s">
        <v>244</v>
      </c>
      <c r="T186" s="2594"/>
      <c r="U186" s="2594"/>
      <c r="V186" s="2573"/>
      <c r="W186" s="2593" t="s">
        <v>244</v>
      </c>
      <c r="X186" s="2573"/>
      <c r="Y186" s="2594"/>
      <c r="Z186" s="2595"/>
      <c r="AA186" s="2593" t="s">
        <v>244</v>
      </c>
      <c r="AB186" s="2573"/>
      <c r="AC186" s="2594"/>
      <c r="AD186" s="2595"/>
      <c r="AE186" s="2596" t="s">
        <v>280</v>
      </c>
      <c r="AF186" s="2594"/>
      <c r="AG186" s="2594"/>
      <c r="AH186" s="2573"/>
      <c r="AI186" s="2574"/>
    </row>
    <row r="187" spans="1:35" ht="18" customHeight="1" x14ac:dyDescent="0.2">
      <c r="A187" s="68"/>
      <c r="B187" s="107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8"/>
      <c r="AI187" s="108"/>
    </row>
    <row r="188" spans="1:35" ht="18" customHeight="1" x14ac:dyDescent="0.2">
      <c r="A188" s="2543"/>
      <c r="B188" s="2817" t="s">
        <v>448</v>
      </c>
      <c r="C188" s="2706">
        <v>1</v>
      </c>
      <c r="D188" s="2706">
        <v>2</v>
      </c>
      <c r="E188" s="2706">
        <v>3</v>
      </c>
      <c r="F188" s="2706">
        <v>4</v>
      </c>
      <c r="G188" s="2707">
        <v>5</v>
      </c>
      <c r="H188" s="2707">
        <v>6</v>
      </c>
      <c r="I188" s="2706">
        <v>7</v>
      </c>
      <c r="J188" s="2706">
        <v>8</v>
      </c>
      <c r="K188" s="2706">
        <v>9</v>
      </c>
      <c r="L188" s="2706">
        <v>10</v>
      </c>
      <c r="M188" s="2706">
        <v>11</v>
      </c>
      <c r="N188" s="2707">
        <v>12</v>
      </c>
      <c r="O188" s="2707">
        <v>13</v>
      </c>
      <c r="P188" s="2706">
        <v>14</v>
      </c>
      <c r="Q188" s="2706">
        <v>15</v>
      </c>
      <c r="R188" s="2706">
        <v>16</v>
      </c>
      <c r="S188" s="2706">
        <v>17</v>
      </c>
      <c r="T188" s="2706">
        <v>18</v>
      </c>
      <c r="U188" s="2707">
        <v>19</v>
      </c>
      <c r="V188" s="2707">
        <v>20</v>
      </c>
      <c r="W188" s="2706">
        <v>21</v>
      </c>
      <c r="X188" s="2706">
        <v>22</v>
      </c>
      <c r="Y188" s="2706">
        <v>23</v>
      </c>
      <c r="Z188" s="2706">
        <v>24</v>
      </c>
      <c r="AA188" s="2706">
        <v>25</v>
      </c>
      <c r="AB188" s="2707">
        <v>26</v>
      </c>
      <c r="AC188" s="2707">
        <v>27</v>
      </c>
      <c r="AD188" s="2706">
        <v>28</v>
      </c>
      <c r="AE188" s="2706">
        <v>29</v>
      </c>
      <c r="AF188" s="2706">
        <v>30</v>
      </c>
      <c r="AG188" s="2706">
        <v>31</v>
      </c>
      <c r="AH188" s="110"/>
      <c r="AI188" s="111"/>
    </row>
    <row r="189" spans="1:35" ht="18" customHeight="1" x14ac:dyDescent="0.2">
      <c r="A189" s="2990">
        <v>1</v>
      </c>
      <c r="B189" s="2991"/>
      <c r="C189" s="2890" t="s">
        <v>50</v>
      </c>
      <c r="D189" s="2890" t="s">
        <v>50</v>
      </c>
      <c r="E189" s="2890" t="s">
        <v>50</v>
      </c>
      <c r="F189" s="2890" t="s">
        <v>50</v>
      </c>
      <c r="G189" s="2921"/>
      <c r="H189" s="2912"/>
      <c r="I189" s="2890">
        <v>23</v>
      </c>
      <c r="J189" s="2890">
        <v>23</v>
      </c>
      <c r="K189" s="2890">
        <v>23</v>
      </c>
      <c r="L189" s="2890">
        <v>23</v>
      </c>
      <c r="M189" s="2890">
        <v>23</v>
      </c>
      <c r="N189" s="2890">
        <v>23</v>
      </c>
      <c r="O189" s="2912">
        <v>23</v>
      </c>
      <c r="P189" s="2895" t="s">
        <v>50</v>
      </c>
      <c r="Q189" s="2895" t="s">
        <v>50</v>
      </c>
      <c r="R189" s="2895" t="s">
        <v>50</v>
      </c>
      <c r="S189" s="2895" t="s">
        <v>50</v>
      </c>
      <c r="T189" s="2895" t="s">
        <v>50</v>
      </c>
      <c r="U189" s="2895"/>
      <c r="V189" s="2895"/>
      <c r="W189" s="800">
        <v>21</v>
      </c>
      <c r="X189" s="800">
        <v>21</v>
      </c>
      <c r="Y189" s="800">
        <v>21</v>
      </c>
      <c r="Z189" s="800">
        <v>21</v>
      </c>
      <c r="AA189" s="800">
        <v>21</v>
      </c>
      <c r="AB189" s="800">
        <v>21</v>
      </c>
      <c r="AC189" s="800">
        <v>21</v>
      </c>
      <c r="AD189" s="2890" t="s">
        <v>50</v>
      </c>
      <c r="AE189" s="2890" t="s">
        <v>50</v>
      </c>
      <c r="AF189" s="2890" t="s">
        <v>50</v>
      </c>
      <c r="AG189" s="2992" t="s">
        <v>50</v>
      </c>
      <c r="AH189" s="67"/>
      <c r="AI189" s="67"/>
    </row>
    <row r="190" spans="1:35" ht="18" customHeight="1" x14ac:dyDescent="0.2">
      <c r="A190" s="956">
        <v>2</v>
      </c>
      <c r="B190" s="748"/>
      <c r="C190" s="636" t="s">
        <v>50</v>
      </c>
      <c r="D190" s="636" t="s">
        <v>50</v>
      </c>
      <c r="E190" s="636" t="s">
        <v>50</v>
      </c>
      <c r="F190" s="636" t="s">
        <v>50</v>
      </c>
      <c r="G190" s="636"/>
      <c r="H190" s="636"/>
      <c r="I190" s="800">
        <v>21</v>
      </c>
      <c r="J190" s="800">
        <v>21</v>
      </c>
      <c r="K190" s="800">
        <v>21</v>
      </c>
      <c r="L190" s="800">
        <v>21</v>
      </c>
      <c r="M190" s="800">
        <v>21</v>
      </c>
      <c r="N190" s="800">
        <v>21</v>
      </c>
      <c r="O190" s="800">
        <v>21</v>
      </c>
      <c r="P190" s="2895" t="s">
        <v>50</v>
      </c>
      <c r="Q190" s="2895" t="s">
        <v>50</v>
      </c>
      <c r="R190" s="2895" t="s">
        <v>50</v>
      </c>
      <c r="S190" s="2895" t="s">
        <v>50</v>
      </c>
      <c r="T190" s="2895" t="s">
        <v>50</v>
      </c>
      <c r="U190" s="2895"/>
      <c r="V190" s="2895"/>
      <c r="W190" s="2895">
        <v>22</v>
      </c>
      <c r="X190" s="2895">
        <v>22</v>
      </c>
      <c r="Y190" s="2895">
        <v>22</v>
      </c>
      <c r="Z190" s="2895">
        <v>22</v>
      </c>
      <c r="AA190" s="2895">
        <v>22</v>
      </c>
      <c r="AB190" s="2895">
        <v>22</v>
      </c>
      <c r="AC190" s="2895">
        <v>22</v>
      </c>
      <c r="AD190" s="800" t="s">
        <v>50</v>
      </c>
      <c r="AE190" s="800" t="s">
        <v>50</v>
      </c>
      <c r="AF190" s="800" t="s">
        <v>50</v>
      </c>
      <c r="AG190" s="819" t="s">
        <v>50</v>
      </c>
      <c r="AH190" s="67"/>
      <c r="AI190" s="67"/>
    </row>
    <row r="191" spans="1:35" ht="18" customHeight="1" x14ac:dyDescent="0.2">
      <c r="A191" s="956">
        <v>3</v>
      </c>
      <c r="B191" s="748"/>
      <c r="C191" s="636" t="s">
        <v>50</v>
      </c>
      <c r="D191" s="636" t="s">
        <v>50</v>
      </c>
      <c r="E191" s="636" t="s">
        <v>50</v>
      </c>
      <c r="F191" s="636" t="s">
        <v>50</v>
      </c>
      <c r="G191" s="800"/>
      <c r="H191" s="800"/>
      <c r="I191" s="2895">
        <v>22</v>
      </c>
      <c r="J191" s="2895">
        <v>22</v>
      </c>
      <c r="K191" s="2895">
        <v>22</v>
      </c>
      <c r="L191" s="2895">
        <v>22</v>
      </c>
      <c r="M191" s="2895">
        <v>22</v>
      </c>
      <c r="N191" s="2895">
        <v>22</v>
      </c>
      <c r="O191" s="2895">
        <v>22</v>
      </c>
      <c r="P191" s="2895" t="s">
        <v>50</v>
      </c>
      <c r="Q191" s="2895" t="s">
        <v>50</v>
      </c>
      <c r="R191" s="2895" t="s">
        <v>50</v>
      </c>
      <c r="S191" s="2895" t="s">
        <v>50</v>
      </c>
      <c r="T191" s="2895" t="s">
        <v>50</v>
      </c>
      <c r="U191" s="2895"/>
      <c r="V191" s="2895"/>
      <c r="W191" s="2890">
        <v>23</v>
      </c>
      <c r="X191" s="2890">
        <v>23</v>
      </c>
      <c r="Y191" s="2890">
        <v>23</v>
      </c>
      <c r="Z191" s="2890">
        <v>23</v>
      </c>
      <c r="AA191" s="2890">
        <v>23</v>
      </c>
      <c r="AB191" s="2890">
        <v>23</v>
      </c>
      <c r="AC191" s="2912">
        <v>23</v>
      </c>
      <c r="AD191" s="636" t="s">
        <v>50</v>
      </c>
      <c r="AE191" s="636" t="s">
        <v>50</v>
      </c>
      <c r="AF191" s="636" t="s">
        <v>50</v>
      </c>
      <c r="AG191" s="819" t="s">
        <v>50</v>
      </c>
      <c r="AH191" s="67"/>
      <c r="AI191" s="67"/>
    </row>
    <row r="192" spans="1:35" ht="18" customHeight="1" x14ac:dyDescent="0.2">
      <c r="A192" s="956">
        <v>4</v>
      </c>
      <c r="B192" s="371" t="s">
        <v>281</v>
      </c>
      <c r="C192" s="636">
        <v>22</v>
      </c>
      <c r="D192" s="636">
        <v>22</v>
      </c>
      <c r="E192" s="635" t="s">
        <v>401</v>
      </c>
      <c r="F192" s="636">
        <v>22</v>
      </c>
      <c r="G192" s="636">
        <v>22</v>
      </c>
      <c r="H192" s="636">
        <v>22</v>
      </c>
      <c r="I192" s="1615">
        <v>23</v>
      </c>
      <c r="J192" s="1615">
        <v>23</v>
      </c>
      <c r="K192" s="1615">
        <v>23</v>
      </c>
      <c r="L192" s="963" t="s">
        <v>50</v>
      </c>
      <c r="M192" s="963" t="s">
        <v>50</v>
      </c>
      <c r="N192" s="636"/>
      <c r="O192" s="2895"/>
      <c r="P192" s="636">
        <v>23</v>
      </c>
      <c r="Q192" s="636">
        <v>23</v>
      </c>
      <c r="R192" s="636">
        <v>23</v>
      </c>
      <c r="S192" s="636">
        <v>23</v>
      </c>
      <c r="T192" s="833">
        <v>23</v>
      </c>
      <c r="U192" s="833">
        <v>23</v>
      </c>
      <c r="V192" s="833">
        <v>23</v>
      </c>
      <c r="W192" s="1634">
        <v>23</v>
      </c>
      <c r="X192" s="1634">
        <v>23</v>
      </c>
      <c r="Y192" s="1634">
        <v>23</v>
      </c>
      <c r="Z192" s="1634">
        <v>23</v>
      </c>
      <c r="AA192" s="1634">
        <v>23</v>
      </c>
      <c r="AB192" s="1634">
        <v>23</v>
      </c>
      <c r="AC192" s="1634">
        <v>23</v>
      </c>
      <c r="AD192" s="2895" t="s">
        <v>110</v>
      </c>
      <c r="AE192" s="636">
        <v>21</v>
      </c>
      <c r="AF192" s="636">
        <v>21</v>
      </c>
      <c r="AG192" s="2993" t="s">
        <v>110</v>
      </c>
      <c r="AH192" s="67"/>
      <c r="AI192" s="67"/>
    </row>
    <row r="193" spans="1:35" ht="18" customHeight="1" x14ac:dyDescent="0.2">
      <c r="A193" s="956">
        <v>5</v>
      </c>
      <c r="B193" s="2515" t="s">
        <v>282</v>
      </c>
      <c r="C193" s="636">
        <v>23</v>
      </c>
      <c r="D193" s="636">
        <v>23</v>
      </c>
      <c r="E193" s="635" t="s">
        <v>179</v>
      </c>
      <c r="F193" s="800">
        <v>23</v>
      </c>
      <c r="G193" s="636">
        <v>23</v>
      </c>
      <c r="H193" s="636">
        <v>23</v>
      </c>
      <c r="I193" s="963" t="s">
        <v>50</v>
      </c>
      <c r="J193" s="963" t="s">
        <v>50</v>
      </c>
      <c r="K193" s="963" t="s">
        <v>50</v>
      </c>
      <c r="L193" s="1615">
        <v>23</v>
      </c>
      <c r="M193" s="1615">
        <v>23</v>
      </c>
      <c r="N193" s="1634">
        <v>23</v>
      </c>
      <c r="O193" s="1634">
        <v>23</v>
      </c>
      <c r="P193" s="636">
        <v>21</v>
      </c>
      <c r="Q193" s="636">
        <v>21</v>
      </c>
      <c r="R193" s="636">
        <v>21</v>
      </c>
      <c r="S193" s="636">
        <v>21</v>
      </c>
      <c r="T193" s="636">
        <v>21</v>
      </c>
      <c r="U193" s="636">
        <v>21</v>
      </c>
      <c r="V193" s="800">
        <v>21</v>
      </c>
      <c r="W193" s="2895" t="s">
        <v>50</v>
      </c>
      <c r="X193" s="2895" t="s">
        <v>50</v>
      </c>
      <c r="Y193" s="2895" t="s">
        <v>50</v>
      </c>
      <c r="Z193" s="2895" t="s">
        <v>50</v>
      </c>
      <c r="AA193" s="1634" t="s">
        <v>145</v>
      </c>
      <c r="AB193" s="1634" t="s">
        <v>147</v>
      </c>
      <c r="AC193" s="1634" t="s">
        <v>148</v>
      </c>
      <c r="AD193" s="2895">
        <v>22</v>
      </c>
      <c r="AE193" s="800">
        <v>22</v>
      </c>
      <c r="AF193" s="636">
        <v>22</v>
      </c>
      <c r="AG193" s="801" t="s">
        <v>401</v>
      </c>
      <c r="AH193" s="67"/>
      <c r="AI193" s="67"/>
    </row>
    <row r="194" spans="1:35" ht="18" customHeight="1" x14ac:dyDescent="0.2">
      <c r="A194" s="962">
        <v>6</v>
      </c>
      <c r="B194" s="754" t="s">
        <v>283</v>
      </c>
      <c r="C194" s="1363">
        <v>21</v>
      </c>
      <c r="D194" s="2901">
        <v>21</v>
      </c>
      <c r="E194" s="2901" t="s">
        <v>110</v>
      </c>
      <c r="F194" s="2901">
        <v>21</v>
      </c>
      <c r="G194" s="2901">
        <v>21</v>
      </c>
      <c r="H194" s="2901">
        <v>21</v>
      </c>
      <c r="I194" s="2901" t="s">
        <v>102</v>
      </c>
      <c r="J194" s="2872" t="s">
        <v>50</v>
      </c>
      <c r="K194" s="2872" t="s">
        <v>50</v>
      </c>
      <c r="L194" s="2872" t="s">
        <v>50</v>
      </c>
      <c r="M194" s="2872" t="s">
        <v>50</v>
      </c>
      <c r="N194" s="2872"/>
      <c r="O194" s="2872"/>
      <c r="P194" s="2872">
        <v>22</v>
      </c>
      <c r="Q194" s="2872">
        <v>22</v>
      </c>
      <c r="R194" s="2872">
        <v>22</v>
      </c>
      <c r="S194" s="2872">
        <v>22</v>
      </c>
      <c r="T194" s="2872">
        <v>22</v>
      </c>
      <c r="U194" s="2872">
        <v>22</v>
      </c>
      <c r="V194" s="2872">
        <v>22</v>
      </c>
      <c r="W194" s="2896" t="s">
        <v>50</v>
      </c>
      <c r="X194" s="2896" t="s">
        <v>50</v>
      </c>
      <c r="Y194" s="2896" t="s">
        <v>50</v>
      </c>
      <c r="Z194" s="2896" t="s">
        <v>50</v>
      </c>
      <c r="AA194" s="2896" t="s">
        <v>50</v>
      </c>
      <c r="AB194" s="2896"/>
      <c r="AC194" s="2896"/>
      <c r="AD194" s="853" t="s">
        <v>179</v>
      </c>
      <c r="AE194" s="1363">
        <v>23</v>
      </c>
      <c r="AF194" s="1363">
        <v>23</v>
      </c>
      <c r="AG194" s="1384" t="s">
        <v>179</v>
      </c>
      <c r="AH194" s="67"/>
      <c r="AI194" s="67"/>
    </row>
    <row r="195" spans="1:35" ht="18" customHeight="1" x14ac:dyDescent="0.2">
      <c r="A195" s="129"/>
      <c r="B195" s="127"/>
      <c r="C195" s="128"/>
      <c r="D195" s="128"/>
      <c r="E195" s="140"/>
      <c r="F195" s="128"/>
      <c r="G195" s="128"/>
      <c r="H195" s="145"/>
      <c r="I195" s="145"/>
      <c r="J195" s="145"/>
      <c r="K195" s="145"/>
      <c r="L195" s="145"/>
      <c r="M195" s="145"/>
      <c r="N195" s="125"/>
      <c r="O195" s="125"/>
      <c r="P195" s="140"/>
      <c r="Q195" s="128"/>
      <c r="R195" s="128"/>
      <c r="S195" s="140"/>
      <c r="T195" s="128"/>
      <c r="U195" s="128"/>
      <c r="V195" s="128"/>
      <c r="W195" s="128"/>
      <c r="X195" s="128"/>
      <c r="Y195" s="128"/>
      <c r="Z195" s="128"/>
      <c r="AA195" s="128"/>
      <c r="AB195" s="125"/>
      <c r="AC195" s="125"/>
      <c r="AD195" s="140"/>
      <c r="AE195" s="128"/>
      <c r="AF195" s="128"/>
      <c r="AG195" s="140"/>
      <c r="AH195" s="67"/>
      <c r="AI195" s="67"/>
    </row>
    <row r="196" spans="1:35" ht="18" customHeight="1" x14ac:dyDescent="0.2">
      <c r="A196" s="69"/>
      <c r="B196" s="70"/>
      <c r="C196" s="120"/>
      <c r="D196" s="120"/>
      <c r="E196" s="106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106"/>
      <c r="Q196" s="120"/>
      <c r="R196" s="120"/>
      <c r="S196" s="106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1"/>
      <c r="AD196" s="121"/>
      <c r="AE196" s="121"/>
      <c r="AF196" s="120"/>
      <c r="AG196" s="106"/>
      <c r="AH196" s="67"/>
      <c r="AI196" s="67"/>
    </row>
    <row r="197" spans="1:35" ht="18" customHeight="1" x14ac:dyDescent="0.2">
      <c r="A197" s="103" t="s">
        <v>284</v>
      </c>
      <c r="D197" s="48"/>
      <c r="E197" s="48"/>
      <c r="F197" s="48"/>
      <c r="G197" s="65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</row>
    <row r="198" spans="1:35" ht="18" customHeight="1" x14ac:dyDescent="0.2">
      <c r="A198" s="1"/>
      <c r="B198" s="2952" t="s">
        <v>255</v>
      </c>
      <c r="C198" s="2953"/>
      <c r="D198" s="2975" t="s">
        <v>17</v>
      </c>
      <c r="E198" s="2792"/>
      <c r="F198" s="2957"/>
      <c r="G198" s="2953"/>
      <c r="H198" s="2975" t="s">
        <v>18</v>
      </c>
      <c r="I198" s="2792"/>
      <c r="J198" s="2957"/>
      <c r="K198" s="2953"/>
      <c r="L198" s="2975" t="s">
        <v>19</v>
      </c>
      <c r="M198" s="2792"/>
      <c r="N198" s="2957"/>
      <c r="O198" s="2953"/>
      <c r="P198" s="2975" t="s">
        <v>20</v>
      </c>
      <c r="Q198" s="2792"/>
      <c r="R198" s="2957"/>
      <c r="S198" s="2953"/>
      <c r="T198" s="2975" t="s">
        <v>21</v>
      </c>
      <c r="U198" s="2792"/>
      <c r="V198" s="2957"/>
      <c r="W198" s="2953"/>
      <c r="X198" s="2975" t="s">
        <v>22</v>
      </c>
      <c r="Y198" s="2792"/>
      <c r="Z198" s="2957"/>
      <c r="AA198" s="2953"/>
      <c r="AB198" s="2975" t="s">
        <v>23</v>
      </c>
      <c r="AC198" s="2792"/>
      <c r="AD198" s="2792"/>
      <c r="AE198" s="2978" t="s">
        <v>126</v>
      </c>
      <c r="AF198" s="2792"/>
      <c r="AG198" s="2792"/>
      <c r="AH198" s="2792"/>
      <c r="AI198" s="2793"/>
    </row>
    <row r="199" spans="1:35" ht="18" customHeight="1" x14ac:dyDescent="0.2">
      <c r="A199" s="1"/>
      <c r="B199" s="2552" t="s">
        <v>235</v>
      </c>
      <c r="C199" s="2855" t="s">
        <v>256</v>
      </c>
      <c r="D199" s="2684"/>
      <c r="E199" s="2684"/>
      <c r="F199" s="2555"/>
      <c r="G199" s="2855" t="s">
        <v>256</v>
      </c>
      <c r="H199" s="2684"/>
      <c r="I199" s="2684"/>
      <c r="J199" s="2555"/>
      <c r="K199" s="2855" t="s">
        <v>256</v>
      </c>
      <c r="L199" s="2684"/>
      <c r="M199" s="2684"/>
      <c r="N199" s="2555"/>
      <c r="O199" s="2855" t="s">
        <v>285</v>
      </c>
      <c r="P199" s="2684"/>
      <c r="Q199" s="2684"/>
      <c r="R199" s="2555"/>
      <c r="S199" s="2855" t="s">
        <v>244</v>
      </c>
      <c r="T199" s="2684"/>
      <c r="U199" s="2684"/>
      <c r="V199" s="2555"/>
      <c r="W199" s="2601"/>
      <c r="X199" s="2602"/>
      <c r="Y199" s="2602"/>
      <c r="Z199" s="2557"/>
      <c r="AA199" s="2553"/>
      <c r="AB199" s="2684"/>
      <c r="AC199" s="2684"/>
      <c r="AD199" s="2856"/>
      <c r="AE199" s="2558">
        <v>27</v>
      </c>
      <c r="AF199" s="2684"/>
      <c r="AG199" s="2684"/>
      <c r="AH199" s="2856"/>
      <c r="AI199" s="2603"/>
    </row>
    <row r="200" spans="1:35" ht="18" customHeight="1" x14ac:dyDescent="0.2">
      <c r="A200" s="1"/>
      <c r="B200" s="2552" t="s">
        <v>236</v>
      </c>
      <c r="C200" s="2855" t="s">
        <v>286</v>
      </c>
      <c r="D200" s="2684"/>
      <c r="E200" s="2684"/>
      <c r="F200" s="2555"/>
      <c r="G200" s="2855" t="s">
        <v>286</v>
      </c>
      <c r="H200" s="2684"/>
      <c r="I200" s="2684"/>
      <c r="J200" s="2555"/>
      <c r="K200" s="2855" t="s">
        <v>286</v>
      </c>
      <c r="L200" s="2684"/>
      <c r="M200" s="2684"/>
      <c r="N200" s="2555"/>
      <c r="O200" s="2855" t="s">
        <v>286</v>
      </c>
      <c r="P200" s="2684"/>
      <c r="Q200" s="2684"/>
      <c r="R200" s="2555"/>
      <c r="S200" s="2855" t="s">
        <v>256</v>
      </c>
      <c r="T200" s="2684"/>
      <c r="U200" s="2684"/>
      <c r="V200" s="2555"/>
      <c r="W200" s="2855"/>
      <c r="X200" s="2684"/>
      <c r="Y200" s="2684"/>
      <c r="Z200" s="2555"/>
      <c r="AA200" s="2684"/>
      <c r="AB200" s="2684"/>
      <c r="AC200" s="2684"/>
      <c r="AD200" s="2856"/>
      <c r="AE200" s="2558">
        <v>39</v>
      </c>
      <c r="AF200" s="2684"/>
      <c r="AG200" s="2684"/>
      <c r="AH200" s="2856"/>
      <c r="AI200" s="2603"/>
    </row>
    <row r="201" spans="1:35" ht="18" customHeight="1" x14ac:dyDescent="0.2">
      <c r="A201" s="1"/>
      <c r="B201" s="2552" t="s">
        <v>243</v>
      </c>
      <c r="C201" s="2855" t="s">
        <v>286</v>
      </c>
      <c r="D201" s="2684"/>
      <c r="E201" s="2684"/>
      <c r="F201" s="2555"/>
      <c r="G201" s="2855" t="s">
        <v>286</v>
      </c>
      <c r="H201" s="2684"/>
      <c r="I201" s="2684"/>
      <c r="J201" s="2555"/>
      <c r="K201" s="2855" t="s">
        <v>286</v>
      </c>
      <c r="L201" s="2684"/>
      <c r="M201" s="2684"/>
      <c r="N201" s="2555"/>
      <c r="O201" s="2855" t="s">
        <v>286</v>
      </c>
      <c r="P201" s="2684"/>
      <c r="Q201" s="2684"/>
      <c r="R201" s="2555"/>
      <c r="S201" s="2855" t="s">
        <v>286</v>
      </c>
      <c r="T201" s="2684"/>
      <c r="U201" s="2684"/>
      <c r="V201" s="2555"/>
      <c r="W201" s="2857" t="s">
        <v>260</v>
      </c>
      <c r="X201" s="2795"/>
      <c r="Y201" s="2795"/>
      <c r="Z201" s="2562"/>
      <c r="AA201" s="2560"/>
      <c r="AB201" s="2795"/>
      <c r="AC201" s="2795"/>
      <c r="AD201" s="2858"/>
      <c r="AE201" s="2558">
        <v>45</v>
      </c>
      <c r="AF201" s="2684"/>
      <c r="AG201" s="2684"/>
      <c r="AH201" s="2856"/>
      <c r="AI201" s="2603"/>
    </row>
    <row r="202" spans="1:35" ht="18" customHeight="1" x14ac:dyDescent="0.2">
      <c r="A202" s="1"/>
      <c r="B202" s="147" t="s">
        <v>245</v>
      </c>
      <c r="C202" s="2593"/>
      <c r="D202" s="2808"/>
      <c r="E202" s="2808"/>
      <c r="F202" s="2595"/>
      <c r="G202" s="2593"/>
      <c r="H202" s="2808"/>
      <c r="I202" s="2808"/>
      <c r="J202" s="2595"/>
      <c r="K202" s="2593"/>
      <c r="L202" s="2808"/>
      <c r="M202" s="2808"/>
      <c r="N202" s="2595"/>
      <c r="O202" s="2593"/>
      <c r="P202" s="2808"/>
      <c r="Q202" s="2808"/>
      <c r="R202" s="2595"/>
      <c r="S202" s="2593"/>
      <c r="T202" s="2808"/>
      <c r="U202" s="2808"/>
      <c r="V202" s="2573"/>
      <c r="W202" s="2593"/>
      <c r="X202" s="2573"/>
      <c r="Y202" s="2808"/>
      <c r="Z202" s="2595"/>
      <c r="AA202" s="2593"/>
      <c r="AB202" s="2573"/>
      <c r="AC202" s="2808"/>
      <c r="AD202" s="2595"/>
      <c r="AE202" s="2604"/>
      <c r="AF202" s="2808"/>
      <c r="AG202" s="2808"/>
      <c r="AH202" s="2573"/>
      <c r="AI202" s="2815"/>
    </row>
    <row r="203" spans="1:35" ht="18" customHeight="1" x14ac:dyDescent="0.2">
      <c r="A203" s="68"/>
      <c r="B203" s="1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</row>
    <row r="204" spans="1:35" ht="18" customHeight="1" thickBot="1" x14ac:dyDescent="0.25">
      <c r="A204" s="2543"/>
      <c r="B204" s="2817" t="s">
        <v>448</v>
      </c>
      <c r="C204" s="2706">
        <v>1</v>
      </c>
      <c r="D204" s="2706">
        <v>2</v>
      </c>
      <c r="E204" s="2706">
        <v>3</v>
      </c>
      <c r="F204" s="2706">
        <v>4</v>
      </c>
      <c r="G204" s="2707">
        <v>5</v>
      </c>
      <c r="H204" s="2707">
        <v>6</v>
      </c>
      <c r="I204" s="2706">
        <v>7</v>
      </c>
      <c r="J204" s="2706">
        <v>8</v>
      </c>
      <c r="K204" s="2706">
        <v>9</v>
      </c>
      <c r="L204" s="2706">
        <v>10</v>
      </c>
      <c r="M204" s="2706">
        <v>11</v>
      </c>
      <c r="N204" s="2707">
        <v>12</v>
      </c>
      <c r="O204" s="2707">
        <v>13</v>
      </c>
      <c r="P204" s="2706">
        <v>14</v>
      </c>
      <c r="Q204" s="2706">
        <v>15</v>
      </c>
      <c r="R204" s="2706">
        <v>16</v>
      </c>
      <c r="S204" s="2706">
        <v>17</v>
      </c>
      <c r="T204" s="2706">
        <v>18</v>
      </c>
      <c r="U204" s="2707">
        <v>19</v>
      </c>
      <c r="V204" s="2707">
        <v>20</v>
      </c>
      <c r="W204" s="2706">
        <v>21</v>
      </c>
      <c r="X204" s="2706">
        <v>22</v>
      </c>
      <c r="Y204" s="2706">
        <v>23</v>
      </c>
      <c r="Z204" s="2706">
        <v>24</v>
      </c>
      <c r="AA204" s="2706">
        <v>25</v>
      </c>
      <c r="AB204" s="2707">
        <v>26</v>
      </c>
      <c r="AC204" s="2707">
        <v>27</v>
      </c>
      <c r="AD204" s="2706">
        <v>28</v>
      </c>
      <c r="AE204" s="2706">
        <v>29</v>
      </c>
      <c r="AF204" s="2706">
        <v>30</v>
      </c>
      <c r="AG204" s="2706">
        <v>31</v>
      </c>
      <c r="AH204" s="110"/>
      <c r="AI204" s="111"/>
    </row>
    <row r="205" spans="1:35" ht="18" customHeight="1" x14ac:dyDescent="0.2">
      <c r="A205" s="2980">
        <v>1</v>
      </c>
      <c r="B205" s="2994" t="s">
        <v>462</v>
      </c>
      <c r="C205" s="2764" t="s">
        <v>46</v>
      </c>
      <c r="D205" s="2764" t="s">
        <v>46</v>
      </c>
      <c r="E205" s="2761" t="s">
        <v>46</v>
      </c>
      <c r="F205" s="2764" t="s">
        <v>46</v>
      </c>
      <c r="G205" s="2764"/>
      <c r="H205" s="2764"/>
      <c r="I205" s="2764" t="s">
        <v>46</v>
      </c>
      <c r="J205" s="2764" t="s">
        <v>46</v>
      </c>
      <c r="K205" s="2764" t="s">
        <v>46</v>
      </c>
      <c r="L205" s="2764" t="s">
        <v>46</v>
      </c>
      <c r="M205" s="2712" t="s">
        <v>46</v>
      </c>
      <c r="N205" s="2764"/>
      <c r="O205" s="2764"/>
      <c r="P205" s="2765" t="s">
        <v>46</v>
      </c>
      <c r="Q205" s="2764" t="s">
        <v>46</v>
      </c>
      <c r="R205" s="2765" t="s">
        <v>46</v>
      </c>
      <c r="S205" s="2765" t="s">
        <v>46</v>
      </c>
      <c r="T205" s="2765" t="s">
        <v>46</v>
      </c>
      <c r="U205" s="2718" t="s">
        <v>290</v>
      </c>
      <c r="V205" s="2764"/>
      <c r="W205" s="2764" t="s">
        <v>46</v>
      </c>
      <c r="X205" s="2764" t="s">
        <v>46</v>
      </c>
      <c r="Y205" s="2764" t="s">
        <v>46</v>
      </c>
      <c r="Z205" s="2761" t="s">
        <v>46</v>
      </c>
      <c r="AA205" s="2764" t="s">
        <v>46</v>
      </c>
      <c r="AB205" s="2764"/>
      <c r="AC205" s="2764"/>
      <c r="AD205" s="2764" t="s">
        <v>46</v>
      </c>
      <c r="AE205" s="2764" t="s">
        <v>46</v>
      </c>
      <c r="AF205" s="2764" t="s">
        <v>46</v>
      </c>
      <c r="AG205" s="2771" t="s">
        <v>46</v>
      </c>
      <c r="AH205" s="132"/>
      <c r="AI205" s="116"/>
    </row>
    <row r="206" spans="1:35" ht="18" customHeight="1" x14ac:dyDescent="0.2">
      <c r="A206" s="2575">
        <v>2</v>
      </c>
      <c r="B206" s="2995" t="s">
        <v>287</v>
      </c>
      <c r="C206" s="2718" t="s">
        <v>289</v>
      </c>
      <c r="D206" s="2718" t="s">
        <v>289</v>
      </c>
      <c r="E206" s="2718" t="s">
        <v>289</v>
      </c>
      <c r="F206" s="2718" t="s">
        <v>289</v>
      </c>
      <c r="G206" s="2718"/>
      <c r="H206" s="2718"/>
      <c r="I206" s="2718" t="s">
        <v>290</v>
      </c>
      <c r="J206" s="2718" t="s">
        <v>290</v>
      </c>
      <c r="K206" s="2718" t="s">
        <v>290</v>
      </c>
      <c r="L206" s="2718" t="s">
        <v>290</v>
      </c>
      <c r="M206" s="2712" t="s">
        <v>290</v>
      </c>
      <c r="N206" s="2718" t="s">
        <v>290</v>
      </c>
      <c r="O206" s="2718"/>
      <c r="P206" s="2739" t="s">
        <v>288</v>
      </c>
      <c r="Q206" s="2739" t="s">
        <v>288</v>
      </c>
      <c r="R206" s="2739" t="s">
        <v>288</v>
      </c>
      <c r="S206" s="2739" t="s">
        <v>288</v>
      </c>
      <c r="T206" s="2739" t="s">
        <v>50</v>
      </c>
      <c r="U206" s="2739"/>
      <c r="V206" s="2739"/>
      <c r="W206" s="2718" t="s">
        <v>289</v>
      </c>
      <c r="X206" s="2718" t="s">
        <v>289</v>
      </c>
      <c r="Y206" s="2718" t="s">
        <v>289</v>
      </c>
      <c r="Z206" s="2718" t="s">
        <v>289</v>
      </c>
      <c r="AA206" s="2718" t="s">
        <v>289</v>
      </c>
      <c r="AB206" s="2718"/>
      <c r="AC206" s="2718"/>
      <c r="AD206" s="2718" t="s">
        <v>290</v>
      </c>
      <c r="AE206" s="2718" t="s">
        <v>290</v>
      </c>
      <c r="AF206" s="2718" t="s">
        <v>290</v>
      </c>
      <c r="AG206" s="2721" t="s">
        <v>290</v>
      </c>
      <c r="AH206" s="132"/>
      <c r="AI206" s="116"/>
    </row>
    <row r="207" spans="1:35" ht="18" customHeight="1" x14ac:dyDescent="0.2">
      <c r="A207" s="2575">
        <v>3</v>
      </c>
      <c r="B207" s="2606" t="s">
        <v>463</v>
      </c>
      <c r="C207" s="2718" t="s">
        <v>290</v>
      </c>
      <c r="D207" s="2718" t="s">
        <v>290</v>
      </c>
      <c r="E207" s="2718" t="s">
        <v>290</v>
      </c>
      <c r="F207" s="2718" t="s">
        <v>290</v>
      </c>
      <c r="G207" s="2718" t="s">
        <v>290</v>
      </c>
      <c r="H207" s="2718"/>
      <c r="I207" s="2718" t="s">
        <v>288</v>
      </c>
      <c r="J207" s="2718" t="s">
        <v>288</v>
      </c>
      <c r="K207" s="2718" t="s">
        <v>288</v>
      </c>
      <c r="L207" s="2718" t="s">
        <v>288</v>
      </c>
      <c r="M207" s="2718" t="s">
        <v>50</v>
      </c>
      <c r="N207" s="2718"/>
      <c r="O207" s="2718"/>
      <c r="P207" s="2718" t="s">
        <v>289</v>
      </c>
      <c r="Q207" s="2718" t="s">
        <v>289</v>
      </c>
      <c r="R207" s="2718" t="s">
        <v>289</v>
      </c>
      <c r="S207" s="2718" t="s">
        <v>289</v>
      </c>
      <c r="T207" s="2718" t="s">
        <v>289</v>
      </c>
      <c r="U207" s="2718"/>
      <c r="V207" s="2718"/>
      <c r="W207" s="2718" t="s">
        <v>290</v>
      </c>
      <c r="X207" s="2718" t="s">
        <v>290</v>
      </c>
      <c r="Y207" s="2718" t="s">
        <v>290</v>
      </c>
      <c r="Z207" s="2718" t="s">
        <v>290</v>
      </c>
      <c r="AA207" s="2718" t="s">
        <v>290</v>
      </c>
      <c r="AB207" s="2718" t="s">
        <v>290</v>
      </c>
      <c r="AC207" s="2718"/>
      <c r="AD207" s="2734" t="s">
        <v>288</v>
      </c>
      <c r="AE207" s="2718" t="s">
        <v>288</v>
      </c>
      <c r="AF207" s="2718" t="s">
        <v>288</v>
      </c>
      <c r="AG207" s="2721" t="s">
        <v>288</v>
      </c>
      <c r="AH207" s="132"/>
      <c r="AI207" s="116"/>
    </row>
    <row r="208" spans="1:35" ht="18" customHeight="1" x14ac:dyDescent="0.2">
      <c r="A208" s="2575">
        <v>4</v>
      </c>
      <c r="B208" s="2606" t="s">
        <v>489</v>
      </c>
      <c r="C208" s="2718"/>
      <c r="D208" s="2718"/>
      <c r="E208" s="2718"/>
      <c r="F208" s="2718"/>
      <c r="G208" s="2718"/>
      <c r="H208" s="2718"/>
      <c r="I208" s="2718"/>
      <c r="J208" s="2718"/>
      <c r="K208" s="2718"/>
      <c r="L208" s="2725"/>
      <c r="M208" s="2725"/>
      <c r="N208" s="2718"/>
      <c r="O208" s="2718"/>
      <c r="P208" s="2718"/>
      <c r="Q208" s="2718"/>
      <c r="R208" s="2718"/>
      <c r="S208" s="2718"/>
      <c r="T208" s="2718"/>
      <c r="U208" s="2718"/>
      <c r="V208" s="2718"/>
      <c r="W208" s="2718"/>
      <c r="X208" s="2718"/>
      <c r="Y208" s="2718"/>
      <c r="Z208" s="2718"/>
      <c r="AA208" s="2718"/>
      <c r="AB208" s="2718"/>
      <c r="AC208" s="2718"/>
      <c r="AD208" s="2718"/>
      <c r="AE208" s="2718"/>
      <c r="AF208" s="2718"/>
      <c r="AG208" s="2607"/>
      <c r="AH208" s="132"/>
      <c r="AI208" s="116"/>
    </row>
    <row r="209" spans="1:35" ht="18" customHeight="1" x14ac:dyDescent="0.2">
      <c r="A209" s="2575">
        <v>5</v>
      </c>
      <c r="B209" s="2606" t="s">
        <v>292</v>
      </c>
      <c r="C209" s="2718"/>
      <c r="D209" s="2718"/>
      <c r="E209" s="2718"/>
      <c r="F209" s="2718"/>
      <c r="G209" s="2718"/>
      <c r="H209" s="2718"/>
      <c r="I209" s="2718"/>
      <c r="J209" s="2718"/>
      <c r="K209" s="2725"/>
      <c r="L209" s="2718"/>
      <c r="M209" s="2712" t="s">
        <v>46</v>
      </c>
      <c r="N209" s="2718"/>
      <c r="O209" s="2718"/>
      <c r="P209" s="2718"/>
      <c r="Q209" s="2718"/>
      <c r="R209" s="2718"/>
      <c r="S209" s="2718"/>
      <c r="T209" s="2718"/>
      <c r="U209" s="2718"/>
      <c r="V209" s="2718"/>
      <c r="W209" s="2718"/>
      <c r="X209" s="2718"/>
      <c r="Y209" s="2718"/>
      <c r="Z209" s="2718"/>
      <c r="AA209" s="2718"/>
      <c r="AB209" s="2718"/>
      <c r="AC209" s="2718"/>
      <c r="AD209" s="2718"/>
      <c r="AE209" s="2718"/>
      <c r="AF209" s="2725"/>
      <c r="AG209" s="2721"/>
      <c r="AH209" s="132"/>
      <c r="AI209" s="116"/>
    </row>
    <row r="210" spans="1:35" ht="18" customHeight="1" x14ac:dyDescent="0.2">
      <c r="A210" s="2575">
        <v>6</v>
      </c>
      <c r="B210" s="2722" t="s">
        <v>293</v>
      </c>
      <c r="C210" s="2718" t="s">
        <v>46</v>
      </c>
      <c r="D210" s="2718" t="s">
        <v>46</v>
      </c>
      <c r="E210" s="2869" t="s">
        <v>46</v>
      </c>
      <c r="F210" s="2723" t="s">
        <v>46</v>
      </c>
      <c r="G210" s="2718"/>
      <c r="H210" s="2718"/>
      <c r="I210" s="2718" t="s">
        <v>46</v>
      </c>
      <c r="J210" s="2718" t="s">
        <v>46</v>
      </c>
      <c r="K210" s="2718" t="s">
        <v>46</v>
      </c>
      <c r="L210" s="2869" t="s">
        <v>46</v>
      </c>
      <c r="M210" s="2712" t="s">
        <v>46</v>
      </c>
      <c r="N210" s="2738"/>
      <c r="O210" s="2718"/>
      <c r="P210" s="2725" t="s">
        <v>46</v>
      </c>
      <c r="Q210" s="2725" t="s">
        <v>46</v>
      </c>
      <c r="R210" s="2725" t="s">
        <v>46</v>
      </c>
      <c r="S210" s="2725" t="s">
        <v>46</v>
      </c>
      <c r="T210" s="2718" t="s">
        <v>46</v>
      </c>
      <c r="U210" s="2718"/>
      <c r="V210" s="2723"/>
      <c r="W210" s="2718" t="s">
        <v>46</v>
      </c>
      <c r="X210" s="2718" t="s">
        <v>46</v>
      </c>
      <c r="Y210" s="2718" t="s">
        <v>46</v>
      </c>
      <c r="Z210" s="2718" t="s">
        <v>46</v>
      </c>
      <c r="AA210" s="2723" t="s">
        <v>46</v>
      </c>
      <c r="AB210" s="2718"/>
      <c r="AC210" s="2718"/>
      <c r="AD210" s="2718" t="s">
        <v>46</v>
      </c>
      <c r="AE210" s="2718" t="s">
        <v>46</v>
      </c>
      <c r="AF210" s="2718" t="s">
        <v>46</v>
      </c>
      <c r="AG210" s="2442" t="s">
        <v>46</v>
      </c>
      <c r="AH210" s="124"/>
      <c r="AI210" s="67"/>
    </row>
    <row r="211" spans="1:35" ht="18" customHeight="1" x14ac:dyDescent="0.2">
      <c r="A211" s="2584"/>
      <c r="B211" s="2743"/>
      <c r="C211" s="2783"/>
      <c r="D211" s="2783"/>
      <c r="E211" s="2783"/>
      <c r="F211" s="2783"/>
      <c r="G211" s="2783"/>
      <c r="H211" s="2783"/>
      <c r="I211" s="2783"/>
      <c r="J211" s="2783"/>
      <c r="K211" s="2783"/>
      <c r="L211" s="2783"/>
      <c r="M211" s="2783"/>
      <c r="N211" s="2783"/>
      <c r="O211" s="2783"/>
      <c r="P211" s="2783"/>
      <c r="Q211" s="2783"/>
      <c r="R211" s="2783"/>
      <c r="S211" s="2783"/>
      <c r="T211" s="2783"/>
      <c r="U211" s="2783"/>
      <c r="V211" s="2783"/>
      <c r="W211" s="2783"/>
      <c r="X211" s="2783"/>
      <c r="Y211" s="2783"/>
      <c r="Z211" s="2783"/>
      <c r="AA211" s="2783"/>
      <c r="AB211" s="2783"/>
      <c r="AC211" s="2783"/>
      <c r="AD211" s="2783"/>
      <c r="AE211" s="2783"/>
      <c r="AF211" s="2783"/>
      <c r="AG211" s="2784"/>
      <c r="AH211" s="67"/>
      <c r="AI211" s="67"/>
    </row>
    <row r="212" spans="1:35" ht="18" customHeight="1" x14ac:dyDescent="0.2">
      <c r="A212" s="129"/>
      <c r="B212" s="127"/>
      <c r="C212" s="128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28"/>
      <c r="AH212" s="67"/>
      <c r="AI212" s="67"/>
    </row>
    <row r="213" spans="1:35" ht="18" customHeight="1" x14ac:dyDescent="0.2">
      <c r="A213" s="129"/>
      <c r="B213" s="127"/>
      <c r="C213" s="128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28"/>
      <c r="AH213" s="67"/>
      <c r="AI213" s="67"/>
    </row>
    <row r="214" spans="1:35" ht="18" customHeight="1" x14ac:dyDescent="0.2">
      <c r="A214" s="97" t="s">
        <v>294</v>
      </c>
      <c r="B214" s="48"/>
      <c r="C214" s="66"/>
      <c r="D214" s="48"/>
      <c r="E214" s="48"/>
      <c r="F214" s="66"/>
      <c r="G214" s="48"/>
      <c r="H214" s="48"/>
      <c r="I214" s="66"/>
      <c r="J214" s="66"/>
      <c r="K214" s="48"/>
      <c r="L214" s="66"/>
      <c r="M214" s="48"/>
      <c r="N214" s="48"/>
      <c r="O214" s="66"/>
      <c r="P214" s="48"/>
      <c r="Q214" s="66"/>
      <c r="R214" s="66"/>
      <c r="S214" s="48"/>
      <c r="T214" s="48"/>
      <c r="U214" s="66"/>
      <c r="V214" s="48"/>
      <c r="W214" s="66"/>
      <c r="X214" s="66"/>
      <c r="Y214" s="48"/>
      <c r="Z214" s="48"/>
      <c r="AA214" s="48"/>
      <c r="AB214" s="48"/>
      <c r="AC214" s="48"/>
      <c r="AD214" s="48"/>
      <c r="AE214" s="66"/>
      <c r="AF214" s="48"/>
      <c r="AG214" s="48"/>
      <c r="AH214" s="67"/>
      <c r="AI214" s="67"/>
    </row>
    <row r="215" spans="1:35" ht="18" customHeight="1" x14ac:dyDescent="0.2">
      <c r="A215" s="69"/>
      <c r="B215" s="1509" t="s">
        <v>295</v>
      </c>
      <c r="C215" s="2996"/>
      <c r="D215" s="224" t="s">
        <v>17</v>
      </c>
      <c r="E215" s="225"/>
      <c r="F215" s="2997"/>
      <c r="G215" s="1511"/>
      <c r="H215" s="224" t="s">
        <v>18</v>
      </c>
      <c r="I215" s="225"/>
      <c r="J215" s="2997"/>
      <c r="K215" s="1511"/>
      <c r="L215" s="224" t="s">
        <v>19</v>
      </c>
      <c r="M215" s="225"/>
      <c r="N215" s="2997"/>
      <c r="O215" s="1511"/>
      <c r="P215" s="224" t="s">
        <v>20</v>
      </c>
      <c r="Q215" s="225"/>
      <c r="R215" s="2997"/>
      <c r="S215" s="1511"/>
      <c r="T215" s="224" t="s">
        <v>21</v>
      </c>
      <c r="U215" s="225"/>
      <c r="V215" s="2997"/>
      <c r="W215" s="1511"/>
      <c r="X215" s="224" t="s">
        <v>22</v>
      </c>
      <c r="Y215" s="225"/>
      <c r="Z215" s="2997"/>
      <c r="AA215" s="1511"/>
      <c r="AB215" s="224" t="s">
        <v>23</v>
      </c>
      <c r="AC215" s="225"/>
      <c r="AD215" s="225"/>
      <c r="AE215" s="1512" t="s">
        <v>126</v>
      </c>
      <c r="AF215" s="225"/>
      <c r="AG215" s="225"/>
      <c r="AH215" s="225"/>
      <c r="AI215" s="2998"/>
    </row>
    <row r="216" spans="1:35" ht="18" customHeight="1" x14ac:dyDescent="0.2">
      <c r="A216" s="69"/>
      <c r="B216" s="1137" t="s">
        <v>296</v>
      </c>
      <c r="C216" s="983" t="s">
        <v>297</v>
      </c>
      <c r="D216" s="1930" t="s">
        <v>298</v>
      </c>
      <c r="E216" s="985"/>
      <c r="F216" s="1932"/>
      <c r="G216" s="987"/>
      <c r="H216" s="2608" t="s">
        <v>298</v>
      </c>
      <c r="I216" s="2609"/>
      <c r="J216" s="1932"/>
      <c r="K216" s="987"/>
      <c r="L216" s="2608" t="s">
        <v>298</v>
      </c>
      <c r="M216" s="2609"/>
      <c r="N216" s="1932"/>
      <c r="O216" s="987"/>
      <c r="P216" s="2608" t="s">
        <v>299</v>
      </c>
      <c r="Q216" s="2609"/>
      <c r="R216" s="1932"/>
      <c r="S216" s="987"/>
      <c r="T216" s="2608" t="s">
        <v>300</v>
      </c>
      <c r="U216" s="2609"/>
      <c r="V216" s="1932"/>
      <c r="W216" s="990"/>
      <c r="X216" s="2610"/>
      <c r="Y216" s="2610"/>
      <c r="Z216" s="1935"/>
      <c r="AA216" s="990"/>
      <c r="AB216" s="2610"/>
      <c r="AC216" s="2610"/>
      <c r="AD216" s="2610"/>
      <c r="AE216" s="990"/>
      <c r="AF216" s="2610"/>
      <c r="AG216" s="2610"/>
      <c r="AH216" s="2611"/>
      <c r="AI216" s="1936"/>
    </row>
    <row r="217" spans="1:35" ht="18" customHeight="1" x14ac:dyDescent="0.2">
      <c r="A217" s="69"/>
      <c r="B217" s="1137" t="s">
        <v>301</v>
      </c>
      <c r="C217" s="983" t="s">
        <v>174</v>
      </c>
      <c r="D217" s="1930" t="s">
        <v>298</v>
      </c>
      <c r="E217" s="985"/>
      <c r="F217" s="1932"/>
      <c r="G217" s="987"/>
      <c r="H217" s="2608" t="s">
        <v>298</v>
      </c>
      <c r="I217" s="2609"/>
      <c r="J217" s="1932"/>
      <c r="K217" s="987"/>
      <c r="L217" s="2608" t="s">
        <v>302</v>
      </c>
      <c r="M217" s="2609"/>
      <c r="N217" s="1932"/>
      <c r="O217" s="987"/>
      <c r="P217" s="2608" t="s">
        <v>303</v>
      </c>
      <c r="Q217" s="2609"/>
      <c r="R217" s="1932"/>
      <c r="S217" s="987"/>
      <c r="T217" s="2608" t="s">
        <v>304</v>
      </c>
      <c r="U217" s="2609"/>
      <c r="V217" s="1932"/>
      <c r="W217" s="990"/>
      <c r="X217" s="2610"/>
      <c r="Y217" s="2610"/>
      <c r="Z217" s="1935"/>
      <c r="AA217" s="990"/>
      <c r="AB217" s="2610"/>
      <c r="AC217" s="2610"/>
      <c r="AD217" s="2610"/>
      <c r="AE217" s="990"/>
      <c r="AF217" s="2610"/>
      <c r="AG217" s="2610"/>
      <c r="AH217" s="2611"/>
      <c r="AI217" s="1936"/>
    </row>
    <row r="218" spans="1:35" ht="18" customHeight="1" x14ac:dyDescent="0.2">
      <c r="A218" s="69"/>
      <c r="B218" s="1137" t="s">
        <v>305</v>
      </c>
      <c r="C218" s="983" t="s">
        <v>154</v>
      </c>
      <c r="D218" s="1930" t="s">
        <v>306</v>
      </c>
      <c r="E218" s="985"/>
      <c r="F218" s="1932"/>
      <c r="G218" s="987"/>
      <c r="H218" s="1930" t="s">
        <v>306</v>
      </c>
      <c r="I218" s="2609"/>
      <c r="J218" s="1932"/>
      <c r="K218" s="987"/>
      <c r="L218" s="1930" t="s">
        <v>306</v>
      </c>
      <c r="M218" s="2609"/>
      <c r="N218" s="1932"/>
      <c r="O218" s="987"/>
      <c r="P218" s="2608" t="s">
        <v>307</v>
      </c>
      <c r="Q218" s="2609"/>
      <c r="R218" s="1932"/>
      <c r="S218" s="987"/>
      <c r="T218" s="2608" t="s">
        <v>304</v>
      </c>
      <c r="U218" s="2609"/>
      <c r="V218" s="1932"/>
      <c r="W218" s="990"/>
      <c r="X218" s="2610"/>
      <c r="Y218" s="2610"/>
      <c r="Z218" s="1935"/>
      <c r="AA218" s="990"/>
      <c r="AB218" s="2610"/>
      <c r="AC218" s="2610"/>
      <c r="AD218" s="2610"/>
      <c r="AE218" s="990"/>
      <c r="AF218" s="2610"/>
      <c r="AG218" s="2610"/>
      <c r="AH218" s="2611"/>
      <c r="AI218" s="1936"/>
    </row>
    <row r="219" spans="1:35" ht="18" customHeight="1" x14ac:dyDescent="0.2">
      <c r="A219" s="69"/>
      <c r="B219" s="1137" t="s">
        <v>308</v>
      </c>
      <c r="C219" s="983" t="s">
        <v>309</v>
      </c>
      <c r="D219" s="1930" t="s">
        <v>310</v>
      </c>
      <c r="E219" s="985"/>
      <c r="F219" s="1932"/>
      <c r="G219" s="987"/>
      <c r="H219" s="2608" t="s">
        <v>298</v>
      </c>
      <c r="I219" s="2609"/>
      <c r="J219" s="1932"/>
      <c r="K219" s="987"/>
      <c r="L219" s="2608" t="s">
        <v>298</v>
      </c>
      <c r="M219" s="2609"/>
      <c r="N219" s="1932"/>
      <c r="O219" s="987"/>
      <c r="P219" s="2608" t="s">
        <v>311</v>
      </c>
      <c r="Q219" s="2609"/>
      <c r="R219" s="1932"/>
      <c r="S219" s="987"/>
      <c r="T219" s="2608" t="s">
        <v>312</v>
      </c>
      <c r="U219" s="2609"/>
      <c r="V219" s="1932"/>
      <c r="W219" s="990"/>
      <c r="X219" s="2610"/>
      <c r="Y219" s="2610"/>
      <c r="Z219" s="1935"/>
      <c r="AA219" s="990"/>
      <c r="AB219" s="2610"/>
      <c r="AC219" s="2610"/>
      <c r="AD219" s="2610"/>
      <c r="AE219" s="990"/>
      <c r="AF219" s="2610"/>
      <c r="AG219" s="2610"/>
      <c r="AH219" s="2611"/>
      <c r="AI219" s="1936"/>
    </row>
    <row r="220" spans="1:35" ht="18" customHeight="1" x14ac:dyDescent="0.2">
      <c r="A220" s="69"/>
      <c r="B220" s="2999" t="s">
        <v>313</v>
      </c>
      <c r="C220" s="983" t="s">
        <v>160</v>
      </c>
      <c r="D220" s="1930" t="s">
        <v>314</v>
      </c>
      <c r="E220" s="985"/>
      <c r="F220" s="1937"/>
      <c r="G220" s="996"/>
      <c r="H220" s="1930" t="s">
        <v>314</v>
      </c>
      <c r="I220" s="2613"/>
      <c r="J220" s="1937"/>
      <c r="K220" s="996"/>
      <c r="L220" s="1930" t="s">
        <v>314</v>
      </c>
      <c r="M220" s="2613"/>
      <c r="N220" s="1937"/>
      <c r="O220" s="996"/>
      <c r="P220" s="2608" t="s">
        <v>315</v>
      </c>
      <c r="Q220" s="2613"/>
      <c r="R220" s="1937"/>
      <c r="S220" s="996"/>
      <c r="T220" s="2608" t="s">
        <v>304</v>
      </c>
      <c r="U220" s="2613"/>
      <c r="V220" s="2431"/>
      <c r="W220" s="3000"/>
      <c r="X220" s="2513"/>
      <c r="Y220" s="2513"/>
      <c r="Z220" s="1008"/>
      <c r="AA220" s="3000"/>
      <c r="AB220" s="2513"/>
      <c r="AC220" s="2513"/>
      <c r="AD220" s="2513"/>
      <c r="AE220" s="3000"/>
      <c r="AF220" s="2513"/>
      <c r="AG220" s="2513"/>
      <c r="AH220" s="1524"/>
      <c r="AI220" s="1002"/>
    </row>
    <row r="221" spans="1:35" ht="18" customHeight="1" x14ac:dyDescent="0.2">
      <c r="A221" s="69"/>
      <c r="B221" s="1137" t="s">
        <v>316</v>
      </c>
      <c r="C221" s="983" t="s">
        <v>168</v>
      </c>
      <c r="D221" s="1930" t="s">
        <v>317</v>
      </c>
      <c r="E221" s="985"/>
      <c r="F221" s="1932"/>
      <c r="G221" s="987"/>
      <c r="H221" s="1930" t="s">
        <v>317</v>
      </c>
      <c r="I221" s="2609"/>
      <c r="J221" s="1932"/>
      <c r="K221" s="987"/>
      <c r="L221" s="1930" t="s">
        <v>317</v>
      </c>
      <c r="M221" s="2609"/>
      <c r="N221" s="1932"/>
      <c r="O221" s="987"/>
      <c r="P221" s="2608" t="s">
        <v>318</v>
      </c>
      <c r="Q221" s="2609"/>
      <c r="R221" s="1932"/>
      <c r="S221" s="987"/>
      <c r="T221" s="2608" t="s">
        <v>304</v>
      </c>
      <c r="U221" s="2609"/>
      <c r="V221" s="1932"/>
      <c r="W221" s="990"/>
      <c r="X221" s="2610"/>
      <c r="Y221" s="2610"/>
      <c r="Z221" s="1142"/>
      <c r="AA221" s="990"/>
      <c r="AB221" s="2610"/>
      <c r="AC221" s="2610"/>
      <c r="AD221" s="2610"/>
      <c r="AE221" s="990"/>
      <c r="AF221" s="2610"/>
      <c r="AG221" s="2610"/>
      <c r="AH221" s="2611"/>
      <c r="AI221" s="1936"/>
    </row>
    <row r="222" spans="1:35" ht="18" customHeight="1" x14ac:dyDescent="0.2">
      <c r="A222" s="69"/>
      <c r="B222" s="1137" t="s">
        <v>319</v>
      </c>
      <c r="C222" s="983" t="s">
        <v>158</v>
      </c>
      <c r="D222" s="1930" t="s">
        <v>320</v>
      </c>
      <c r="E222" s="985"/>
      <c r="F222" s="1932"/>
      <c r="G222" s="987"/>
      <c r="H222" s="2608" t="s">
        <v>320</v>
      </c>
      <c r="I222" s="2609"/>
      <c r="J222" s="1932"/>
      <c r="K222" s="987"/>
      <c r="L222" s="2608" t="s">
        <v>320</v>
      </c>
      <c r="M222" s="2609"/>
      <c r="N222" s="2609"/>
      <c r="O222" s="987"/>
      <c r="P222" s="2608" t="s">
        <v>320</v>
      </c>
      <c r="Q222" s="2609"/>
      <c r="R222" s="2609"/>
      <c r="S222" s="987"/>
      <c r="T222" s="2608" t="s">
        <v>304</v>
      </c>
      <c r="U222" s="2609"/>
      <c r="V222" s="1932"/>
      <c r="W222" s="1137"/>
      <c r="X222" s="2610"/>
      <c r="Y222" s="2610"/>
      <c r="Z222" s="1142"/>
      <c r="AA222" s="990"/>
      <c r="AB222" s="2610"/>
      <c r="AC222" s="2610"/>
      <c r="AD222" s="2610"/>
      <c r="AE222" s="990"/>
      <c r="AF222" s="2610"/>
      <c r="AG222" s="2610"/>
      <c r="AH222" s="2611"/>
      <c r="AI222" s="1936"/>
    </row>
    <row r="223" spans="1:35" ht="18" customHeight="1" x14ac:dyDescent="0.2">
      <c r="A223" s="69"/>
      <c r="B223" s="1137" t="s">
        <v>321</v>
      </c>
      <c r="C223" s="983" t="s">
        <v>322</v>
      </c>
      <c r="D223" s="1930" t="s">
        <v>320</v>
      </c>
      <c r="E223" s="985"/>
      <c r="F223" s="1932"/>
      <c r="G223" s="987"/>
      <c r="H223" s="2608" t="s">
        <v>320</v>
      </c>
      <c r="I223" s="2609"/>
      <c r="J223" s="1932"/>
      <c r="K223" s="987"/>
      <c r="L223" s="2608" t="s">
        <v>320</v>
      </c>
      <c r="M223" s="2609"/>
      <c r="N223" s="2609"/>
      <c r="O223" s="987"/>
      <c r="P223" s="2608" t="s">
        <v>320</v>
      </c>
      <c r="Q223" s="2609"/>
      <c r="R223" s="2609"/>
      <c r="S223" s="987"/>
      <c r="T223" s="2608" t="s">
        <v>304</v>
      </c>
      <c r="U223" s="2609"/>
      <c r="V223" s="1932"/>
      <c r="W223" s="1137"/>
      <c r="X223" s="2610"/>
      <c r="Y223" s="2610"/>
      <c r="Z223" s="1935"/>
      <c r="AA223" s="2614"/>
      <c r="AB223" s="2610"/>
      <c r="AC223" s="2610"/>
      <c r="AD223" s="2610"/>
      <c r="AE223" s="990"/>
      <c r="AF223" s="2610"/>
      <c r="AG223" s="2610"/>
      <c r="AH223" s="2611"/>
      <c r="AI223" s="1936"/>
    </row>
    <row r="224" spans="1:35" ht="18" customHeight="1" x14ac:dyDescent="0.2">
      <c r="A224" s="69"/>
      <c r="B224" s="1137" t="s">
        <v>465</v>
      </c>
      <c r="C224" s="983" t="s">
        <v>451</v>
      </c>
      <c r="D224" s="1930" t="s">
        <v>320</v>
      </c>
      <c r="E224" s="985"/>
      <c r="F224" s="1932"/>
      <c r="G224" s="987"/>
      <c r="H224" s="2608" t="s">
        <v>320</v>
      </c>
      <c r="I224" s="2609"/>
      <c r="J224" s="1932"/>
      <c r="K224" s="987"/>
      <c r="L224" s="2608" t="s">
        <v>320</v>
      </c>
      <c r="M224" s="2609"/>
      <c r="N224" s="2609"/>
      <c r="O224" s="987"/>
      <c r="P224" s="2608" t="s">
        <v>320</v>
      </c>
      <c r="Q224" s="2609"/>
      <c r="R224" s="2609"/>
      <c r="S224" s="987"/>
      <c r="T224" s="2608" t="s">
        <v>304</v>
      </c>
      <c r="U224" s="2609"/>
      <c r="V224" s="1932"/>
      <c r="AA224" s="122"/>
      <c r="AE224" s="122"/>
      <c r="AH224" s="67"/>
      <c r="AI224" s="67"/>
    </row>
    <row r="225" spans="1:37" ht="18" customHeight="1" x14ac:dyDescent="0.2">
      <c r="A225" s="69"/>
      <c r="B225" t="s">
        <v>323</v>
      </c>
      <c r="C225" s="122"/>
      <c r="F225" s="122"/>
      <c r="I225" s="122"/>
      <c r="J225" s="122"/>
      <c r="L225" s="122"/>
      <c r="O225" s="122"/>
      <c r="Q225" s="122"/>
      <c r="R225" s="122"/>
      <c r="U225" s="122"/>
      <c r="W225" s="122"/>
      <c r="X225" s="122"/>
      <c r="AE225" s="122"/>
      <c r="AH225" s="67"/>
      <c r="AI225" s="67"/>
      <c r="AJ225" s="123"/>
    </row>
    <row r="226" spans="1:37" ht="18" customHeight="1" x14ac:dyDescent="0.2">
      <c r="A226" s="69"/>
      <c r="B226" s="1509" t="s">
        <v>295</v>
      </c>
      <c r="C226" s="3001"/>
      <c r="D226" s="224" t="s">
        <v>17</v>
      </c>
      <c r="E226" s="225"/>
      <c r="F226" s="2997"/>
      <c r="G226" s="1511"/>
      <c r="H226" s="224" t="s">
        <v>18</v>
      </c>
      <c r="I226" s="225"/>
      <c r="J226" s="2997"/>
      <c r="K226" s="1511"/>
      <c r="L226" s="224" t="s">
        <v>19</v>
      </c>
      <c r="M226" s="225"/>
      <c r="N226" s="2997"/>
      <c r="O226" s="1511"/>
      <c r="P226" s="224" t="s">
        <v>20</v>
      </c>
      <c r="Q226" s="225"/>
      <c r="R226" s="2997"/>
      <c r="S226" s="1511"/>
      <c r="T226" s="224" t="s">
        <v>21</v>
      </c>
      <c r="U226" s="225"/>
      <c r="V226" s="2997"/>
      <c r="W226" s="1511"/>
      <c r="X226" s="224" t="s">
        <v>22</v>
      </c>
      <c r="Y226" s="225"/>
      <c r="Z226" s="2997"/>
      <c r="AA226" s="1511"/>
      <c r="AB226" s="224" t="s">
        <v>23</v>
      </c>
      <c r="AC226" s="225"/>
      <c r="AD226" s="225"/>
      <c r="AE226" s="1512" t="s">
        <v>126</v>
      </c>
      <c r="AF226" s="225"/>
      <c r="AG226" s="225"/>
      <c r="AH226" s="225"/>
      <c r="AI226" s="2998"/>
      <c r="AJ226" s="123"/>
    </row>
    <row r="227" spans="1:37" ht="18" customHeight="1" x14ac:dyDescent="0.2">
      <c r="A227" s="69"/>
      <c r="B227" s="1137" t="s">
        <v>296</v>
      </c>
      <c r="C227" s="983" t="s">
        <v>297</v>
      </c>
      <c r="D227" s="1930" t="s">
        <v>324</v>
      </c>
      <c r="E227" s="985"/>
      <c r="F227" s="1932"/>
      <c r="G227" s="987"/>
      <c r="H227" s="1930" t="s">
        <v>324</v>
      </c>
      <c r="I227" s="2609"/>
      <c r="J227" s="1932"/>
      <c r="K227" s="987"/>
      <c r="L227" s="1930" t="s">
        <v>324</v>
      </c>
      <c r="M227" s="2609"/>
      <c r="N227" s="1932"/>
      <c r="O227" s="987"/>
      <c r="P227" s="2608" t="s">
        <v>325</v>
      </c>
      <c r="Q227" s="2609"/>
      <c r="R227" s="1932"/>
      <c r="S227" s="987"/>
      <c r="T227" s="2608" t="s">
        <v>326</v>
      </c>
      <c r="U227" s="2609"/>
      <c r="V227" s="1932"/>
      <c r="W227" s="1006"/>
      <c r="X227" s="1142"/>
      <c r="Y227" s="1142"/>
      <c r="Z227" s="2431"/>
      <c r="AA227" s="1006"/>
      <c r="AB227" s="1142"/>
      <c r="AC227" s="1142"/>
      <c r="AD227" s="1142"/>
      <c r="AE227" s="1006"/>
      <c r="AF227" s="1142"/>
      <c r="AG227" s="1142"/>
      <c r="AH227" s="2611"/>
      <c r="AI227" s="1936"/>
      <c r="AJ227" s="123"/>
    </row>
    <row r="228" spans="1:37" ht="18" customHeight="1" x14ac:dyDescent="0.2">
      <c r="A228" s="69"/>
      <c r="B228" s="1137" t="s">
        <v>301</v>
      </c>
      <c r="C228" s="983" t="s">
        <v>174</v>
      </c>
      <c r="D228" s="1930" t="s">
        <v>324</v>
      </c>
      <c r="E228" s="985"/>
      <c r="F228" s="1932"/>
      <c r="G228" s="987"/>
      <c r="H228" s="1930" t="s">
        <v>324</v>
      </c>
      <c r="I228" s="2609"/>
      <c r="J228" s="1932"/>
      <c r="K228" s="987"/>
      <c r="L228" s="2608" t="s">
        <v>302</v>
      </c>
      <c r="M228" s="2609"/>
      <c r="N228" s="1932"/>
      <c r="O228" s="987"/>
      <c r="P228" s="2608" t="s">
        <v>327</v>
      </c>
      <c r="Q228" s="2609"/>
      <c r="R228" s="1932"/>
      <c r="S228" s="987"/>
      <c r="T228" s="2608" t="s">
        <v>328</v>
      </c>
      <c r="U228" s="2609"/>
      <c r="V228" s="1932"/>
      <c r="W228" s="1006"/>
      <c r="X228" s="1142"/>
      <c r="Y228" s="1142"/>
      <c r="Z228" s="2431"/>
      <c r="AA228" s="1006"/>
      <c r="AB228" s="1142"/>
      <c r="AC228" s="1142"/>
      <c r="AD228" s="1142"/>
      <c r="AE228" s="1006"/>
      <c r="AF228" s="1142"/>
      <c r="AG228" s="1142"/>
      <c r="AH228" s="2611"/>
      <c r="AI228" s="1936"/>
      <c r="AJ228" s="123"/>
    </row>
    <row r="229" spans="1:37" ht="18" customHeight="1" x14ac:dyDescent="0.2">
      <c r="A229" s="69"/>
      <c r="B229" s="1137" t="s">
        <v>305</v>
      </c>
      <c r="C229" s="983" t="s">
        <v>154</v>
      </c>
      <c r="D229" s="1930" t="s">
        <v>324</v>
      </c>
      <c r="E229" s="985"/>
      <c r="F229" s="1932"/>
      <c r="G229" s="987"/>
      <c r="H229" s="1930" t="s">
        <v>324</v>
      </c>
      <c r="I229" s="2609"/>
      <c r="J229" s="1932"/>
      <c r="K229" s="987"/>
      <c r="L229" s="1930" t="s">
        <v>324</v>
      </c>
      <c r="M229" s="2609"/>
      <c r="N229" s="1932"/>
      <c r="O229" s="987"/>
      <c r="P229" s="2608" t="s">
        <v>329</v>
      </c>
      <c r="Q229" s="2609"/>
      <c r="R229" s="1932"/>
      <c r="S229" s="987"/>
      <c r="T229" s="2608" t="s">
        <v>328</v>
      </c>
      <c r="U229" s="2609"/>
      <c r="V229" s="1932"/>
      <c r="W229" s="1006"/>
      <c r="X229" s="1142"/>
      <c r="Y229" s="1142"/>
      <c r="Z229" s="2431"/>
      <c r="AA229" s="1006"/>
      <c r="AB229" s="1142"/>
      <c r="AC229" s="1142"/>
      <c r="AD229" s="1142"/>
      <c r="AE229" s="1006"/>
      <c r="AF229" s="1142"/>
      <c r="AG229" s="1142"/>
      <c r="AH229" s="2611"/>
      <c r="AI229" s="1936"/>
      <c r="AJ229" s="123"/>
    </row>
    <row r="230" spans="1:37" ht="18" customHeight="1" x14ac:dyDescent="0.2">
      <c r="A230" s="69"/>
      <c r="B230" s="1137" t="s">
        <v>308</v>
      </c>
      <c r="C230" s="983" t="s">
        <v>309</v>
      </c>
      <c r="D230" s="1930" t="s">
        <v>330</v>
      </c>
      <c r="E230" s="985"/>
      <c r="F230" s="1932"/>
      <c r="G230" s="987"/>
      <c r="H230" s="1930" t="s">
        <v>330</v>
      </c>
      <c r="I230" s="2609"/>
      <c r="J230" s="1932"/>
      <c r="K230" s="987"/>
      <c r="L230" s="1930" t="s">
        <v>314</v>
      </c>
      <c r="M230" s="2609"/>
      <c r="N230" s="1932"/>
      <c r="O230" s="987"/>
      <c r="P230" s="2608" t="s">
        <v>331</v>
      </c>
      <c r="Q230" s="2609"/>
      <c r="R230" s="1932"/>
      <c r="S230" s="987"/>
      <c r="T230" s="2608" t="s">
        <v>326</v>
      </c>
      <c r="U230" s="2609"/>
      <c r="V230" s="1932"/>
      <c r="W230" s="1006"/>
      <c r="X230" s="1142"/>
      <c r="Y230" s="1142"/>
      <c r="Z230" s="2431"/>
      <c r="AA230" s="1006"/>
      <c r="AB230" s="1142"/>
      <c r="AC230" s="1142"/>
      <c r="AD230" s="1142"/>
      <c r="AE230" s="1006"/>
      <c r="AF230" s="1142"/>
      <c r="AG230" s="1142"/>
      <c r="AH230" s="2611"/>
      <c r="AI230" s="1936"/>
      <c r="AJ230" s="123"/>
    </row>
    <row r="231" spans="1:37" ht="18" customHeight="1" x14ac:dyDescent="0.2">
      <c r="A231" s="69"/>
      <c r="B231" s="2999" t="s">
        <v>313</v>
      </c>
      <c r="C231" s="983" t="s">
        <v>160</v>
      </c>
      <c r="D231" s="1930" t="s">
        <v>324</v>
      </c>
      <c r="E231" s="985"/>
      <c r="F231" s="1932"/>
      <c r="G231" s="987"/>
      <c r="H231" s="1930" t="s">
        <v>324</v>
      </c>
      <c r="I231" s="2609"/>
      <c r="J231" s="1932"/>
      <c r="K231" s="987"/>
      <c r="L231" s="1930" t="s">
        <v>324</v>
      </c>
      <c r="M231" s="2609"/>
      <c r="N231" s="1932"/>
      <c r="O231" s="987"/>
      <c r="P231" s="2608" t="s">
        <v>329</v>
      </c>
      <c r="Q231" s="2609"/>
      <c r="R231" s="1932"/>
      <c r="S231" s="987"/>
      <c r="T231" s="2608" t="s">
        <v>328</v>
      </c>
      <c r="U231" s="2609"/>
      <c r="V231" s="1932"/>
      <c r="W231" s="3000"/>
      <c r="X231" s="2513"/>
      <c r="Y231" s="2513"/>
      <c r="Z231" s="1008"/>
      <c r="AA231" s="3000"/>
      <c r="AB231" s="2513"/>
      <c r="AC231" s="2513"/>
      <c r="AD231" s="2513"/>
      <c r="AE231" s="3000"/>
      <c r="AF231" s="2513"/>
      <c r="AG231" s="2513"/>
      <c r="AH231" s="1524"/>
      <c r="AI231" s="1002"/>
      <c r="AJ231" s="123"/>
    </row>
    <row r="232" spans="1:37" ht="18" customHeight="1" x14ac:dyDescent="0.2">
      <c r="A232" s="69"/>
      <c r="B232" s="1137" t="s">
        <v>316</v>
      </c>
      <c r="C232" s="983" t="s">
        <v>168</v>
      </c>
      <c r="D232" s="1930" t="s">
        <v>324</v>
      </c>
      <c r="E232" s="985"/>
      <c r="F232" s="1932"/>
      <c r="G232" s="987"/>
      <c r="H232" s="1930" t="s">
        <v>324</v>
      </c>
      <c r="I232" s="2609"/>
      <c r="J232" s="1932"/>
      <c r="K232" s="987"/>
      <c r="L232" s="1930" t="s">
        <v>324</v>
      </c>
      <c r="M232" s="2609"/>
      <c r="N232" s="1932"/>
      <c r="O232" s="987"/>
      <c r="P232" s="2608" t="s">
        <v>325</v>
      </c>
      <c r="Q232" s="2609"/>
      <c r="R232" s="1932"/>
      <c r="S232" s="987"/>
      <c r="T232" s="2608" t="s">
        <v>326</v>
      </c>
      <c r="U232" s="2609"/>
      <c r="V232" s="1932"/>
      <c r="W232" s="1006"/>
      <c r="X232" s="1142"/>
      <c r="Y232" s="1142"/>
      <c r="Z232" s="1142"/>
      <c r="AA232" s="1006"/>
      <c r="AB232" s="1142"/>
      <c r="AC232" s="1142"/>
      <c r="AD232" s="1142"/>
      <c r="AE232" s="1006"/>
      <c r="AF232" s="1142"/>
      <c r="AG232" s="1142"/>
      <c r="AH232" s="2611"/>
      <c r="AI232" s="1936"/>
      <c r="AJ232" s="123"/>
    </row>
    <row r="233" spans="1:37" ht="18" customHeight="1" x14ac:dyDescent="0.2">
      <c r="A233" s="69"/>
      <c r="B233" s="1137" t="s">
        <v>321</v>
      </c>
      <c r="C233" s="983" t="s">
        <v>322</v>
      </c>
      <c r="D233" s="1930" t="s">
        <v>320</v>
      </c>
      <c r="E233" s="985"/>
      <c r="F233" s="1932"/>
      <c r="G233" s="987"/>
      <c r="H233" s="2608" t="s">
        <v>320</v>
      </c>
      <c r="I233" s="2609"/>
      <c r="J233" s="1932"/>
      <c r="K233" s="987"/>
      <c r="L233" s="2608" t="s">
        <v>320</v>
      </c>
      <c r="M233" s="2609"/>
      <c r="N233" s="2609"/>
      <c r="O233" s="987"/>
      <c r="P233" s="2608" t="s">
        <v>320</v>
      </c>
      <c r="Q233" s="2609"/>
      <c r="R233" s="2609"/>
      <c r="S233" s="987"/>
      <c r="T233" s="2608" t="s">
        <v>304</v>
      </c>
      <c r="U233" s="2609"/>
      <c r="V233" s="1932"/>
      <c r="W233" s="1137"/>
      <c r="X233" s="1142"/>
      <c r="Y233" s="1142"/>
      <c r="Z233" s="2431"/>
      <c r="AA233" s="2614"/>
      <c r="AB233" s="1142"/>
      <c r="AC233" s="1142"/>
      <c r="AD233" s="1142"/>
      <c r="AE233" s="1006"/>
      <c r="AF233" s="1142"/>
      <c r="AG233" s="1142"/>
      <c r="AH233" s="2611"/>
      <c r="AI233" s="1936"/>
      <c r="AJ233" s="123"/>
    </row>
    <row r="234" spans="1:37" ht="18" customHeight="1" x14ac:dyDescent="0.2">
      <c r="A234" s="69"/>
      <c r="B234" s="1137" t="s">
        <v>465</v>
      </c>
      <c r="C234" s="983" t="s">
        <v>451</v>
      </c>
      <c r="D234" s="1930" t="s">
        <v>320</v>
      </c>
      <c r="E234" s="985"/>
      <c r="F234" s="1932"/>
      <c r="G234" s="987"/>
      <c r="H234" s="2608" t="s">
        <v>320</v>
      </c>
      <c r="I234" s="2609"/>
      <c r="J234" s="1932"/>
      <c r="K234" s="987"/>
      <c r="L234" s="2608" t="s">
        <v>320</v>
      </c>
      <c r="M234" s="2609"/>
      <c r="N234" s="2609"/>
      <c r="O234" s="987"/>
      <c r="P234" s="2608" t="s">
        <v>320</v>
      </c>
      <c r="Q234" s="2609"/>
      <c r="R234" s="2609"/>
      <c r="S234" s="987"/>
      <c r="T234" s="2608" t="s">
        <v>304</v>
      </c>
      <c r="U234" s="2609"/>
      <c r="V234" s="1932"/>
      <c r="W234" s="1137"/>
      <c r="X234" s="1142"/>
      <c r="Y234" s="1142"/>
      <c r="Z234" s="2431"/>
      <c r="AA234" s="2614"/>
      <c r="AB234" s="1142"/>
      <c r="AC234" s="1142"/>
      <c r="AD234" s="1142"/>
      <c r="AE234" s="1006"/>
      <c r="AF234" s="1142"/>
      <c r="AG234" s="1142"/>
      <c r="AH234" s="2611"/>
      <c r="AI234" s="1936"/>
      <c r="AJ234" s="123"/>
    </row>
    <row r="235" spans="1:37" ht="18" customHeight="1" thickBot="1" x14ac:dyDescent="0.25">
      <c r="A235" s="69"/>
      <c r="B235" s="133"/>
      <c r="C235" s="134"/>
      <c r="D235" s="135"/>
      <c r="E235" s="136"/>
      <c r="F235" s="136"/>
      <c r="G235" s="137"/>
      <c r="H235" s="135"/>
      <c r="I235" s="136"/>
      <c r="J235" s="136"/>
      <c r="K235" s="137"/>
      <c r="L235" s="135"/>
      <c r="M235" s="136"/>
      <c r="N235" s="136"/>
      <c r="O235" s="137"/>
      <c r="P235" s="127"/>
      <c r="Q235" s="136"/>
      <c r="R235" s="136"/>
      <c r="S235" s="137"/>
      <c r="T235" s="127"/>
      <c r="U235" s="136"/>
      <c r="V235" s="136"/>
      <c r="W235" s="136"/>
      <c r="X235" s="136"/>
      <c r="Y235" s="136"/>
      <c r="Z235" s="136"/>
      <c r="AA235" s="137"/>
      <c r="AB235" s="136"/>
      <c r="AC235" s="136"/>
      <c r="AD235" s="136"/>
      <c r="AE235" s="137"/>
      <c r="AF235" s="136"/>
      <c r="AG235" s="136"/>
      <c r="AH235" s="124"/>
      <c r="AI235" s="124"/>
      <c r="AJ235" s="123"/>
    </row>
    <row r="236" spans="1:37" ht="18" customHeight="1" x14ac:dyDescent="0.2">
      <c r="A236" s="96"/>
      <c r="B236" s="3002" t="s">
        <v>448</v>
      </c>
      <c r="C236" s="2706">
        <v>1</v>
      </c>
      <c r="D236" s="2706">
        <v>2</v>
      </c>
      <c r="E236" s="2706">
        <v>3</v>
      </c>
      <c r="F236" s="2706">
        <v>4</v>
      </c>
      <c r="G236" s="2707">
        <v>5</v>
      </c>
      <c r="H236" s="2707">
        <v>6</v>
      </c>
      <c r="I236" s="2706">
        <v>7</v>
      </c>
      <c r="J236" s="2706">
        <v>8</v>
      </c>
      <c r="K236" s="2706">
        <v>9</v>
      </c>
      <c r="L236" s="2706">
        <v>10</v>
      </c>
      <c r="M236" s="2706">
        <v>11</v>
      </c>
      <c r="N236" s="2707">
        <v>12</v>
      </c>
      <c r="O236" s="2707">
        <v>13</v>
      </c>
      <c r="P236" s="2706">
        <v>14</v>
      </c>
      <c r="Q236" s="2706">
        <v>15</v>
      </c>
      <c r="R236" s="2706">
        <v>16</v>
      </c>
      <c r="S236" s="2706">
        <v>17</v>
      </c>
      <c r="T236" s="2706">
        <v>18</v>
      </c>
      <c r="U236" s="2707">
        <v>19</v>
      </c>
      <c r="V236" s="2707">
        <v>20</v>
      </c>
      <c r="W236" s="2706">
        <v>21</v>
      </c>
      <c r="X236" s="2706">
        <v>22</v>
      </c>
      <c r="Y236" s="2706">
        <v>23</v>
      </c>
      <c r="Z236" s="2706">
        <v>24</v>
      </c>
      <c r="AA236" s="2706">
        <v>25</v>
      </c>
      <c r="AB236" s="2707">
        <v>26</v>
      </c>
      <c r="AC236" s="2707">
        <v>27</v>
      </c>
      <c r="AD236" s="2706">
        <v>28</v>
      </c>
      <c r="AE236" s="2706">
        <v>29</v>
      </c>
      <c r="AF236" s="2706">
        <v>30</v>
      </c>
      <c r="AG236" s="2706">
        <v>31</v>
      </c>
      <c r="AH236" s="117"/>
      <c r="AI236" s="111"/>
    </row>
    <row r="237" spans="1:37" ht="18" customHeight="1" x14ac:dyDescent="0.2">
      <c r="A237" s="69"/>
      <c r="B237" s="1807" t="s">
        <v>453</v>
      </c>
      <c r="C237" s="635" t="s">
        <v>297</v>
      </c>
      <c r="D237" s="635" t="s">
        <v>297</v>
      </c>
      <c r="E237" s="635" t="s">
        <v>297</v>
      </c>
      <c r="F237" s="635" t="s">
        <v>297</v>
      </c>
      <c r="G237" s="635"/>
      <c r="H237" s="635"/>
      <c r="I237" s="635" t="s">
        <v>297</v>
      </c>
      <c r="J237" s="635" t="s">
        <v>297</v>
      </c>
      <c r="K237" s="635" t="s">
        <v>297</v>
      </c>
      <c r="L237" s="635" t="s">
        <v>297</v>
      </c>
      <c r="M237" s="635" t="s">
        <v>297</v>
      </c>
      <c r="N237" s="635"/>
      <c r="O237" s="635"/>
      <c r="P237" s="635" t="s">
        <v>297</v>
      </c>
      <c r="Q237" s="635" t="s">
        <v>297</v>
      </c>
      <c r="R237" s="635" t="s">
        <v>297</v>
      </c>
      <c r="S237" s="635" t="s">
        <v>297</v>
      </c>
      <c r="T237" s="635" t="s">
        <v>297</v>
      </c>
      <c r="U237" s="635"/>
      <c r="V237" s="635"/>
      <c r="W237" s="635" t="s">
        <v>297</v>
      </c>
      <c r="X237" s="635" t="s">
        <v>297</v>
      </c>
      <c r="Y237" s="635" t="s">
        <v>297</v>
      </c>
      <c r="Z237" s="635" t="s">
        <v>297</v>
      </c>
      <c r="AA237" s="635" t="s">
        <v>297</v>
      </c>
      <c r="AB237" s="635"/>
      <c r="AC237" s="635"/>
      <c r="AD237" s="635" t="s">
        <v>297</v>
      </c>
      <c r="AE237" s="635" t="s">
        <v>297</v>
      </c>
      <c r="AF237" s="635" t="s">
        <v>297</v>
      </c>
      <c r="AG237" s="635" t="s">
        <v>297</v>
      </c>
      <c r="AH237" s="116"/>
      <c r="AI237" s="116"/>
    </row>
    <row r="238" spans="1:37" ht="18" customHeight="1" x14ac:dyDescent="0.2">
      <c r="A238" s="69"/>
      <c r="B238" s="1011" t="s">
        <v>333</v>
      </c>
      <c r="C238" s="635" t="s">
        <v>174</v>
      </c>
      <c r="D238" s="635" t="s">
        <v>174</v>
      </c>
      <c r="E238" s="1529" t="s">
        <v>174</v>
      </c>
      <c r="F238" s="635" t="s">
        <v>174</v>
      </c>
      <c r="G238" s="635"/>
      <c r="H238" s="635"/>
      <c r="I238" s="635" t="s">
        <v>174</v>
      </c>
      <c r="J238" s="635" t="s">
        <v>174</v>
      </c>
      <c r="K238" s="635" t="s">
        <v>174</v>
      </c>
      <c r="L238" s="635" t="s">
        <v>174</v>
      </c>
      <c r="M238" s="635" t="s">
        <v>174</v>
      </c>
      <c r="N238" s="635"/>
      <c r="O238" s="635"/>
      <c r="P238" s="2217" t="s">
        <v>174</v>
      </c>
      <c r="Q238" s="2217" t="s">
        <v>174</v>
      </c>
      <c r="R238" s="2217" t="s">
        <v>174</v>
      </c>
      <c r="S238" s="635" t="s">
        <v>174</v>
      </c>
      <c r="T238" s="635" t="s">
        <v>174</v>
      </c>
      <c r="U238" s="635"/>
      <c r="V238" s="635"/>
      <c r="W238" s="635" t="s">
        <v>174</v>
      </c>
      <c r="X238" s="635" t="s">
        <v>174</v>
      </c>
      <c r="Y238" s="635" t="s">
        <v>174</v>
      </c>
      <c r="Z238" s="635" t="s">
        <v>174</v>
      </c>
      <c r="AA238" s="635" t="s">
        <v>174</v>
      </c>
      <c r="AB238" s="635"/>
      <c r="AC238" s="635"/>
      <c r="AD238" s="635" t="s">
        <v>174</v>
      </c>
      <c r="AE238" s="635" t="s">
        <v>174</v>
      </c>
      <c r="AF238" s="635" t="s">
        <v>174</v>
      </c>
      <c r="AG238" s="801" t="s">
        <v>174</v>
      </c>
      <c r="AH238" s="116"/>
      <c r="AI238" s="116"/>
    </row>
    <row r="239" spans="1:37" ht="18" customHeight="1" x14ac:dyDescent="0.2">
      <c r="A239" s="69"/>
      <c r="B239" s="1012" t="s">
        <v>334</v>
      </c>
      <c r="C239" s="635" t="s">
        <v>154</v>
      </c>
      <c r="D239" s="635" t="s">
        <v>154</v>
      </c>
      <c r="E239" s="635" t="s">
        <v>154</v>
      </c>
      <c r="F239" s="635" t="s">
        <v>154</v>
      </c>
      <c r="G239" s="635"/>
      <c r="H239" s="635"/>
      <c r="I239" s="2895" t="s">
        <v>154</v>
      </c>
      <c r="J239" s="635" t="s">
        <v>154</v>
      </c>
      <c r="K239" s="805" t="s">
        <v>507</v>
      </c>
      <c r="L239" s="2205" t="s">
        <v>154</v>
      </c>
      <c r="M239" s="2205" t="s">
        <v>154</v>
      </c>
      <c r="N239" s="2205"/>
      <c r="O239" s="2205"/>
      <c r="P239" s="2895" t="s">
        <v>154</v>
      </c>
      <c r="Q239" s="635" t="s">
        <v>154</v>
      </c>
      <c r="R239" s="635" t="s">
        <v>154</v>
      </c>
      <c r="S239" s="635" t="s">
        <v>154</v>
      </c>
      <c r="T239" s="635" t="s">
        <v>154</v>
      </c>
      <c r="U239" s="635"/>
      <c r="V239" s="635"/>
      <c r="W239" s="2895" t="s">
        <v>154</v>
      </c>
      <c r="X239" s="635" t="s">
        <v>154</v>
      </c>
      <c r="Y239" s="635" t="s">
        <v>154</v>
      </c>
      <c r="Z239" s="635" t="s">
        <v>154</v>
      </c>
      <c r="AA239" s="635" t="s">
        <v>154</v>
      </c>
      <c r="AB239" s="635"/>
      <c r="AC239" s="635"/>
      <c r="AD239" s="2895" t="s">
        <v>154</v>
      </c>
      <c r="AE239" s="635" t="s">
        <v>154</v>
      </c>
      <c r="AF239" s="635" t="s">
        <v>154</v>
      </c>
      <c r="AG239" s="801" t="s">
        <v>154</v>
      </c>
      <c r="AH239" s="116"/>
      <c r="AI239" s="116"/>
      <c r="AK239" t="s">
        <v>0</v>
      </c>
    </row>
    <row r="240" spans="1:37" ht="18" customHeight="1" x14ac:dyDescent="0.2">
      <c r="A240" s="69"/>
      <c r="B240" s="1011" t="s">
        <v>332</v>
      </c>
      <c r="C240" s="635" t="s">
        <v>309</v>
      </c>
      <c r="D240" s="635" t="s">
        <v>309</v>
      </c>
      <c r="E240" s="635" t="s">
        <v>309</v>
      </c>
      <c r="F240" s="635" t="s">
        <v>309</v>
      </c>
      <c r="G240" s="635"/>
      <c r="H240" s="635"/>
      <c r="I240" s="635" t="s">
        <v>309</v>
      </c>
      <c r="J240" s="635" t="s">
        <v>309</v>
      </c>
      <c r="K240" s="635" t="s">
        <v>309</v>
      </c>
      <c r="L240" s="635" t="s">
        <v>309</v>
      </c>
      <c r="M240" s="849" t="s">
        <v>309</v>
      </c>
      <c r="N240" s="635"/>
      <c r="O240" s="635"/>
      <c r="P240" s="635" t="s">
        <v>309</v>
      </c>
      <c r="Q240" s="635" t="s">
        <v>309</v>
      </c>
      <c r="R240" s="635" t="s">
        <v>309</v>
      </c>
      <c r="S240" s="2217" t="s">
        <v>309</v>
      </c>
      <c r="T240" s="2217" t="s">
        <v>309</v>
      </c>
      <c r="U240" s="635"/>
      <c r="V240" s="635"/>
      <c r="W240" s="635" t="s">
        <v>309</v>
      </c>
      <c r="X240" s="635" t="s">
        <v>309</v>
      </c>
      <c r="Y240" s="635" t="s">
        <v>309</v>
      </c>
      <c r="Z240" s="2895" t="s">
        <v>309</v>
      </c>
      <c r="AA240" s="635" t="s">
        <v>309</v>
      </c>
      <c r="AB240" s="635"/>
      <c r="AC240" s="635"/>
      <c r="AD240" s="1530" t="s">
        <v>309</v>
      </c>
      <c r="AE240" s="1530" t="s">
        <v>309</v>
      </c>
      <c r="AF240" s="1530" t="s">
        <v>309</v>
      </c>
      <c r="AG240" s="3003" t="s">
        <v>309</v>
      </c>
      <c r="AH240" s="116"/>
      <c r="AI240" s="116"/>
    </row>
    <row r="241" spans="1:35" ht="18" customHeight="1" x14ac:dyDescent="0.2">
      <c r="A241" s="69"/>
      <c r="B241" s="764"/>
      <c r="C241" s="635" t="s">
        <v>160</v>
      </c>
      <c r="D241" s="635" t="s">
        <v>160</v>
      </c>
      <c r="E241" s="635" t="s">
        <v>160</v>
      </c>
      <c r="F241" s="635" t="s">
        <v>160</v>
      </c>
      <c r="G241" s="635"/>
      <c r="H241" s="635"/>
      <c r="I241" s="635" t="s">
        <v>160</v>
      </c>
      <c r="J241" s="635" t="s">
        <v>160</v>
      </c>
      <c r="K241" s="635" t="s">
        <v>160</v>
      </c>
      <c r="L241" s="635" t="s">
        <v>160</v>
      </c>
      <c r="M241" s="635" t="s">
        <v>160</v>
      </c>
      <c r="N241" s="635"/>
      <c r="O241" s="635"/>
      <c r="P241" s="635" t="s">
        <v>160</v>
      </c>
      <c r="Q241" s="635" t="s">
        <v>160</v>
      </c>
      <c r="R241" s="635" t="s">
        <v>160</v>
      </c>
      <c r="S241" s="635" t="s">
        <v>160</v>
      </c>
      <c r="T241" s="635" t="s">
        <v>160</v>
      </c>
      <c r="U241" s="635"/>
      <c r="V241" s="635"/>
      <c r="W241" s="635" t="s">
        <v>160</v>
      </c>
      <c r="X241" s="635" t="s">
        <v>160</v>
      </c>
      <c r="Y241" s="635" t="s">
        <v>160</v>
      </c>
      <c r="Z241" s="635" t="s">
        <v>160</v>
      </c>
      <c r="AA241" s="635" t="s">
        <v>160</v>
      </c>
      <c r="AB241" s="635"/>
      <c r="AC241" s="635"/>
      <c r="AD241" s="635" t="s">
        <v>160</v>
      </c>
      <c r="AE241" s="635" t="s">
        <v>160</v>
      </c>
      <c r="AF241" s="635" t="s">
        <v>160</v>
      </c>
      <c r="AG241" s="1941" t="s">
        <v>160</v>
      </c>
      <c r="AH241" s="116"/>
      <c r="AI241" s="116"/>
    </row>
    <row r="242" spans="1:35" ht="18" customHeight="1" x14ac:dyDescent="0.2">
      <c r="A242" s="69"/>
      <c r="B242" s="1011"/>
      <c r="C242" s="635" t="s">
        <v>168</v>
      </c>
      <c r="D242" s="635" t="s">
        <v>168</v>
      </c>
      <c r="E242" s="635" t="s">
        <v>168</v>
      </c>
      <c r="F242" s="635" t="s">
        <v>168</v>
      </c>
      <c r="G242" s="635"/>
      <c r="H242" s="635"/>
      <c r="I242" s="635" t="s">
        <v>168</v>
      </c>
      <c r="J242" s="635" t="s">
        <v>168</v>
      </c>
      <c r="K242" s="635" t="s">
        <v>168</v>
      </c>
      <c r="L242" s="635" t="s">
        <v>168</v>
      </c>
      <c r="M242" s="635" t="s">
        <v>168</v>
      </c>
      <c r="N242" s="635"/>
      <c r="O242" s="635"/>
      <c r="P242" s="635" t="s">
        <v>168</v>
      </c>
      <c r="Q242" s="635" t="s">
        <v>168</v>
      </c>
      <c r="R242" s="635" t="s">
        <v>168</v>
      </c>
      <c r="S242" s="635" t="s">
        <v>168</v>
      </c>
      <c r="T242" s="635" t="s">
        <v>168</v>
      </c>
      <c r="U242" s="635"/>
      <c r="V242" s="1942"/>
      <c r="W242" s="1942" t="s">
        <v>168</v>
      </c>
      <c r="X242" s="1942" t="s">
        <v>168</v>
      </c>
      <c r="Y242" s="1942" t="s">
        <v>168</v>
      </c>
      <c r="Z242" s="1942" t="s">
        <v>168</v>
      </c>
      <c r="AA242" s="1942" t="s">
        <v>168</v>
      </c>
      <c r="AB242" s="1942"/>
      <c r="AC242" s="635"/>
      <c r="AD242" s="635" t="s">
        <v>168</v>
      </c>
      <c r="AE242" s="635" t="s">
        <v>168</v>
      </c>
      <c r="AF242" s="635" t="s">
        <v>168</v>
      </c>
      <c r="AG242" s="801" t="s">
        <v>168</v>
      </c>
      <c r="AH242" s="116"/>
      <c r="AI242" s="116"/>
    </row>
    <row r="243" spans="1:35" ht="18" customHeight="1" x14ac:dyDescent="0.2">
      <c r="A243" s="69"/>
      <c r="B243" s="764" t="s">
        <v>337</v>
      </c>
      <c r="C243" s="2895" t="s">
        <v>322</v>
      </c>
      <c r="D243" s="2895" t="s">
        <v>322</v>
      </c>
      <c r="E243" s="2895" t="s">
        <v>322</v>
      </c>
      <c r="F243" s="2895" t="s">
        <v>322</v>
      </c>
      <c r="G243" s="2895"/>
      <c r="H243" s="635"/>
      <c r="I243" s="635" t="s">
        <v>322</v>
      </c>
      <c r="J243" s="635" t="s">
        <v>322</v>
      </c>
      <c r="K243" s="635" t="s">
        <v>322</v>
      </c>
      <c r="L243" s="635" t="s">
        <v>322</v>
      </c>
      <c r="M243" s="635" t="s">
        <v>322</v>
      </c>
      <c r="N243" s="635"/>
      <c r="O243" s="635"/>
      <c r="P243" s="635" t="s">
        <v>322</v>
      </c>
      <c r="Q243" s="635" t="s">
        <v>322</v>
      </c>
      <c r="R243" s="635" t="s">
        <v>322</v>
      </c>
      <c r="S243" s="635" t="s">
        <v>322</v>
      </c>
      <c r="T243" s="635" t="s">
        <v>322</v>
      </c>
      <c r="U243" s="635"/>
      <c r="V243" s="635"/>
      <c r="W243" s="635" t="s">
        <v>322</v>
      </c>
      <c r="X243" s="635" t="s">
        <v>322</v>
      </c>
      <c r="Y243" s="635" t="s">
        <v>322</v>
      </c>
      <c r="Z243" s="635" t="s">
        <v>322</v>
      </c>
      <c r="AA243" s="635" t="s">
        <v>322</v>
      </c>
      <c r="AB243" s="635"/>
      <c r="AC243" s="635"/>
      <c r="AD243" s="2896" t="s">
        <v>322</v>
      </c>
      <c r="AE243" s="2896" t="s">
        <v>322</v>
      </c>
      <c r="AF243" s="2896" t="s">
        <v>322</v>
      </c>
      <c r="AG243" s="1910" t="s">
        <v>322</v>
      </c>
      <c r="AH243" s="67"/>
      <c r="AI243" s="67"/>
    </row>
    <row r="244" spans="1:35" ht="18" customHeight="1" x14ac:dyDescent="0.2">
      <c r="A244" s="96"/>
      <c r="B244" s="764"/>
      <c r="C244" s="2895" t="s">
        <v>451</v>
      </c>
      <c r="D244" s="2895" t="s">
        <v>451</v>
      </c>
      <c r="E244" s="2895" t="s">
        <v>451</v>
      </c>
      <c r="F244" s="2895" t="s">
        <v>451</v>
      </c>
      <c r="G244" s="2895"/>
      <c r="H244" s="635"/>
      <c r="I244" s="635" t="s">
        <v>451</v>
      </c>
      <c r="J244" s="635" t="s">
        <v>451</v>
      </c>
      <c r="K244" s="635" t="s">
        <v>451</v>
      </c>
      <c r="L244" s="635" t="s">
        <v>451</v>
      </c>
      <c r="M244" s="635" t="s">
        <v>451</v>
      </c>
      <c r="N244" s="635"/>
      <c r="O244" s="635"/>
      <c r="P244" s="635" t="s">
        <v>451</v>
      </c>
      <c r="Q244" s="635" t="s">
        <v>451</v>
      </c>
      <c r="R244" s="635" t="s">
        <v>451</v>
      </c>
      <c r="S244" s="635" t="s">
        <v>451</v>
      </c>
      <c r="T244" s="635" t="s">
        <v>451</v>
      </c>
      <c r="U244" s="635"/>
      <c r="V244" s="635"/>
      <c r="W244" s="635" t="s">
        <v>451</v>
      </c>
      <c r="X244" s="635" t="s">
        <v>451</v>
      </c>
      <c r="Y244" s="635" t="s">
        <v>451</v>
      </c>
      <c r="Z244" s="635" t="s">
        <v>451</v>
      </c>
      <c r="AA244" s="635" t="s">
        <v>451</v>
      </c>
      <c r="AB244" s="635"/>
      <c r="AC244" s="635"/>
      <c r="AD244" s="635" t="s">
        <v>451</v>
      </c>
      <c r="AE244" s="635" t="s">
        <v>451</v>
      </c>
      <c r="AF244" s="635" t="s">
        <v>451</v>
      </c>
      <c r="AG244" s="635" t="s">
        <v>451</v>
      </c>
      <c r="AH244" s="73"/>
    </row>
    <row r="245" spans="1:35" ht="18" customHeight="1" x14ac:dyDescent="0.2"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</row>
    <row r="246" spans="1:35" ht="18" customHeight="1" x14ac:dyDescent="0.2">
      <c r="A246" s="1" t="s">
        <v>339</v>
      </c>
      <c r="B246" s="37"/>
    </row>
    <row r="247" spans="1:35" ht="18" customHeight="1" x14ac:dyDescent="0.2">
      <c r="A247" s="1"/>
      <c r="B247" s="1014" t="s">
        <v>340</v>
      </c>
      <c r="C247" s="2615" t="s">
        <v>17</v>
      </c>
      <c r="D247" s="2616"/>
      <c r="E247" s="2616"/>
      <c r="F247" s="2616"/>
      <c r="G247" s="2615" t="s">
        <v>18</v>
      </c>
      <c r="H247" s="2616"/>
      <c r="I247" s="2616"/>
      <c r="J247" s="2616"/>
      <c r="K247" s="2615" t="s">
        <v>19</v>
      </c>
      <c r="L247" s="2616"/>
      <c r="M247" s="2616"/>
      <c r="N247" s="2616"/>
      <c r="O247" s="2615" t="s">
        <v>20</v>
      </c>
      <c r="P247" s="2616"/>
      <c r="Q247" s="2616"/>
      <c r="R247" s="2616"/>
      <c r="S247" s="2615" t="s">
        <v>21</v>
      </c>
      <c r="T247" s="2616"/>
      <c r="U247" s="2616"/>
      <c r="V247" s="2616"/>
      <c r="W247" s="2615" t="s">
        <v>22</v>
      </c>
      <c r="X247" s="2792"/>
      <c r="Y247" s="2616"/>
      <c r="Z247" s="2617"/>
      <c r="AA247" s="2615" t="s">
        <v>23</v>
      </c>
      <c r="AB247" s="2792"/>
      <c r="AC247" s="2616"/>
      <c r="AD247" s="2617"/>
      <c r="AE247" s="2618" t="s">
        <v>126</v>
      </c>
      <c r="AF247" s="2616"/>
      <c r="AG247" s="2616"/>
      <c r="AH247" s="2616"/>
      <c r="AI247" s="2793"/>
    </row>
    <row r="248" spans="1:35" ht="18" customHeight="1" x14ac:dyDescent="0.2">
      <c r="A248" s="1"/>
      <c r="B248" s="2619">
        <v>3701</v>
      </c>
      <c r="C248" s="70" t="s">
        <v>341</v>
      </c>
      <c r="D248" s="70"/>
      <c r="E248" s="70"/>
      <c r="F248" s="70"/>
      <c r="G248" s="1807" t="s">
        <v>342</v>
      </c>
      <c r="H248" s="70"/>
      <c r="I248" s="70"/>
      <c r="J248" s="70"/>
      <c r="K248" s="1807" t="s">
        <v>342</v>
      </c>
      <c r="L248" s="70"/>
      <c r="M248" s="70"/>
      <c r="N248" s="70"/>
      <c r="O248" s="1807" t="s">
        <v>342</v>
      </c>
      <c r="P248" s="70"/>
      <c r="Q248" s="70"/>
      <c r="R248" s="70"/>
      <c r="S248" s="1807" t="s">
        <v>343</v>
      </c>
      <c r="T248" s="70"/>
      <c r="U248" s="70"/>
      <c r="V248" s="70"/>
      <c r="W248" s="2864"/>
      <c r="X248" s="2620"/>
      <c r="Y248" s="2805"/>
      <c r="Z248" s="2621"/>
      <c r="AA248" s="2864"/>
      <c r="AB248" s="2620"/>
      <c r="AC248" s="2805"/>
      <c r="AD248" s="2621"/>
      <c r="AE248" s="2553"/>
      <c r="AF248" s="2805"/>
      <c r="AG248" s="2805"/>
      <c r="AH248" s="2805"/>
      <c r="AI248" s="2603"/>
    </row>
    <row r="249" spans="1:35" ht="18" customHeight="1" x14ac:dyDescent="0.2">
      <c r="B249" s="1014">
        <v>3700</v>
      </c>
      <c r="C249" s="2805" t="s">
        <v>249</v>
      </c>
      <c r="D249" s="2805"/>
      <c r="E249" s="2805"/>
      <c r="F249" s="2805"/>
      <c r="G249" s="2622" t="s">
        <v>249</v>
      </c>
      <c r="H249" s="2805"/>
      <c r="I249" s="2805"/>
      <c r="J249" s="2805"/>
      <c r="K249" s="2622" t="s">
        <v>249</v>
      </c>
      <c r="L249" s="2805"/>
      <c r="M249" s="2805"/>
      <c r="N249" s="2805"/>
      <c r="O249" s="2622" t="s">
        <v>249</v>
      </c>
      <c r="P249" s="2805"/>
      <c r="Q249" s="2805"/>
      <c r="R249" s="2805"/>
      <c r="S249" s="2622" t="s">
        <v>250</v>
      </c>
      <c r="T249" s="2805"/>
      <c r="U249" s="2805"/>
      <c r="V249" s="2805"/>
      <c r="W249" s="2864"/>
      <c r="X249" s="2805"/>
      <c r="Y249" s="2805"/>
      <c r="Z249" s="2555"/>
      <c r="AA249" s="2553"/>
      <c r="AB249" s="2805"/>
      <c r="AC249" s="2805"/>
      <c r="AD249" s="2856"/>
      <c r="AE249" s="2623"/>
      <c r="AF249" s="2805"/>
      <c r="AG249" s="2805"/>
      <c r="AH249" s="2856"/>
      <c r="AI249" s="2603"/>
    </row>
    <row r="250" spans="1:35" ht="18" customHeight="1" x14ac:dyDescent="0.2">
      <c r="A250" s="1"/>
      <c r="B250" s="1014">
        <v>8514</v>
      </c>
      <c r="C250" s="2805" t="s">
        <v>342</v>
      </c>
      <c r="D250" s="2805"/>
      <c r="E250" s="2805"/>
      <c r="F250" s="2805"/>
      <c r="G250" s="2622" t="s">
        <v>342</v>
      </c>
      <c r="H250" s="2805"/>
      <c r="I250" s="2805"/>
      <c r="J250" s="2805"/>
      <c r="K250" s="2622" t="s">
        <v>342</v>
      </c>
      <c r="L250" s="2805"/>
      <c r="M250" s="2805"/>
      <c r="N250" s="2805"/>
      <c r="O250" s="2622" t="s">
        <v>342</v>
      </c>
      <c r="P250" s="2805"/>
      <c r="Q250" s="2805"/>
      <c r="R250" s="2805"/>
      <c r="S250" s="2622" t="s">
        <v>344</v>
      </c>
      <c r="T250" s="2805"/>
      <c r="U250" s="2805"/>
      <c r="V250" s="2805"/>
      <c r="W250" s="2864"/>
      <c r="X250" s="2805"/>
      <c r="Y250" s="2805"/>
      <c r="Z250" s="2555"/>
      <c r="AA250" s="2855"/>
      <c r="AB250" s="2805"/>
      <c r="AC250" s="2805"/>
      <c r="AD250" s="2856"/>
      <c r="AE250" s="2855"/>
      <c r="AF250" s="2805"/>
      <c r="AG250" s="2805"/>
      <c r="AH250" s="2856"/>
      <c r="AI250" s="2603"/>
    </row>
    <row r="251" spans="1:35" ht="18" customHeight="1" x14ac:dyDescent="0.2">
      <c r="A251" s="1"/>
      <c r="B251" s="1014">
        <v>8500</v>
      </c>
      <c r="C251" s="875" t="s">
        <v>345</v>
      </c>
      <c r="D251" s="875"/>
      <c r="E251" s="875"/>
      <c r="F251" s="875"/>
      <c r="G251" s="1022" t="s">
        <v>345</v>
      </c>
      <c r="H251" s="875"/>
      <c r="I251" s="875"/>
      <c r="J251" s="875"/>
      <c r="K251" s="1022" t="s">
        <v>345</v>
      </c>
      <c r="L251" s="875"/>
      <c r="M251" s="875"/>
      <c r="N251" s="875"/>
      <c r="O251" s="1022" t="s">
        <v>345</v>
      </c>
      <c r="P251" s="875"/>
      <c r="Q251" s="875"/>
      <c r="R251" s="875"/>
      <c r="S251" s="1022" t="s">
        <v>346</v>
      </c>
      <c r="T251" s="875"/>
      <c r="U251" s="875"/>
      <c r="V251" s="875"/>
      <c r="W251" s="2864"/>
      <c r="X251" s="875"/>
      <c r="Y251" s="875"/>
      <c r="Z251" s="1023"/>
      <c r="AA251" s="1024"/>
      <c r="AB251" s="875"/>
      <c r="AC251" s="875"/>
      <c r="AD251" s="1023"/>
      <c r="AE251" s="1024"/>
      <c r="AF251" s="875"/>
      <c r="AG251" s="875"/>
      <c r="AH251" s="1025"/>
      <c r="AI251" s="1026"/>
    </row>
    <row r="252" spans="1:35" ht="18" customHeight="1" x14ac:dyDescent="0.2">
      <c r="A252" s="1"/>
      <c r="B252" s="1014">
        <v>8514</v>
      </c>
      <c r="C252" s="1027" t="s">
        <v>342</v>
      </c>
      <c r="D252" s="1027"/>
      <c r="E252" s="1027"/>
      <c r="F252" s="1027"/>
      <c r="G252" s="1028" t="s">
        <v>342</v>
      </c>
      <c r="H252" s="1027"/>
      <c r="I252" s="1027"/>
      <c r="J252" s="1027"/>
      <c r="K252" s="1028" t="s">
        <v>342</v>
      </c>
      <c r="L252" s="1027"/>
      <c r="M252" s="1027"/>
      <c r="N252" s="1027"/>
      <c r="O252" s="1028" t="s">
        <v>342</v>
      </c>
      <c r="P252" s="1027"/>
      <c r="Q252" s="1027"/>
      <c r="R252" s="1027"/>
      <c r="S252" s="1028" t="s">
        <v>344</v>
      </c>
      <c r="T252" s="1027"/>
      <c r="U252" s="1027"/>
      <c r="V252" s="1027"/>
      <c r="W252" s="2624"/>
      <c r="X252" s="1030"/>
      <c r="Y252" s="875"/>
      <c r="Z252" s="1031"/>
      <c r="AA252" s="1032"/>
      <c r="AB252" s="1030"/>
      <c r="AC252" s="875"/>
      <c r="AD252" s="875"/>
      <c r="AE252" s="1033"/>
      <c r="AF252" s="875"/>
      <c r="AG252" s="875"/>
      <c r="AH252" s="875"/>
      <c r="AI252" s="1026"/>
    </row>
    <row r="253" spans="1:35" ht="18" customHeight="1" x14ac:dyDescent="0.2">
      <c r="A253" s="1"/>
      <c r="B253" s="1034" t="s">
        <v>347</v>
      </c>
      <c r="C253" s="2812" t="s">
        <v>10</v>
      </c>
      <c r="D253" s="2812"/>
      <c r="E253" s="2812"/>
      <c r="F253" s="2812"/>
      <c r="G253" s="2625" t="s">
        <v>10</v>
      </c>
      <c r="H253" s="2812"/>
      <c r="I253" s="2812"/>
      <c r="J253" s="2812"/>
      <c r="K253" s="2500" t="s">
        <v>10</v>
      </c>
      <c r="L253" s="2812"/>
      <c r="M253" s="2812"/>
      <c r="N253" s="2812"/>
      <c r="O253" s="2625" t="s">
        <v>10</v>
      </c>
      <c r="P253" s="2812"/>
      <c r="Q253" s="2812"/>
      <c r="R253" s="2812"/>
      <c r="S253" s="2625" t="s">
        <v>10</v>
      </c>
      <c r="T253" s="2812"/>
      <c r="U253" s="2812"/>
      <c r="V253" s="2812"/>
      <c r="W253" s="2500"/>
      <c r="X253" s="2812"/>
      <c r="Y253" s="2812"/>
      <c r="Z253" s="2595"/>
      <c r="AA253" s="2566"/>
      <c r="AB253" s="2812"/>
      <c r="AC253" s="2812"/>
      <c r="AD253" s="2573"/>
      <c r="AE253" s="2626"/>
      <c r="AF253" s="2812"/>
      <c r="AG253" s="2812"/>
      <c r="AH253" s="2573"/>
      <c r="AI253" s="2815"/>
    </row>
    <row r="254" spans="1:35" ht="18" customHeight="1" x14ac:dyDescent="0.2">
      <c r="A254" s="1"/>
      <c r="B254" s="5"/>
      <c r="C254" s="42"/>
      <c r="D254" s="70"/>
      <c r="E254" s="70"/>
      <c r="F254" s="46"/>
      <c r="G254" s="42"/>
      <c r="H254" s="70"/>
      <c r="I254" s="70"/>
      <c r="J254" s="46"/>
      <c r="K254" s="42"/>
      <c r="L254" s="70"/>
      <c r="M254" s="70"/>
      <c r="N254" s="46"/>
      <c r="O254" s="42"/>
      <c r="P254" s="70"/>
      <c r="Q254" s="70"/>
      <c r="R254" s="46"/>
      <c r="S254" s="42"/>
      <c r="T254" s="70"/>
      <c r="U254" s="70"/>
      <c r="V254" s="46"/>
      <c r="W254" s="46"/>
      <c r="Z254" s="46"/>
      <c r="AA254" s="46"/>
      <c r="AD254" s="46"/>
      <c r="AE254" s="46"/>
      <c r="AH254" s="46"/>
    </row>
    <row r="255" spans="1:35" ht="18" customHeight="1" x14ac:dyDescent="0.2">
      <c r="A255" s="1" t="s">
        <v>348</v>
      </c>
      <c r="B255" s="5"/>
      <c r="C255" s="42"/>
      <c r="D255" s="70"/>
      <c r="E255" s="70"/>
      <c r="F255" s="46"/>
      <c r="G255" s="42"/>
      <c r="H255" s="70"/>
      <c r="I255" s="70"/>
      <c r="J255" s="46"/>
      <c r="K255" s="42"/>
      <c r="L255" s="70"/>
      <c r="M255" s="70"/>
      <c r="N255" s="46"/>
      <c r="O255" s="42"/>
      <c r="P255" s="70"/>
      <c r="Q255" s="70"/>
      <c r="R255" s="46"/>
      <c r="S255" s="42"/>
      <c r="T255" s="70"/>
      <c r="U255" s="70"/>
      <c r="V255" s="46"/>
      <c r="W255" s="46"/>
      <c r="Z255" s="46"/>
      <c r="AA255" s="46"/>
      <c r="AD255" s="46"/>
      <c r="AE255" s="46"/>
      <c r="AH255" s="46"/>
    </row>
    <row r="256" spans="1:35" ht="18" customHeight="1" x14ac:dyDescent="0.2">
      <c r="A256" s="2543"/>
      <c r="B256" s="2817" t="s">
        <v>448</v>
      </c>
      <c r="C256" s="2706">
        <v>1</v>
      </c>
      <c r="D256" s="2706">
        <v>2</v>
      </c>
      <c r="E256" s="2706">
        <v>3</v>
      </c>
      <c r="F256" s="2706">
        <v>4</v>
      </c>
      <c r="G256" s="2707">
        <v>5</v>
      </c>
      <c r="H256" s="2707">
        <v>6</v>
      </c>
      <c r="I256" s="2706">
        <v>7</v>
      </c>
      <c r="J256" s="2706">
        <v>8</v>
      </c>
      <c r="K256" s="2706">
        <v>9</v>
      </c>
      <c r="L256" s="2706">
        <v>10</v>
      </c>
      <c r="M256" s="2706">
        <v>11</v>
      </c>
      <c r="N256" s="2707">
        <v>12</v>
      </c>
      <c r="O256" s="2707">
        <v>13</v>
      </c>
      <c r="P256" s="2706">
        <v>14</v>
      </c>
      <c r="Q256" s="2706">
        <v>15</v>
      </c>
      <c r="R256" s="2706">
        <v>16</v>
      </c>
      <c r="S256" s="2706">
        <v>17</v>
      </c>
      <c r="T256" s="2706">
        <v>18</v>
      </c>
      <c r="U256" s="2707">
        <v>19</v>
      </c>
      <c r="V256" s="2707">
        <v>20</v>
      </c>
      <c r="W256" s="2706">
        <v>21</v>
      </c>
      <c r="X256" s="2706">
        <v>22</v>
      </c>
      <c r="Y256" s="2706">
        <v>23</v>
      </c>
      <c r="Z256" s="2706">
        <v>24</v>
      </c>
      <c r="AA256" s="2706">
        <v>25</v>
      </c>
      <c r="AB256" s="2707">
        <v>26</v>
      </c>
      <c r="AC256" s="2707">
        <v>27</v>
      </c>
      <c r="AD256" s="2706">
        <v>28</v>
      </c>
      <c r="AE256" s="2706">
        <v>29</v>
      </c>
      <c r="AF256" s="2706">
        <v>30</v>
      </c>
      <c r="AG256" s="2706">
        <v>31</v>
      </c>
      <c r="AH256" s="110"/>
      <c r="AI256" s="111"/>
    </row>
    <row r="257" spans="1:35" ht="18" customHeight="1" x14ac:dyDescent="0.2">
      <c r="A257" s="2627"/>
      <c r="B257" s="2628" t="s">
        <v>349</v>
      </c>
      <c r="C257" s="2718" t="s">
        <v>46</v>
      </c>
      <c r="D257" s="2718" t="s">
        <v>46</v>
      </c>
      <c r="E257" s="2718" t="s">
        <v>46</v>
      </c>
      <c r="F257" s="2723" t="s">
        <v>46</v>
      </c>
      <c r="G257" s="2718"/>
      <c r="H257" s="2718"/>
      <c r="I257" s="2718" t="s">
        <v>46</v>
      </c>
      <c r="J257" s="2718" t="s">
        <v>46</v>
      </c>
      <c r="K257" s="2718" t="s">
        <v>46</v>
      </c>
      <c r="L257" s="2718" t="s">
        <v>46</v>
      </c>
      <c r="M257" s="2718" t="s">
        <v>46</v>
      </c>
      <c r="N257" s="2738"/>
      <c r="O257" s="2718"/>
      <c r="P257" s="2725" t="s">
        <v>46</v>
      </c>
      <c r="Q257" s="2725" t="s">
        <v>46</v>
      </c>
      <c r="R257" s="2725" t="s">
        <v>46</v>
      </c>
      <c r="S257" s="2725" t="s">
        <v>46</v>
      </c>
      <c r="T257" s="2718" t="s">
        <v>46</v>
      </c>
      <c r="U257" s="2718"/>
      <c r="V257" s="2723"/>
      <c r="W257" s="2718" t="s">
        <v>46</v>
      </c>
      <c r="X257" s="2718" t="s">
        <v>46</v>
      </c>
      <c r="Y257" s="2718" t="s">
        <v>46</v>
      </c>
      <c r="Z257" s="2718" t="s">
        <v>46</v>
      </c>
      <c r="AA257" s="2723" t="s">
        <v>46</v>
      </c>
      <c r="AB257" s="2718"/>
      <c r="AC257" s="2718"/>
      <c r="AD257" s="2718" t="s">
        <v>46</v>
      </c>
      <c r="AE257" s="2718" t="s">
        <v>46</v>
      </c>
      <c r="AF257" s="2718" t="s">
        <v>46</v>
      </c>
      <c r="AG257" s="2442" t="s">
        <v>46</v>
      </c>
      <c r="AH257" s="110"/>
      <c r="AI257" s="111"/>
    </row>
    <row r="258" spans="1:35" ht="18" customHeight="1" x14ac:dyDescent="0.2">
      <c r="A258" s="1039"/>
      <c r="B258" s="1040" t="s">
        <v>350</v>
      </c>
      <c r="C258" s="2918"/>
      <c r="D258" s="2918"/>
      <c r="E258" s="2918"/>
      <c r="F258" s="2918"/>
      <c r="G258" s="636"/>
      <c r="H258" s="636"/>
      <c r="I258" s="636"/>
      <c r="J258" s="2918"/>
      <c r="K258" s="2918"/>
      <c r="L258" s="2918"/>
      <c r="M258" s="2918"/>
      <c r="N258" s="636"/>
      <c r="O258" s="636"/>
      <c r="P258" s="636"/>
      <c r="Q258" s="2918"/>
      <c r="R258" s="2918"/>
      <c r="S258" s="2918"/>
      <c r="T258" s="2918"/>
      <c r="U258" s="636"/>
      <c r="V258" s="636"/>
      <c r="W258" s="636"/>
      <c r="X258" s="2918"/>
      <c r="Y258" s="2918"/>
      <c r="Z258" s="2918"/>
      <c r="AA258" s="2918"/>
      <c r="AB258" s="636"/>
      <c r="AC258" s="636"/>
      <c r="AD258" s="636"/>
      <c r="AE258" s="2918"/>
      <c r="AF258" s="2918"/>
      <c r="AG258" s="1041"/>
      <c r="AH258" s="110"/>
      <c r="AI258" s="111"/>
    </row>
    <row r="259" spans="1:35" ht="18" customHeight="1" x14ac:dyDescent="0.2">
      <c r="A259" s="1042">
        <v>8514</v>
      </c>
      <c r="B259" s="1043" t="s">
        <v>351</v>
      </c>
      <c r="C259" s="2718" t="s">
        <v>46</v>
      </c>
      <c r="D259" s="2718" t="s">
        <v>46</v>
      </c>
      <c r="E259" s="2718" t="s">
        <v>46</v>
      </c>
      <c r="F259" s="2723" t="s">
        <v>46</v>
      </c>
      <c r="G259" s="2718"/>
      <c r="H259" s="2718"/>
      <c r="I259" s="2718" t="s">
        <v>46</v>
      </c>
      <c r="J259" s="2718" t="s">
        <v>46</v>
      </c>
      <c r="K259" s="2718" t="s">
        <v>46</v>
      </c>
      <c r="L259" s="2718" t="s">
        <v>46</v>
      </c>
      <c r="M259" s="2712" t="s">
        <v>46</v>
      </c>
      <c r="N259" s="2738"/>
      <c r="O259" s="2718"/>
      <c r="P259" s="2725" t="s">
        <v>46</v>
      </c>
      <c r="Q259" s="2725" t="s">
        <v>46</v>
      </c>
      <c r="R259" s="3004" t="s">
        <v>46</v>
      </c>
      <c r="S259" s="2725" t="s">
        <v>46</v>
      </c>
      <c r="T259" s="2718" t="s">
        <v>46</v>
      </c>
      <c r="U259" s="2718"/>
      <c r="V259" s="2723"/>
      <c r="W259" s="2718" t="s">
        <v>46</v>
      </c>
      <c r="X259" s="2718" t="s">
        <v>46</v>
      </c>
      <c r="Y259" s="2718" t="s">
        <v>46</v>
      </c>
      <c r="Z259" s="2718" t="s">
        <v>46</v>
      </c>
      <c r="AA259" s="2723" t="s">
        <v>46</v>
      </c>
      <c r="AB259" s="2718"/>
      <c r="AC259" s="2718"/>
      <c r="AD259" s="2718" t="s">
        <v>46</v>
      </c>
      <c r="AE259" s="2718" t="s">
        <v>46</v>
      </c>
      <c r="AF259" s="2718" t="s">
        <v>46</v>
      </c>
      <c r="AG259" s="2442" t="s">
        <v>46</v>
      </c>
      <c r="AH259" s="115"/>
      <c r="AI259" s="116"/>
    </row>
    <row r="260" spans="1:35" ht="18" customHeight="1" x14ac:dyDescent="0.2">
      <c r="A260" s="1042">
        <v>3701</v>
      </c>
      <c r="B260" s="1044" t="s">
        <v>352</v>
      </c>
      <c r="C260" s="2918"/>
      <c r="D260" s="2918"/>
      <c r="E260" s="2918"/>
      <c r="F260" s="2918"/>
      <c r="G260" s="636"/>
      <c r="H260" s="636"/>
      <c r="I260" s="636"/>
      <c r="J260" s="2918"/>
      <c r="K260" s="2918"/>
      <c r="L260" s="2918"/>
      <c r="M260" s="2918"/>
      <c r="N260" s="636"/>
      <c r="O260" s="636"/>
      <c r="P260" s="636"/>
      <c r="Q260" s="2918"/>
      <c r="R260" s="2918"/>
      <c r="S260" s="2918"/>
      <c r="T260" s="2918"/>
      <c r="U260" s="636"/>
      <c r="V260" s="636"/>
      <c r="W260" s="636"/>
      <c r="X260" s="2918"/>
      <c r="Y260" s="2918"/>
      <c r="Z260" s="2918"/>
      <c r="AA260" s="2918"/>
      <c r="AB260" s="636"/>
      <c r="AC260" s="636"/>
      <c r="AD260" s="636"/>
      <c r="AE260" s="2918"/>
      <c r="AF260" s="2918"/>
      <c r="AG260" s="1041"/>
      <c r="AH260" s="115"/>
      <c r="AI260" s="116"/>
    </row>
    <row r="261" spans="1:35" ht="18" customHeight="1" x14ac:dyDescent="0.2">
      <c r="A261" s="1042">
        <v>3701</v>
      </c>
      <c r="B261" s="1012" t="s">
        <v>353</v>
      </c>
      <c r="C261" s="2718" t="s">
        <v>46</v>
      </c>
      <c r="D261" s="2718" t="s">
        <v>46</v>
      </c>
      <c r="E261" s="2718" t="s">
        <v>46</v>
      </c>
      <c r="F261" s="2723" t="s">
        <v>46</v>
      </c>
      <c r="G261" s="2718"/>
      <c r="H261" s="2718"/>
      <c r="I261" s="2718" t="s">
        <v>46</v>
      </c>
      <c r="J261" s="2718" t="s">
        <v>46</v>
      </c>
      <c r="K261" s="2718" t="s">
        <v>46</v>
      </c>
      <c r="L261" s="2718" t="s">
        <v>46</v>
      </c>
      <c r="M261" s="2712" t="s">
        <v>46</v>
      </c>
      <c r="N261" s="2738"/>
      <c r="O261" s="2718"/>
      <c r="P261" s="2725" t="s">
        <v>46</v>
      </c>
      <c r="Q261" s="2725" t="s">
        <v>46</v>
      </c>
      <c r="R261" s="2725" t="s">
        <v>46</v>
      </c>
      <c r="S261" s="2725" t="s">
        <v>46</v>
      </c>
      <c r="T261" s="2718" t="s">
        <v>46</v>
      </c>
      <c r="U261" s="2718"/>
      <c r="V261" s="2723"/>
      <c r="W261" s="2718" t="s">
        <v>46</v>
      </c>
      <c r="X261" s="2718" t="s">
        <v>46</v>
      </c>
      <c r="Y261" s="2718" t="s">
        <v>46</v>
      </c>
      <c r="Z261" s="2718" t="s">
        <v>46</v>
      </c>
      <c r="AA261" s="2739" t="s">
        <v>46</v>
      </c>
      <c r="AB261" s="2718"/>
      <c r="AC261" s="2718"/>
      <c r="AD261" s="2739" t="s">
        <v>46</v>
      </c>
      <c r="AE261" s="2739" t="s">
        <v>46</v>
      </c>
      <c r="AF261" s="2739" t="s">
        <v>46</v>
      </c>
      <c r="AG261" s="2822" t="s">
        <v>46</v>
      </c>
      <c r="AH261" s="115"/>
      <c r="AI261" s="116"/>
    </row>
    <row r="262" spans="1:35" ht="18" customHeight="1" x14ac:dyDescent="0.2">
      <c r="A262" s="1042">
        <v>3701</v>
      </c>
      <c r="B262" s="1012" t="s">
        <v>354</v>
      </c>
      <c r="C262" s="2718" t="s">
        <v>46</v>
      </c>
      <c r="D262" s="2718" t="s">
        <v>46</v>
      </c>
      <c r="E262" s="2718" t="s">
        <v>46</v>
      </c>
      <c r="F262" s="2723" t="s">
        <v>46</v>
      </c>
      <c r="G262" s="2718"/>
      <c r="H262" s="2718"/>
      <c r="I262" s="2718" t="s">
        <v>46</v>
      </c>
      <c r="J262" s="2718" t="s">
        <v>46</v>
      </c>
      <c r="K262" s="2718" t="s">
        <v>46</v>
      </c>
      <c r="L262" s="2718" t="s">
        <v>46</v>
      </c>
      <c r="M262" s="2712" t="s">
        <v>46</v>
      </c>
      <c r="N262" s="2738"/>
      <c r="O262" s="2718"/>
      <c r="P262" s="2725" t="s">
        <v>46</v>
      </c>
      <c r="Q262" s="2725" t="s">
        <v>46</v>
      </c>
      <c r="R262" s="2725" t="s">
        <v>46</v>
      </c>
      <c r="S262" s="2725" t="s">
        <v>46</v>
      </c>
      <c r="T262" s="2718" t="s">
        <v>46</v>
      </c>
      <c r="U262" s="2718"/>
      <c r="V262" s="2723"/>
      <c r="W262" s="2718" t="s">
        <v>46</v>
      </c>
      <c r="X262" s="2718" t="s">
        <v>46</v>
      </c>
      <c r="Y262" s="2718" t="s">
        <v>46</v>
      </c>
      <c r="Z262" s="2718" t="s">
        <v>46</v>
      </c>
      <c r="AA262" s="2723" t="s">
        <v>46</v>
      </c>
      <c r="AB262" s="2718"/>
      <c r="AC262" s="2718"/>
      <c r="AD262" s="2718" t="s">
        <v>46</v>
      </c>
      <c r="AE262" s="2718" t="s">
        <v>46</v>
      </c>
      <c r="AF262" s="2718" t="s">
        <v>46</v>
      </c>
      <c r="AG262" s="2442" t="s">
        <v>46</v>
      </c>
      <c r="AH262" s="115"/>
      <c r="AI262" s="116"/>
    </row>
    <row r="263" spans="1:35" ht="18" customHeight="1" x14ac:dyDescent="0.2">
      <c r="A263" s="1042">
        <v>3701</v>
      </c>
      <c r="B263" s="1012" t="s">
        <v>355</v>
      </c>
      <c r="C263" s="2718" t="s">
        <v>46</v>
      </c>
      <c r="D263" s="2718" t="s">
        <v>46</v>
      </c>
      <c r="E263" s="2718" t="s">
        <v>46</v>
      </c>
      <c r="F263" s="2723" t="s">
        <v>46</v>
      </c>
      <c r="G263" s="2718"/>
      <c r="H263" s="2718"/>
      <c r="I263" s="2718" t="s">
        <v>46</v>
      </c>
      <c r="J263" s="2718" t="s">
        <v>46</v>
      </c>
      <c r="K263" s="2718" t="s">
        <v>46</v>
      </c>
      <c r="L263" s="2718" t="s">
        <v>46</v>
      </c>
      <c r="M263" s="2718" t="s">
        <v>46</v>
      </c>
      <c r="N263" s="2738"/>
      <c r="O263" s="2718"/>
      <c r="P263" s="2739" t="s">
        <v>46</v>
      </c>
      <c r="Q263" s="2739" t="s">
        <v>46</v>
      </c>
      <c r="R263" s="2739" t="s">
        <v>46</v>
      </c>
      <c r="S263" s="2739" t="s">
        <v>46</v>
      </c>
      <c r="T263" s="2739" t="s">
        <v>46</v>
      </c>
      <c r="U263" s="2718"/>
      <c r="V263" s="2723"/>
      <c r="W263" s="2731" t="s">
        <v>46</v>
      </c>
      <c r="X263" s="2731" t="s">
        <v>79</v>
      </c>
      <c r="Y263" s="2879" t="s">
        <v>46</v>
      </c>
      <c r="Z263" s="2879" t="s">
        <v>46</v>
      </c>
      <c r="AA263" s="2879" t="s">
        <v>46</v>
      </c>
      <c r="AB263" s="2718"/>
      <c r="AC263" s="2718"/>
      <c r="AD263" s="2718" t="s">
        <v>46</v>
      </c>
      <c r="AE263" s="2718" t="s">
        <v>46</v>
      </c>
      <c r="AF263" s="2718" t="s">
        <v>46</v>
      </c>
      <c r="AG263" s="2442" t="s">
        <v>46</v>
      </c>
      <c r="AH263" s="115"/>
      <c r="AI263" s="116"/>
    </row>
    <row r="264" spans="1:35" ht="18" customHeight="1" x14ac:dyDescent="0.2">
      <c r="A264" s="1042">
        <v>3701</v>
      </c>
      <c r="B264" s="1044" t="s">
        <v>357</v>
      </c>
      <c r="C264" s="2918"/>
      <c r="D264" s="2918"/>
      <c r="E264" s="2918"/>
      <c r="F264" s="2918"/>
      <c r="G264" s="636"/>
      <c r="H264" s="636"/>
      <c r="I264" s="636"/>
      <c r="J264" s="2918"/>
      <c r="K264" s="2918"/>
      <c r="L264" s="2918"/>
      <c r="M264" s="2918"/>
      <c r="N264" s="636"/>
      <c r="O264" s="636"/>
      <c r="P264" s="636"/>
      <c r="Q264" s="2918"/>
      <c r="R264" s="2918"/>
      <c r="S264" s="2918"/>
      <c r="T264" s="2918"/>
      <c r="U264" s="636"/>
      <c r="V264" s="636"/>
      <c r="W264" s="636"/>
      <c r="X264" s="2918"/>
      <c r="Y264" s="2918"/>
      <c r="Z264" s="2918"/>
      <c r="AA264" s="2918"/>
      <c r="AB264" s="636"/>
      <c r="AC264" s="636"/>
      <c r="AD264" s="636"/>
      <c r="AE264" s="2918"/>
      <c r="AF264" s="2918"/>
      <c r="AG264" s="1041"/>
      <c r="AH264" s="115"/>
      <c r="AI264" s="116"/>
    </row>
    <row r="265" spans="1:35" ht="18" customHeight="1" x14ac:dyDescent="0.2">
      <c r="A265" s="1042">
        <v>3701</v>
      </c>
      <c r="B265" s="1012" t="s">
        <v>358</v>
      </c>
      <c r="C265" s="2718" t="s">
        <v>46</v>
      </c>
      <c r="D265" s="2718" t="s">
        <v>46</v>
      </c>
      <c r="E265" s="2718" t="s">
        <v>46</v>
      </c>
      <c r="F265" s="2723" t="s">
        <v>46</v>
      </c>
      <c r="G265" s="2718"/>
      <c r="H265" s="2718"/>
      <c r="I265" s="2718" t="s">
        <v>46</v>
      </c>
      <c r="J265" s="2718" t="s">
        <v>46</v>
      </c>
      <c r="K265" s="2718" t="s">
        <v>46</v>
      </c>
      <c r="L265" s="2718" t="s">
        <v>46</v>
      </c>
      <c r="M265" s="2712" t="s">
        <v>46</v>
      </c>
      <c r="N265" s="2738"/>
      <c r="O265" s="2718"/>
      <c r="P265" s="2725" t="s">
        <v>46</v>
      </c>
      <c r="Q265" s="2725" t="s">
        <v>46</v>
      </c>
      <c r="R265" s="2725" t="s">
        <v>46</v>
      </c>
      <c r="S265" s="2725" t="s">
        <v>46</v>
      </c>
      <c r="T265" s="2718" t="s">
        <v>46</v>
      </c>
      <c r="U265" s="2718"/>
      <c r="V265" s="2723"/>
      <c r="W265" s="2718" t="s">
        <v>46</v>
      </c>
      <c r="X265" s="2718" t="s">
        <v>46</v>
      </c>
      <c r="Y265" s="2718" t="s">
        <v>46</v>
      </c>
      <c r="Z265" s="2718" t="s">
        <v>46</v>
      </c>
      <c r="AA265" s="2723" t="s">
        <v>46</v>
      </c>
      <c r="AB265" s="2718"/>
      <c r="AC265" s="2718"/>
      <c r="AD265" s="2718" t="s">
        <v>46</v>
      </c>
      <c r="AE265" s="2718" t="s">
        <v>46</v>
      </c>
      <c r="AF265" s="2718" t="s">
        <v>46</v>
      </c>
      <c r="AG265" s="2442" t="s">
        <v>46</v>
      </c>
      <c r="AH265" s="115"/>
      <c r="AI265" s="116"/>
    </row>
    <row r="266" spans="1:35" ht="18" customHeight="1" x14ac:dyDescent="0.2">
      <c r="A266" s="1042">
        <v>3701</v>
      </c>
      <c r="B266" s="1012" t="s">
        <v>359</v>
      </c>
      <c r="C266" s="2718" t="s">
        <v>46</v>
      </c>
      <c r="D266" s="2718" t="s">
        <v>46</v>
      </c>
      <c r="E266" s="2718" t="s">
        <v>46</v>
      </c>
      <c r="F266" s="2723" t="s">
        <v>46</v>
      </c>
      <c r="G266" s="2718"/>
      <c r="H266" s="2718"/>
      <c r="I266" s="2731" t="s">
        <v>46</v>
      </c>
      <c r="J266" s="2731" t="s">
        <v>46</v>
      </c>
      <c r="K266" s="2731" t="s">
        <v>79</v>
      </c>
      <c r="L266" s="2718" t="s">
        <v>46</v>
      </c>
      <c r="M266" s="2712" t="s">
        <v>46</v>
      </c>
      <c r="N266" s="2738"/>
      <c r="O266" s="2718"/>
      <c r="P266" s="2725" t="s">
        <v>46</v>
      </c>
      <c r="Q266" s="2725" t="s">
        <v>46</v>
      </c>
      <c r="R266" s="2725" t="s">
        <v>46</v>
      </c>
      <c r="S266" s="2725" t="s">
        <v>46</v>
      </c>
      <c r="T266" s="2718" t="s">
        <v>46</v>
      </c>
      <c r="U266" s="2718"/>
      <c r="V266" s="2723"/>
      <c r="W266" s="2718" t="s">
        <v>46</v>
      </c>
      <c r="X266" s="2718" t="s">
        <v>46</v>
      </c>
      <c r="Y266" s="2718" t="s">
        <v>46</v>
      </c>
      <c r="Z266" s="2718" t="s">
        <v>46</v>
      </c>
      <c r="AA266" s="2723" t="s">
        <v>46</v>
      </c>
      <c r="AB266" s="2718"/>
      <c r="AC266" s="2718"/>
      <c r="AD266" s="2718" t="s">
        <v>46</v>
      </c>
      <c r="AE266" s="2718" t="s">
        <v>46</v>
      </c>
      <c r="AF266" s="2718" t="s">
        <v>46</v>
      </c>
      <c r="AG266" s="2442" t="s">
        <v>46</v>
      </c>
      <c r="AH266" s="115"/>
      <c r="AI266" s="116"/>
    </row>
    <row r="267" spans="1:35" ht="18" customHeight="1" x14ac:dyDescent="0.2">
      <c r="A267" s="1046">
        <v>3701</v>
      </c>
      <c r="B267" s="1012" t="s">
        <v>360</v>
      </c>
      <c r="C267" s="2718" t="s">
        <v>46</v>
      </c>
      <c r="D267" s="2718" t="s">
        <v>46</v>
      </c>
      <c r="E267" s="2718" t="s">
        <v>46</v>
      </c>
      <c r="F267" s="2723" t="s">
        <v>46</v>
      </c>
      <c r="G267" s="2718"/>
      <c r="H267" s="2718"/>
      <c r="I267" s="2718" t="s">
        <v>46</v>
      </c>
      <c r="J267" s="2718" t="s">
        <v>46</v>
      </c>
      <c r="K267" s="2718" t="s">
        <v>46</v>
      </c>
      <c r="L267" s="2718" t="s">
        <v>46</v>
      </c>
      <c r="M267" s="2718" t="s">
        <v>46</v>
      </c>
      <c r="N267" s="2738"/>
      <c r="O267" s="2718"/>
      <c r="P267" s="2725" t="s">
        <v>46</v>
      </c>
      <c r="Q267" s="2725" t="s">
        <v>46</v>
      </c>
      <c r="R267" s="2725" t="s">
        <v>46</v>
      </c>
      <c r="S267" s="2720" t="s">
        <v>46</v>
      </c>
      <c r="T267" s="2720" t="s">
        <v>46</v>
      </c>
      <c r="U267" s="2718"/>
      <c r="V267" s="2723"/>
      <c r="W267" s="2718" t="s">
        <v>46</v>
      </c>
      <c r="X267" s="2718" t="s">
        <v>46</v>
      </c>
      <c r="Y267" s="2718" t="s">
        <v>46</v>
      </c>
      <c r="Z267" s="2718" t="s">
        <v>46</v>
      </c>
      <c r="AA267" s="2723" t="s">
        <v>46</v>
      </c>
      <c r="AB267" s="2718"/>
      <c r="AC267" s="2718"/>
      <c r="AD267" s="2718" t="s">
        <v>46</v>
      </c>
      <c r="AE267" s="2718" t="s">
        <v>46</v>
      </c>
      <c r="AF267" s="2718" t="s">
        <v>46</v>
      </c>
      <c r="AG267" s="2442" t="s">
        <v>46</v>
      </c>
      <c r="AH267" s="115"/>
      <c r="AI267" s="116"/>
    </row>
    <row r="268" spans="1:35" ht="18" customHeight="1" x14ac:dyDescent="0.2">
      <c r="A268" s="1042">
        <v>3701</v>
      </c>
      <c r="B268" s="1012" t="s">
        <v>361</v>
      </c>
      <c r="C268" s="2718" t="s">
        <v>46</v>
      </c>
      <c r="D268" s="2718" t="s">
        <v>46</v>
      </c>
      <c r="E268" s="2718" t="s">
        <v>46</v>
      </c>
      <c r="F268" s="2723" t="s">
        <v>46</v>
      </c>
      <c r="G268" s="2718"/>
      <c r="H268" s="2718"/>
      <c r="I268" s="2718" t="s">
        <v>46</v>
      </c>
      <c r="J268" s="2718" t="s">
        <v>46</v>
      </c>
      <c r="K268" s="2718" t="s">
        <v>46</v>
      </c>
      <c r="L268" s="2718" t="s">
        <v>46</v>
      </c>
      <c r="M268" s="2712" t="s">
        <v>46</v>
      </c>
      <c r="N268" s="2738"/>
      <c r="O268" s="2718"/>
      <c r="P268" s="2725" t="s">
        <v>46</v>
      </c>
      <c r="Q268" s="2725" t="s">
        <v>46</v>
      </c>
      <c r="R268" s="2725" t="s">
        <v>46</v>
      </c>
      <c r="S268" s="2725" t="s">
        <v>46</v>
      </c>
      <c r="T268" s="2718" t="s">
        <v>46</v>
      </c>
      <c r="U268" s="2718"/>
      <c r="V268" s="2723"/>
      <c r="W268" s="2718" t="s">
        <v>46</v>
      </c>
      <c r="X268" s="2718" t="s">
        <v>46</v>
      </c>
      <c r="Y268" s="2718" t="s">
        <v>46</v>
      </c>
      <c r="Z268" s="2718" t="s">
        <v>46</v>
      </c>
      <c r="AA268" s="2723" t="s">
        <v>46</v>
      </c>
      <c r="AB268" s="2718"/>
      <c r="AC268" s="2718"/>
      <c r="AD268" s="2718" t="s">
        <v>46</v>
      </c>
      <c r="AE268" s="2718" t="s">
        <v>46</v>
      </c>
      <c r="AF268" s="2718" t="s">
        <v>46</v>
      </c>
      <c r="AG268" s="2442" t="s">
        <v>46</v>
      </c>
      <c r="AH268" s="115"/>
      <c r="AI268" s="116"/>
    </row>
    <row r="269" spans="1:35" ht="18" customHeight="1" x14ac:dyDescent="0.2">
      <c r="A269" s="1042">
        <v>3701</v>
      </c>
      <c r="B269" s="1012" t="s">
        <v>362</v>
      </c>
      <c r="C269" s="2718" t="s">
        <v>46</v>
      </c>
      <c r="D269" s="2718" t="s">
        <v>46</v>
      </c>
      <c r="E269" s="2718" t="s">
        <v>46</v>
      </c>
      <c r="F269" s="2723" t="s">
        <v>46</v>
      </c>
      <c r="G269" s="2718"/>
      <c r="H269" s="2718"/>
      <c r="I269" s="2718" t="s">
        <v>46</v>
      </c>
      <c r="J269" s="2718" t="s">
        <v>46</v>
      </c>
      <c r="K269" s="2718" t="s">
        <v>46</v>
      </c>
      <c r="L269" s="2718" t="s">
        <v>46</v>
      </c>
      <c r="M269" s="2718" t="s">
        <v>46</v>
      </c>
      <c r="N269" s="2738"/>
      <c r="O269" s="2718"/>
      <c r="P269" s="2739" t="s">
        <v>46</v>
      </c>
      <c r="Q269" s="2739" t="s">
        <v>46</v>
      </c>
      <c r="R269" s="2739" t="s">
        <v>46</v>
      </c>
      <c r="S269" s="2739" t="s">
        <v>46</v>
      </c>
      <c r="T269" s="2739" t="s">
        <v>46</v>
      </c>
      <c r="U269" s="2718"/>
      <c r="V269" s="2723"/>
      <c r="W269" s="2718" t="s">
        <v>46</v>
      </c>
      <c r="X269" s="2731" t="s">
        <v>46</v>
      </c>
      <c r="Y269" s="2731" t="s">
        <v>46</v>
      </c>
      <c r="Z269" s="2731" t="s">
        <v>46</v>
      </c>
      <c r="AA269" s="2731" t="s">
        <v>46</v>
      </c>
      <c r="AB269" s="2731"/>
      <c r="AC269" s="2731"/>
      <c r="AD269" s="2731" t="s">
        <v>46</v>
      </c>
      <c r="AE269" s="2731" t="s">
        <v>46</v>
      </c>
      <c r="AF269" s="2731" t="s">
        <v>46</v>
      </c>
      <c r="AG269" s="2469" t="s">
        <v>46</v>
      </c>
      <c r="AH269" s="115"/>
      <c r="AI269" s="116"/>
    </row>
    <row r="270" spans="1:35" ht="18" customHeight="1" x14ac:dyDescent="0.2">
      <c r="A270" s="1042"/>
      <c r="B270" s="1012" t="s">
        <v>363</v>
      </c>
      <c r="C270" s="2718" t="s">
        <v>46</v>
      </c>
      <c r="D270" s="2718" t="s">
        <v>46</v>
      </c>
      <c r="E270" s="2718" t="s">
        <v>46</v>
      </c>
      <c r="F270" s="2723" t="s">
        <v>46</v>
      </c>
      <c r="G270" s="2718"/>
      <c r="H270" s="2718"/>
      <c r="I270" s="2718" t="s">
        <v>46</v>
      </c>
      <c r="J270" s="2718" t="s">
        <v>46</v>
      </c>
      <c r="K270" s="2718" t="s">
        <v>46</v>
      </c>
      <c r="L270" s="2718" t="s">
        <v>46</v>
      </c>
      <c r="M270" s="2718" t="s">
        <v>46</v>
      </c>
      <c r="N270" s="2738"/>
      <c r="O270" s="2718"/>
      <c r="P270" s="2739" t="s">
        <v>46</v>
      </c>
      <c r="Q270" s="2739" t="s">
        <v>46</v>
      </c>
      <c r="R270" s="2739" t="s">
        <v>46</v>
      </c>
      <c r="S270" s="2739" t="s">
        <v>46</v>
      </c>
      <c r="T270" s="2739" t="s">
        <v>46</v>
      </c>
      <c r="U270" s="2718"/>
      <c r="V270" s="2723"/>
      <c r="W270" s="2718" t="s">
        <v>46</v>
      </c>
      <c r="X270" s="2718" t="s">
        <v>46</v>
      </c>
      <c r="Y270" s="2718" t="s">
        <v>46</v>
      </c>
      <c r="Z270" s="2718" t="s">
        <v>46</v>
      </c>
      <c r="AA270" s="2723" t="s">
        <v>46</v>
      </c>
      <c r="AB270" s="2718"/>
      <c r="AC270" s="2718"/>
      <c r="AD270" s="2718" t="s">
        <v>46</v>
      </c>
      <c r="AE270" s="2718" t="s">
        <v>46</v>
      </c>
      <c r="AF270" s="2718" t="s">
        <v>46</v>
      </c>
      <c r="AG270" s="2442" t="s">
        <v>46</v>
      </c>
      <c r="AH270" s="115"/>
      <c r="AI270" s="116"/>
    </row>
    <row r="271" spans="1:35" ht="18" customHeight="1" x14ac:dyDescent="0.2">
      <c r="A271" s="1042"/>
      <c r="B271" s="1012" t="s">
        <v>364</v>
      </c>
      <c r="C271" s="2718" t="s">
        <v>46</v>
      </c>
      <c r="D271" s="2718" t="s">
        <v>46</v>
      </c>
      <c r="E271" s="2718" t="s">
        <v>46</v>
      </c>
      <c r="F271" s="2723" t="s">
        <v>46</v>
      </c>
      <c r="G271" s="2718"/>
      <c r="H271" s="2718"/>
      <c r="I271" s="2739" t="s">
        <v>46</v>
      </c>
      <c r="J271" s="2739" t="s">
        <v>46</v>
      </c>
      <c r="K271" s="2739" t="s">
        <v>46</v>
      </c>
      <c r="L271" s="2739" t="s">
        <v>46</v>
      </c>
      <c r="M271" s="2739" t="s">
        <v>46</v>
      </c>
      <c r="N271" s="2738"/>
      <c r="O271" s="2718"/>
      <c r="P271" s="2725" t="s">
        <v>46</v>
      </c>
      <c r="Q271" s="2725" t="s">
        <v>46</v>
      </c>
      <c r="R271" s="2725" t="s">
        <v>46</v>
      </c>
      <c r="S271" s="2725" t="s">
        <v>46</v>
      </c>
      <c r="T271" s="2718" t="s">
        <v>46</v>
      </c>
      <c r="U271" s="2718"/>
      <c r="V271" s="2723"/>
      <c r="W271" s="2718" t="s">
        <v>46</v>
      </c>
      <c r="X271" s="2718" t="s">
        <v>46</v>
      </c>
      <c r="Y271" s="2718" t="s">
        <v>46</v>
      </c>
      <c r="Z271" s="2718" t="s">
        <v>46</v>
      </c>
      <c r="AA271" s="2723" t="s">
        <v>46</v>
      </c>
      <c r="AB271" s="2718"/>
      <c r="AC271" s="2718"/>
      <c r="AD271" s="2718" t="s">
        <v>46</v>
      </c>
      <c r="AE271" s="2718" t="s">
        <v>46</v>
      </c>
      <c r="AF271" s="2718" t="s">
        <v>46</v>
      </c>
      <c r="AG271" s="2442" t="s">
        <v>46</v>
      </c>
      <c r="AH271" s="115"/>
      <c r="AI271" s="116"/>
    </row>
    <row r="272" spans="1:35" ht="18" customHeight="1" x14ac:dyDescent="0.2">
      <c r="A272" s="1042"/>
      <c r="B272" s="1012" t="s">
        <v>365</v>
      </c>
      <c r="C272" s="2718" t="s">
        <v>46</v>
      </c>
      <c r="D272" s="2718" t="s">
        <v>46</v>
      </c>
      <c r="E272" s="2718" t="s">
        <v>46</v>
      </c>
      <c r="F272" s="2723" t="s">
        <v>46</v>
      </c>
      <c r="G272" s="2718"/>
      <c r="H272" s="2718"/>
      <c r="I272" s="2718" t="s">
        <v>46</v>
      </c>
      <c r="J272" s="2718" t="s">
        <v>46</v>
      </c>
      <c r="K272" s="2718" t="s">
        <v>46</v>
      </c>
      <c r="L272" s="2718" t="s">
        <v>46</v>
      </c>
      <c r="M272" s="2718" t="s">
        <v>46</v>
      </c>
      <c r="N272" s="2738"/>
      <c r="O272" s="2718"/>
      <c r="P272" s="2725" t="s">
        <v>46</v>
      </c>
      <c r="Q272" s="2725" t="s">
        <v>46</v>
      </c>
      <c r="R272" s="2725" t="s">
        <v>46</v>
      </c>
      <c r="S272" s="2725" t="s">
        <v>46</v>
      </c>
      <c r="T272" s="2718" t="s">
        <v>46</v>
      </c>
      <c r="U272" s="2718"/>
      <c r="V272" s="2723"/>
      <c r="W272" s="2718" t="s">
        <v>46</v>
      </c>
      <c r="X272" s="2718" t="s">
        <v>46</v>
      </c>
      <c r="Y272" s="2718" t="s">
        <v>46</v>
      </c>
      <c r="Z272" s="2718" t="s">
        <v>46</v>
      </c>
      <c r="AA272" s="2723" t="s">
        <v>46</v>
      </c>
      <c r="AB272" s="2718"/>
      <c r="AC272" s="2718"/>
      <c r="AD272" s="2718" t="s">
        <v>46</v>
      </c>
      <c r="AE272" s="2718" t="s">
        <v>46</v>
      </c>
      <c r="AF272" s="2718" t="s">
        <v>46</v>
      </c>
      <c r="AG272" s="2442" t="s">
        <v>46</v>
      </c>
      <c r="AH272" s="115"/>
      <c r="AI272" s="116"/>
    </row>
    <row r="273" spans="1:35" ht="18" customHeight="1" x14ac:dyDescent="0.2">
      <c r="A273" s="1042"/>
      <c r="B273" s="1044" t="s">
        <v>366</v>
      </c>
      <c r="C273" s="2918"/>
      <c r="D273" s="2918"/>
      <c r="E273" s="2918"/>
      <c r="F273" s="2918"/>
      <c r="G273" s="636"/>
      <c r="H273" s="636"/>
      <c r="I273" s="636"/>
      <c r="J273" s="2918"/>
      <c r="K273" s="2918"/>
      <c r="L273" s="2918"/>
      <c r="M273" s="2918"/>
      <c r="N273" s="636"/>
      <c r="O273" s="636"/>
      <c r="P273" s="636"/>
      <c r="Q273" s="2918"/>
      <c r="R273" s="2918"/>
      <c r="S273" s="2918"/>
      <c r="T273" s="2918"/>
      <c r="U273" s="636"/>
      <c r="V273" s="636"/>
      <c r="W273" s="636"/>
      <c r="X273" s="2918"/>
      <c r="Y273" s="2918"/>
      <c r="Z273" s="2918"/>
      <c r="AA273" s="2918"/>
      <c r="AB273" s="636"/>
      <c r="AC273" s="636"/>
      <c r="AD273" s="636"/>
      <c r="AE273" s="2918"/>
      <c r="AF273" s="2918"/>
      <c r="AG273" s="1041"/>
      <c r="AH273" s="115"/>
      <c r="AI273" s="116"/>
    </row>
    <row r="274" spans="1:35" ht="18" customHeight="1" x14ac:dyDescent="0.2">
      <c r="A274" s="1042"/>
      <c r="B274" s="1012" t="s">
        <v>367</v>
      </c>
      <c r="C274" s="2718" t="s">
        <v>46</v>
      </c>
      <c r="D274" s="2718" t="s">
        <v>46</v>
      </c>
      <c r="E274" s="2718" t="s">
        <v>46</v>
      </c>
      <c r="F274" s="2723" t="s">
        <v>46</v>
      </c>
      <c r="G274" s="2718"/>
      <c r="H274" s="2718"/>
      <c r="I274" s="2718" t="s">
        <v>46</v>
      </c>
      <c r="J274" s="2718" t="s">
        <v>46</v>
      </c>
      <c r="K274" s="2718" t="s">
        <v>46</v>
      </c>
      <c r="L274" s="2718" t="s">
        <v>46</v>
      </c>
      <c r="M274" s="2578" t="s">
        <v>46</v>
      </c>
      <c r="N274" s="2738"/>
      <c r="O274" s="2718"/>
      <c r="P274" s="2739" t="s">
        <v>46</v>
      </c>
      <c r="Q274" s="2739" t="s">
        <v>46</v>
      </c>
      <c r="R274" s="2739" t="s">
        <v>46</v>
      </c>
      <c r="S274" s="2725" t="s">
        <v>46</v>
      </c>
      <c r="T274" s="2718" t="s">
        <v>46</v>
      </c>
      <c r="U274" s="2718"/>
      <c r="V274" s="2723"/>
      <c r="W274" s="2718" t="s">
        <v>46</v>
      </c>
      <c r="X274" s="2718" t="s">
        <v>46</v>
      </c>
      <c r="Y274" s="2718" t="s">
        <v>46</v>
      </c>
      <c r="Z274" s="2718" t="s">
        <v>46</v>
      </c>
      <c r="AA274" s="2723" t="s">
        <v>46</v>
      </c>
      <c r="AB274" s="2718"/>
      <c r="AC274" s="2718"/>
      <c r="AD274" s="2718" t="s">
        <v>46</v>
      </c>
      <c r="AE274" s="2718" t="s">
        <v>46</v>
      </c>
      <c r="AF274" s="2718" t="s">
        <v>46</v>
      </c>
      <c r="AG274" s="2442" t="s">
        <v>46</v>
      </c>
      <c r="AH274" s="115"/>
      <c r="AI274" s="116"/>
    </row>
    <row r="275" spans="1:35" ht="18" customHeight="1" x14ac:dyDescent="0.2">
      <c r="A275" s="1042"/>
      <c r="B275" s="1012" t="s">
        <v>368</v>
      </c>
      <c r="C275" s="2718" t="s">
        <v>46</v>
      </c>
      <c r="D275" s="2718" t="s">
        <v>46</v>
      </c>
      <c r="E275" s="2718" t="s">
        <v>46</v>
      </c>
      <c r="F275" s="2723" t="s">
        <v>46</v>
      </c>
      <c r="G275" s="2718"/>
      <c r="H275" s="2718"/>
      <c r="I275" s="2718" t="s">
        <v>46</v>
      </c>
      <c r="J275" s="2718" t="s">
        <v>46</v>
      </c>
      <c r="K275" s="2718" t="s">
        <v>46</v>
      </c>
      <c r="L275" s="2718" t="s">
        <v>46</v>
      </c>
      <c r="M275" s="2718" t="s">
        <v>46</v>
      </c>
      <c r="N275" s="2738"/>
      <c r="O275" s="2718"/>
      <c r="P275" s="2739" t="s">
        <v>46</v>
      </c>
      <c r="Q275" s="2739" t="s">
        <v>46</v>
      </c>
      <c r="R275" s="2739" t="s">
        <v>46</v>
      </c>
      <c r="S275" s="2725" t="s">
        <v>46</v>
      </c>
      <c r="T275" s="2718" t="s">
        <v>46</v>
      </c>
      <c r="U275" s="2718"/>
      <c r="V275" s="2723"/>
      <c r="W275" s="2718" t="s">
        <v>46</v>
      </c>
      <c r="X275" s="2718" t="s">
        <v>46</v>
      </c>
      <c r="Y275" s="2718" t="s">
        <v>46</v>
      </c>
      <c r="Z275" s="2718" t="s">
        <v>46</v>
      </c>
      <c r="AA275" s="2723" t="s">
        <v>46</v>
      </c>
      <c r="AB275" s="2718"/>
      <c r="AC275" s="2718"/>
      <c r="AD275" s="2718" t="s">
        <v>46</v>
      </c>
      <c r="AE275" s="2718" t="s">
        <v>46</v>
      </c>
      <c r="AF275" s="2718" t="s">
        <v>46</v>
      </c>
      <c r="AG275" s="2442" t="s">
        <v>46</v>
      </c>
      <c r="AH275" s="115"/>
      <c r="AI275" s="116"/>
    </row>
    <row r="276" spans="1:35" ht="18" customHeight="1" x14ac:dyDescent="0.2">
      <c r="A276" s="1042"/>
      <c r="B276" s="1012"/>
      <c r="C276" s="2718" t="s">
        <v>46</v>
      </c>
      <c r="D276" s="2718" t="s">
        <v>46</v>
      </c>
      <c r="E276" s="2718" t="s">
        <v>46</v>
      </c>
      <c r="F276" s="2723" t="s">
        <v>46</v>
      </c>
      <c r="G276" s="2718"/>
      <c r="H276" s="2718"/>
      <c r="I276" s="2718" t="s">
        <v>46</v>
      </c>
      <c r="J276" s="2718" t="s">
        <v>46</v>
      </c>
      <c r="K276" s="2718" t="s">
        <v>46</v>
      </c>
      <c r="L276" s="2718" t="s">
        <v>46</v>
      </c>
      <c r="M276" s="2718" t="s">
        <v>46</v>
      </c>
      <c r="N276" s="2738"/>
      <c r="O276" s="2718"/>
      <c r="P276" s="2725" t="s">
        <v>46</v>
      </c>
      <c r="Q276" s="2725" t="s">
        <v>46</v>
      </c>
      <c r="R276" s="2725" t="s">
        <v>46</v>
      </c>
      <c r="S276" s="2725" t="s">
        <v>46</v>
      </c>
      <c r="T276" s="2718" t="s">
        <v>46</v>
      </c>
      <c r="U276" s="2718"/>
      <c r="V276" s="2723"/>
      <c r="W276" s="2718" t="s">
        <v>46</v>
      </c>
      <c r="X276" s="2718" t="s">
        <v>46</v>
      </c>
      <c r="Y276" s="2718" t="s">
        <v>46</v>
      </c>
      <c r="Z276" s="2718" t="s">
        <v>46</v>
      </c>
      <c r="AA276" s="2723" t="s">
        <v>46</v>
      </c>
      <c r="AB276" s="2718"/>
      <c r="AC276" s="2718"/>
      <c r="AD276" s="2718" t="s">
        <v>46</v>
      </c>
      <c r="AE276" s="2718" t="s">
        <v>46</v>
      </c>
      <c r="AF276" s="2718" t="s">
        <v>46</v>
      </c>
      <c r="AG276" s="2442" t="s">
        <v>46</v>
      </c>
      <c r="AH276" s="112"/>
      <c r="AI276" s="67"/>
    </row>
    <row r="277" spans="1:35" ht="18" customHeight="1" x14ac:dyDescent="0.2">
      <c r="A277" s="1042"/>
      <c r="B277" s="1012" t="s">
        <v>369</v>
      </c>
      <c r="C277" s="2718" t="s">
        <v>46</v>
      </c>
      <c r="D277" s="2718" t="s">
        <v>46</v>
      </c>
      <c r="E277" s="2718" t="s">
        <v>46</v>
      </c>
      <c r="F277" s="2723" t="s">
        <v>46</v>
      </c>
      <c r="G277" s="2718"/>
      <c r="H277" s="2718"/>
      <c r="I277" s="2718" t="s">
        <v>46</v>
      </c>
      <c r="J277" s="2718" t="s">
        <v>46</v>
      </c>
      <c r="K277" s="2718" t="s">
        <v>46</v>
      </c>
      <c r="L277" s="2718" t="s">
        <v>46</v>
      </c>
      <c r="M277" s="2718" t="s">
        <v>46</v>
      </c>
      <c r="N277" s="2738"/>
      <c r="O277" s="2718"/>
      <c r="P277" s="2725" t="s">
        <v>46</v>
      </c>
      <c r="Q277" s="2725" t="s">
        <v>46</v>
      </c>
      <c r="R277" s="2725" t="s">
        <v>46</v>
      </c>
      <c r="S277" s="2725" t="s">
        <v>46</v>
      </c>
      <c r="T277" s="2718" t="s">
        <v>46</v>
      </c>
      <c r="U277" s="2718"/>
      <c r="V277" s="2723"/>
      <c r="W277" s="2718" t="s">
        <v>46</v>
      </c>
      <c r="X277" s="2718" t="s">
        <v>46</v>
      </c>
      <c r="Y277" s="2718" t="s">
        <v>46</v>
      </c>
      <c r="Z277" s="2718" t="s">
        <v>46</v>
      </c>
      <c r="AA277" s="2723" t="s">
        <v>46</v>
      </c>
      <c r="AB277" s="2718"/>
      <c r="AC277" s="2718"/>
      <c r="AD277" s="2731" t="s">
        <v>46</v>
      </c>
      <c r="AE277" s="2731" t="s">
        <v>46</v>
      </c>
      <c r="AF277" s="2731" t="s">
        <v>46</v>
      </c>
      <c r="AG277" s="2469" t="s">
        <v>46</v>
      </c>
      <c r="AH277" s="112"/>
      <c r="AI277" s="67"/>
    </row>
    <row r="278" spans="1:35" ht="18" customHeight="1" x14ac:dyDescent="0.2">
      <c r="A278" s="638"/>
      <c r="B278" s="2629"/>
      <c r="C278" s="636"/>
      <c r="D278" s="636"/>
      <c r="E278" s="636"/>
      <c r="F278" s="636"/>
      <c r="G278" s="636"/>
      <c r="H278" s="636"/>
      <c r="I278" s="636"/>
      <c r="J278" s="636"/>
      <c r="K278" s="636"/>
      <c r="L278" s="636"/>
      <c r="M278" s="636"/>
      <c r="N278" s="636"/>
      <c r="O278" s="636"/>
      <c r="P278" s="636"/>
      <c r="Q278" s="636"/>
      <c r="R278" s="636"/>
      <c r="S278" s="636"/>
      <c r="T278" s="636"/>
      <c r="U278" s="636"/>
      <c r="V278" s="636"/>
      <c r="W278" s="636"/>
      <c r="X278" s="636"/>
      <c r="Y278" s="636"/>
      <c r="Z278" s="636"/>
      <c r="AA278" s="636"/>
      <c r="AB278" s="636"/>
      <c r="AC278" s="636"/>
      <c r="AD278" s="636"/>
      <c r="AE278" s="636"/>
      <c r="AF278" s="636"/>
      <c r="AG278" s="1041"/>
      <c r="AH278" s="112"/>
      <c r="AI278" s="67"/>
    </row>
    <row r="279" spans="1:35" ht="18" customHeight="1" x14ac:dyDescent="0.2">
      <c r="A279" s="638"/>
      <c r="B279" s="1012"/>
      <c r="C279" s="636"/>
      <c r="D279" s="636"/>
      <c r="E279" s="636"/>
      <c r="F279" s="636"/>
      <c r="G279" s="636"/>
      <c r="H279" s="636"/>
      <c r="I279" s="636"/>
      <c r="J279" s="636"/>
      <c r="K279" s="636"/>
      <c r="L279" s="636"/>
      <c r="M279" s="636"/>
      <c r="N279" s="2895"/>
      <c r="O279" s="2895"/>
      <c r="P279" s="2895"/>
      <c r="Q279" s="800"/>
      <c r="R279" s="2895"/>
      <c r="S279" s="636"/>
      <c r="T279" s="636"/>
      <c r="U279" s="2895"/>
      <c r="V279" s="2895"/>
      <c r="W279" s="2895"/>
      <c r="X279" s="636"/>
      <c r="Y279" s="2895"/>
      <c r="Z279" s="636"/>
      <c r="AA279" s="636"/>
      <c r="AB279" s="636"/>
      <c r="AC279" s="636"/>
      <c r="AD279" s="636"/>
      <c r="AE279" s="636"/>
      <c r="AF279" s="2895"/>
      <c r="AG279" s="1053"/>
      <c r="AH279" s="112"/>
      <c r="AI279" s="67"/>
    </row>
    <row r="280" spans="1:35" ht="18" customHeight="1" x14ac:dyDescent="0.2">
      <c r="A280" s="638"/>
      <c r="B280" s="638"/>
      <c r="C280" s="636"/>
      <c r="D280" s="636"/>
      <c r="E280" s="636"/>
      <c r="F280" s="636"/>
      <c r="G280" s="636"/>
      <c r="H280" s="636"/>
      <c r="I280" s="636"/>
      <c r="J280" s="636"/>
      <c r="K280" s="636"/>
      <c r="L280" s="636"/>
      <c r="M280" s="636"/>
      <c r="N280" s="636"/>
      <c r="O280" s="636"/>
      <c r="P280" s="636"/>
      <c r="Q280" s="636"/>
      <c r="R280" s="636"/>
      <c r="S280" s="636"/>
      <c r="T280" s="636"/>
      <c r="U280" s="636"/>
      <c r="V280" s="636"/>
      <c r="W280" s="636"/>
      <c r="X280" s="636"/>
      <c r="Y280" s="636"/>
      <c r="Z280" s="636"/>
      <c r="AA280" s="636"/>
      <c r="AB280" s="636"/>
      <c r="AC280" s="636"/>
      <c r="AD280" s="636"/>
      <c r="AE280" s="636"/>
      <c r="AF280" s="636"/>
      <c r="AG280" s="1041"/>
      <c r="AH280" s="112"/>
      <c r="AI280" s="67"/>
    </row>
    <row r="281" spans="1:35" ht="18" customHeight="1" x14ac:dyDescent="0.2">
      <c r="A281" s="638"/>
      <c r="B281" s="638"/>
      <c r="C281" s="636"/>
      <c r="D281" s="636"/>
      <c r="E281" s="636"/>
      <c r="F281" s="636"/>
      <c r="G281" s="636"/>
      <c r="H281" s="1054"/>
      <c r="I281" s="636"/>
      <c r="J281" s="636"/>
      <c r="K281" s="636"/>
      <c r="L281" s="636"/>
      <c r="M281" s="636"/>
      <c r="N281" s="636"/>
      <c r="O281" s="636"/>
      <c r="P281" s="636"/>
      <c r="Q281" s="636"/>
      <c r="R281" s="636"/>
      <c r="S281" s="636"/>
      <c r="T281" s="636"/>
      <c r="U281" s="636"/>
      <c r="V281" s="636"/>
      <c r="W281" s="636"/>
      <c r="X281" s="636"/>
      <c r="Y281" s="636"/>
      <c r="Z281" s="636"/>
      <c r="AA281" s="636"/>
      <c r="AB281" s="636"/>
      <c r="AC281" s="636"/>
      <c r="AD281" s="636"/>
      <c r="AE281" s="636"/>
      <c r="AF281" s="636"/>
      <c r="AG281" s="1055"/>
      <c r="AH281" s="112"/>
      <c r="AI281" s="67"/>
    </row>
    <row r="282" spans="1:35" ht="18" customHeight="1" x14ac:dyDescent="0.2">
      <c r="A282" s="1042"/>
      <c r="B282" s="1056"/>
      <c r="C282" s="636"/>
      <c r="D282" s="636"/>
      <c r="E282" s="636"/>
      <c r="F282" s="636"/>
      <c r="G282" s="636"/>
      <c r="H282" s="636"/>
      <c r="I282" s="636"/>
      <c r="J282" s="636"/>
      <c r="K282" s="636"/>
      <c r="L282" s="636"/>
      <c r="M282" s="636"/>
      <c r="N282" s="636"/>
      <c r="O282" s="636"/>
      <c r="P282" s="636"/>
      <c r="Q282" s="636"/>
      <c r="R282" s="636"/>
      <c r="S282" s="636"/>
      <c r="T282" s="636"/>
      <c r="U282" s="636"/>
      <c r="V282" s="636"/>
      <c r="W282" s="636"/>
      <c r="X282" s="636"/>
      <c r="Y282" s="636"/>
      <c r="Z282" s="636"/>
      <c r="AA282" s="636"/>
      <c r="AB282" s="636"/>
      <c r="AC282" s="636"/>
      <c r="AD282" s="636"/>
      <c r="AE282" s="636"/>
      <c r="AF282" s="636"/>
      <c r="AG282" s="1055"/>
      <c r="AH282" s="112"/>
      <c r="AI282" s="67"/>
    </row>
    <row r="283" spans="1:35" ht="18" customHeight="1" x14ac:dyDescent="0.2">
      <c r="A283" s="1042"/>
      <c r="B283" s="1057"/>
      <c r="C283" s="636"/>
      <c r="D283" s="636"/>
      <c r="E283" s="636"/>
      <c r="F283" s="636"/>
      <c r="G283" s="636"/>
      <c r="H283" s="636"/>
      <c r="I283" s="636"/>
      <c r="J283" s="636"/>
      <c r="K283" s="636"/>
      <c r="L283" s="636"/>
      <c r="M283" s="636"/>
      <c r="N283" s="636"/>
      <c r="O283" s="636"/>
      <c r="P283" s="636"/>
      <c r="Q283" s="636"/>
      <c r="R283" s="636"/>
      <c r="S283" s="636"/>
      <c r="T283" s="636"/>
      <c r="U283" s="636"/>
      <c r="V283" s="636"/>
      <c r="W283" s="636"/>
      <c r="X283" s="636"/>
      <c r="Y283" s="636"/>
      <c r="Z283" s="636"/>
      <c r="AA283" s="636"/>
      <c r="AB283" s="636"/>
      <c r="AC283" s="636"/>
      <c r="AD283" s="636"/>
      <c r="AE283" s="636"/>
      <c r="AF283" s="636"/>
      <c r="AG283" s="1055"/>
      <c r="AH283" s="112"/>
      <c r="AI283" s="67"/>
    </row>
    <row r="284" spans="1:35" ht="18" customHeight="1" x14ac:dyDescent="0.2">
      <c r="A284" s="68"/>
      <c r="B284" s="74"/>
      <c r="C284" s="66"/>
      <c r="D284" s="66"/>
      <c r="E284" s="66"/>
      <c r="F284" s="66"/>
      <c r="G284" s="66"/>
      <c r="H284" s="66"/>
      <c r="I284" s="66"/>
      <c r="J284" s="66"/>
      <c r="L284" s="66"/>
      <c r="M284" s="66"/>
      <c r="N284" s="66"/>
      <c r="O284" s="66"/>
      <c r="P284" s="48"/>
      <c r="Q284" s="48"/>
      <c r="R284" s="48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7"/>
      <c r="AI284" s="67"/>
    </row>
    <row r="285" spans="1:35" ht="18" customHeight="1" x14ac:dyDescent="0.2"/>
    <row r="286" spans="1:35" ht="18" customHeight="1" x14ac:dyDescent="0.2"/>
    <row r="287" spans="1:35" ht="18" customHeight="1" x14ac:dyDescent="0.2"/>
    <row r="288" spans="1:35" ht="18" customHeight="1" x14ac:dyDescent="0.2">
      <c r="A288" s="103" t="s">
        <v>370</v>
      </c>
    </row>
    <row r="289" spans="1:35" ht="18" customHeight="1" x14ac:dyDescent="0.2">
      <c r="B289" s="2630" t="s">
        <v>340</v>
      </c>
      <c r="C289" s="2953"/>
      <c r="D289" s="2975" t="s">
        <v>17</v>
      </c>
      <c r="E289" s="2792"/>
      <c r="F289" s="2957"/>
      <c r="G289" s="2953"/>
      <c r="H289" s="2975" t="s">
        <v>18</v>
      </c>
      <c r="I289" s="2792"/>
      <c r="J289" s="2957"/>
      <c r="K289" s="2953"/>
      <c r="L289" s="2975" t="s">
        <v>19</v>
      </c>
      <c r="M289" s="2792"/>
      <c r="N289" s="2957"/>
      <c r="O289" s="2953"/>
      <c r="P289" s="2975" t="s">
        <v>20</v>
      </c>
      <c r="Q289" s="2792"/>
      <c r="R289" s="2957"/>
      <c r="S289" s="2953"/>
      <c r="T289" s="2975" t="s">
        <v>21</v>
      </c>
      <c r="U289" s="2792"/>
      <c r="V289" s="2957"/>
      <c r="W289" s="2953"/>
      <c r="X289" s="2975" t="s">
        <v>22</v>
      </c>
      <c r="Y289" s="2792"/>
      <c r="Z289" s="2957"/>
      <c r="AA289" s="2953"/>
      <c r="AB289" s="2975" t="s">
        <v>23</v>
      </c>
      <c r="AC289" s="2792"/>
      <c r="AD289" s="2792"/>
      <c r="AE289" s="2978" t="s">
        <v>126</v>
      </c>
      <c r="AF289" s="2792"/>
      <c r="AG289" s="2792"/>
      <c r="AH289" s="2792"/>
      <c r="AI289" s="2793"/>
    </row>
    <row r="290" spans="1:35" ht="18" customHeight="1" x14ac:dyDescent="0.2">
      <c r="B290" s="452"/>
      <c r="C290" s="1059" t="s">
        <v>371</v>
      </c>
      <c r="D290" s="1030"/>
      <c r="E290" s="1060"/>
      <c r="F290" s="1061"/>
      <c r="G290" s="1059" t="s">
        <v>371</v>
      </c>
      <c r="H290" s="1030"/>
      <c r="I290" s="1060"/>
      <c r="J290" s="1061"/>
      <c r="K290" s="1059" t="s">
        <v>371</v>
      </c>
      <c r="L290" s="1030"/>
      <c r="M290" s="1060"/>
      <c r="N290" s="1061"/>
      <c r="O290" s="1059" t="s">
        <v>371</v>
      </c>
      <c r="P290" s="1062"/>
      <c r="Q290" s="1060"/>
      <c r="R290" s="1061"/>
      <c r="S290" s="1063" t="s">
        <v>372</v>
      </c>
      <c r="T290" s="1030"/>
      <c r="U290" s="1060"/>
      <c r="V290" s="1061"/>
      <c r="W290" s="1032"/>
      <c r="X290" s="1030"/>
      <c r="Y290" s="875"/>
      <c r="Z290" s="1031"/>
      <c r="AA290" s="1032"/>
      <c r="AB290" s="1030"/>
      <c r="AC290" s="875"/>
      <c r="AD290" s="875"/>
      <c r="AE290" s="1033"/>
      <c r="AF290" s="875"/>
      <c r="AG290" s="467"/>
      <c r="AH290" s="467"/>
      <c r="AI290" s="1026"/>
    </row>
    <row r="291" spans="1:35" ht="18" customHeight="1" x14ac:dyDescent="0.2">
      <c r="A291" s="70"/>
      <c r="B291" s="2631"/>
      <c r="C291" s="2601" t="s">
        <v>258</v>
      </c>
      <c r="D291" s="2632"/>
      <c r="E291" s="1060"/>
      <c r="F291" s="1061"/>
      <c r="G291" s="2601" t="s">
        <v>258</v>
      </c>
      <c r="H291" s="1030"/>
      <c r="I291" s="1060"/>
      <c r="J291" s="1061"/>
      <c r="K291" s="2601" t="s">
        <v>258</v>
      </c>
      <c r="L291" s="1030"/>
      <c r="M291" s="1060"/>
      <c r="N291" s="1061"/>
      <c r="O291" s="2601" t="s">
        <v>258</v>
      </c>
      <c r="P291" s="1030"/>
      <c r="Q291" s="1060"/>
      <c r="R291" s="1061"/>
      <c r="S291" s="1059" t="s">
        <v>373</v>
      </c>
      <c r="T291" s="1030"/>
      <c r="U291" s="1060"/>
      <c r="V291" s="1061"/>
      <c r="W291" s="1032"/>
      <c r="X291" s="1030"/>
      <c r="Y291" s="875"/>
      <c r="Z291" s="1031"/>
      <c r="AA291" s="1032"/>
      <c r="AB291" s="1030"/>
      <c r="AC291" s="875"/>
      <c r="AD291" s="875"/>
      <c r="AE291" s="1033"/>
      <c r="AF291" s="875"/>
      <c r="AG291" s="467"/>
      <c r="AH291" s="467"/>
      <c r="AI291" s="1026"/>
    </row>
    <row r="292" spans="1:35" ht="18" customHeight="1" x14ac:dyDescent="0.2">
      <c r="B292" s="2631"/>
      <c r="C292" s="2601" t="s">
        <v>261</v>
      </c>
      <c r="D292" s="2632"/>
      <c r="E292" s="1060"/>
      <c r="F292" s="1061"/>
      <c r="G292" s="2601" t="s">
        <v>261</v>
      </c>
      <c r="H292" s="1030"/>
      <c r="I292" s="1060"/>
      <c r="J292" s="1061"/>
      <c r="K292" s="2601" t="s">
        <v>261</v>
      </c>
      <c r="L292" s="1030"/>
      <c r="M292" s="1060"/>
      <c r="N292" s="1061"/>
      <c r="O292" s="2601" t="s">
        <v>261</v>
      </c>
      <c r="P292" s="1030"/>
      <c r="Q292" s="1060"/>
      <c r="R292" s="1061"/>
      <c r="S292" s="2601" t="s">
        <v>256</v>
      </c>
      <c r="T292" s="1030"/>
      <c r="U292" s="1060"/>
      <c r="V292" s="1061"/>
      <c r="W292" s="1032"/>
      <c r="X292" s="1030"/>
      <c r="Y292" s="875"/>
      <c r="Z292" s="1031"/>
      <c r="AA292" s="1032"/>
      <c r="AB292" s="1030"/>
      <c r="AC292" s="875"/>
      <c r="AD292" s="875"/>
      <c r="AE292" s="1033"/>
      <c r="AF292" s="875"/>
      <c r="AG292" s="467"/>
      <c r="AH292" s="467"/>
      <c r="AI292" s="1026"/>
    </row>
    <row r="293" spans="1:35" ht="18" customHeight="1" x14ac:dyDescent="0.2">
      <c r="B293" s="2631"/>
      <c r="C293" s="2855"/>
      <c r="D293" s="2856"/>
      <c r="E293" s="875"/>
      <c r="F293" s="1031"/>
      <c r="G293" s="2855"/>
      <c r="H293" s="2856"/>
      <c r="I293" s="875"/>
      <c r="J293" s="1031"/>
      <c r="K293" s="2855"/>
      <c r="L293" s="2856"/>
      <c r="M293" s="875"/>
      <c r="N293" s="1031"/>
      <c r="O293" s="2855"/>
      <c r="P293" s="2856"/>
      <c r="Q293" s="875"/>
      <c r="R293" s="1031"/>
      <c r="S293" s="2855"/>
      <c r="T293" s="2856"/>
      <c r="U293" s="875"/>
      <c r="V293" s="1031"/>
      <c r="W293" s="1032"/>
      <c r="X293" s="1030"/>
      <c r="Y293" s="875"/>
      <c r="Z293" s="1031"/>
      <c r="AA293" s="1032"/>
      <c r="AB293" s="1030"/>
      <c r="AC293" s="875"/>
      <c r="AD293" s="875"/>
      <c r="AE293" s="1033"/>
      <c r="AF293" s="875"/>
      <c r="AG293" s="467"/>
      <c r="AH293" s="467"/>
      <c r="AI293" s="1026"/>
    </row>
    <row r="294" spans="1:35" ht="18" customHeight="1" x14ac:dyDescent="0.2">
      <c r="B294" s="2631"/>
      <c r="C294" s="2553"/>
      <c r="D294" s="2856"/>
      <c r="E294" s="875"/>
      <c r="F294" s="1031"/>
      <c r="G294" s="1030"/>
      <c r="H294" s="1030"/>
      <c r="I294" s="875"/>
      <c r="J294" s="1031"/>
      <c r="K294" s="1030"/>
      <c r="L294" s="1030"/>
      <c r="M294" s="875"/>
      <c r="N294" s="1031"/>
      <c r="O294" s="1030"/>
      <c r="P294" s="1030"/>
      <c r="Q294" s="875"/>
      <c r="R294" s="1031"/>
      <c r="S294" s="1030"/>
      <c r="T294" s="1030"/>
      <c r="U294" s="875"/>
      <c r="V294" s="1031"/>
      <c r="W294" s="1032"/>
      <c r="X294" s="1030"/>
      <c r="Y294" s="875"/>
      <c r="Z294" s="1031"/>
      <c r="AA294" s="1032"/>
      <c r="AB294" s="1030"/>
      <c r="AC294" s="875"/>
      <c r="AD294" s="875"/>
      <c r="AE294" s="1033"/>
      <c r="AF294" s="875"/>
      <c r="AG294" s="467"/>
      <c r="AH294" s="467"/>
      <c r="AI294" s="1026"/>
    </row>
    <row r="295" spans="1:35" ht="18" customHeight="1" x14ac:dyDescent="0.2">
      <c r="B295" s="2631" t="s">
        <v>235</v>
      </c>
      <c r="C295" s="2553" t="s">
        <v>10</v>
      </c>
      <c r="D295" s="2632"/>
      <c r="E295" s="1060"/>
      <c r="F295" s="1061"/>
      <c r="G295" s="2553" t="s">
        <v>10</v>
      </c>
      <c r="H295" s="2632"/>
      <c r="I295" s="1060"/>
      <c r="J295" s="1061"/>
      <c r="K295" s="2553" t="s">
        <v>10</v>
      </c>
      <c r="L295" s="2632"/>
      <c r="M295" s="1060"/>
      <c r="N295" s="1061"/>
      <c r="O295" s="2553" t="s">
        <v>10</v>
      </c>
      <c r="P295" s="2632"/>
      <c r="Q295" s="1060"/>
      <c r="R295" s="1061"/>
      <c r="S295" s="1030" t="s">
        <v>10</v>
      </c>
      <c r="T295" s="1030"/>
      <c r="U295" s="1060"/>
      <c r="V295" s="1061"/>
      <c r="W295" s="1032"/>
      <c r="X295" s="1030"/>
      <c r="Y295" s="875"/>
      <c r="Z295" s="1031"/>
      <c r="AA295" s="1032"/>
      <c r="AB295" s="1030"/>
      <c r="AC295" s="875"/>
      <c r="AD295" s="875"/>
      <c r="AE295" s="1033"/>
      <c r="AF295" s="875"/>
      <c r="AG295" s="467"/>
      <c r="AH295" s="467"/>
      <c r="AI295" s="1026"/>
    </row>
    <row r="296" spans="1:35" ht="18" customHeight="1" x14ac:dyDescent="0.2">
      <c r="B296" s="2631" t="s">
        <v>236</v>
      </c>
      <c r="C296" s="2553" t="s">
        <v>10</v>
      </c>
      <c r="D296" s="2632"/>
      <c r="E296" s="1060"/>
      <c r="F296" s="1061"/>
      <c r="G296" s="2553" t="s">
        <v>10</v>
      </c>
      <c r="H296" s="2632"/>
      <c r="I296" s="1060"/>
      <c r="J296" s="1061"/>
      <c r="K296" s="2553" t="s">
        <v>10</v>
      </c>
      <c r="L296" s="2632"/>
      <c r="M296" s="1060"/>
      <c r="N296" s="1061"/>
      <c r="O296" s="2553" t="s">
        <v>10</v>
      </c>
      <c r="P296" s="2632"/>
      <c r="Q296" s="1060"/>
      <c r="R296" s="1061"/>
      <c r="S296" s="1030" t="s">
        <v>10</v>
      </c>
      <c r="T296" s="1030"/>
      <c r="U296" s="1060"/>
      <c r="V296" s="1061"/>
      <c r="W296" s="1032"/>
      <c r="X296" s="1030"/>
      <c r="Y296" s="875"/>
      <c r="Z296" s="1031"/>
      <c r="AA296" s="1032"/>
      <c r="AB296" s="1030"/>
      <c r="AC296" s="875"/>
      <c r="AD296" s="875"/>
      <c r="AE296" s="1033"/>
      <c r="AF296" s="875"/>
      <c r="AG296" s="467"/>
      <c r="AH296" s="467"/>
      <c r="AI296" s="1026"/>
    </row>
    <row r="297" spans="1:35" ht="18" customHeight="1" x14ac:dyDescent="0.2">
      <c r="B297" s="2633" t="s">
        <v>243</v>
      </c>
      <c r="C297" s="2566" t="s">
        <v>10</v>
      </c>
      <c r="D297" s="2634"/>
      <c r="E297" s="205"/>
      <c r="F297" s="206"/>
      <c r="G297" s="2566" t="s">
        <v>10</v>
      </c>
      <c r="H297" s="2634"/>
      <c r="I297" s="205"/>
      <c r="J297" s="206"/>
      <c r="K297" s="2566" t="s">
        <v>10</v>
      </c>
      <c r="L297" s="2634"/>
      <c r="M297" s="205"/>
      <c r="N297" s="206"/>
      <c r="O297" s="2566" t="s">
        <v>10</v>
      </c>
      <c r="P297" s="2634"/>
      <c r="Q297" s="205"/>
      <c r="R297" s="206"/>
      <c r="S297" s="149" t="s">
        <v>10</v>
      </c>
      <c r="T297" s="149"/>
      <c r="U297" s="205"/>
      <c r="V297" s="206"/>
      <c r="W297" s="200"/>
      <c r="X297" s="149"/>
      <c r="Y297" s="201"/>
      <c r="Z297" s="202"/>
      <c r="AA297" s="203"/>
      <c r="AB297" s="149"/>
      <c r="AC297" s="201"/>
      <c r="AD297" s="201"/>
      <c r="AE297" s="204"/>
      <c r="AF297" s="201"/>
      <c r="AG297" s="199"/>
      <c r="AH297" s="199"/>
      <c r="AI297" s="146"/>
    </row>
    <row r="298" spans="1:35" ht="18" customHeight="1" x14ac:dyDescent="0.2">
      <c r="B298" s="37"/>
      <c r="C298" s="42"/>
      <c r="D298" s="5"/>
      <c r="G298" s="42"/>
      <c r="H298" s="5"/>
      <c r="K298" s="42"/>
      <c r="L298" s="5"/>
      <c r="O298" s="42"/>
      <c r="P298" s="5"/>
      <c r="S298" s="42"/>
      <c r="T298" s="42"/>
      <c r="X298" s="42"/>
      <c r="AB298" s="42"/>
      <c r="AE298" s="42"/>
    </row>
    <row r="299" spans="1:35" ht="18" customHeight="1" x14ac:dyDescent="0.2">
      <c r="A299" s="1068" t="s">
        <v>374</v>
      </c>
    </row>
    <row r="300" spans="1:35" ht="18" customHeight="1" x14ac:dyDescent="0.2">
      <c r="A300" s="2543"/>
      <c r="B300" s="2817" t="s">
        <v>448</v>
      </c>
      <c r="C300" s="2706">
        <v>1</v>
      </c>
      <c r="D300" s="2706">
        <v>2</v>
      </c>
      <c r="E300" s="2706">
        <v>3</v>
      </c>
      <c r="F300" s="2706">
        <v>4</v>
      </c>
      <c r="G300" s="2707">
        <v>5</v>
      </c>
      <c r="H300" s="2707">
        <v>6</v>
      </c>
      <c r="I300" s="2706">
        <v>7</v>
      </c>
      <c r="J300" s="2706">
        <v>8</v>
      </c>
      <c r="K300" s="2706">
        <v>9</v>
      </c>
      <c r="L300" s="2706">
        <v>10</v>
      </c>
      <c r="M300" s="2706">
        <v>11</v>
      </c>
      <c r="N300" s="2707">
        <v>12</v>
      </c>
      <c r="O300" s="2707">
        <v>13</v>
      </c>
      <c r="P300" s="2706">
        <v>14</v>
      </c>
      <c r="Q300" s="2706">
        <v>15</v>
      </c>
      <c r="R300" s="2706">
        <v>16</v>
      </c>
      <c r="S300" s="2706">
        <v>17</v>
      </c>
      <c r="T300" s="2706">
        <v>18</v>
      </c>
      <c r="U300" s="2707">
        <v>19</v>
      </c>
      <c r="V300" s="2707">
        <v>20</v>
      </c>
      <c r="W300" s="2706">
        <v>21</v>
      </c>
      <c r="X300" s="2706">
        <v>22</v>
      </c>
      <c r="Y300" s="2706">
        <v>23</v>
      </c>
      <c r="Z300" s="2706">
        <v>24</v>
      </c>
      <c r="AA300" s="2706">
        <v>25</v>
      </c>
      <c r="AB300" s="2707">
        <v>26</v>
      </c>
      <c r="AC300" s="2707">
        <v>27</v>
      </c>
      <c r="AD300" s="2706">
        <v>28</v>
      </c>
      <c r="AE300" s="2706">
        <v>29</v>
      </c>
      <c r="AF300" s="2706">
        <v>30</v>
      </c>
      <c r="AG300" s="2706">
        <v>31</v>
      </c>
      <c r="AH300" s="110"/>
      <c r="AI300" s="111"/>
    </row>
    <row r="301" spans="1:35" ht="18" customHeight="1" x14ac:dyDescent="0.2">
      <c r="A301" s="2635">
        <v>3702</v>
      </c>
      <c r="B301" s="2636" t="s">
        <v>375</v>
      </c>
      <c r="C301" s="2764" t="s">
        <v>46</v>
      </c>
      <c r="D301" s="2764" t="s">
        <v>46</v>
      </c>
      <c r="E301" s="2838" t="s">
        <v>46</v>
      </c>
      <c r="F301" s="2764" t="s">
        <v>46</v>
      </c>
      <c r="G301" s="2764"/>
      <c r="H301" s="2764"/>
      <c r="I301" s="2764" t="s">
        <v>46</v>
      </c>
      <c r="J301" s="2764" t="s">
        <v>46</v>
      </c>
      <c r="K301" s="2764" t="s">
        <v>46</v>
      </c>
      <c r="L301" s="2764" t="s">
        <v>46</v>
      </c>
      <c r="M301" s="2764" t="s">
        <v>46</v>
      </c>
      <c r="N301" s="2764"/>
      <c r="O301" s="2826"/>
      <c r="P301" s="2826" t="s">
        <v>46</v>
      </c>
      <c r="Q301" s="2826" t="s">
        <v>46</v>
      </c>
      <c r="R301" s="2826" t="s">
        <v>46</v>
      </c>
      <c r="S301" s="2826" t="s">
        <v>46</v>
      </c>
      <c r="T301" s="2764" t="s">
        <v>46</v>
      </c>
      <c r="U301" s="2764"/>
      <c r="V301" s="2764"/>
      <c r="W301" s="2764" t="s">
        <v>46</v>
      </c>
      <c r="X301" s="2764" t="s">
        <v>46</v>
      </c>
      <c r="Y301" s="2764" t="s">
        <v>46</v>
      </c>
      <c r="Z301" s="2764" t="s">
        <v>46</v>
      </c>
      <c r="AA301" s="2764" t="s">
        <v>46</v>
      </c>
      <c r="AB301" s="2764"/>
      <c r="AC301" s="2764"/>
      <c r="AD301" s="2764" t="s">
        <v>46</v>
      </c>
      <c r="AE301" s="2764" t="s">
        <v>46</v>
      </c>
      <c r="AF301" s="2764" t="s">
        <v>46</v>
      </c>
      <c r="AG301" s="2771" t="s">
        <v>46</v>
      </c>
      <c r="AH301" s="115"/>
      <c r="AI301" s="116"/>
    </row>
    <row r="302" spans="1:35" ht="18" customHeight="1" x14ac:dyDescent="0.2">
      <c r="A302" s="2716"/>
      <c r="B302" s="2695"/>
      <c r="C302" s="2718" t="s">
        <v>46</v>
      </c>
      <c r="D302" s="2718" t="s">
        <v>46</v>
      </c>
      <c r="E302" s="2718" t="s">
        <v>46</v>
      </c>
      <c r="F302" s="2718" t="s">
        <v>46</v>
      </c>
      <c r="G302" s="2718"/>
      <c r="H302" s="2718"/>
      <c r="I302" s="2718" t="s">
        <v>46</v>
      </c>
      <c r="J302" s="2718" t="s">
        <v>46</v>
      </c>
      <c r="K302" s="2718" t="s">
        <v>46</v>
      </c>
      <c r="L302" s="2718" t="s">
        <v>46</v>
      </c>
      <c r="M302" s="2718" t="s">
        <v>46</v>
      </c>
      <c r="N302" s="2718"/>
      <c r="O302" s="2718"/>
      <c r="P302" s="2718" t="s">
        <v>46</v>
      </c>
      <c r="Q302" s="2718" t="s">
        <v>46</v>
      </c>
      <c r="R302" s="2718" t="s">
        <v>46</v>
      </c>
      <c r="S302" s="2718" t="s">
        <v>46</v>
      </c>
      <c r="T302" s="2718" t="s">
        <v>46</v>
      </c>
      <c r="U302" s="2718"/>
      <c r="V302" s="2718"/>
      <c r="W302" s="2718" t="s">
        <v>46</v>
      </c>
      <c r="X302" s="2718" t="s">
        <v>46</v>
      </c>
      <c r="Y302" s="2718" t="s">
        <v>46</v>
      </c>
      <c r="Z302" s="2718" t="s">
        <v>46</v>
      </c>
      <c r="AA302" s="2718" t="s">
        <v>46</v>
      </c>
      <c r="AB302" s="2718"/>
      <c r="AC302" s="2718"/>
      <c r="AD302" s="2718" t="s">
        <v>46</v>
      </c>
      <c r="AE302" s="2718" t="s">
        <v>46</v>
      </c>
      <c r="AF302" s="2718" t="s">
        <v>46</v>
      </c>
      <c r="AG302" s="2721" t="s">
        <v>46</v>
      </c>
      <c r="AH302" s="115"/>
      <c r="AI302" s="116"/>
    </row>
    <row r="303" spans="1:35" ht="18" customHeight="1" x14ac:dyDescent="0.2">
      <c r="A303" s="2637"/>
      <c r="B303" s="2638"/>
      <c r="C303" s="2718" t="s">
        <v>46</v>
      </c>
      <c r="D303" s="2718" t="s">
        <v>46</v>
      </c>
      <c r="E303" s="2718" t="s">
        <v>46</v>
      </c>
      <c r="F303" s="2718" t="s">
        <v>46</v>
      </c>
      <c r="G303" s="2718"/>
      <c r="H303" s="2718"/>
      <c r="I303" s="2718" t="s">
        <v>46</v>
      </c>
      <c r="J303" s="2718" t="s">
        <v>46</v>
      </c>
      <c r="K303" s="2718" t="s">
        <v>46</v>
      </c>
      <c r="L303" s="2718" t="s">
        <v>46</v>
      </c>
      <c r="M303" s="2718" t="s">
        <v>46</v>
      </c>
      <c r="N303" s="2718"/>
      <c r="O303" s="2718"/>
      <c r="P303" s="2718" t="s">
        <v>46</v>
      </c>
      <c r="Q303" s="2718" t="s">
        <v>46</v>
      </c>
      <c r="R303" s="2718" t="s">
        <v>46</v>
      </c>
      <c r="S303" s="2718" t="s">
        <v>46</v>
      </c>
      <c r="T303" s="2718" t="s">
        <v>46</v>
      </c>
      <c r="U303" s="2718"/>
      <c r="V303" s="2718"/>
      <c r="W303" s="2718" t="s">
        <v>46</v>
      </c>
      <c r="X303" s="2718" t="s">
        <v>46</v>
      </c>
      <c r="Y303" s="2718" t="s">
        <v>46</v>
      </c>
      <c r="Z303" s="2718" t="s">
        <v>46</v>
      </c>
      <c r="AA303" s="2718" t="s">
        <v>46</v>
      </c>
      <c r="AB303" s="2718"/>
      <c r="AC303" s="2718"/>
      <c r="AD303" s="2718" t="s">
        <v>46</v>
      </c>
      <c r="AE303" s="2718" t="s">
        <v>46</v>
      </c>
      <c r="AF303" s="2718" t="s">
        <v>46</v>
      </c>
      <c r="AG303" s="2721" t="s">
        <v>46</v>
      </c>
      <c r="AH303" s="115"/>
      <c r="AI303" s="116"/>
    </row>
    <row r="304" spans="1:35" ht="18" customHeight="1" x14ac:dyDescent="0.2">
      <c r="A304" s="2639"/>
      <c r="B304" s="2640"/>
      <c r="C304" s="2718"/>
      <c r="D304" s="2718"/>
      <c r="E304" s="2718"/>
      <c r="F304" s="2718"/>
      <c r="G304" s="2718"/>
      <c r="H304" s="2718"/>
      <c r="I304" s="2718"/>
      <c r="J304" s="2718"/>
      <c r="K304" s="2718"/>
      <c r="L304" s="2718"/>
      <c r="M304" s="2718"/>
      <c r="N304" s="2718"/>
      <c r="O304" s="2718"/>
      <c r="P304" s="2718"/>
      <c r="Q304" s="2718"/>
      <c r="R304" s="2718"/>
      <c r="S304" s="2718"/>
      <c r="T304" s="2718"/>
      <c r="U304" s="2718"/>
      <c r="V304" s="2718"/>
      <c r="W304" s="2718"/>
      <c r="X304" s="2718"/>
      <c r="Y304" s="2718"/>
      <c r="Z304" s="2718"/>
      <c r="AA304" s="2718"/>
      <c r="AB304" s="2718"/>
      <c r="AC304" s="2718"/>
      <c r="AD304" s="2718"/>
      <c r="AE304" s="2718"/>
      <c r="AF304" s="2718"/>
      <c r="AG304" s="2721"/>
      <c r="AH304" s="115"/>
      <c r="AI304" s="116"/>
    </row>
    <row r="305" spans="1:36" ht="18" customHeight="1" x14ac:dyDescent="0.2">
      <c r="A305" s="2641"/>
      <c r="B305" s="2642" t="s">
        <v>508</v>
      </c>
      <c r="C305" s="2714"/>
      <c r="D305" s="2714"/>
      <c r="E305" s="2714"/>
      <c r="F305" s="2714"/>
      <c r="G305" s="2714"/>
      <c r="H305" s="2714"/>
      <c r="I305" s="2714"/>
      <c r="J305" s="2714"/>
      <c r="K305" s="2714"/>
      <c r="L305" s="2714"/>
      <c r="M305" s="2714"/>
      <c r="N305" s="2714"/>
      <c r="O305" s="2714"/>
      <c r="P305" s="2714"/>
      <c r="Q305" s="2714"/>
      <c r="R305" s="2714"/>
      <c r="S305" s="2714"/>
      <c r="T305" s="2714"/>
      <c r="U305" s="2714"/>
      <c r="V305" s="2714"/>
      <c r="W305" s="2714"/>
      <c r="X305" s="2714"/>
      <c r="Y305" s="2714"/>
      <c r="Z305" s="2714"/>
      <c r="AA305" s="2714"/>
      <c r="AB305" s="2714"/>
      <c r="AC305" s="2714"/>
      <c r="AD305" s="2714"/>
      <c r="AE305" s="2714"/>
      <c r="AF305" s="2714"/>
      <c r="AG305" s="2643"/>
      <c r="AH305" s="113"/>
      <c r="AI305" s="114"/>
    </row>
    <row r="306" spans="1:36" ht="18" customHeight="1" x14ac:dyDescent="0.2">
      <c r="A306" s="2637">
        <v>3702</v>
      </c>
      <c r="B306" s="2722" t="s">
        <v>377</v>
      </c>
      <c r="C306" s="2695" t="s">
        <v>378</v>
      </c>
      <c r="D306" s="2695" t="s">
        <v>378</v>
      </c>
      <c r="E306" s="2695" t="s">
        <v>378</v>
      </c>
      <c r="F306" s="2879" t="s">
        <v>378</v>
      </c>
      <c r="G306" s="2738"/>
      <c r="H306" s="2734"/>
      <c r="I306" s="2734" t="s">
        <v>378</v>
      </c>
      <c r="J306" s="2738" t="s">
        <v>378</v>
      </c>
      <c r="K306" s="2738" t="s">
        <v>378</v>
      </c>
      <c r="L306" s="2734" t="s">
        <v>378</v>
      </c>
      <c r="M306" s="2738" t="s">
        <v>378</v>
      </c>
      <c r="N306" s="2734"/>
      <c r="O306" s="2734"/>
      <c r="P306" s="2738" t="s">
        <v>378</v>
      </c>
      <c r="Q306" s="2738" t="s">
        <v>378</v>
      </c>
      <c r="R306" s="2738" t="s">
        <v>378</v>
      </c>
      <c r="S306" s="2738" t="s">
        <v>378</v>
      </c>
      <c r="T306" s="2738" t="s">
        <v>378</v>
      </c>
      <c r="U306" s="2734"/>
      <c r="V306" s="2734"/>
      <c r="W306" s="2738" t="s">
        <v>378</v>
      </c>
      <c r="X306" s="2738" t="s">
        <v>378</v>
      </c>
      <c r="Y306" s="2738" t="s">
        <v>378</v>
      </c>
      <c r="Z306" s="2738" t="s">
        <v>378</v>
      </c>
      <c r="AA306" s="2738" t="s">
        <v>378</v>
      </c>
      <c r="AB306" s="2734"/>
      <c r="AC306" s="2734"/>
      <c r="AD306" s="2738" t="s">
        <v>378</v>
      </c>
      <c r="AE306" s="2738" t="s">
        <v>378</v>
      </c>
      <c r="AF306" s="2738" t="s">
        <v>378</v>
      </c>
      <c r="AG306" s="2442" t="s">
        <v>378</v>
      </c>
      <c r="AH306" s="115"/>
      <c r="AI306" s="116"/>
    </row>
    <row r="307" spans="1:36" ht="18" customHeight="1" x14ac:dyDescent="0.2">
      <c r="A307" s="2637"/>
      <c r="B307" s="2722" t="s">
        <v>379</v>
      </c>
      <c r="C307" s="2738" t="s">
        <v>380</v>
      </c>
      <c r="D307" s="2738" t="s">
        <v>380</v>
      </c>
      <c r="E307" s="2738" t="s">
        <v>380</v>
      </c>
      <c r="F307" s="2720" t="s">
        <v>380</v>
      </c>
      <c r="G307" s="2738"/>
      <c r="H307" s="2738"/>
      <c r="I307" s="2738" t="s">
        <v>380</v>
      </c>
      <c r="J307" s="2738" t="s">
        <v>380</v>
      </c>
      <c r="K307" s="2738" t="s">
        <v>380</v>
      </c>
      <c r="L307" s="2738" t="s">
        <v>380</v>
      </c>
      <c r="M307" s="2738" t="s">
        <v>380</v>
      </c>
      <c r="N307" s="2738"/>
      <c r="O307" s="2738"/>
      <c r="P307" s="2738" t="s">
        <v>380</v>
      </c>
      <c r="Q307" s="2738" t="s">
        <v>380</v>
      </c>
      <c r="R307" s="2738" t="s">
        <v>380</v>
      </c>
      <c r="S307" s="2738" t="s">
        <v>380</v>
      </c>
      <c r="T307" s="2738" t="s">
        <v>380</v>
      </c>
      <c r="U307" s="2738"/>
      <c r="V307" s="2734"/>
      <c r="W307" s="2739" t="s">
        <v>380</v>
      </c>
      <c r="X307" s="2739" t="s">
        <v>380</v>
      </c>
      <c r="Y307" s="2739" t="s">
        <v>380</v>
      </c>
      <c r="Z307" s="2739" t="s">
        <v>380</v>
      </c>
      <c r="AA307" s="2739" t="s">
        <v>380</v>
      </c>
      <c r="AB307" s="2739"/>
      <c r="AC307" s="2739"/>
      <c r="AD307" s="2739" t="s">
        <v>380</v>
      </c>
      <c r="AE307" s="2739" t="s">
        <v>380</v>
      </c>
      <c r="AF307" s="2879" t="s">
        <v>380</v>
      </c>
      <c r="AG307" s="2644" t="s">
        <v>380</v>
      </c>
      <c r="AH307" s="115"/>
      <c r="AI307" s="116"/>
    </row>
    <row r="308" spans="1:36" ht="18" customHeight="1" thickBot="1" x14ac:dyDescent="0.25">
      <c r="A308" s="2645"/>
      <c r="B308" s="2743" t="s">
        <v>381</v>
      </c>
      <c r="C308" s="2748" t="s">
        <v>382</v>
      </c>
      <c r="D308" s="2748" t="s">
        <v>382</v>
      </c>
      <c r="E308" s="2748" t="s">
        <v>382</v>
      </c>
      <c r="F308" s="2748" t="s">
        <v>382</v>
      </c>
      <c r="G308" s="2748"/>
      <c r="H308" s="2828"/>
      <c r="I308" s="2828" t="s">
        <v>382</v>
      </c>
      <c r="J308" s="2748" t="s">
        <v>382</v>
      </c>
      <c r="K308" s="2750" t="s">
        <v>382</v>
      </c>
      <c r="L308" s="2748" t="s">
        <v>382</v>
      </c>
      <c r="M308" s="2712" t="s">
        <v>382</v>
      </c>
      <c r="N308" s="2828"/>
      <c r="O308" s="2828"/>
      <c r="P308" s="2754" t="s">
        <v>382</v>
      </c>
      <c r="Q308" s="2754" t="s">
        <v>382</v>
      </c>
      <c r="R308" s="2754" t="s">
        <v>382</v>
      </c>
      <c r="S308" s="2754" t="s">
        <v>382</v>
      </c>
      <c r="T308" s="2754" t="s">
        <v>382</v>
      </c>
      <c r="U308" s="2754"/>
      <c r="V308" s="2754"/>
      <c r="W308" s="2748" t="s">
        <v>382</v>
      </c>
      <c r="X308" s="2748" t="s">
        <v>382</v>
      </c>
      <c r="Y308" s="2748" t="s">
        <v>382</v>
      </c>
      <c r="Z308" s="2748" t="s">
        <v>382</v>
      </c>
      <c r="AA308" s="2748" t="s">
        <v>382</v>
      </c>
      <c r="AB308" s="2828"/>
      <c r="AC308" s="2828"/>
      <c r="AD308" s="2748" t="s">
        <v>382</v>
      </c>
      <c r="AE308" s="2748" t="s">
        <v>382</v>
      </c>
      <c r="AF308" s="2754" t="s">
        <v>382</v>
      </c>
      <c r="AG308" s="3005" t="s">
        <v>382</v>
      </c>
      <c r="AH308" s="115"/>
      <c r="AI308" s="116"/>
    </row>
    <row r="309" spans="1:36" ht="18" customHeight="1" x14ac:dyDescent="0.2"/>
    <row r="310" spans="1:36" ht="18" customHeight="1" x14ac:dyDescent="0.2"/>
    <row r="311" spans="1:36" ht="18" customHeight="1" x14ac:dyDescent="0.2">
      <c r="A311" s="103" t="s">
        <v>383</v>
      </c>
    </row>
    <row r="312" spans="1:36" ht="18" customHeight="1" x14ac:dyDescent="0.2">
      <c r="A312" s="1"/>
      <c r="B312" s="2630" t="s">
        <v>340</v>
      </c>
      <c r="C312" s="2953"/>
      <c r="D312" s="2975" t="s">
        <v>17</v>
      </c>
      <c r="E312" s="2792"/>
      <c r="F312" s="2957"/>
      <c r="G312" s="2953"/>
      <c r="H312" s="2975" t="s">
        <v>18</v>
      </c>
      <c r="I312" s="2792"/>
      <c r="J312" s="2957"/>
      <c r="K312" s="2953"/>
      <c r="L312" s="2975" t="s">
        <v>19</v>
      </c>
      <c r="M312" s="2792"/>
      <c r="N312" s="2957"/>
      <c r="O312" s="2953"/>
      <c r="P312" s="2975" t="s">
        <v>20</v>
      </c>
      <c r="Q312" s="2792"/>
      <c r="R312" s="2957"/>
      <c r="S312" s="2953"/>
      <c r="T312" s="2975" t="s">
        <v>21</v>
      </c>
      <c r="U312" s="2792"/>
      <c r="V312" s="2957"/>
      <c r="W312" s="2953"/>
      <c r="X312" s="2975" t="s">
        <v>22</v>
      </c>
      <c r="Y312" s="2792"/>
      <c r="Z312" s="2957"/>
      <c r="AA312" s="2953"/>
      <c r="AB312" s="2975" t="s">
        <v>23</v>
      </c>
      <c r="AC312" s="2792"/>
      <c r="AD312" s="2792"/>
      <c r="AE312" s="2978" t="s">
        <v>126</v>
      </c>
      <c r="AF312" s="2792"/>
      <c r="AG312" s="2792"/>
      <c r="AH312" s="2792"/>
      <c r="AI312" s="2793"/>
    </row>
    <row r="313" spans="1:36" ht="18" customHeight="1" x14ac:dyDescent="0.2">
      <c r="A313" s="1"/>
      <c r="B313" s="452"/>
      <c r="C313" s="457"/>
      <c r="D313" s="1030"/>
      <c r="E313" s="467"/>
      <c r="F313" s="1077"/>
      <c r="G313" s="457"/>
      <c r="H313" s="1030"/>
      <c r="I313" s="467"/>
      <c r="J313" s="1077"/>
      <c r="K313" s="457"/>
      <c r="L313" s="1030"/>
      <c r="M313" s="467"/>
      <c r="N313" s="1077"/>
      <c r="O313" s="457"/>
      <c r="P313" s="1030"/>
      <c r="Q313" s="467"/>
      <c r="R313" s="1077"/>
      <c r="S313" s="457"/>
      <c r="T313" s="1030"/>
      <c r="U313" s="467"/>
      <c r="V313" s="1077"/>
      <c r="W313" s="457"/>
      <c r="X313" s="1030"/>
      <c r="Y313" s="467"/>
      <c r="Z313" s="1077"/>
      <c r="AA313" s="457"/>
      <c r="AB313" s="1030"/>
      <c r="AC313" s="467"/>
      <c r="AD313" s="467"/>
      <c r="AE313" s="1033"/>
      <c r="AF313" s="467"/>
      <c r="AG313" s="467"/>
      <c r="AH313" s="467"/>
      <c r="AI313" s="1026"/>
    </row>
    <row r="314" spans="1:36" ht="18" customHeight="1" x14ac:dyDescent="0.2">
      <c r="A314" s="70"/>
      <c r="B314" s="2631"/>
      <c r="C314" s="2855"/>
      <c r="D314" s="2684"/>
      <c r="E314" s="2684"/>
      <c r="F314" s="2555"/>
      <c r="G314" s="2855"/>
      <c r="H314" s="2684"/>
      <c r="I314" s="2684"/>
      <c r="J314" s="2555"/>
      <c r="K314" s="2855"/>
      <c r="L314" s="2684"/>
      <c r="M314" s="2684"/>
      <c r="N314" s="2555"/>
      <c r="O314" s="2855"/>
      <c r="P314" s="2684"/>
      <c r="Q314" s="2684"/>
      <c r="R314" s="2555"/>
      <c r="S314" s="2855"/>
      <c r="T314" s="2684"/>
      <c r="U314" s="2684"/>
      <c r="V314" s="2555"/>
      <c r="W314" s="2855"/>
      <c r="X314" s="2684"/>
      <c r="Y314" s="2684"/>
      <c r="Z314" s="2555"/>
      <c r="AA314" s="2553"/>
      <c r="AB314" s="2684"/>
      <c r="AC314" s="2684"/>
      <c r="AD314" s="2856"/>
      <c r="AE314" s="2647"/>
      <c r="AF314" s="2684"/>
      <c r="AG314" s="2684"/>
      <c r="AH314" s="2856"/>
      <c r="AI314" s="2603"/>
    </row>
    <row r="315" spans="1:36" ht="18" customHeight="1" x14ac:dyDescent="0.2">
      <c r="A315" s="1"/>
      <c r="B315" s="2565"/>
      <c r="C315" s="2566"/>
      <c r="D315" s="2808"/>
      <c r="E315" s="2808"/>
      <c r="F315" s="2595"/>
      <c r="G315" s="2566"/>
      <c r="H315" s="2808"/>
      <c r="I315" s="2808"/>
      <c r="J315" s="2595"/>
      <c r="K315" s="2566"/>
      <c r="L315" s="2808"/>
      <c r="M315" s="2808"/>
      <c r="N315" s="2595"/>
      <c r="O315" s="2566"/>
      <c r="P315" s="2808"/>
      <c r="Q315" s="2808"/>
      <c r="R315" s="2595"/>
      <c r="S315" s="2566"/>
      <c r="T315" s="2808"/>
      <c r="U315" s="2808"/>
      <c r="V315" s="2595"/>
      <c r="W315" s="2593"/>
      <c r="X315" s="2808"/>
      <c r="Y315" s="2808"/>
      <c r="Z315" s="2595"/>
      <c r="AA315" s="2593"/>
      <c r="AB315" s="2808"/>
      <c r="AC315" s="2808"/>
      <c r="AD315" s="2573"/>
      <c r="AE315" s="2593"/>
      <c r="AF315" s="2808"/>
      <c r="AG315" s="2808"/>
      <c r="AH315" s="2573"/>
      <c r="AI315" s="2815"/>
    </row>
    <row r="316" spans="1:36" ht="18" customHeight="1" x14ac:dyDescent="0.2">
      <c r="A316" s="1"/>
      <c r="B316" s="5"/>
      <c r="C316" s="42"/>
      <c r="F316" s="46"/>
      <c r="G316" s="42"/>
      <c r="J316" s="46"/>
      <c r="K316" s="42"/>
      <c r="N316" s="46"/>
      <c r="O316" s="42"/>
      <c r="R316" s="46"/>
      <c r="S316" s="42"/>
      <c r="V316" s="46"/>
      <c r="W316" s="46"/>
      <c r="Z316" s="46"/>
      <c r="AA316" s="46"/>
      <c r="AD316" s="46"/>
      <c r="AE316" s="46"/>
      <c r="AH316" s="46"/>
    </row>
    <row r="317" spans="1:36" ht="18" customHeight="1" x14ac:dyDescent="0.2">
      <c r="A317" s="103" t="s">
        <v>384</v>
      </c>
      <c r="B317" s="5"/>
      <c r="C317" s="42"/>
      <c r="F317" s="46"/>
      <c r="G317" s="42"/>
      <c r="J317" s="46"/>
      <c r="K317" s="42"/>
      <c r="N317" s="46"/>
      <c r="O317" s="42"/>
      <c r="R317" s="46"/>
      <c r="S317" s="42"/>
      <c r="V317" s="46"/>
      <c r="W317" s="46"/>
      <c r="Z317" s="46"/>
      <c r="AA317" s="46"/>
      <c r="AD317" s="46"/>
      <c r="AE317" s="46"/>
      <c r="AH317" s="208"/>
      <c r="AI317" s="123"/>
      <c r="AJ317" s="123"/>
    </row>
    <row r="318" spans="1:36" ht="18" customHeight="1" x14ac:dyDescent="0.2">
      <c r="A318" s="2543" t="s">
        <v>43</v>
      </c>
      <c r="B318" s="2817" t="s">
        <v>44</v>
      </c>
      <c r="C318" s="2706">
        <v>1</v>
      </c>
      <c r="D318" s="2706">
        <v>2</v>
      </c>
      <c r="E318" s="2706">
        <v>3</v>
      </c>
      <c r="F318" s="2706">
        <v>4</v>
      </c>
      <c r="G318" s="2707">
        <v>5</v>
      </c>
      <c r="H318" s="2707">
        <v>6</v>
      </c>
      <c r="I318" s="2706">
        <v>7</v>
      </c>
      <c r="J318" s="2706">
        <v>8</v>
      </c>
      <c r="K318" s="2706">
        <v>9</v>
      </c>
      <c r="L318" s="2706">
        <v>10</v>
      </c>
      <c r="M318" s="2706">
        <v>11</v>
      </c>
      <c r="N318" s="2707">
        <v>12</v>
      </c>
      <c r="O318" s="2707">
        <v>13</v>
      </c>
      <c r="P318" s="2706">
        <v>14</v>
      </c>
      <c r="Q318" s="2706">
        <v>15</v>
      </c>
      <c r="R318" s="2706">
        <v>16</v>
      </c>
      <c r="S318" s="2706">
        <v>17</v>
      </c>
      <c r="T318" s="2706">
        <v>18</v>
      </c>
      <c r="U318" s="2707">
        <v>19</v>
      </c>
      <c r="V318" s="2707">
        <v>20</v>
      </c>
      <c r="W318" s="2706">
        <v>21</v>
      </c>
      <c r="X318" s="2706">
        <v>22</v>
      </c>
      <c r="Y318" s="2706">
        <v>23</v>
      </c>
      <c r="Z318" s="2706">
        <v>24</v>
      </c>
      <c r="AA318" s="2706">
        <v>25</v>
      </c>
      <c r="AB318" s="2707">
        <v>26</v>
      </c>
      <c r="AC318" s="2707">
        <v>27</v>
      </c>
      <c r="AD318" s="2706">
        <v>28</v>
      </c>
      <c r="AE318" s="2706">
        <v>29</v>
      </c>
      <c r="AF318" s="2706">
        <v>30</v>
      </c>
      <c r="AG318" s="2706">
        <v>31</v>
      </c>
      <c r="AH318" s="209"/>
      <c r="AI318" s="210"/>
      <c r="AJ318" s="123"/>
    </row>
    <row r="319" spans="1:36" ht="18" customHeight="1" x14ac:dyDescent="0.2">
      <c r="A319" s="2648"/>
      <c r="B319" s="2649"/>
      <c r="C319" s="2890" t="s">
        <v>46</v>
      </c>
      <c r="D319" s="2890" t="s">
        <v>46</v>
      </c>
      <c r="E319" s="2890" t="s">
        <v>46</v>
      </c>
      <c r="F319" s="2890" t="s">
        <v>46</v>
      </c>
      <c r="G319" s="2890"/>
      <c r="H319" s="2890"/>
      <c r="I319" s="2890" t="s">
        <v>46</v>
      </c>
      <c r="J319" s="2890" t="s">
        <v>46</v>
      </c>
      <c r="K319" s="2890" t="s">
        <v>46</v>
      </c>
      <c r="L319" s="2890" t="s">
        <v>46</v>
      </c>
      <c r="M319" s="2890" t="s">
        <v>46</v>
      </c>
      <c r="N319" s="2890"/>
      <c r="O319" s="2890"/>
      <c r="P319" s="2890" t="s">
        <v>46</v>
      </c>
      <c r="Q319" s="2890" t="s">
        <v>46</v>
      </c>
      <c r="R319" s="2890" t="s">
        <v>46</v>
      </c>
      <c r="S319" s="2890" t="s">
        <v>46</v>
      </c>
      <c r="T319" s="2890" t="s">
        <v>46</v>
      </c>
      <c r="U319" s="2890"/>
      <c r="V319" s="2890"/>
      <c r="W319" s="2890" t="s">
        <v>46</v>
      </c>
      <c r="X319" s="2890" t="s">
        <v>46</v>
      </c>
      <c r="Y319" s="2890" t="s">
        <v>46</v>
      </c>
      <c r="Z319" s="2890" t="s">
        <v>46</v>
      </c>
      <c r="AA319" s="2890" t="s">
        <v>46</v>
      </c>
      <c r="AB319" s="2890"/>
      <c r="AC319" s="2890"/>
      <c r="AD319" s="2890" t="s">
        <v>46</v>
      </c>
      <c r="AE319" s="2890" t="s">
        <v>46</v>
      </c>
      <c r="AF319" s="2890" t="s">
        <v>46</v>
      </c>
      <c r="AG319" s="2992" t="s">
        <v>46</v>
      </c>
      <c r="AH319" s="211"/>
      <c r="AI319" s="212"/>
      <c r="AJ319" s="123"/>
    </row>
    <row r="320" spans="1:36" ht="18" customHeight="1" x14ac:dyDescent="0.2">
      <c r="A320" s="1081"/>
      <c r="B320" s="748" t="s">
        <v>385</v>
      </c>
      <c r="C320" s="636" t="s">
        <v>46</v>
      </c>
      <c r="D320" s="636" t="s">
        <v>46</v>
      </c>
      <c r="E320" s="636" t="s">
        <v>46</v>
      </c>
      <c r="F320" s="636" t="s">
        <v>46</v>
      </c>
      <c r="G320" s="636"/>
      <c r="H320" s="636"/>
      <c r="I320" s="636" t="s">
        <v>46</v>
      </c>
      <c r="J320" s="636" t="s">
        <v>46</v>
      </c>
      <c r="K320" s="636" t="s">
        <v>46</v>
      </c>
      <c r="L320" s="636" t="s">
        <v>46</v>
      </c>
      <c r="M320" s="636" t="s">
        <v>46</v>
      </c>
      <c r="N320" s="636"/>
      <c r="O320" s="636"/>
      <c r="P320" s="636" t="s">
        <v>46</v>
      </c>
      <c r="Q320" s="636" t="s">
        <v>46</v>
      </c>
      <c r="R320" s="636" t="s">
        <v>46</v>
      </c>
      <c r="S320" s="636" t="s">
        <v>46</v>
      </c>
      <c r="T320" s="636" t="s">
        <v>46</v>
      </c>
      <c r="U320" s="636"/>
      <c r="V320" s="636"/>
      <c r="W320" s="636" t="s">
        <v>46</v>
      </c>
      <c r="X320" s="636" t="s">
        <v>46</v>
      </c>
      <c r="Y320" s="636" t="s">
        <v>46</v>
      </c>
      <c r="Z320" s="636" t="s">
        <v>46</v>
      </c>
      <c r="AA320" s="636" t="s">
        <v>46</v>
      </c>
      <c r="AB320" s="636"/>
      <c r="AC320" s="636"/>
      <c r="AD320" s="636" t="s">
        <v>46</v>
      </c>
      <c r="AE320" s="636" t="s">
        <v>46</v>
      </c>
      <c r="AF320" s="636" t="s">
        <v>46</v>
      </c>
      <c r="AG320" s="1543" t="s">
        <v>46</v>
      </c>
      <c r="AH320" s="211"/>
      <c r="AI320" s="212"/>
      <c r="AJ320" s="123"/>
    </row>
    <row r="321" spans="1:36" ht="18" customHeight="1" x14ac:dyDescent="0.2">
      <c r="A321" s="1042"/>
      <c r="B321" s="748" t="s">
        <v>386</v>
      </c>
      <c r="C321" s="636" t="s">
        <v>46</v>
      </c>
      <c r="D321" s="636" t="s">
        <v>46</v>
      </c>
      <c r="E321" s="636" t="s">
        <v>46</v>
      </c>
      <c r="F321" s="636" t="s">
        <v>46</v>
      </c>
      <c r="G321" s="636"/>
      <c r="H321" s="636"/>
      <c r="I321" s="636" t="s">
        <v>46</v>
      </c>
      <c r="J321" s="636" t="s">
        <v>46</v>
      </c>
      <c r="K321" s="636" t="s">
        <v>46</v>
      </c>
      <c r="L321" s="636" t="s">
        <v>46</v>
      </c>
      <c r="M321" s="636" t="s">
        <v>46</v>
      </c>
      <c r="N321" s="636"/>
      <c r="O321" s="636"/>
      <c r="P321" s="636" t="s">
        <v>46</v>
      </c>
      <c r="Q321" s="636" t="s">
        <v>46</v>
      </c>
      <c r="R321" s="636" t="s">
        <v>46</v>
      </c>
      <c r="S321" s="636" t="s">
        <v>46</v>
      </c>
      <c r="T321" s="636" t="s">
        <v>46</v>
      </c>
      <c r="U321" s="636"/>
      <c r="V321" s="636"/>
      <c r="W321" s="636" t="s">
        <v>46</v>
      </c>
      <c r="X321" s="636" t="s">
        <v>46</v>
      </c>
      <c r="Y321" s="636" t="s">
        <v>46</v>
      </c>
      <c r="Z321" s="636" t="s">
        <v>46</v>
      </c>
      <c r="AA321" s="636" t="s">
        <v>46</v>
      </c>
      <c r="AB321" s="636"/>
      <c r="AC321" s="636"/>
      <c r="AD321" s="636" t="s">
        <v>46</v>
      </c>
      <c r="AE321" s="636" t="s">
        <v>46</v>
      </c>
      <c r="AF321" s="636" t="s">
        <v>46</v>
      </c>
      <c r="AG321" s="819" t="s">
        <v>46</v>
      </c>
      <c r="AH321" s="211"/>
      <c r="AI321" s="212"/>
      <c r="AJ321" s="123"/>
    </row>
    <row r="322" spans="1:36" ht="18" customHeight="1" x14ac:dyDescent="0.2">
      <c r="A322" s="1042"/>
      <c r="B322" s="748" t="s">
        <v>387</v>
      </c>
      <c r="C322" s="636" t="s">
        <v>46</v>
      </c>
      <c r="D322" s="636" t="s">
        <v>46</v>
      </c>
      <c r="E322" s="636" t="s">
        <v>46</v>
      </c>
      <c r="F322" s="636" t="s">
        <v>46</v>
      </c>
      <c r="G322" s="636"/>
      <c r="H322" s="2895"/>
      <c r="I322" s="2895" t="s">
        <v>46</v>
      </c>
      <c r="J322" s="636" t="s">
        <v>46</v>
      </c>
      <c r="K322" s="636" t="s">
        <v>46</v>
      </c>
      <c r="L322" s="636" t="s">
        <v>46</v>
      </c>
      <c r="M322" s="636" t="s">
        <v>46</v>
      </c>
      <c r="N322" s="636"/>
      <c r="O322" s="2895"/>
      <c r="P322" s="2895" t="s">
        <v>46</v>
      </c>
      <c r="Q322" s="636" t="s">
        <v>46</v>
      </c>
      <c r="R322" s="636" t="s">
        <v>46</v>
      </c>
      <c r="S322" s="636" t="s">
        <v>46</v>
      </c>
      <c r="T322" s="636" t="s">
        <v>46</v>
      </c>
      <c r="U322" s="636"/>
      <c r="V322" s="2895"/>
      <c r="W322" s="2895" t="s">
        <v>46</v>
      </c>
      <c r="X322" s="636" t="s">
        <v>46</v>
      </c>
      <c r="Y322" s="636" t="s">
        <v>46</v>
      </c>
      <c r="Z322" s="636" t="s">
        <v>46</v>
      </c>
      <c r="AA322" s="636" t="s">
        <v>46</v>
      </c>
      <c r="AB322" s="636"/>
      <c r="AC322" s="2895"/>
      <c r="AD322" s="2895" t="s">
        <v>46</v>
      </c>
      <c r="AE322" s="636" t="s">
        <v>46</v>
      </c>
      <c r="AF322" s="636" t="s">
        <v>46</v>
      </c>
      <c r="AG322" s="819" t="s">
        <v>46</v>
      </c>
      <c r="AH322" s="211"/>
      <c r="AI322" s="212"/>
      <c r="AJ322" s="123"/>
    </row>
    <row r="323" spans="1:36" ht="18" customHeight="1" x14ac:dyDescent="0.2">
      <c r="A323" s="1042"/>
      <c r="B323" s="748" t="s">
        <v>388</v>
      </c>
      <c r="C323" s="636" t="s">
        <v>46</v>
      </c>
      <c r="D323" s="636" t="s">
        <v>46</v>
      </c>
      <c r="E323" s="636" t="s">
        <v>46</v>
      </c>
      <c r="F323" s="636" t="s">
        <v>46</v>
      </c>
      <c r="G323" s="636"/>
      <c r="H323" s="636"/>
      <c r="I323" s="636" t="s">
        <v>46</v>
      </c>
      <c r="J323" s="636" t="s">
        <v>46</v>
      </c>
      <c r="K323" s="636" t="s">
        <v>46</v>
      </c>
      <c r="L323" s="636" t="s">
        <v>46</v>
      </c>
      <c r="M323" s="636" t="s">
        <v>46</v>
      </c>
      <c r="N323" s="636"/>
      <c r="O323" s="636"/>
      <c r="P323" s="636" t="s">
        <v>46</v>
      </c>
      <c r="Q323" s="636" t="s">
        <v>46</v>
      </c>
      <c r="R323" s="636" t="s">
        <v>46</v>
      </c>
      <c r="S323" s="636" t="s">
        <v>46</v>
      </c>
      <c r="T323" s="636" t="s">
        <v>46</v>
      </c>
      <c r="U323" s="636"/>
      <c r="V323" s="636"/>
      <c r="W323" s="636" t="s">
        <v>46</v>
      </c>
      <c r="X323" s="636" t="s">
        <v>46</v>
      </c>
      <c r="Y323" s="636" t="s">
        <v>46</v>
      </c>
      <c r="Z323" s="636" t="s">
        <v>46</v>
      </c>
      <c r="AA323" s="636" t="s">
        <v>46</v>
      </c>
      <c r="AB323" s="636"/>
      <c r="AC323" s="636"/>
      <c r="AD323" s="636" t="s">
        <v>46</v>
      </c>
      <c r="AE323" s="636" t="s">
        <v>46</v>
      </c>
      <c r="AF323" s="636" t="s">
        <v>46</v>
      </c>
      <c r="AG323" s="1543" t="s">
        <v>46</v>
      </c>
      <c r="AH323" s="211"/>
      <c r="AI323" s="212"/>
      <c r="AJ323" s="123"/>
    </row>
    <row r="324" spans="1:36" ht="18" customHeight="1" x14ac:dyDescent="0.2">
      <c r="A324" s="1042"/>
      <c r="B324" s="748" t="s">
        <v>389</v>
      </c>
      <c r="C324" s="636" t="s">
        <v>46</v>
      </c>
      <c r="D324" s="636" t="s">
        <v>46</v>
      </c>
      <c r="E324" s="636" t="s">
        <v>46</v>
      </c>
      <c r="F324" s="636" t="s">
        <v>46</v>
      </c>
      <c r="G324" s="636"/>
      <c r="H324" s="636"/>
      <c r="I324" s="636" t="s">
        <v>46</v>
      </c>
      <c r="J324" s="636" t="s">
        <v>46</v>
      </c>
      <c r="K324" s="636" t="s">
        <v>46</v>
      </c>
      <c r="L324" s="636" t="s">
        <v>46</v>
      </c>
      <c r="M324" s="636" t="s">
        <v>46</v>
      </c>
      <c r="N324" s="636"/>
      <c r="O324" s="636"/>
      <c r="P324" s="636" t="s">
        <v>46</v>
      </c>
      <c r="Q324" s="636" t="s">
        <v>46</v>
      </c>
      <c r="R324" s="636" t="s">
        <v>46</v>
      </c>
      <c r="S324" s="636" t="s">
        <v>46</v>
      </c>
      <c r="T324" s="636" t="s">
        <v>46</v>
      </c>
      <c r="U324" s="636"/>
      <c r="V324" s="636"/>
      <c r="W324" s="636" t="s">
        <v>46</v>
      </c>
      <c r="X324" s="636" t="s">
        <v>46</v>
      </c>
      <c r="Y324" s="636" t="s">
        <v>46</v>
      </c>
      <c r="Z324" s="636" t="s">
        <v>46</v>
      </c>
      <c r="AA324" s="636" t="s">
        <v>46</v>
      </c>
      <c r="AB324" s="636"/>
      <c r="AC324" s="636"/>
      <c r="AD324" s="636" t="s">
        <v>46</v>
      </c>
      <c r="AE324" s="636" t="s">
        <v>46</v>
      </c>
      <c r="AF324" s="636" t="s">
        <v>46</v>
      </c>
      <c r="AG324" s="801" t="s">
        <v>46</v>
      </c>
      <c r="AH324" s="211"/>
      <c r="AI324" s="212"/>
      <c r="AJ324" s="123"/>
    </row>
    <row r="325" spans="1:36" ht="18" customHeight="1" x14ac:dyDescent="0.2">
      <c r="A325" s="1042"/>
      <c r="B325" s="748" t="s">
        <v>390</v>
      </c>
      <c r="C325" s="636" t="s">
        <v>46</v>
      </c>
      <c r="D325" s="636" t="s">
        <v>46</v>
      </c>
      <c r="E325" s="636" t="s">
        <v>46</v>
      </c>
      <c r="F325" s="636" t="s">
        <v>46</v>
      </c>
      <c r="G325" s="636"/>
      <c r="H325" s="636"/>
      <c r="I325" s="636" t="s">
        <v>46</v>
      </c>
      <c r="J325" s="636" t="s">
        <v>46</v>
      </c>
      <c r="K325" s="636" t="s">
        <v>46</v>
      </c>
      <c r="L325" s="636" t="s">
        <v>46</v>
      </c>
      <c r="M325" s="636" t="s">
        <v>46</v>
      </c>
      <c r="N325" s="636"/>
      <c r="O325" s="636"/>
      <c r="P325" s="636" t="s">
        <v>46</v>
      </c>
      <c r="Q325" s="636" t="s">
        <v>46</v>
      </c>
      <c r="R325" s="636" t="s">
        <v>46</v>
      </c>
      <c r="S325" s="636" t="s">
        <v>46</v>
      </c>
      <c r="T325" s="636" t="s">
        <v>46</v>
      </c>
      <c r="U325" s="636"/>
      <c r="V325" s="636"/>
      <c r="W325" s="636" t="s">
        <v>46</v>
      </c>
      <c r="X325" s="636" t="s">
        <v>46</v>
      </c>
      <c r="Y325" s="636" t="s">
        <v>46</v>
      </c>
      <c r="Z325" s="636" t="s">
        <v>46</v>
      </c>
      <c r="AA325" s="636" t="s">
        <v>46</v>
      </c>
      <c r="AB325" s="636"/>
      <c r="AC325" s="636"/>
      <c r="AD325" s="636" t="s">
        <v>46</v>
      </c>
      <c r="AE325" s="636" t="s">
        <v>46</v>
      </c>
      <c r="AF325" s="636" t="s">
        <v>46</v>
      </c>
      <c r="AG325" s="801" t="s">
        <v>46</v>
      </c>
      <c r="AH325" s="211"/>
      <c r="AI325" s="212"/>
      <c r="AJ325" s="123"/>
    </row>
    <row r="326" spans="1:36" ht="18" customHeight="1" x14ac:dyDescent="0.2">
      <c r="A326" s="1042"/>
      <c r="B326" s="748" t="s">
        <v>391</v>
      </c>
      <c r="C326" s="636" t="s">
        <v>46</v>
      </c>
      <c r="D326" s="636" t="s">
        <v>46</v>
      </c>
      <c r="E326" s="636" t="s">
        <v>46</v>
      </c>
      <c r="F326" s="636" t="s">
        <v>46</v>
      </c>
      <c r="G326" s="636"/>
      <c r="H326" s="636"/>
      <c r="I326" s="636" t="s">
        <v>46</v>
      </c>
      <c r="J326" s="636" t="s">
        <v>46</v>
      </c>
      <c r="K326" s="636" t="s">
        <v>46</v>
      </c>
      <c r="L326" s="636" t="s">
        <v>46</v>
      </c>
      <c r="M326" s="636" t="s">
        <v>46</v>
      </c>
      <c r="N326" s="636"/>
      <c r="O326" s="636"/>
      <c r="P326" s="636" t="s">
        <v>46</v>
      </c>
      <c r="Q326" s="636" t="s">
        <v>46</v>
      </c>
      <c r="R326" s="636" t="s">
        <v>46</v>
      </c>
      <c r="S326" s="636" t="s">
        <v>46</v>
      </c>
      <c r="T326" s="636" t="s">
        <v>46</v>
      </c>
      <c r="U326" s="636"/>
      <c r="V326" s="636"/>
      <c r="W326" s="636" t="s">
        <v>46</v>
      </c>
      <c r="X326" s="636" t="s">
        <v>46</v>
      </c>
      <c r="Y326" s="636" t="s">
        <v>46</v>
      </c>
      <c r="Z326" s="636" t="s">
        <v>46</v>
      </c>
      <c r="AA326" s="636" t="s">
        <v>46</v>
      </c>
      <c r="AB326" s="636"/>
      <c r="AC326" s="636"/>
      <c r="AD326" s="636" t="s">
        <v>46</v>
      </c>
      <c r="AE326" s="636" t="s">
        <v>46</v>
      </c>
      <c r="AF326" s="636" t="s">
        <v>46</v>
      </c>
      <c r="AG326" s="801" t="s">
        <v>46</v>
      </c>
      <c r="AH326" s="211"/>
      <c r="AI326" s="212"/>
      <c r="AJ326" s="123"/>
    </row>
    <row r="327" spans="1:36" ht="18" customHeight="1" x14ac:dyDescent="0.2">
      <c r="A327" s="1042"/>
      <c r="B327" s="748" t="s">
        <v>392</v>
      </c>
      <c r="C327" s="636" t="s">
        <v>46</v>
      </c>
      <c r="D327" s="636" t="s">
        <v>46</v>
      </c>
      <c r="E327" s="636" t="s">
        <v>46</v>
      </c>
      <c r="F327" s="636" t="s">
        <v>46</v>
      </c>
      <c r="G327" s="636"/>
      <c r="H327" s="636"/>
      <c r="I327" s="636" t="s">
        <v>46</v>
      </c>
      <c r="J327" s="636" t="s">
        <v>46</v>
      </c>
      <c r="K327" s="636" t="s">
        <v>46</v>
      </c>
      <c r="L327" s="636" t="s">
        <v>46</v>
      </c>
      <c r="M327" s="636" t="s">
        <v>46</v>
      </c>
      <c r="N327" s="636"/>
      <c r="O327" s="636"/>
      <c r="P327" s="636" t="s">
        <v>46</v>
      </c>
      <c r="Q327" s="636" t="s">
        <v>46</v>
      </c>
      <c r="R327" s="636" t="s">
        <v>46</v>
      </c>
      <c r="S327" s="636" t="s">
        <v>46</v>
      </c>
      <c r="T327" s="636" t="s">
        <v>46</v>
      </c>
      <c r="U327" s="636"/>
      <c r="V327" s="636"/>
      <c r="W327" s="636" t="s">
        <v>46</v>
      </c>
      <c r="X327" s="636" t="s">
        <v>46</v>
      </c>
      <c r="Y327" s="636" t="s">
        <v>46</v>
      </c>
      <c r="Z327" s="636" t="s">
        <v>46</v>
      </c>
      <c r="AA327" s="636" t="s">
        <v>46</v>
      </c>
      <c r="AB327" s="636"/>
      <c r="AC327" s="636"/>
      <c r="AD327" s="636" t="s">
        <v>46</v>
      </c>
      <c r="AE327" s="636" t="s">
        <v>46</v>
      </c>
      <c r="AF327" s="636" t="s">
        <v>46</v>
      </c>
      <c r="AG327" s="801" t="s">
        <v>46</v>
      </c>
      <c r="AH327" s="211"/>
      <c r="AI327" s="212"/>
      <c r="AJ327" s="123"/>
    </row>
    <row r="328" spans="1:36" ht="18" customHeight="1" x14ac:dyDescent="0.2">
      <c r="A328" s="1042"/>
      <c r="B328" s="748" t="s">
        <v>393</v>
      </c>
      <c r="C328" s="957" t="s">
        <v>46</v>
      </c>
      <c r="D328" s="636" t="s">
        <v>46</v>
      </c>
      <c r="E328" s="636" t="s">
        <v>46</v>
      </c>
      <c r="F328" s="636" t="s">
        <v>46</v>
      </c>
      <c r="G328" s="636"/>
      <c r="H328" s="636"/>
      <c r="I328" s="636" t="s">
        <v>46</v>
      </c>
      <c r="J328" s="957" t="s">
        <v>46</v>
      </c>
      <c r="K328" s="636" t="s">
        <v>46</v>
      </c>
      <c r="L328" s="636" t="s">
        <v>46</v>
      </c>
      <c r="M328" s="636" t="s">
        <v>46</v>
      </c>
      <c r="N328" s="636"/>
      <c r="O328" s="636"/>
      <c r="P328" s="636" t="s">
        <v>46</v>
      </c>
      <c r="Q328" s="957" t="s">
        <v>46</v>
      </c>
      <c r="R328" s="636" t="s">
        <v>46</v>
      </c>
      <c r="S328" s="636" t="s">
        <v>46</v>
      </c>
      <c r="T328" s="636" t="s">
        <v>46</v>
      </c>
      <c r="U328" s="636"/>
      <c r="V328" s="636"/>
      <c r="W328" s="636" t="s">
        <v>46</v>
      </c>
      <c r="X328" s="957" t="s">
        <v>46</v>
      </c>
      <c r="Y328" s="636" t="s">
        <v>46</v>
      </c>
      <c r="Z328" s="636" t="s">
        <v>46</v>
      </c>
      <c r="AA328" s="636" t="s">
        <v>46</v>
      </c>
      <c r="AB328" s="636"/>
      <c r="AC328" s="636"/>
      <c r="AD328" s="636" t="s">
        <v>46</v>
      </c>
      <c r="AE328" s="957" t="s">
        <v>46</v>
      </c>
      <c r="AF328" s="636" t="s">
        <v>46</v>
      </c>
      <c r="AG328" s="801" t="s">
        <v>46</v>
      </c>
      <c r="AH328" s="211"/>
      <c r="AI328" s="212"/>
      <c r="AJ328" s="123"/>
    </row>
    <row r="329" spans="1:36" ht="18" customHeight="1" x14ac:dyDescent="0.2">
      <c r="A329" s="1544"/>
      <c r="B329" s="1545" t="s">
        <v>394</v>
      </c>
      <c r="C329" s="2518" t="s">
        <v>46</v>
      </c>
      <c r="D329" s="2518" t="s">
        <v>46</v>
      </c>
      <c r="E329" s="2518" t="s">
        <v>46</v>
      </c>
      <c r="F329" s="2518" t="s">
        <v>46</v>
      </c>
      <c r="G329" s="2518"/>
      <c r="H329" s="2518"/>
      <c r="I329" s="2518" t="s">
        <v>46</v>
      </c>
      <c r="J329" s="2518" t="s">
        <v>46</v>
      </c>
      <c r="K329" s="2518" t="s">
        <v>46</v>
      </c>
      <c r="L329" s="2518" t="s">
        <v>46</v>
      </c>
      <c r="M329" s="2518" t="s">
        <v>46</v>
      </c>
      <c r="N329" s="2518"/>
      <c r="O329" s="2518"/>
      <c r="P329" s="2518" t="s">
        <v>46</v>
      </c>
      <c r="Q329" s="2518" t="s">
        <v>46</v>
      </c>
      <c r="R329" s="2518" t="s">
        <v>46</v>
      </c>
      <c r="S329" s="2518" t="s">
        <v>46</v>
      </c>
      <c r="T329" s="2518" t="s">
        <v>46</v>
      </c>
      <c r="U329" s="2518"/>
      <c r="V329" s="2518"/>
      <c r="W329" s="2518" t="s">
        <v>46</v>
      </c>
      <c r="X329" s="2518" t="s">
        <v>46</v>
      </c>
      <c r="Y329" s="2518" t="s">
        <v>46</v>
      </c>
      <c r="Z329" s="2518" t="s">
        <v>46</v>
      </c>
      <c r="AA329" s="2518" t="s">
        <v>46</v>
      </c>
      <c r="AB329" s="2518"/>
      <c r="AC329" s="2518"/>
      <c r="AD329" s="2518" t="s">
        <v>46</v>
      </c>
      <c r="AE329" s="2518" t="s">
        <v>46</v>
      </c>
      <c r="AF329" s="2518" t="s">
        <v>46</v>
      </c>
      <c r="AG329" s="3006" t="s">
        <v>46</v>
      </c>
      <c r="AH329" s="211"/>
      <c r="AI329" s="212"/>
      <c r="AJ329" s="123"/>
    </row>
    <row r="330" spans="1:36" ht="18" customHeight="1" x14ac:dyDescent="0.2">
      <c r="A330" s="1042"/>
      <c r="B330" s="748"/>
      <c r="C330" s="636"/>
      <c r="D330" s="2917"/>
      <c r="E330" s="636"/>
      <c r="F330" s="636"/>
      <c r="G330" s="636"/>
      <c r="H330" s="636"/>
      <c r="I330" s="636"/>
      <c r="J330" s="636"/>
      <c r="K330" s="636"/>
      <c r="L330" s="636"/>
      <c r="M330" s="636"/>
      <c r="N330" s="636"/>
      <c r="O330" s="636"/>
      <c r="P330" s="636"/>
      <c r="Q330" s="636"/>
      <c r="R330" s="636"/>
      <c r="S330" s="636"/>
      <c r="T330" s="636"/>
      <c r="U330" s="636"/>
      <c r="V330" s="636"/>
      <c r="W330" s="636"/>
      <c r="X330" s="636"/>
      <c r="Y330" s="636"/>
      <c r="Z330" s="636"/>
      <c r="AA330" s="636"/>
      <c r="AB330" s="636"/>
      <c r="AC330" s="636"/>
      <c r="AD330" s="636"/>
      <c r="AE330" s="636"/>
      <c r="AF330" s="636"/>
      <c r="AG330" s="801"/>
      <c r="AH330" s="211"/>
      <c r="AI330" s="212"/>
      <c r="AJ330" s="123"/>
    </row>
    <row r="331" spans="1:36" ht="18" customHeight="1" x14ac:dyDescent="0.2">
      <c r="A331" s="372"/>
      <c r="B331" s="1085"/>
      <c r="C331" s="712"/>
      <c r="D331" s="712"/>
      <c r="E331" s="712"/>
      <c r="F331" s="712"/>
      <c r="G331" s="712"/>
      <c r="H331" s="712"/>
      <c r="I331" s="712"/>
      <c r="J331" s="712"/>
      <c r="K331" s="712"/>
      <c r="L331" s="712"/>
      <c r="M331" s="712"/>
      <c r="N331" s="711"/>
      <c r="O331" s="711"/>
      <c r="P331" s="712"/>
      <c r="Q331" s="712"/>
      <c r="R331" s="712"/>
      <c r="S331" s="712"/>
      <c r="T331" s="712"/>
      <c r="U331" s="712"/>
      <c r="V331" s="712"/>
      <c r="W331" s="712"/>
      <c r="X331" s="712"/>
      <c r="Y331" s="712"/>
      <c r="Z331" s="712"/>
      <c r="AA331" s="712"/>
      <c r="AB331" s="711"/>
      <c r="AC331" s="711"/>
      <c r="AD331" s="712"/>
      <c r="AE331" s="712"/>
      <c r="AF331" s="712"/>
      <c r="AG331" s="1086"/>
      <c r="AH331" s="211"/>
      <c r="AI331" s="213"/>
      <c r="AJ331" s="123"/>
    </row>
    <row r="332" spans="1:36" ht="18" customHeight="1" x14ac:dyDescent="0.2">
      <c r="A332" s="1087"/>
      <c r="B332" s="1088"/>
      <c r="C332" s="2650"/>
      <c r="D332" s="2651"/>
      <c r="E332" s="2651"/>
      <c r="F332" s="2651"/>
      <c r="G332" s="2651"/>
      <c r="H332" s="2651"/>
      <c r="I332" s="2651"/>
      <c r="J332" s="2651"/>
      <c r="K332" s="2651"/>
      <c r="L332" s="2651"/>
      <c r="M332" s="2651"/>
      <c r="N332" s="2652"/>
      <c r="O332" s="2652"/>
      <c r="P332" s="2651"/>
      <c r="Q332" s="2651"/>
      <c r="R332" s="2651"/>
      <c r="S332" s="2651"/>
      <c r="T332" s="2651"/>
      <c r="U332" s="2651"/>
      <c r="V332" s="2651"/>
      <c r="W332" s="2651"/>
      <c r="X332" s="2651"/>
      <c r="Y332" s="2651"/>
      <c r="Z332" s="2651"/>
      <c r="AA332" s="2651"/>
      <c r="AB332" s="2652"/>
      <c r="AC332" s="2652"/>
      <c r="AD332" s="2651"/>
      <c r="AE332" s="2651"/>
      <c r="AF332" s="2651"/>
      <c r="AG332" s="2653"/>
      <c r="AH332" s="211"/>
      <c r="AI332" s="213"/>
      <c r="AJ332" s="123"/>
    </row>
    <row r="333" spans="1:36" ht="18" customHeight="1" x14ac:dyDescent="0.2">
      <c r="AH333" s="123"/>
      <c r="AI333" s="123"/>
      <c r="AJ333" s="123"/>
    </row>
    <row r="334" spans="1:36" x14ac:dyDescent="0.2">
      <c r="AH334" s="123"/>
      <c r="AI334" s="123"/>
      <c r="AJ334" s="123"/>
    </row>
    <row r="335" spans="1:36" x14ac:dyDescent="0.2">
      <c r="AH335" s="123"/>
      <c r="AI335" s="123"/>
      <c r="AJ335" s="123"/>
    </row>
    <row r="336" spans="1:36" x14ac:dyDescent="0.2">
      <c r="AH336" s="123"/>
      <c r="AI336" s="123"/>
      <c r="AJ336" s="123"/>
    </row>
  </sheetData>
  <sheetProtection algorithmName="SHA-512" hashValue="KsfMbgcJZqoZ9cEe+sc8SQvkHGkfPMRKoOVoVVlMYTqN/Ald9QVgstfJleFhm/x5hDIZBIsBucII5rrg6ZRuJg==" saltValue="AHGkcR/90uSzA1Jxk/G4vg==" spinCount="100000" sheet="1" objects="1" scenarios="1"/>
  <mergeCells count="1">
    <mergeCell ref="T36:Z36"/>
  </mergeCells>
  <pageMargins left="0.7" right="0.7" top="0.75" bottom="0.75" header="0.3" footer="0.3"/>
  <pageSetup paperSize="9" scale="10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22">
    <pageSetUpPr fitToPage="1"/>
  </sheetPr>
  <dimension ref="A1:AN337"/>
  <sheetViews>
    <sheetView workbookViewId="0">
      <pane xSplit="2" ySplit="3" topLeftCell="C84" activePane="bottomRight" state="frozen"/>
      <selection pane="topRight" activeCell="AB61" sqref="AB61"/>
      <selection pane="bottomLeft" activeCell="AB61" sqref="AB61"/>
      <selection pane="bottomRight" activeCell="A127" sqref="A127:XFD127"/>
    </sheetView>
  </sheetViews>
  <sheetFormatPr defaultRowHeight="12" x14ac:dyDescent="0.2"/>
  <cols>
    <col min="2" max="2" width="31.28515625" customWidth="1"/>
    <col min="3" max="33" width="4.5703125" customWidth="1"/>
    <col min="34" max="34" width="7.85546875" customWidth="1"/>
    <col min="35" max="35" width="4.28515625" customWidth="1"/>
    <col min="39" max="40" width="11.85546875" customWidth="1"/>
  </cols>
  <sheetData>
    <row r="1" spans="1:38" ht="18" customHeight="1" x14ac:dyDescent="0.2">
      <c r="A1" t="s">
        <v>0</v>
      </c>
      <c r="B1" s="1" t="s">
        <v>1</v>
      </c>
      <c r="U1" t="s">
        <v>433</v>
      </c>
    </row>
    <row r="2" spans="1:38" ht="18" customHeight="1" x14ac:dyDescent="0.2">
      <c r="B2" s="1977" t="s">
        <v>2</v>
      </c>
      <c r="C2" s="1978" t="s">
        <v>3</v>
      </c>
      <c r="D2" s="1979"/>
      <c r="E2" s="1980" t="s">
        <v>4</v>
      </c>
      <c r="F2" s="1981"/>
      <c r="G2" s="1982"/>
      <c r="H2" s="1982"/>
      <c r="I2" s="1982"/>
      <c r="J2" s="1982"/>
      <c r="K2" s="1983"/>
      <c r="L2" s="1984" t="s">
        <v>5</v>
      </c>
      <c r="M2" s="1985"/>
      <c r="N2" s="1986"/>
      <c r="O2" s="1987" t="s">
        <v>6</v>
      </c>
      <c r="P2" s="1988"/>
      <c r="Q2" s="1989"/>
      <c r="R2" s="1990"/>
      <c r="S2" s="1991" t="s">
        <v>7</v>
      </c>
      <c r="T2" s="1992"/>
      <c r="U2" s="1993"/>
      <c r="V2" s="1992"/>
      <c r="W2" s="1994" t="s">
        <v>8</v>
      </c>
      <c r="X2" s="1995"/>
      <c r="Y2" s="1996"/>
      <c r="Z2" s="343" t="s">
        <v>9</v>
      </c>
      <c r="AA2" s="2378"/>
      <c r="AB2" s="2378"/>
      <c r="AC2" s="2379"/>
      <c r="AD2" s="2000" t="s">
        <v>10</v>
      </c>
      <c r="AE2" s="2001"/>
      <c r="AF2" s="2001"/>
      <c r="AG2" s="2002"/>
    </row>
    <row r="3" spans="1:38" ht="18" customHeight="1" x14ac:dyDescent="0.2">
      <c r="A3" s="1"/>
      <c r="B3" s="2003" t="s">
        <v>10</v>
      </c>
      <c r="C3" s="2004" t="s">
        <v>10</v>
      </c>
      <c r="D3" s="2005"/>
      <c r="E3" s="543"/>
      <c r="F3" s="544"/>
      <c r="G3" s="544"/>
      <c r="H3" s="545" t="s">
        <v>10</v>
      </c>
      <c r="I3" s="546"/>
      <c r="J3" s="546"/>
      <c r="K3" s="547"/>
      <c r="L3" s="2006" t="s">
        <v>11</v>
      </c>
      <c r="M3" s="2007"/>
      <c r="N3" s="2008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2007"/>
      <c r="AA3" s="2007"/>
      <c r="AB3" s="2009"/>
      <c r="AC3" s="2010"/>
      <c r="AD3" s="2380" t="s">
        <v>13</v>
      </c>
      <c r="AE3" s="2012"/>
      <c r="AF3" s="2012"/>
      <c r="AG3" s="2013"/>
      <c r="AH3" s="2014" t="s">
        <v>14</v>
      </c>
      <c r="AI3" s="2014"/>
      <c r="AJ3" s="2014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2015"/>
      <c r="D5" s="2016" t="s">
        <v>17</v>
      </c>
      <c r="E5" s="2017"/>
      <c r="F5" s="2015"/>
      <c r="G5" s="2016" t="s">
        <v>18</v>
      </c>
      <c r="H5" s="2017"/>
      <c r="I5" s="2015"/>
      <c r="J5" s="2016" t="s">
        <v>19</v>
      </c>
      <c r="K5" s="2017"/>
      <c r="L5" s="2015"/>
      <c r="M5" s="2016" t="s">
        <v>20</v>
      </c>
      <c r="N5" s="2017"/>
      <c r="O5" s="2015"/>
      <c r="P5" s="2016" t="s">
        <v>21</v>
      </c>
      <c r="Q5" s="2017"/>
      <c r="R5" s="2015"/>
      <c r="S5" s="2016" t="s">
        <v>22</v>
      </c>
      <c r="T5" s="2018"/>
      <c r="U5" s="2019"/>
      <c r="V5" s="2020" t="s">
        <v>23</v>
      </c>
      <c r="W5" s="2018"/>
    </row>
    <row r="6" spans="1:38" ht="18" customHeight="1" x14ac:dyDescent="0.2">
      <c r="A6" s="2021"/>
      <c r="B6" s="2022" t="s">
        <v>24</v>
      </c>
      <c r="C6" s="2023" t="s">
        <v>25</v>
      </c>
      <c r="D6" s="1139"/>
      <c r="E6" s="1550"/>
      <c r="F6" s="1551" t="s">
        <v>25</v>
      </c>
      <c r="G6" s="1142"/>
      <c r="H6" s="1142"/>
      <c r="I6" s="2023" t="s">
        <v>26</v>
      </c>
      <c r="J6" s="1142"/>
      <c r="K6" s="1550"/>
      <c r="L6" s="1551" t="s">
        <v>26</v>
      </c>
      <c r="M6" s="1142"/>
      <c r="N6" s="1550"/>
      <c r="O6" s="1551" t="s">
        <v>27</v>
      </c>
      <c r="P6" s="1142"/>
      <c r="Q6" s="1550"/>
      <c r="R6" s="1142"/>
      <c r="S6" s="1142"/>
      <c r="T6" s="1142"/>
      <c r="U6" s="2022"/>
      <c r="V6" s="1142"/>
      <c r="W6" s="1550"/>
      <c r="X6" s="1142"/>
      <c r="Y6" s="1142"/>
      <c r="Z6" s="1142"/>
      <c r="AA6" s="1142"/>
      <c r="AB6" s="1143"/>
      <c r="AC6" s="1550"/>
      <c r="AD6" s="123"/>
      <c r="AE6" s="123"/>
      <c r="AF6" s="123"/>
      <c r="AG6" s="123"/>
    </row>
    <row r="7" spans="1:38" ht="18" customHeight="1" x14ac:dyDescent="0.2">
      <c r="A7" s="2021"/>
      <c r="B7" s="2022" t="s">
        <v>28</v>
      </c>
      <c r="C7" s="2023" t="s">
        <v>29</v>
      </c>
      <c r="D7" s="1142"/>
      <c r="E7" s="1550"/>
      <c r="F7" s="1551" t="s">
        <v>29</v>
      </c>
      <c r="G7" s="1142"/>
      <c r="H7" s="1142"/>
      <c r="I7" s="2023" t="s">
        <v>29</v>
      </c>
      <c r="J7" s="1142"/>
      <c r="K7" s="1550"/>
      <c r="L7" s="1551" t="s">
        <v>29</v>
      </c>
      <c r="M7" s="1142"/>
      <c r="N7" s="1550"/>
      <c r="O7" s="1551" t="s">
        <v>30</v>
      </c>
      <c r="P7" s="1142"/>
      <c r="Q7" s="1550"/>
      <c r="R7" s="1142"/>
      <c r="S7" s="1142"/>
      <c r="T7" s="1142"/>
      <c r="U7" s="2022"/>
      <c r="V7" s="1142"/>
      <c r="W7" s="1550"/>
      <c r="X7" s="1142"/>
      <c r="Y7" s="1142"/>
      <c r="Z7" s="1142"/>
      <c r="AA7" s="1142"/>
      <c r="AB7" s="1144"/>
      <c r="AC7" s="1550"/>
      <c r="AD7" s="123"/>
      <c r="AE7" s="123"/>
      <c r="AF7" s="123"/>
      <c r="AG7" s="123"/>
    </row>
    <row r="8" spans="1:38" ht="18" customHeight="1" x14ac:dyDescent="0.2">
      <c r="A8" s="2022"/>
      <c r="B8" s="2022" t="s">
        <v>31</v>
      </c>
      <c r="C8" s="2024" t="s">
        <v>32</v>
      </c>
      <c r="D8" s="1146"/>
      <c r="E8" s="1553"/>
      <c r="F8" s="1551" t="s">
        <v>33</v>
      </c>
      <c r="G8" s="1146"/>
      <c r="H8" s="1146"/>
      <c r="I8" s="2024" t="s">
        <v>33</v>
      </c>
      <c r="J8" s="1146"/>
      <c r="K8" s="1553"/>
      <c r="L8" s="1551" t="s">
        <v>33</v>
      </c>
      <c r="M8" s="1146"/>
      <c r="N8" s="1146"/>
      <c r="O8" s="2024" t="s">
        <v>34</v>
      </c>
      <c r="P8" s="1146"/>
      <c r="Q8" s="1553"/>
      <c r="R8" s="1148" t="s">
        <v>35</v>
      </c>
      <c r="S8" s="367"/>
      <c r="T8" s="367"/>
      <c r="U8" s="1149" t="s">
        <v>35</v>
      </c>
      <c r="V8" s="367"/>
      <c r="W8" s="1150"/>
      <c r="X8" s="1142"/>
      <c r="Y8" s="1142"/>
      <c r="Z8" s="1142"/>
      <c r="AA8" s="1142"/>
      <c r="AB8" s="1144"/>
      <c r="AC8" s="1550"/>
      <c r="AD8" s="123"/>
      <c r="AE8" s="123"/>
      <c r="AF8" s="123"/>
      <c r="AG8" s="123"/>
    </row>
    <row r="9" spans="1:38" ht="18" customHeight="1" x14ac:dyDescent="0.2">
      <c r="A9" s="2022"/>
      <c r="B9" s="2022" t="s">
        <v>36</v>
      </c>
      <c r="C9" s="2023" t="s">
        <v>37</v>
      </c>
      <c r="D9" s="1146"/>
      <c r="E9" s="1553"/>
      <c r="F9" s="1551" t="s">
        <v>37</v>
      </c>
      <c r="G9" s="1142"/>
      <c r="H9" s="1142"/>
      <c r="I9" s="2023" t="s">
        <v>37</v>
      </c>
      <c r="J9" s="1142"/>
      <c r="K9" s="1550"/>
      <c r="L9" s="1551" t="s">
        <v>37</v>
      </c>
      <c r="M9" s="1142"/>
      <c r="N9" s="1550"/>
      <c r="O9" s="1551" t="s">
        <v>38</v>
      </c>
      <c r="P9" s="1142"/>
      <c r="Q9" s="1550"/>
      <c r="R9" s="1551" t="s">
        <v>39</v>
      </c>
      <c r="S9" s="1142"/>
      <c r="T9" s="1142"/>
      <c r="U9" s="2023" t="s">
        <v>40</v>
      </c>
      <c r="V9" s="1142"/>
      <c r="W9" s="1550"/>
      <c r="X9" s="1142"/>
      <c r="Y9" s="1142"/>
      <c r="Z9" s="1142"/>
      <c r="AA9" s="1142"/>
      <c r="AB9" s="1144"/>
      <c r="AC9" s="1550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H11" s="244"/>
      <c r="AI11" s="111"/>
      <c r="AJ11" s="2025" t="s">
        <v>41</v>
      </c>
    </row>
    <row r="12" spans="1:38" ht="18" customHeight="1" x14ac:dyDescent="0.2">
      <c r="AH12" s="116"/>
      <c r="AI12" s="116"/>
      <c r="AJ12" s="2025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114"/>
    </row>
    <row r="14" spans="1:38" ht="18" customHeight="1" x14ac:dyDescent="0.2">
      <c r="A14" s="2381" t="s">
        <v>43</v>
      </c>
      <c r="B14" s="2382" t="s">
        <v>44</v>
      </c>
      <c r="C14" s="2383">
        <v>1</v>
      </c>
      <c r="D14" s="2384">
        <v>2</v>
      </c>
      <c r="E14" s="2384">
        <v>3</v>
      </c>
      <c r="F14" s="2383">
        <v>4</v>
      </c>
      <c r="G14" s="2383">
        <v>5</v>
      </c>
      <c r="H14" s="2383">
        <v>6</v>
      </c>
      <c r="I14" s="2383">
        <v>7</v>
      </c>
      <c r="J14" s="2383">
        <v>8</v>
      </c>
      <c r="K14" s="2384">
        <v>9</v>
      </c>
      <c r="L14" s="2384">
        <v>10</v>
      </c>
      <c r="M14" s="2383">
        <v>11</v>
      </c>
      <c r="N14" s="2383">
        <v>12</v>
      </c>
      <c r="O14" s="2383">
        <v>13</v>
      </c>
      <c r="P14" s="2383">
        <v>14</v>
      </c>
      <c r="Q14" s="2383">
        <v>15</v>
      </c>
      <c r="R14" s="2384">
        <v>16</v>
      </c>
      <c r="S14" s="2384">
        <v>17</v>
      </c>
      <c r="T14" s="2383">
        <v>18</v>
      </c>
      <c r="U14" s="2383">
        <v>19</v>
      </c>
      <c r="V14" s="2383">
        <v>20</v>
      </c>
      <c r="W14" s="2383">
        <v>21</v>
      </c>
      <c r="X14" s="2383">
        <v>22</v>
      </c>
      <c r="Y14" s="2384">
        <v>23</v>
      </c>
      <c r="Z14" s="2384">
        <v>24</v>
      </c>
      <c r="AA14" s="2383">
        <v>25</v>
      </c>
      <c r="AB14" s="2383">
        <v>26</v>
      </c>
      <c r="AC14" s="2383">
        <v>27</v>
      </c>
      <c r="AD14" s="2383">
        <v>28</v>
      </c>
      <c r="AE14" s="2383">
        <v>29</v>
      </c>
      <c r="AF14" s="2384">
        <v>30</v>
      </c>
      <c r="AG14" s="2026"/>
      <c r="AH14" s="116"/>
      <c r="AI14" s="116"/>
    </row>
    <row r="15" spans="1:38" ht="18" customHeight="1" x14ac:dyDescent="0.2">
      <c r="A15" s="2385">
        <v>8500</v>
      </c>
      <c r="B15" s="1734" t="s">
        <v>45</v>
      </c>
      <c r="C15" s="1735" t="s">
        <v>46</v>
      </c>
      <c r="D15" s="1160"/>
      <c r="E15" s="1737"/>
      <c r="F15" s="1737" t="s">
        <v>46</v>
      </c>
      <c r="G15" s="1737" t="s">
        <v>46</v>
      </c>
      <c r="H15" s="1737" t="s">
        <v>46</v>
      </c>
      <c r="I15" s="1737" t="s">
        <v>46</v>
      </c>
      <c r="J15" s="1737" t="s">
        <v>46</v>
      </c>
      <c r="K15" s="1737"/>
      <c r="L15" s="1737"/>
      <c r="M15" s="1737" t="s">
        <v>46</v>
      </c>
      <c r="N15" s="1737" t="s">
        <v>46</v>
      </c>
      <c r="O15" s="1737" t="s">
        <v>46</v>
      </c>
      <c r="P15" s="1737" t="s">
        <v>46</v>
      </c>
      <c r="Q15" s="1737" t="s">
        <v>46</v>
      </c>
      <c r="R15" s="1737"/>
      <c r="S15" s="1737"/>
      <c r="T15" s="1737" t="s">
        <v>46</v>
      </c>
      <c r="U15" s="1737" t="s">
        <v>46</v>
      </c>
      <c r="V15" s="1737" t="s">
        <v>46</v>
      </c>
      <c r="W15" s="1737" t="s">
        <v>46</v>
      </c>
      <c r="X15" s="1737" t="s">
        <v>46</v>
      </c>
      <c r="Y15" s="1737"/>
      <c r="Z15" s="1737"/>
      <c r="AA15" s="1737" t="s">
        <v>46</v>
      </c>
      <c r="AB15" s="1737" t="s">
        <v>46</v>
      </c>
      <c r="AC15" s="1737" t="s">
        <v>46</v>
      </c>
      <c r="AD15" s="1737" t="s">
        <v>46</v>
      </c>
      <c r="AE15" s="1735" t="s">
        <v>46</v>
      </c>
      <c r="AF15" s="1737"/>
      <c r="AG15" s="2033"/>
      <c r="AH15" s="116"/>
      <c r="AI15" s="116"/>
      <c r="AL15" t="s">
        <v>0</v>
      </c>
    </row>
    <row r="16" spans="1:38" ht="18" customHeight="1" x14ac:dyDescent="0.2">
      <c r="A16" s="2034" t="s">
        <v>47</v>
      </c>
      <c r="B16" s="2035"/>
      <c r="C16" s="2035"/>
      <c r="D16" s="2035"/>
      <c r="E16" s="2035"/>
      <c r="F16" s="2035"/>
      <c r="G16" s="2035"/>
      <c r="H16" s="2035"/>
      <c r="I16" s="2035"/>
      <c r="J16" s="2035"/>
      <c r="K16" s="2035"/>
      <c r="L16" s="2035"/>
      <c r="M16" s="2035"/>
      <c r="N16" s="2035"/>
      <c r="O16" s="2035"/>
      <c r="P16" s="2035"/>
      <c r="Q16" s="2035"/>
      <c r="R16" s="2035"/>
      <c r="S16" s="2035"/>
      <c r="T16" s="2035"/>
      <c r="U16" s="2035"/>
      <c r="V16" s="2035"/>
      <c r="W16" s="2035"/>
      <c r="X16" s="2035"/>
      <c r="Y16" s="2035"/>
      <c r="Z16" s="2035"/>
      <c r="AA16" s="2035"/>
      <c r="AB16" s="2035"/>
      <c r="AC16" s="2035"/>
      <c r="AD16" s="2035"/>
      <c r="AE16" s="2035"/>
      <c r="AF16" s="2035"/>
      <c r="AG16" s="2035"/>
      <c r="AH16" s="116"/>
      <c r="AI16" s="116"/>
    </row>
    <row r="17" spans="1:40" ht="18" customHeight="1" x14ac:dyDescent="0.2">
      <c r="A17" s="2386">
        <v>8546</v>
      </c>
      <c r="B17" s="594" t="s">
        <v>48</v>
      </c>
      <c r="C17" s="596" t="s">
        <v>51</v>
      </c>
      <c r="D17" s="595" t="s">
        <v>52</v>
      </c>
      <c r="E17" s="595" t="s">
        <v>52</v>
      </c>
      <c r="F17" s="597" t="s">
        <v>50</v>
      </c>
      <c r="G17" s="597" t="s">
        <v>50</v>
      </c>
      <c r="H17" s="597" t="s">
        <v>50</v>
      </c>
      <c r="I17" s="595" t="s">
        <v>50</v>
      </c>
      <c r="J17" s="596" t="s">
        <v>50</v>
      </c>
      <c r="K17" s="597" t="s">
        <v>53</v>
      </c>
      <c r="L17" s="595" t="s">
        <v>53</v>
      </c>
      <c r="M17" s="595" t="s">
        <v>49</v>
      </c>
      <c r="N17" s="595" t="s">
        <v>49</v>
      </c>
      <c r="O17" s="2387" t="s">
        <v>49</v>
      </c>
      <c r="P17" s="595" t="s">
        <v>49</v>
      </c>
      <c r="Q17" s="1741" t="s">
        <v>49</v>
      </c>
      <c r="R17" s="595"/>
      <c r="S17" s="595"/>
      <c r="T17" s="595" t="s">
        <v>50</v>
      </c>
      <c r="U17" s="595" t="s">
        <v>50</v>
      </c>
      <c r="V17" s="595" t="s">
        <v>50</v>
      </c>
      <c r="W17" s="595" t="s">
        <v>50</v>
      </c>
      <c r="X17" s="595" t="s">
        <v>50</v>
      </c>
      <c r="Y17" s="595" t="s">
        <v>0</v>
      </c>
      <c r="Z17" s="595"/>
      <c r="AA17" s="595" t="s">
        <v>51</v>
      </c>
      <c r="AB17" s="595" t="s">
        <v>51</v>
      </c>
      <c r="AC17" s="595" t="s">
        <v>51</v>
      </c>
      <c r="AD17" s="595" t="s">
        <v>51</v>
      </c>
      <c r="AE17" s="595" t="s">
        <v>51</v>
      </c>
      <c r="AF17" s="595" t="s">
        <v>52</v>
      </c>
      <c r="AG17" s="1171"/>
      <c r="AH17" s="116"/>
      <c r="AI17" s="116"/>
    </row>
    <row r="18" spans="1:40" ht="18" customHeight="1" x14ac:dyDescent="0.2">
      <c r="A18" s="2037">
        <v>8500</v>
      </c>
      <c r="B18" s="2038" t="s">
        <v>54</v>
      </c>
      <c r="C18" s="2040" t="s">
        <v>50</v>
      </c>
      <c r="D18" s="2040" t="s">
        <v>53</v>
      </c>
      <c r="E18" s="2040" t="s">
        <v>53</v>
      </c>
      <c r="F18" s="2040" t="s">
        <v>49</v>
      </c>
      <c r="G18" s="2040" t="s">
        <v>49</v>
      </c>
      <c r="H18" s="2040" t="s">
        <v>49</v>
      </c>
      <c r="I18" s="2041" t="s">
        <v>49</v>
      </c>
      <c r="J18" s="2040" t="s">
        <v>49</v>
      </c>
      <c r="K18" s="2040"/>
      <c r="L18" s="2040"/>
      <c r="M18" s="2040" t="s">
        <v>50</v>
      </c>
      <c r="N18" s="263" t="s">
        <v>50</v>
      </c>
      <c r="O18" s="263" t="s">
        <v>50</v>
      </c>
      <c r="P18" s="2040" t="s">
        <v>50</v>
      </c>
      <c r="Q18" s="2040" t="s">
        <v>50</v>
      </c>
      <c r="R18" s="2040"/>
      <c r="S18" s="2040"/>
      <c r="T18" s="2071" t="s">
        <v>51</v>
      </c>
      <c r="U18" s="2071" t="s">
        <v>51</v>
      </c>
      <c r="V18" s="2071" t="s">
        <v>51</v>
      </c>
      <c r="W18" s="2071" t="s">
        <v>51</v>
      </c>
      <c r="X18" s="2071" t="s">
        <v>51</v>
      </c>
      <c r="Y18" s="2071" t="s">
        <v>52</v>
      </c>
      <c r="Z18" s="2071" t="s">
        <v>52</v>
      </c>
      <c r="AA18" s="2040" t="s">
        <v>50</v>
      </c>
      <c r="AB18" s="2040" t="s">
        <v>50</v>
      </c>
      <c r="AC18" s="2040" t="s">
        <v>50</v>
      </c>
      <c r="AD18" s="2040" t="s">
        <v>50</v>
      </c>
      <c r="AE18" s="2040" t="s">
        <v>50</v>
      </c>
      <c r="AF18" s="2040" t="s">
        <v>53</v>
      </c>
      <c r="AG18" s="2043"/>
      <c r="AH18" s="116"/>
      <c r="AI18" s="116"/>
    </row>
    <row r="19" spans="1:40" ht="18" customHeight="1" x14ac:dyDescent="0.2">
      <c r="A19" s="2037">
        <v>8500</v>
      </c>
      <c r="B19" s="2044" t="s">
        <v>55</v>
      </c>
      <c r="C19" s="2045" t="s">
        <v>49</v>
      </c>
      <c r="D19" s="2046"/>
      <c r="E19" s="2046"/>
      <c r="F19" s="2046" t="s">
        <v>50</v>
      </c>
      <c r="G19" s="2046" t="s">
        <v>50</v>
      </c>
      <c r="H19" s="2046" t="s">
        <v>50</v>
      </c>
      <c r="I19" s="2047" t="s">
        <v>50</v>
      </c>
      <c r="J19" s="2046" t="s">
        <v>50</v>
      </c>
      <c r="K19" s="2046"/>
      <c r="L19" s="2046"/>
      <c r="M19" s="2132" t="s">
        <v>51</v>
      </c>
      <c r="N19" s="2132" t="s">
        <v>51</v>
      </c>
      <c r="O19" s="2132" t="s">
        <v>51</v>
      </c>
      <c r="P19" s="2388" t="s">
        <v>51</v>
      </c>
      <c r="Q19" s="2388" t="s">
        <v>51</v>
      </c>
      <c r="R19" s="2388" t="s">
        <v>52</v>
      </c>
      <c r="S19" s="2389" t="s">
        <v>52</v>
      </c>
      <c r="T19" s="2046" t="s">
        <v>102</v>
      </c>
      <c r="U19" s="2046" t="s">
        <v>50</v>
      </c>
      <c r="V19" s="2046" t="s">
        <v>50</v>
      </c>
      <c r="W19" s="2048" t="s">
        <v>50</v>
      </c>
      <c r="X19" s="2049" t="s">
        <v>50</v>
      </c>
      <c r="Y19" s="2050" t="s">
        <v>53</v>
      </c>
      <c r="Z19" s="2050" t="s">
        <v>53</v>
      </c>
      <c r="AA19" s="2045" t="s">
        <v>49</v>
      </c>
      <c r="AB19" s="2045" t="s">
        <v>49</v>
      </c>
      <c r="AC19" s="2045" t="s">
        <v>49</v>
      </c>
      <c r="AD19" s="2046" t="s">
        <v>49</v>
      </c>
      <c r="AE19" s="2046" t="s">
        <v>49</v>
      </c>
      <c r="AF19" s="2046"/>
      <c r="AG19" s="2053"/>
      <c r="AH19" s="114"/>
      <c r="AI19" s="114"/>
      <c r="AJ19" s="241"/>
      <c r="AK19" s="241"/>
      <c r="AL19" s="241"/>
      <c r="AM19" s="241"/>
      <c r="AN19" s="241"/>
    </row>
    <row r="20" spans="1:40" ht="18" customHeight="1" x14ac:dyDescent="0.2">
      <c r="A20" s="2037">
        <v>8546</v>
      </c>
      <c r="B20" s="2054" t="s">
        <v>10</v>
      </c>
      <c r="C20" s="2048" t="s">
        <v>50</v>
      </c>
      <c r="D20" s="2055"/>
      <c r="E20" s="2055"/>
      <c r="F20" s="2046" t="s">
        <v>51</v>
      </c>
      <c r="G20" s="2046" t="s">
        <v>51</v>
      </c>
      <c r="H20" s="2046" t="s">
        <v>51</v>
      </c>
      <c r="I20" s="2046" t="s">
        <v>51</v>
      </c>
      <c r="J20" s="2045" t="s">
        <v>51</v>
      </c>
      <c r="K20" s="2045" t="s">
        <v>52</v>
      </c>
      <c r="L20" s="2046" t="s">
        <v>52</v>
      </c>
      <c r="M20" s="2045" t="s">
        <v>50</v>
      </c>
      <c r="N20" s="2045" t="s">
        <v>50</v>
      </c>
      <c r="O20" s="2046" t="s">
        <v>50</v>
      </c>
      <c r="P20" s="2045" t="s">
        <v>50</v>
      </c>
      <c r="Q20" s="2045" t="s">
        <v>50</v>
      </c>
      <c r="R20" s="2045" t="s">
        <v>53</v>
      </c>
      <c r="S20" s="2045" t="s">
        <v>53</v>
      </c>
      <c r="T20" s="2045" t="s">
        <v>49</v>
      </c>
      <c r="U20" s="2040" t="s">
        <v>49</v>
      </c>
      <c r="V20" s="2040" t="s">
        <v>49</v>
      </c>
      <c r="W20" s="2046" t="s">
        <v>49</v>
      </c>
      <c r="X20" s="2046" t="s">
        <v>49</v>
      </c>
      <c r="Y20" s="2046"/>
      <c r="Z20" s="2046"/>
      <c r="AA20" s="2046" t="s">
        <v>50</v>
      </c>
      <c r="AB20" s="2046" t="s">
        <v>50</v>
      </c>
      <c r="AC20" s="2056" t="s">
        <v>50</v>
      </c>
      <c r="AD20" s="2046" t="s">
        <v>50</v>
      </c>
      <c r="AE20" s="2046" t="s">
        <v>50</v>
      </c>
      <c r="AF20" s="2055"/>
      <c r="AG20" s="2053"/>
      <c r="AH20" s="116"/>
      <c r="AI20" s="116"/>
      <c r="AJ20" s="123"/>
      <c r="AK20" s="123"/>
      <c r="AL20" s="123"/>
      <c r="AM20" s="215"/>
      <c r="AN20" s="215"/>
    </row>
    <row r="21" spans="1:40" ht="18" customHeight="1" thickBot="1" x14ac:dyDescent="0.25">
      <c r="A21" s="2037">
        <v>8546</v>
      </c>
      <c r="B21" s="2044" t="s">
        <v>58</v>
      </c>
      <c r="C21" s="2046" t="s">
        <v>24</v>
      </c>
      <c r="D21" s="2048"/>
      <c r="E21" s="2046"/>
      <c r="F21" s="2045" t="s">
        <v>28</v>
      </c>
      <c r="G21" s="2046" t="s">
        <v>28</v>
      </c>
      <c r="H21" s="2046" t="s">
        <v>28</v>
      </c>
      <c r="I21" s="2390" t="s">
        <v>28</v>
      </c>
      <c r="J21" s="2046" t="s">
        <v>28</v>
      </c>
      <c r="K21" s="2046"/>
      <c r="L21" s="2046"/>
      <c r="M21" s="2071" t="s">
        <v>24</v>
      </c>
      <c r="N21" s="2071" t="s">
        <v>24</v>
      </c>
      <c r="O21" s="2071" t="s">
        <v>24</v>
      </c>
      <c r="P21" s="2071" t="s">
        <v>24</v>
      </c>
      <c r="Q21" s="2071" t="s">
        <v>24</v>
      </c>
      <c r="R21" s="2047"/>
      <c r="S21" s="2047"/>
      <c r="T21" s="2150" t="s">
        <v>28</v>
      </c>
      <c r="U21" s="2138" t="s">
        <v>28</v>
      </c>
      <c r="V21" s="2150" t="s">
        <v>28</v>
      </c>
      <c r="W21" s="2150" t="s">
        <v>28</v>
      </c>
      <c r="X21" s="2150" t="s">
        <v>28</v>
      </c>
      <c r="Y21" s="2046"/>
      <c r="Z21" s="2046"/>
      <c r="AA21" s="2391" t="s">
        <v>24</v>
      </c>
      <c r="AB21" s="2391" t="s">
        <v>24</v>
      </c>
      <c r="AC21" s="2391" t="s">
        <v>24</v>
      </c>
      <c r="AD21" s="2392" t="s">
        <v>24</v>
      </c>
      <c r="AE21" s="2391" t="s">
        <v>24</v>
      </c>
      <c r="AF21" s="2048"/>
      <c r="AG21" s="2053"/>
      <c r="AH21" s="116"/>
      <c r="AI21" s="116"/>
      <c r="AJ21" s="123"/>
      <c r="AK21" s="123"/>
      <c r="AL21" s="123"/>
      <c r="AM21" s="215"/>
      <c r="AN21" s="215"/>
    </row>
    <row r="22" spans="1:40" ht="18" customHeight="1" thickBot="1" x14ac:dyDescent="0.25">
      <c r="A22" s="2058">
        <v>8546</v>
      </c>
      <c r="B22" s="2059" t="s">
        <v>470</v>
      </c>
      <c r="C22" s="2393" t="s">
        <v>28</v>
      </c>
      <c r="D22" s="2062"/>
      <c r="E22" s="2394"/>
      <c r="F22" s="2076" t="s">
        <v>24</v>
      </c>
      <c r="G22" s="2076" t="s">
        <v>24</v>
      </c>
      <c r="H22" s="2395" t="s">
        <v>24</v>
      </c>
      <c r="I22" s="2395" t="s">
        <v>24</v>
      </c>
      <c r="J22" s="2395" t="s">
        <v>24</v>
      </c>
      <c r="K22" s="2395" t="s">
        <v>0</v>
      </c>
      <c r="L22" s="2395" t="s">
        <v>0</v>
      </c>
      <c r="M22" s="2150" t="s">
        <v>28</v>
      </c>
      <c r="N22" s="2150" t="s">
        <v>28</v>
      </c>
      <c r="O22" s="2396" t="s">
        <v>28</v>
      </c>
      <c r="P22" s="2396" t="s">
        <v>28</v>
      </c>
      <c r="Q22" s="2138" t="s">
        <v>28</v>
      </c>
      <c r="R22" s="2397" t="s">
        <v>53</v>
      </c>
      <c r="S22" s="2138" t="s">
        <v>52</v>
      </c>
      <c r="T22" s="2075" t="s">
        <v>24</v>
      </c>
      <c r="U22" s="2061" t="s">
        <v>24</v>
      </c>
      <c r="V22" s="2061" t="s">
        <v>24</v>
      </c>
      <c r="W22" s="2139" t="s">
        <v>24</v>
      </c>
      <c r="X22" s="2061" t="s">
        <v>24</v>
      </c>
      <c r="Y22" s="2398"/>
      <c r="Z22" s="2398"/>
      <c r="AA22" s="2139" t="s">
        <v>28</v>
      </c>
      <c r="AB22" s="2398" t="s">
        <v>28</v>
      </c>
      <c r="AC22" s="2399" t="s">
        <v>28</v>
      </c>
      <c r="AD22" s="2061" t="s">
        <v>28</v>
      </c>
      <c r="AE22" s="2061" t="s">
        <v>28</v>
      </c>
      <c r="AF22" s="2076"/>
      <c r="AG22" s="2063"/>
      <c r="AH22" s="116"/>
      <c r="AI22" s="116"/>
      <c r="AJ22" s="123"/>
      <c r="AK22" s="123"/>
      <c r="AL22" s="123"/>
      <c r="AM22" s="215"/>
      <c r="AN22" s="215"/>
    </row>
    <row r="23" spans="1:40" ht="18" customHeight="1" thickBot="1" x14ac:dyDescent="0.25">
      <c r="A23" s="2400" t="s">
        <v>60</v>
      </c>
      <c r="B23" s="2401"/>
      <c r="C23" s="2401"/>
      <c r="D23" s="2401"/>
      <c r="E23" s="2401"/>
      <c r="F23" s="2401"/>
      <c r="G23" s="2401"/>
      <c r="H23" s="2401"/>
      <c r="I23" s="2401"/>
      <c r="J23" s="2401"/>
      <c r="K23" s="2401"/>
      <c r="L23" s="2401"/>
      <c r="M23" s="2401"/>
      <c r="N23" s="2401"/>
      <c r="O23" s="2401"/>
      <c r="P23" s="2401"/>
      <c r="Q23" s="2401"/>
      <c r="R23" s="2401"/>
      <c r="S23" s="2401"/>
      <c r="T23" s="2401"/>
      <c r="U23" s="2401"/>
      <c r="V23" s="2401"/>
      <c r="W23" s="2401"/>
      <c r="X23" s="2401"/>
      <c r="Y23" s="2401"/>
      <c r="Z23" s="2401"/>
      <c r="AA23" s="2401"/>
      <c r="AB23" s="2401"/>
      <c r="AC23" s="2401"/>
      <c r="AD23" s="2401"/>
      <c r="AE23" s="2401"/>
      <c r="AF23" s="2401"/>
      <c r="AG23" s="2401"/>
      <c r="AJ23" s="123"/>
      <c r="AK23" s="123"/>
      <c r="AL23" s="123"/>
      <c r="AM23" s="215"/>
      <c r="AN23" s="215"/>
    </row>
    <row r="24" spans="1:40" ht="18" customHeight="1" x14ac:dyDescent="0.2">
      <c r="A24" s="626">
        <v>8500</v>
      </c>
      <c r="B24" s="2402" t="s">
        <v>61</v>
      </c>
      <c r="C24" s="1735" t="s">
        <v>46</v>
      </c>
      <c r="D24" s="1160"/>
      <c r="E24" s="1737"/>
      <c r="F24" s="1737" t="s">
        <v>46</v>
      </c>
      <c r="G24" s="2046" t="s">
        <v>46</v>
      </c>
      <c r="H24" s="1737" t="s">
        <v>46</v>
      </c>
      <c r="I24" s="1737" t="s">
        <v>46</v>
      </c>
      <c r="J24" s="1737" t="s">
        <v>46</v>
      </c>
      <c r="K24" s="1737"/>
      <c r="L24" s="1737"/>
      <c r="M24" s="1737" t="s">
        <v>46</v>
      </c>
      <c r="N24" s="1737" t="s">
        <v>46</v>
      </c>
      <c r="O24" s="2403" t="s">
        <v>46</v>
      </c>
      <c r="P24" s="1737" t="s">
        <v>46</v>
      </c>
      <c r="Q24" s="1737" t="s">
        <v>46</v>
      </c>
      <c r="R24" s="1737"/>
      <c r="S24" s="2404" t="s">
        <v>53</v>
      </c>
      <c r="T24" s="1737" t="s">
        <v>46</v>
      </c>
      <c r="U24" s="1737" t="s">
        <v>46</v>
      </c>
      <c r="V24" s="1737" t="s">
        <v>46</v>
      </c>
      <c r="W24" s="1737" t="s">
        <v>46</v>
      </c>
      <c r="X24" s="2405" t="s">
        <v>46</v>
      </c>
      <c r="Y24" s="2405"/>
      <c r="Z24" s="2405"/>
      <c r="AA24" s="2405" t="s">
        <v>46</v>
      </c>
      <c r="AB24" s="2405" t="s">
        <v>46</v>
      </c>
      <c r="AC24" s="2405" t="s">
        <v>79</v>
      </c>
      <c r="AD24" s="1737" t="s">
        <v>46</v>
      </c>
      <c r="AE24" s="1735" t="s">
        <v>46</v>
      </c>
      <c r="AF24" s="2406"/>
      <c r="AG24" s="2286"/>
      <c r="AJ24" s="2025" t="s">
        <v>41</v>
      </c>
      <c r="AK24" s="2025" t="s">
        <v>62</v>
      </c>
      <c r="AL24" s="2025" t="s">
        <v>63</v>
      </c>
      <c r="AM24" s="2025" t="s">
        <v>64</v>
      </c>
      <c r="AN24" s="2025" t="s">
        <v>65</v>
      </c>
    </row>
    <row r="25" spans="1:40" ht="18" customHeight="1" x14ac:dyDescent="0.2">
      <c r="A25" s="626">
        <v>8500</v>
      </c>
      <c r="B25" s="2044" t="s">
        <v>67</v>
      </c>
      <c r="C25" s="2046" t="s">
        <v>50</v>
      </c>
      <c r="D25" s="2046"/>
      <c r="E25" s="2046"/>
      <c r="F25" s="2046" t="s">
        <v>51</v>
      </c>
      <c r="G25" s="2046" t="s">
        <v>51</v>
      </c>
      <c r="H25" s="2046" t="s">
        <v>51</v>
      </c>
      <c r="I25" s="2057" t="s">
        <v>51</v>
      </c>
      <c r="J25" s="2057" t="s">
        <v>51</v>
      </c>
      <c r="K25" s="2045" t="s">
        <v>52</v>
      </c>
      <c r="L25" s="2046" t="s">
        <v>52</v>
      </c>
      <c r="M25" s="2045" t="s">
        <v>50</v>
      </c>
      <c r="N25" s="2045" t="s">
        <v>50</v>
      </c>
      <c r="O25" s="2046" t="s">
        <v>50</v>
      </c>
      <c r="P25" s="2045" t="s">
        <v>50</v>
      </c>
      <c r="Q25" s="2045" t="s">
        <v>50</v>
      </c>
      <c r="R25" s="2045" t="s">
        <v>0</v>
      </c>
      <c r="S25" s="2045" t="s">
        <v>0</v>
      </c>
      <c r="T25" s="2046" t="s">
        <v>51</v>
      </c>
      <c r="U25" s="2040" t="s">
        <v>51</v>
      </c>
      <c r="V25" s="2040" t="s">
        <v>51</v>
      </c>
      <c r="W25" s="2045" t="s">
        <v>51</v>
      </c>
      <c r="X25" s="2045" t="s">
        <v>51</v>
      </c>
      <c r="Y25" s="2045" t="s">
        <v>52</v>
      </c>
      <c r="Z25" s="2046" t="s">
        <v>52</v>
      </c>
      <c r="AA25" s="2046" t="s">
        <v>50</v>
      </c>
      <c r="AB25" s="2046" t="s">
        <v>50</v>
      </c>
      <c r="AC25" s="2056" t="s">
        <v>50</v>
      </c>
      <c r="AD25" s="2046" t="s">
        <v>50</v>
      </c>
      <c r="AE25" s="2046" t="s">
        <v>50</v>
      </c>
      <c r="AF25" s="248" t="s">
        <v>0</v>
      </c>
      <c r="AG25" s="2043"/>
      <c r="AH25" s="123"/>
      <c r="AJ25" s="2072">
        <v>148</v>
      </c>
      <c r="AK25" s="2072">
        <v>11</v>
      </c>
      <c r="AL25" s="2072">
        <f>IF(AJ25="","",SUM(AJ25:AK25))</f>
        <v>159</v>
      </c>
      <c r="AM25" s="2073">
        <f>IF(AJ25="","",AL25-_xlfn.SINGLE(NormTid))</f>
        <v>-1.3300000000000125</v>
      </c>
      <c r="AN25" s="2073">
        <f>IF(AM25="","",AM25+'Oktober 2024'!AN25)</f>
        <v>4.5199999999999179</v>
      </c>
    </row>
    <row r="26" spans="1:40" ht="18" customHeight="1" x14ac:dyDescent="0.2">
      <c r="A26" s="2074"/>
      <c r="B26" s="2019" t="s">
        <v>75</v>
      </c>
      <c r="C26" s="2050" t="s">
        <v>46</v>
      </c>
      <c r="D26" s="2050"/>
      <c r="E26" s="2050"/>
      <c r="F26" s="2407" t="s">
        <v>46</v>
      </c>
      <c r="G26" s="2046" t="s">
        <v>46</v>
      </c>
      <c r="H26" s="2040" t="s">
        <v>46</v>
      </c>
      <c r="I26" s="2040" t="s">
        <v>46</v>
      </c>
      <c r="J26" s="2195" t="s">
        <v>46</v>
      </c>
      <c r="K26" s="2055"/>
      <c r="L26" s="2055"/>
      <c r="M26" s="2071" t="s">
        <v>46</v>
      </c>
      <c r="N26" s="2071" t="s">
        <v>46</v>
      </c>
      <c r="O26" s="2071" t="s">
        <v>46</v>
      </c>
      <c r="P26" s="2071" t="s">
        <v>46</v>
      </c>
      <c r="Q26" s="2071" t="s">
        <v>46</v>
      </c>
      <c r="R26" s="2071"/>
      <c r="S26" s="2071"/>
      <c r="T26" s="2071" t="s">
        <v>46</v>
      </c>
      <c r="U26" s="2071" t="s">
        <v>46</v>
      </c>
      <c r="V26" s="2071" t="s">
        <v>46</v>
      </c>
      <c r="W26" s="2071" t="s">
        <v>46</v>
      </c>
      <c r="X26" s="2071" t="s">
        <v>46</v>
      </c>
      <c r="Y26" s="2071"/>
      <c r="Z26" s="2071"/>
      <c r="AA26" s="2055">
        <v>69</v>
      </c>
      <c r="AB26" s="2055">
        <v>69</v>
      </c>
      <c r="AC26" s="2040" t="s">
        <v>46</v>
      </c>
      <c r="AD26" s="2040" t="s">
        <v>46</v>
      </c>
      <c r="AE26" s="2040" t="s">
        <v>174</v>
      </c>
      <c r="AF26" s="2040"/>
      <c r="AG26" s="2078"/>
      <c r="AH26" s="123"/>
    </row>
    <row r="27" spans="1:40" ht="18" customHeight="1" thickBot="1" x14ac:dyDescent="0.25">
      <c r="A27" s="646"/>
      <c r="B27" s="2291" t="s">
        <v>78</v>
      </c>
      <c r="C27" s="2408" t="s">
        <v>46</v>
      </c>
      <c r="D27" s="2076"/>
      <c r="E27" s="2076"/>
      <c r="F27" s="2076" t="s">
        <v>46</v>
      </c>
      <c r="G27" s="2150" t="s">
        <v>46</v>
      </c>
      <c r="H27" s="2150" t="s">
        <v>46</v>
      </c>
      <c r="I27" s="2076" t="s">
        <v>46</v>
      </c>
      <c r="J27" s="2409" t="s">
        <v>46</v>
      </c>
      <c r="K27" s="2076"/>
      <c r="L27" s="2076"/>
      <c r="M27" s="2410" t="s">
        <v>46</v>
      </c>
      <c r="N27" s="2240" t="s">
        <v>46</v>
      </c>
      <c r="O27" s="1970" t="s">
        <v>46</v>
      </c>
      <c r="P27" s="1970" t="s">
        <v>46</v>
      </c>
      <c r="Q27" s="1970" t="s">
        <v>46</v>
      </c>
      <c r="R27" s="1970"/>
      <c r="S27" s="1970"/>
      <c r="T27" s="1970" t="s">
        <v>46</v>
      </c>
      <c r="U27" s="1970" t="s">
        <v>79</v>
      </c>
      <c r="V27" s="2139" t="s">
        <v>46</v>
      </c>
      <c r="W27" s="2139" t="s">
        <v>46</v>
      </c>
      <c r="X27" s="2139">
        <v>1</v>
      </c>
      <c r="Y27" s="2076"/>
      <c r="Z27" s="2076"/>
      <c r="AA27" s="2076" t="s">
        <v>46</v>
      </c>
      <c r="AB27" s="2150" t="s">
        <v>46</v>
      </c>
      <c r="AC27" s="2150" t="s">
        <v>46</v>
      </c>
      <c r="AD27" s="2076" t="s">
        <v>46</v>
      </c>
      <c r="AE27" s="2354" t="s">
        <v>46</v>
      </c>
      <c r="AF27" s="2076"/>
      <c r="AG27" s="2158"/>
      <c r="AH27" s="123"/>
    </row>
    <row r="28" spans="1:40" ht="18" customHeight="1" thickBot="1" x14ac:dyDescent="0.25">
      <c r="A28" s="245"/>
      <c r="B28" s="246"/>
      <c r="C28" s="1363">
        <v>1</v>
      </c>
      <c r="D28" s="1363" t="s">
        <v>0</v>
      </c>
      <c r="E28" s="1363" t="s">
        <v>0</v>
      </c>
      <c r="F28" s="248"/>
      <c r="G28" s="246"/>
      <c r="H28" s="246" t="s">
        <v>0</v>
      </c>
      <c r="I28" s="248" t="s">
        <v>252</v>
      </c>
      <c r="J28" s="247" t="s">
        <v>252</v>
      </c>
      <c r="K28" s="248"/>
      <c r="L28" s="246"/>
      <c r="M28" s="246"/>
      <c r="N28" s="246"/>
      <c r="O28" s="246"/>
      <c r="P28" s="248"/>
      <c r="Q28" s="247"/>
      <c r="R28" s="248"/>
      <c r="S28" s="248"/>
      <c r="T28" s="248"/>
      <c r="U28" s="246"/>
      <c r="V28" s="246"/>
      <c r="W28" s="248"/>
      <c r="X28" s="247"/>
      <c r="Y28" s="248"/>
      <c r="Z28" s="2135"/>
      <c r="AA28" s="248"/>
      <c r="AB28" s="246"/>
      <c r="AC28" s="246"/>
      <c r="AD28" s="248"/>
      <c r="AE28" s="247"/>
      <c r="AF28" s="248" t="s">
        <v>0</v>
      </c>
      <c r="AG28" s="246"/>
      <c r="AH28" s="123"/>
    </row>
    <row r="29" spans="1:40" ht="18" customHeight="1" thickBot="1" x14ac:dyDescent="0.25">
      <c r="A29" s="249"/>
      <c r="B29" s="250"/>
      <c r="C29" s="251">
        <v>3</v>
      </c>
      <c r="D29" s="252"/>
      <c r="E29" s="252"/>
      <c r="F29" s="252"/>
      <c r="G29" s="250"/>
      <c r="H29" s="250"/>
      <c r="I29" s="252"/>
      <c r="J29" s="1363"/>
      <c r="K29" s="1363"/>
      <c r="L29" s="1363"/>
      <c r="M29" s="250"/>
      <c r="N29" s="250"/>
      <c r="O29" s="250" t="s">
        <v>471</v>
      </c>
      <c r="P29" s="252"/>
      <c r="Q29" s="251"/>
      <c r="R29" s="2045"/>
      <c r="S29" s="2045"/>
      <c r="T29" s="2045" t="s">
        <v>0</v>
      </c>
      <c r="U29" s="2040"/>
      <c r="V29" s="2040" t="s">
        <v>0</v>
      </c>
      <c r="W29" s="2046"/>
      <c r="X29" s="2040"/>
      <c r="Y29" s="2144"/>
      <c r="Z29" s="2144"/>
      <c r="AA29" s="252">
        <v>4</v>
      </c>
      <c r="AB29" s="250"/>
      <c r="AC29" s="250"/>
      <c r="AD29" s="252"/>
      <c r="AE29" s="636"/>
      <c r="AF29" s="636"/>
      <c r="AG29" s="250"/>
      <c r="AH29" s="123"/>
    </row>
    <row r="30" spans="1:40" ht="18" customHeight="1" thickBot="1" x14ac:dyDescent="0.25">
      <c r="A30" s="249"/>
      <c r="B30" s="250"/>
      <c r="C30" s="251"/>
      <c r="D30" s="252" t="s">
        <v>0</v>
      </c>
      <c r="E30" s="252"/>
      <c r="F30" s="252"/>
      <c r="G30" s="250"/>
      <c r="H30" s="250"/>
      <c r="I30" s="252"/>
      <c r="J30" s="1363">
        <v>69</v>
      </c>
      <c r="K30" s="1363"/>
      <c r="L30" s="1363"/>
      <c r="M30" s="250"/>
      <c r="N30" s="250"/>
      <c r="O30" s="2344">
        <v>79</v>
      </c>
      <c r="P30" s="252"/>
      <c r="Q30" s="1363">
        <v>89</v>
      </c>
      <c r="R30" s="853" t="s">
        <v>0</v>
      </c>
      <c r="S30" s="854"/>
      <c r="T30" s="252"/>
      <c r="U30" s="250"/>
      <c r="V30" s="250"/>
      <c r="W30" s="252"/>
      <c r="X30" s="251">
        <v>4</v>
      </c>
      <c r="Y30" s="252" t="s">
        <v>0</v>
      </c>
      <c r="Z30" s="252"/>
      <c r="AA30" s="252"/>
      <c r="AB30" s="250"/>
      <c r="AC30" s="250"/>
      <c r="AD30" s="252"/>
      <c r="AE30" s="853" t="s">
        <v>0</v>
      </c>
      <c r="AF30" s="853"/>
      <c r="AG30" s="250"/>
      <c r="AH30" s="123"/>
    </row>
    <row r="31" spans="1:40" ht="18" customHeight="1" thickBot="1" x14ac:dyDescent="0.25">
      <c r="A31" s="249"/>
      <c r="B31" s="250"/>
      <c r="C31" s="251"/>
      <c r="D31" s="252"/>
      <c r="E31" s="252"/>
      <c r="F31" s="252"/>
      <c r="G31" s="250"/>
      <c r="H31" s="250"/>
      <c r="I31" s="252"/>
      <c r="J31" s="251"/>
      <c r="K31" s="252"/>
      <c r="L31" s="250"/>
      <c r="M31" s="2411" t="s">
        <v>322</v>
      </c>
      <c r="N31" s="2411"/>
      <c r="O31" s="2411"/>
      <c r="P31" s="2411"/>
      <c r="Q31" s="2411" t="s">
        <v>174</v>
      </c>
      <c r="R31" s="252"/>
      <c r="S31" s="252"/>
      <c r="T31" s="250"/>
      <c r="U31" s="250"/>
      <c r="V31" s="250"/>
      <c r="W31" s="250"/>
      <c r="X31" s="250"/>
      <c r="Y31" s="1363" t="s">
        <v>0</v>
      </c>
      <c r="Z31" s="1363" t="s">
        <v>0</v>
      </c>
      <c r="AA31" s="252"/>
      <c r="AB31" s="250"/>
      <c r="AC31" s="250"/>
      <c r="AD31" s="252"/>
      <c r="AE31" s="251"/>
      <c r="AF31" s="252"/>
      <c r="AG31" s="250"/>
      <c r="AH31" s="123"/>
    </row>
    <row r="32" spans="1:40" ht="18" customHeight="1" x14ac:dyDescent="0.2">
      <c r="A32" s="249"/>
      <c r="B32" s="250"/>
      <c r="C32" s="251"/>
      <c r="D32" s="252"/>
      <c r="E32" s="252"/>
      <c r="F32" s="252"/>
      <c r="G32" s="250"/>
      <c r="H32" s="250"/>
      <c r="I32" s="252"/>
      <c r="J32" s="251"/>
      <c r="K32" s="252"/>
      <c r="L32" s="250"/>
      <c r="M32" s="250">
        <v>8</v>
      </c>
      <c r="N32" s="250"/>
      <c r="O32" s="250"/>
      <c r="P32" s="252"/>
      <c r="Q32" s="251"/>
      <c r="R32" s="252"/>
      <c r="S32" s="252"/>
      <c r="T32" s="252"/>
      <c r="U32" s="250"/>
      <c r="V32" s="250"/>
      <c r="W32" s="252"/>
      <c r="X32" s="251"/>
      <c r="Y32" s="252" t="s">
        <v>0</v>
      </c>
      <c r="Z32" s="252" t="s">
        <v>0</v>
      </c>
      <c r="AA32" s="252"/>
      <c r="AB32" s="250"/>
      <c r="AC32" s="250"/>
      <c r="AD32" s="252"/>
      <c r="AE32" s="251"/>
      <c r="AF32" s="252"/>
      <c r="AG32" s="250"/>
      <c r="AH32" s="123"/>
    </row>
    <row r="33" spans="1:38" ht="18" customHeight="1" x14ac:dyDescent="0.2">
      <c r="A33" s="249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 t="s">
        <v>297</v>
      </c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  <c r="AB33" s="250"/>
      <c r="AC33" s="250"/>
      <c r="AD33" s="250"/>
      <c r="AE33" s="250"/>
      <c r="AF33" s="250"/>
      <c r="AG33" s="250"/>
    </row>
    <row r="34" spans="1:38" ht="18" customHeight="1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</row>
    <row r="35" spans="1:38" ht="18" customHeight="1" x14ac:dyDescent="0.2">
      <c r="A35" s="103" t="s">
        <v>82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83</v>
      </c>
      <c r="R35" s="48" t="s">
        <v>0</v>
      </c>
      <c r="S35" s="48" t="s">
        <v>84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K35" s="1"/>
    </row>
    <row r="36" spans="1:38" ht="18" customHeight="1" x14ac:dyDescent="0.2">
      <c r="A36" s="2412" t="s">
        <v>85</v>
      </c>
      <c r="B36" s="1763"/>
      <c r="C36" s="1763"/>
      <c r="D36" s="2413" t="s">
        <v>86</v>
      </c>
      <c r="E36" s="1765"/>
      <c r="F36" s="1765"/>
      <c r="G36" s="1765"/>
      <c r="H36" s="1765"/>
      <c r="I36" s="1765"/>
      <c r="J36" s="1765"/>
      <c r="K36" s="1765"/>
      <c r="L36" s="1765"/>
      <c r="M36" s="1766" t="s">
        <v>87</v>
      </c>
      <c r="N36" s="1765"/>
      <c r="O36" s="1765"/>
      <c r="P36" s="1765"/>
      <c r="Q36" s="1765"/>
      <c r="R36" s="1765"/>
      <c r="S36" s="1767"/>
      <c r="T36" s="4983" t="s">
        <v>88</v>
      </c>
      <c r="U36" s="4983"/>
      <c r="V36" s="4983"/>
      <c r="W36" s="4983"/>
      <c r="X36" s="4983"/>
      <c r="Y36" s="4983"/>
      <c r="Z36" s="4983"/>
      <c r="AA36" s="2414" t="s">
        <v>89</v>
      </c>
      <c r="AB36" s="2415"/>
      <c r="AC36" s="2415"/>
      <c r="AD36" s="2415"/>
      <c r="AE36" s="2415"/>
      <c r="AF36" s="2415"/>
      <c r="AG36" s="2270"/>
      <c r="AK36" s="1"/>
    </row>
    <row r="37" spans="1:38" ht="18" customHeight="1" x14ac:dyDescent="0.2">
      <c r="A37" s="2105" t="s">
        <v>90</v>
      </c>
      <c r="B37" s="2106"/>
      <c r="C37" s="2106"/>
      <c r="D37" s="2107" t="s">
        <v>91</v>
      </c>
      <c r="E37" s="2108"/>
      <c r="F37" s="2007"/>
      <c r="G37" s="2007"/>
      <c r="H37" s="2007"/>
      <c r="I37" s="2007"/>
      <c r="J37" s="2007"/>
      <c r="K37" s="2007"/>
      <c r="L37" s="2109"/>
      <c r="M37" s="2110" t="s">
        <v>92</v>
      </c>
      <c r="N37" s="2106"/>
      <c r="O37" s="2111"/>
      <c r="P37" s="2106"/>
      <c r="Q37" s="2106"/>
      <c r="R37" s="2106"/>
      <c r="S37" s="2112"/>
      <c r="T37" s="2107" t="s">
        <v>93</v>
      </c>
      <c r="U37" s="2007"/>
      <c r="V37" s="2108"/>
      <c r="W37" s="2007"/>
      <c r="X37" s="2007"/>
      <c r="Y37" s="2007"/>
      <c r="Z37" s="2109"/>
      <c r="AA37" s="104" t="s">
        <v>94</v>
      </c>
      <c r="AD37" s="60"/>
      <c r="AG37" s="63"/>
      <c r="AK37" s="1"/>
    </row>
    <row r="38" spans="1:38" ht="18" customHeight="1" x14ac:dyDescent="0.2">
      <c r="A38" s="2113" t="s">
        <v>95</v>
      </c>
      <c r="B38" s="2007"/>
      <c r="C38" s="2007"/>
      <c r="D38" s="2114"/>
      <c r="E38" s="2007"/>
      <c r="F38" s="2007"/>
      <c r="G38" s="2109"/>
      <c r="H38" s="2115" t="s">
        <v>96</v>
      </c>
      <c r="I38" s="2007"/>
      <c r="J38" s="2007"/>
      <c r="K38" s="2007"/>
      <c r="L38" s="2007"/>
      <c r="M38" s="2116"/>
      <c r="N38" s="2007"/>
      <c r="O38" s="2007"/>
      <c r="P38" s="2007"/>
      <c r="Q38" s="2007"/>
      <c r="R38" s="2007"/>
      <c r="S38" s="2007"/>
      <c r="T38" s="2114"/>
      <c r="U38" s="103" t="s">
        <v>97</v>
      </c>
      <c r="AA38" s="2111"/>
      <c r="AB38" s="2106"/>
      <c r="AC38" s="2106"/>
      <c r="AD38" s="2106"/>
      <c r="AE38" s="2106"/>
      <c r="AF38" s="2106"/>
      <c r="AG38" s="2117"/>
      <c r="AK38" s="42"/>
    </row>
    <row r="39" spans="1:38" ht="18" customHeight="1" x14ac:dyDescent="0.2">
      <c r="A39" s="2118" t="s">
        <v>98</v>
      </c>
      <c r="B39" s="2119"/>
      <c r="C39" s="2119"/>
      <c r="D39" s="2120"/>
      <c r="E39" s="2119"/>
      <c r="F39" s="2119"/>
      <c r="G39" s="2121"/>
      <c r="H39" s="2122" t="s">
        <v>99</v>
      </c>
      <c r="I39" s="2121"/>
      <c r="J39" s="2119"/>
      <c r="K39" s="2119"/>
      <c r="L39" s="2119"/>
      <c r="M39" s="2123"/>
      <c r="N39" s="2119"/>
      <c r="O39" s="2119"/>
      <c r="P39" s="2119"/>
      <c r="Q39" s="2124"/>
      <c r="R39" s="2124"/>
      <c r="S39" s="2124"/>
      <c r="T39" s="2120"/>
      <c r="U39" s="2125" t="s">
        <v>100</v>
      </c>
      <c r="V39" s="2119"/>
      <c r="W39" s="2119"/>
      <c r="X39" s="2119"/>
      <c r="Y39" s="2119"/>
      <c r="Z39" s="2119"/>
      <c r="AA39" s="2119"/>
      <c r="AB39" s="2119"/>
      <c r="AC39" s="2119"/>
      <c r="AD39" s="2119"/>
      <c r="AE39" s="2119"/>
      <c r="AF39" s="2119"/>
      <c r="AG39" s="2126"/>
      <c r="AK39" s="1"/>
    </row>
    <row r="40" spans="1:38" ht="18" customHeight="1" x14ac:dyDescent="0.2">
      <c r="B40" s="64" t="s">
        <v>42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</row>
    <row r="41" spans="1:38" ht="18" customHeight="1" x14ac:dyDescent="0.2">
      <c r="A41" s="2127" t="s">
        <v>43</v>
      </c>
      <c r="B41" s="2128" t="s">
        <v>44</v>
      </c>
      <c r="C41" s="2383">
        <v>1</v>
      </c>
      <c r="D41" s="2384">
        <v>2</v>
      </c>
      <c r="E41" s="2384">
        <v>3</v>
      </c>
      <c r="F41" s="2383">
        <v>4</v>
      </c>
      <c r="G41" s="2383">
        <v>5</v>
      </c>
      <c r="H41" s="2383">
        <v>6</v>
      </c>
      <c r="I41" s="2383">
        <v>7</v>
      </c>
      <c r="J41" s="2383">
        <v>8</v>
      </c>
      <c r="K41" s="2384">
        <v>9</v>
      </c>
      <c r="L41" s="2384">
        <v>10</v>
      </c>
      <c r="M41" s="2383">
        <v>11</v>
      </c>
      <c r="N41" s="2383">
        <v>12</v>
      </c>
      <c r="O41" s="2383">
        <v>13</v>
      </c>
      <c r="P41" s="2383">
        <v>14</v>
      </c>
      <c r="Q41" s="2383">
        <v>15</v>
      </c>
      <c r="R41" s="2384">
        <v>16</v>
      </c>
      <c r="S41" s="2384">
        <v>17</v>
      </c>
      <c r="T41" s="2383">
        <v>18</v>
      </c>
      <c r="U41" s="2383">
        <v>19</v>
      </c>
      <c r="V41" s="2383">
        <v>20</v>
      </c>
      <c r="W41" s="2383">
        <v>21</v>
      </c>
      <c r="X41" s="2383">
        <v>22</v>
      </c>
      <c r="Y41" s="2384">
        <v>23</v>
      </c>
      <c r="Z41" s="2384">
        <v>24</v>
      </c>
      <c r="AA41" s="2383">
        <v>25</v>
      </c>
      <c r="AB41" s="2383">
        <v>26</v>
      </c>
      <c r="AC41" s="2383">
        <v>27</v>
      </c>
      <c r="AD41" s="2383">
        <v>28</v>
      </c>
      <c r="AE41" s="2383">
        <v>29</v>
      </c>
      <c r="AF41" s="2384">
        <v>30</v>
      </c>
      <c r="AG41" s="2026"/>
      <c r="AH41" s="110"/>
      <c r="AI41" s="111"/>
      <c r="AL41" t="s">
        <v>0</v>
      </c>
    </row>
    <row r="42" spans="1:38" ht="18" customHeight="1" x14ac:dyDescent="0.2">
      <c r="A42" s="2416">
        <v>1</v>
      </c>
      <c r="B42" s="2402" t="s">
        <v>0</v>
      </c>
      <c r="C42" s="2344">
        <v>11</v>
      </c>
      <c r="D42" s="2283" t="s">
        <v>109</v>
      </c>
      <c r="E42" s="2344" t="s">
        <v>109</v>
      </c>
      <c r="F42" s="2344" t="s">
        <v>50</v>
      </c>
      <c r="G42" s="2344" t="s">
        <v>50</v>
      </c>
      <c r="H42" s="2344" t="s">
        <v>50</v>
      </c>
      <c r="I42" s="2344" t="s">
        <v>50</v>
      </c>
      <c r="J42" s="2283" t="s">
        <v>50</v>
      </c>
      <c r="K42" s="2344" t="s">
        <v>104</v>
      </c>
      <c r="L42" s="2344" t="s">
        <v>104</v>
      </c>
      <c r="M42" s="2344">
        <v>8</v>
      </c>
      <c r="N42" s="2344">
        <v>8</v>
      </c>
      <c r="O42" s="2283">
        <v>8</v>
      </c>
      <c r="P42" s="2344">
        <v>8</v>
      </c>
      <c r="Q42" s="2343">
        <v>8</v>
      </c>
      <c r="R42" s="2283"/>
      <c r="S42" s="2344"/>
      <c r="T42" s="2344" t="s">
        <v>50</v>
      </c>
      <c r="U42" s="2344" t="s">
        <v>50</v>
      </c>
      <c r="V42" s="2344" t="s">
        <v>50</v>
      </c>
      <c r="W42" s="2344" t="s">
        <v>50</v>
      </c>
      <c r="X42" s="2343" t="s">
        <v>50</v>
      </c>
      <c r="Y42" s="2343"/>
      <c r="Z42" s="2344"/>
      <c r="AA42" s="2344">
        <v>1</v>
      </c>
      <c r="AB42" s="2343">
        <v>1</v>
      </c>
      <c r="AC42" s="2343">
        <v>1</v>
      </c>
      <c r="AD42" s="2343">
        <v>1</v>
      </c>
      <c r="AE42" s="2344">
        <v>1</v>
      </c>
      <c r="AF42" s="2344"/>
      <c r="AG42" s="2349"/>
      <c r="AH42" s="115"/>
      <c r="AI42" s="116"/>
    </row>
    <row r="43" spans="1:38" ht="18" customHeight="1" x14ac:dyDescent="0.2">
      <c r="A43" s="2130">
        <v>6</v>
      </c>
      <c r="B43" s="2044" t="s">
        <v>105</v>
      </c>
      <c r="C43" s="2071">
        <v>9</v>
      </c>
      <c r="D43" s="2071" t="s">
        <v>70</v>
      </c>
      <c r="E43" s="2061" t="s">
        <v>70</v>
      </c>
      <c r="F43" s="2071" t="s">
        <v>50</v>
      </c>
      <c r="G43" s="2071" t="s">
        <v>50</v>
      </c>
      <c r="H43" s="2071" t="s">
        <v>50</v>
      </c>
      <c r="I43" s="2071" t="s">
        <v>50</v>
      </c>
      <c r="J43" s="2071" t="s">
        <v>50</v>
      </c>
      <c r="K43" s="2071" t="s">
        <v>103</v>
      </c>
      <c r="L43" s="2071" t="s">
        <v>104</v>
      </c>
      <c r="M43" s="2071">
        <v>6</v>
      </c>
      <c r="N43" s="2071">
        <v>6</v>
      </c>
      <c r="O43" s="2071">
        <v>6</v>
      </c>
      <c r="P43" s="2071">
        <v>6</v>
      </c>
      <c r="Q43" s="2071">
        <v>6</v>
      </c>
      <c r="R43" s="2071"/>
      <c r="S43" s="2071"/>
      <c r="T43" s="2050" t="s">
        <v>50</v>
      </c>
      <c r="U43" s="2050" t="s">
        <v>50</v>
      </c>
      <c r="V43" s="2050" t="s">
        <v>50</v>
      </c>
      <c r="W43" s="2050" t="s">
        <v>50</v>
      </c>
      <c r="X43" s="2050" t="s">
        <v>50</v>
      </c>
      <c r="Y43" s="2050"/>
      <c r="Z43" s="2050"/>
      <c r="AA43" s="2050">
        <v>5</v>
      </c>
      <c r="AB43" s="2050">
        <v>5</v>
      </c>
      <c r="AC43" s="2050">
        <v>5</v>
      </c>
      <c r="AD43" s="2050">
        <v>5</v>
      </c>
      <c r="AE43" s="2050">
        <v>5</v>
      </c>
      <c r="AF43" s="2050"/>
      <c r="AG43" s="2043"/>
      <c r="AH43" s="115"/>
      <c r="AI43" s="116"/>
    </row>
    <row r="44" spans="1:38" ht="18" customHeight="1" x14ac:dyDescent="0.2">
      <c r="A44" s="2133">
        <v>11</v>
      </c>
      <c r="B44" s="2059" t="s">
        <v>108</v>
      </c>
      <c r="C44" s="2135">
        <v>10</v>
      </c>
      <c r="D44" s="2135" t="s">
        <v>106</v>
      </c>
      <c r="E44" s="2417" t="s">
        <v>106</v>
      </c>
      <c r="F44" s="2135" t="s">
        <v>50</v>
      </c>
      <c r="G44" s="2135" t="s">
        <v>50</v>
      </c>
      <c r="H44" s="2135" t="s">
        <v>50</v>
      </c>
      <c r="I44" s="2135" t="s">
        <v>50</v>
      </c>
      <c r="J44" s="2135" t="s">
        <v>50</v>
      </c>
      <c r="K44" s="2135" t="s">
        <v>107</v>
      </c>
      <c r="L44" s="2135" t="s">
        <v>107</v>
      </c>
      <c r="M44" s="2141">
        <v>7</v>
      </c>
      <c r="N44" s="2135">
        <v>7</v>
      </c>
      <c r="O44" s="2135">
        <v>7</v>
      </c>
      <c r="P44" s="2135">
        <v>7</v>
      </c>
      <c r="Q44" s="2135">
        <v>7</v>
      </c>
      <c r="R44" s="2135"/>
      <c r="S44" s="2135"/>
      <c r="T44" s="2076">
        <v>4</v>
      </c>
      <c r="U44" s="2135">
        <v>4</v>
      </c>
      <c r="V44" s="2135">
        <v>4</v>
      </c>
      <c r="W44" s="2135">
        <v>4</v>
      </c>
      <c r="X44" s="2135">
        <v>4</v>
      </c>
      <c r="Y44" s="2135"/>
      <c r="Z44" s="2135"/>
      <c r="AA44" s="2135">
        <v>3</v>
      </c>
      <c r="AB44" s="2135">
        <v>3</v>
      </c>
      <c r="AC44" s="2135">
        <v>3</v>
      </c>
      <c r="AD44" s="2156">
        <v>3</v>
      </c>
      <c r="AE44" s="2140">
        <v>3</v>
      </c>
      <c r="AF44" s="2135"/>
      <c r="AG44" s="2142"/>
      <c r="AH44" s="115"/>
      <c r="AI44" s="116"/>
    </row>
    <row r="45" spans="1:38" ht="18" customHeight="1" x14ac:dyDescent="0.2">
      <c r="A45" s="2416">
        <v>2</v>
      </c>
      <c r="B45" s="2402" t="s">
        <v>0</v>
      </c>
      <c r="C45" s="2406" t="s">
        <v>50</v>
      </c>
      <c r="D45" s="2406" t="s">
        <v>104</v>
      </c>
      <c r="E45" s="2406" t="s">
        <v>104</v>
      </c>
      <c r="F45" s="2285">
        <v>8</v>
      </c>
      <c r="G45" s="2285">
        <v>8</v>
      </c>
      <c r="H45" s="2344">
        <v>8</v>
      </c>
      <c r="I45" s="2344">
        <v>8</v>
      </c>
      <c r="J45" s="2283">
        <v>8</v>
      </c>
      <c r="K45" s="2283"/>
      <c r="L45" s="2344"/>
      <c r="M45" s="2344" t="s">
        <v>50</v>
      </c>
      <c r="N45" s="2344" t="s">
        <v>50</v>
      </c>
      <c r="O45" s="2343" t="s">
        <v>50</v>
      </c>
      <c r="P45" s="2344" t="s">
        <v>50</v>
      </c>
      <c r="Q45" s="2343" t="s">
        <v>50</v>
      </c>
      <c r="R45" s="2343"/>
      <c r="S45" s="2283"/>
      <c r="T45" s="2343">
        <v>1</v>
      </c>
      <c r="U45" s="2343">
        <v>1</v>
      </c>
      <c r="V45" s="2343">
        <v>1</v>
      </c>
      <c r="W45" s="2343">
        <v>1</v>
      </c>
      <c r="X45" s="2343">
        <v>1</v>
      </c>
      <c r="Y45" s="2344"/>
      <c r="Z45" s="2344"/>
      <c r="AA45" s="2344">
        <v>9</v>
      </c>
      <c r="AB45" s="2344">
        <v>9</v>
      </c>
      <c r="AC45" s="2343">
        <v>9</v>
      </c>
      <c r="AD45" s="2343">
        <v>9</v>
      </c>
      <c r="AE45" s="2344">
        <v>9</v>
      </c>
      <c r="AF45" s="2344" t="s">
        <v>70</v>
      </c>
      <c r="AG45" s="2349"/>
      <c r="AH45" s="115"/>
      <c r="AI45" s="116"/>
    </row>
    <row r="46" spans="1:38" ht="18" customHeight="1" x14ac:dyDescent="0.2">
      <c r="A46" s="2130">
        <v>7</v>
      </c>
      <c r="B46" s="2044" t="s">
        <v>114</v>
      </c>
      <c r="C46" s="2143" t="s">
        <v>50</v>
      </c>
      <c r="D46" s="2045" t="s">
        <v>103</v>
      </c>
      <c r="E46" s="2045" t="s">
        <v>104</v>
      </c>
      <c r="F46" s="2045">
        <v>6</v>
      </c>
      <c r="G46" s="2144">
        <v>6</v>
      </c>
      <c r="H46" s="2144">
        <v>6</v>
      </c>
      <c r="I46" s="2040">
        <v>6</v>
      </c>
      <c r="J46" s="2055">
        <v>6</v>
      </c>
      <c r="K46" s="2055"/>
      <c r="L46" s="2055"/>
      <c r="M46" s="2057" t="s">
        <v>50</v>
      </c>
      <c r="N46" s="2057" t="s">
        <v>50</v>
      </c>
      <c r="O46" s="2057" t="s">
        <v>50</v>
      </c>
      <c r="P46" s="2057" t="s">
        <v>50</v>
      </c>
      <c r="Q46" s="2057" t="s">
        <v>50</v>
      </c>
      <c r="R46" s="2418"/>
      <c r="S46" s="2055"/>
      <c r="T46" s="2055" t="s">
        <v>49</v>
      </c>
      <c r="U46" s="2194">
        <v>5</v>
      </c>
      <c r="V46" s="2143" t="s">
        <v>49</v>
      </c>
      <c r="W46" s="2019" t="s">
        <v>49</v>
      </c>
      <c r="X46" s="2144" t="s">
        <v>49</v>
      </c>
      <c r="Y46" s="2144"/>
      <c r="Z46" s="2144"/>
      <c r="AA46" s="2144">
        <v>10</v>
      </c>
      <c r="AB46" s="2144">
        <v>10</v>
      </c>
      <c r="AC46" s="2144">
        <v>10</v>
      </c>
      <c r="AD46" s="2144">
        <v>10</v>
      </c>
      <c r="AE46" s="2144">
        <v>10</v>
      </c>
      <c r="AF46" s="2144" t="s">
        <v>106</v>
      </c>
      <c r="AG46" s="2078"/>
      <c r="AH46" s="115"/>
      <c r="AI46" s="116"/>
    </row>
    <row r="47" spans="1:38" ht="18" customHeight="1" thickBot="1" x14ac:dyDescent="0.25">
      <c r="A47" s="2133">
        <v>12</v>
      </c>
      <c r="B47" s="2145" t="s">
        <v>115</v>
      </c>
      <c r="C47" s="2141" t="s">
        <v>50</v>
      </c>
      <c r="D47" s="2141" t="s">
        <v>107</v>
      </c>
      <c r="E47" s="2141" t="s">
        <v>107</v>
      </c>
      <c r="F47" s="2141">
        <v>7</v>
      </c>
      <c r="G47" s="2141">
        <v>7</v>
      </c>
      <c r="H47" s="2141">
        <v>7</v>
      </c>
      <c r="I47" s="2141">
        <v>7</v>
      </c>
      <c r="J47" s="2146">
        <v>7</v>
      </c>
      <c r="K47" s="2141"/>
      <c r="L47" s="2141"/>
      <c r="M47" s="2141">
        <v>4</v>
      </c>
      <c r="N47" s="2146">
        <v>4</v>
      </c>
      <c r="O47" s="2141">
        <v>4</v>
      </c>
      <c r="P47" s="2419">
        <v>4</v>
      </c>
      <c r="Q47" s="2141">
        <v>4</v>
      </c>
      <c r="R47" s="2141"/>
      <c r="S47" s="2141"/>
      <c r="T47" s="2141">
        <v>3</v>
      </c>
      <c r="U47" s="2141">
        <v>3</v>
      </c>
      <c r="V47" s="2141">
        <v>3</v>
      </c>
      <c r="W47" s="2141">
        <v>3</v>
      </c>
      <c r="X47" s="2139">
        <v>3</v>
      </c>
      <c r="Y47" s="2141"/>
      <c r="Z47" s="2141"/>
      <c r="AA47" s="2352">
        <v>11</v>
      </c>
      <c r="AB47" s="2352">
        <v>11</v>
      </c>
      <c r="AC47" s="2352">
        <v>11</v>
      </c>
      <c r="AD47" s="2075">
        <v>11</v>
      </c>
      <c r="AE47" s="2141">
        <v>11</v>
      </c>
      <c r="AF47" s="2141" t="s">
        <v>109</v>
      </c>
      <c r="AG47" s="2148"/>
      <c r="AH47" s="115"/>
      <c r="AI47" s="116"/>
    </row>
    <row r="48" spans="1:38" ht="18" customHeight="1" thickBot="1" x14ac:dyDescent="0.25">
      <c r="A48" s="2416">
        <v>3</v>
      </c>
      <c r="B48" s="2420" t="s">
        <v>116</v>
      </c>
      <c r="C48" s="1741">
        <v>8</v>
      </c>
      <c r="D48" s="597"/>
      <c r="E48" s="712"/>
      <c r="F48" s="712" t="s">
        <v>50</v>
      </c>
      <c r="G48" s="1783" t="s">
        <v>398</v>
      </c>
      <c r="H48" s="1783" t="s">
        <v>398</v>
      </c>
      <c r="I48" s="1783" t="s">
        <v>398</v>
      </c>
      <c r="J48" s="597" t="s">
        <v>50</v>
      </c>
      <c r="K48" s="597"/>
      <c r="L48" s="597"/>
      <c r="M48" s="1285">
        <v>1</v>
      </c>
      <c r="N48" s="1285">
        <v>1</v>
      </c>
      <c r="O48" s="1285">
        <v>1</v>
      </c>
      <c r="P48" s="1285">
        <v>1</v>
      </c>
      <c r="Q48" s="1285">
        <v>1</v>
      </c>
      <c r="R48" s="1285"/>
      <c r="S48" s="1285"/>
      <c r="T48" s="1285">
        <v>9</v>
      </c>
      <c r="U48" s="712">
        <v>9</v>
      </c>
      <c r="V48" s="597">
        <v>9</v>
      </c>
      <c r="W48" s="597">
        <v>9</v>
      </c>
      <c r="X48" s="711">
        <v>9</v>
      </c>
      <c r="Y48" s="712" t="s">
        <v>70</v>
      </c>
      <c r="Z48" s="2141" t="s">
        <v>70</v>
      </c>
      <c r="AA48" s="712" t="s">
        <v>50</v>
      </c>
      <c r="AB48" s="712" t="s">
        <v>50</v>
      </c>
      <c r="AC48" s="596" t="s">
        <v>50</v>
      </c>
      <c r="AD48" s="712" t="s">
        <v>50</v>
      </c>
      <c r="AE48" s="1741" t="s">
        <v>50</v>
      </c>
      <c r="AF48" s="712" t="s">
        <v>103</v>
      </c>
      <c r="AG48" s="1086"/>
      <c r="AH48" s="115"/>
      <c r="AI48" s="116"/>
    </row>
    <row r="49" spans="1:37" ht="18" customHeight="1" thickBot="1" x14ac:dyDescent="0.25">
      <c r="A49" s="2130">
        <v>8</v>
      </c>
      <c r="B49" s="2044" t="s">
        <v>117</v>
      </c>
      <c r="C49" s="2055">
        <v>6</v>
      </c>
      <c r="D49" s="2055"/>
      <c r="E49" s="2055"/>
      <c r="F49" s="2055" t="s">
        <v>50</v>
      </c>
      <c r="G49" s="2055" t="s">
        <v>50</v>
      </c>
      <c r="H49" s="2055" t="s">
        <v>50</v>
      </c>
      <c r="I49" s="2047" t="s">
        <v>50</v>
      </c>
      <c r="J49" s="2055" t="s">
        <v>50</v>
      </c>
      <c r="K49" s="2055"/>
      <c r="L49" s="2055"/>
      <c r="M49" s="2055">
        <v>5</v>
      </c>
      <c r="N49" s="2077">
        <v>5</v>
      </c>
      <c r="O49" s="2055">
        <v>5</v>
      </c>
      <c r="P49" s="2055">
        <v>5</v>
      </c>
      <c r="Q49" s="2055">
        <v>5</v>
      </c>
      <c r="R49" s="2055"/>
      <c r="S49" s="2055"/>
      <c r="T49" s="2100">
        <v>10</v>
      </c>
      <c r="U49" s="2100">
        <v>10</v>
      </c>
      <c r="V49" s="2100">
        <v>10</v>
      </c>
      <c r="W49" s="2100">
        <v>10</v>
      </c>
      <c r="X49" s="2195">
        <v>10</v>
      </c>
      <c r="Y49" s="2195" t="s">
        <v>106</v>
      </c>
      <c r="Z49" s="2195" t="s">
        <v>106</v>
      </c>
      <c r="AA49" s="2144" t="s">
        <v>50</v>
      </c>
      <c r="AB49" s="2144" t="s">
        <v>50</v>
      </c>
      <c r="AC49" s="2144" t="s">
        <v>50</v>
      </c>
      <c r="AD49" s="2045" t="s">
        <v>50</v>
      </c>
      <c r="AE49" s="2045" t="s">
        <v>50</v>
      </c>
      <c r="AF49" s="2143" t="s">
        <v>107</v>
      </c>
      <c r="AG49" s="2078"/>
      <c r="AH49" s="115"/>
      <c r="AI49" s="116"/>
    </row>
    <row r="50" spans="1:37" ht="18" customHeight="1" thickBot="1" x14ac:dyDescent="0.25">
      <c r="A50" s="2133">
        <v>13</v>
      </c>
      <c r="B50" s="2059" t="s">
        <v>118</v>
      </c>
      <c r="C50" s="2134">
        <v>7</v>
      </c>
      <c r="D50" s="2150"/>
      <c r="E50" s="2135"/>
      <c r="F50" s="2135">
        <v>4</v>
      </c>
      <c r="G50" s="2283">
        <v>4</v>
      </c>
      <c r="H50" s="2135">
        <v>4</v>
      </c>
      <c r="I50" s="2156">
        <v>4</v>
      </c>
      <c r="J50" s="2150">
        <v>4</v>
      </c>
      <c r="K50" s="2135"/>
      <c r="L50" s="2155"/>
      <c r="M50" s="2135">
        <v>3</v>
      </c>
      <c r="N50" s="2155">
        <v>3</v>
      </c>
      <c r="O50" s="2421">
        <v>3</v>
      </c>
      <c r="P50" s="2155">
        <v>3</v>
      </c>
      <c r="Q50" s="2135">
        <v>3</v>
      </c>
      <c r="R50" s="2135"/>
      <c r="S50" s="2135"/>
      <c r="T50" s="2135">
        <v>11</v>
      </c>
      <c r="U50" s="2135">
        <v>11</v>
      </c>
      <c r="V50" s="2135">
        <v>11</v>
      </c>
      <c r="W50" s="2135">
        <v>11</v>
      </c>
      <c r="X50" s="2147">
        <v>11</v>
      </c>
      <c r="Y50" s="2147" t="s">
        <v>109</v>
      </c>
      <c r="Z50" s="2393" t="s">
        <v>109</v>
      </c>
      <c r="AA50" s="2422" t="s">
        <v>50</v>
      </c>
      <c r="AB50" s="2422" t="s">
        <v>50</v>
      </c>
      <c r="AC50" s="2422" t="s">
        <v>50</v>
      </c>
      <c r="AD50" s="2135" t="s">
        <v>50</v>
      </c>
      <c r="AE50" s="2150" t="s">
        <v>50</v>
      </c>
      <c r="AF50" s="2135" t="s">
        <v>104</v>
      </c>
      <c r="AG50" s="2142"/>
      <c r="AH50" s="115"/>
      <c r="AI50" s="116"/>
    </row>
    <row r="51" spans="1:37" ht="18" customHeight="1" thickBot="1" x14ac:dyDescent="0.25">
      <c r="A51" s="2416">
        <v>4</v>
      </c>
      <c r="B51" s="2402" t="s">
        <v>119</v>
      </c>
      <c r="C51" s="2344" t="s">
        <v>50</v>
      </c>
      <c r="D51" s="2343"/>
      <c r="E51" s="2344"/>
      <c r="F51" s="2283">
        <v>1</v>
      </c>
      <c r="G51" s="2283">
        <v>1</v>
      </c>
      <c r="H51" s="2283">
        <v>1</v>
      </c>
      <c r="I51" s="2156" t="s">
        <v>157</v>
      </c>
      <c r="J51" s="2283">
        <v>1</v>
      </c>
      <c r="K51" s="2283"/>
      <c r="L51" s="2283"/>
      <c r="M51" s="2283">
        <v>9</v>
      </c>
      <c r="N51" s="2344">
        <v>9</v>
      </c>
      <c r="O51" s="2343">
        <v>9</v>
      </c>
      <c r="P51" s="2343">
        <v>9</v>
      </c>
      <c r="Q51" s="2343">
        <v>9</v>
      </c>
      <c r="R51" s="2343" t="s">
        <v>70</v>
      </c>
      <c r="S51" s="2141" t="s">
        <v>70</v>
      </c>
      <c r="T51" s="2423" t="s">
        <v>50</v>
      </c>
      <c r="U51" s="2344" t="s">
        <v>50</v>
      </c>
      <c r="V51" s="2285" t="s">
        <v>50</v>
      </c>
      <c r="W51" s="2285" t="s">
        <v>50</v>
      </c>
      <c r="X51" s="2285" t="s">
        <v>50</v>
      </c>
      <c r="Y51" s="2424" t="s">
        <v>103</v>
      </c>
      <c r="Z51" s="2424" t="s">
        <v>104</v>
      </c>
      <c r="AA51" s="2144">
        <v>6</v>
      </c>
      <c r="AB51" s="2144">
        <v>6</v>
      </c>
      <c r="AC51" s="2423">
        <v>6</v>
      </c>
      <c r="AD51" s="2344">
        <v>6</v>
      </c>
      <c r="AE51" s="2343">
        <v>6</v>
      </c>
      <c r="AF51" s="2344"/>
      <c r="AG51" s="2349"/>
      <c r="AH51" s="115"/>
      <c r="AI51" s="116"/>
    </row>
    <row r="52" spans="1:37" ht="18" customHeight="1" x14ac:dyDescent="0.2">
      <c r="A52" s="2130">
        <v>9</v>
      </c>
      <c r="B52" s="2044" t="s">
        <v>120</v>
      </c>
      <c r="C52" s="2144" t="s">
        <v>50</v>
      </c>
      <c r="D52" s="2144"/>
      <c r="E52" s="2144"/>
      <c r="F52" s="2144">
        <v>5</v>
      </c>
      <c r="G52" s="2144">
        <v>5</v>
      </c>
      <c r="H52" s="2144">
        <v>5</v>
      </c>
      <c r="I52" s="2144">
        <v>5</v>
      </c>
      <c r="J52" s="2144" t="s">
        <v>188</v>
      </c>
      <c r="K52" s="2144"/>
      <c r="L52" s="2144"/>
      <c r="M52" s="2144">
        <v>10</v>
      </c>
      <c r="N52" s="2144">
        <v>10</v>
      </c>
      <c r="O52" s="2144">
        <v>10</v>
      </c>
      <c r="P52" s="2144">
        <v>10</v>
      </c>
      <c r="Q52" s="2040">
        <v>10</v>
      </c>
      <c r="R52" s="2144" t="s">
        <v>106</v>
      </c>
      <c r="S52" s="2144" t="s">
        <v>106</v>
      </c>
      <c r="T52" s="2144" t="s">
        <v>50</v>
      </c>
      <c r="U52" s="2144" t="s">
        <v>50</v>
      </c>
      <c r="V52" s="2144" t="s">
        <v>50</v>
      </c>
      <c r="W52" s="2144" t="s">
        <v>50</v>
      </c>
      <c r="X52" s="2144" t="s">
        <v>50</v>
      </c>
      <c r="Y52" s="2144" t="s">
        <v>107</v>
      </c>
      <c r="Z52" s="2144" t="s">
        <v>107</v>
      </c>
      <c r="AA52" s="2144">
        <v>7</v>
      </c>
      <c r="AB52" s="2144">
        <v>7</v>
      </c>
      <c r="AC52" s="2144">
        <v>7</v>
      </c>
      <c r="AD52" s="2144">
        <v>7</v>
      </c>
      <c r="AE52" s="2144">
        <v>7</v>
      </c>
      <c r="AF52" s="2144"/>
      <c r="AG52" s="2078"/>
      <c r="AH52" s="115"/>
      <c r="AI52" s="116"/>
    </row>
    <row r="53" spans="1:37" ht="18" customHeight="1" x14ac:dyDescent="0.2">
      <c r="A53" s="2133">
        <v>14</v>
      </c>
      <c r="B53" s="2059" t="s">
        <v>121</v>
      </c>
      <c r="C53" s="2425">
        <v>4</v>
      </c>
      <c r="D53" s="2135"/>
      <c r="E53" s="2135"/>
      <c r="F53" s="2135">
        <v>3</v>
      </c>
      <c r="G53" s="2155">
        <v>3</v>
      </c>
      <c r="H53" s="2155">
        <v>3</v>
      </c>
      <c r="I53" s="2155">
        <v>3</v>
      </c>
      <c r="J53" s="2135">
        <v>3</v>
      </c>
      <c r="K53" s="2135"/>
      <c r="L53" s="2135"/>
      <c r="M53" s="2135">
        <v>11</v>
      </c>
      <c r="N53" s="2135">
        <v>11</v>
      </c>
      <c r="O53" s="2150">
        <v>11</v>
      </c>
      <c r="P53" s="2135">
        <v>11</v>
      </c>
      <c r="Q53" s="2135">
        <v>11</v>
      </c>
      <c r="R53" s="2150" t="s">
        <v>109</v>
      </c>
      <c r="S53" s="2135" t="s">
        <v>109</v>
      </c>
      <c r="T53" s="2135" t="s">
        <v>50</v>
      </c>
      <c r="U53" s="2135" t="s">
        <v>50</v>
      </c>
      <c r="V53" s="2135" t="s">
        <v>50</v>
      </c>
      <c r="W53" s="2135" t="s">
        <v>50</v>
      </c>
      <c r="X53" s="2150" t="s">
        <v>50</v>
      </c>
      <c r="Y53" s="2135" t="s">
        <v>104</v>
      </c>
      <c r="Z53" s="2135" t="s">
        <v>104</v>
      </c>
      <c r="AA53" s="2135">
        <v>8</v>
      </c>
      <c r="AB53" s="2135">
        <v>8</v>
      </c>
      <c r="AC53" s="2138">
        <v>8</v>
      </c>
      <c r="AD53" s="2135">
        <v>8</v>
      </c>
      <c r="AE53" s="2135">
        <v>8</v>
      </c>
      <c r="AF53" s="2150"/>
      <c r="AG53" s="2158"/>
      <c r="AH53" s="115"/>
      <c r="AI53" s="116"/>
      <c r="AK53" t="s">
        <v>0</v>
      </c>
    </row>
    <row r="54" spans="1:37" ht="18" customHeight="1" x14ac:dyDescent="0.2">
      <c r="A54" s="2416">
        <v>5</v>
      </c>
      <c r="B54" s="2044" t="s">
        <v>122</v>
      </c>
      <c r="C54" s="2426" t="s">
        <v>396</v>
      </c>
      <c r="D54" s="2283"/>
      <c r="E54" s="2283"/>
      <c r="F54" s="2285">
        <v>9</v>
      </c>
      <c r="G54" s="2343">
        <v>9</v>
      </c>
      <c r="H54" s="2343">
        <v>9</v>
      </c>
      <c r="I54" s="2343">
        <v>9</v>
      </c>
      <c r="J54" s="2343">
        <v>9</v>
      </c>
      <c r="K54" s="2344" t="s">
        <v>70</v>
      </c>
      <c r="L54" s="2141" t="s">
        <v>70</v>
      </c>
      <c r="M54" s="2344" t="s">
        <v>50</v>
      </c>
      <c r="N54" s="2427" t="s">
        <v>50</v>
      </c>
      <c r="O54" s="2283" t="s">
        <v>50</v>
      </c>
      <c r="P54" s="2344" t="s">
        <v>50</v>
      </c>
      <c r="Q54" s="2344" t="s">
        <v>50</v>
      </c>
      <c r="R54" s="2283" t="s">
        <v>103</v>
      </c>
      <c r="S54" s="2344" t="s">
        <v>104</v>
      </c>
      <c r="T54" s="2344">
        <v>6</v>
      </c>
      <c r="U54" s="2343">
        <v>6</v>
      </c>
      <c r="V54" s="2428">
        <v>6</v>
      </c>
      <c r="W54" s="2343">
        <v>6</v>
      </c>
      <c r="X54" s="2343">
        <v>6</v>
      </c>
      <c r="Y54" s="2427"/>
      <c r="Z54" s="2343"/>
      <c r="AA54" s="2343" t="s">
        <v>50</v>
      </c>
      <c r="AB54" s="2343" t="s">
        <v>50</v>
      </c>
      <c r="AC54" s="2343" t="s">
        <v>50</v>
      </c>
      <c r="AD54" s="2344" t="s">
        <v>50</v>
      </c>
      <c r="AE54" s="2344" t="s">
        <v>50</v>
      </c>
      <c r="AF54" s="2283"/>
      <c r="AG54" s="2286"/>
      <c r="AH54" s="115"/>
      <c r="AI54" s="116"/>
    </row>
    <row r="55" spans="1:37" ht="18" customHeight="1" x14ac:dyDescent="0.2">
      <c r="A55" s="2130">
        <v>10</v>
      </c>
      <c r="B55" s="2044" t="s">
        <v>123</v>
      </c>
      <c r="C55" s="2077">
        <v>5</v>
      </c>
      <c r="D55" s="2045"/>
      <c r="E55" s="2045"/>
      <c r="F55" s="2045">
        <v>10</v>
      </c>
      <c r="G55" s="2047">
        <v>10</v>
      </c>
      <c r="H55" s="2047">
        <v>10</v>
      </c>
      <c r="I55" s="2047">
        <v>10</v>
      </c>
      <c r="J55" s="2047">
        <v>10</v>
      </c>
      <c r="K55" s="2047" t="s">
        <v>106</v>
      </c>
      <c r="L55" s="2047" t="s">
        <v>106</v>
      </c>
      <c r="M55" s="2047" t="s">
        <v>50</v>
      </c>
      <c r="N55" s="2047" t="s">
        <v>50</v>
      </c>
      <c r="O55" s="2045" t="s">
        <v>50</v>
      </c>
      <c r="P55" s="2045" t="s">
        <v>50</v>
      </c>
      <c r="Q55" s="2045" t="s">
        <v>50</v>
      </c>
      <c r="R55" s="2045" t="s">
        <v>107</v>
      </c>
      <c r="S55" s="2045" t="s">
        <v>107</v>
      </c>
      <c r="T55" s="2057">
        <v>7</v>
      </c>
      <c r="U55" s="2047">
        <v>7</v>
      </c>
      <c r="V55" s="2055">
        <v>7</v>
      </c>
      <c r="W55" s="2055">
        <v>7</v>
      </c>
      <c r="X55" s="2055">
        <v>7</v>
      </c>
      <c r="Y55" s="2055"/>
      <c r="Z55" s="2055"/>
      <c r="AA55" s="2429">
        <v>4</v>
      </c>
      <c r="AB55" s="2429">
        <v>4</v>
      </c>
      <c r="AC55" s="2189">
        <v>4</v>
      </c>
      <c r="AD55" s="2189">
        <v>4</v>
      </c>
      <c r="AE55" s="2189">
        <v>4</v>
      </c>
      <c r="AF55" s="2144"/>
      <c r="AG55" s="2078"/>
      <c r="AH55" s="115"/>
      <c r="AI55" s="116"/>
    </row>
    <row r="56" spans="1:37" ht="18" customHeight="1" x14ac:dyDescent="0.2">
      <c r="A56" s="2133">
        <v>15</v>
      </c>
      <c r="B56" s="2059" t="s">
        <v>124</v>
      </c>
      <c r="C56" s="1970" t="s">
        <v>395</v>
      </c>
      <c r="D56" s="2135"/>
      <c r="E56" s="2135"/>
      <c r="F56" s="2155">
        <v>11</v>
      </c>
      <c r="G56" s="2155">
        <v>11</v>
      </c>
      <c r="H56" s="2155">
        <v>11</v>
      </c>
      <c r="I56" s="2155">
        <v>11</v>
      </c>
      <c r="J56" s="2155">
        <v>11</v>
      </c>
      <c r="K56" s="2150" t="s">
        <v>109</v>
      </c>
      <c r="L56" s="2135" t="s">
        <v>109</v>
      </c>
      <c r="M56" s="2135" t="s">
        <v>50</v>
      </c>
      <c r="N56" s="2135" t="s">
        <v>50</v>
      </c>
      <c r="O56" s="2141" t="s">
        <v>50</v>
      </c>
      <c r="P56" s="2141" t="s">
        <v>50</v>
      </c>
      <c r="Q56" s="2141" t="s">
        <v>50</v>
      </c>
      <c r="R56" s="2141" t="s">
        <v>104</v>
      </c>
      <c r="S56" s="2141" t="s">
        <v>104</v>
      </c>
      <c r="T56" s="2141">
        <v>8</v>
      </c>
      <c r="U56" s="2141">
        <v>8</v>
      </c>
      <c r="V56" s="2135">
        <v>8</v>
      </c>
      <c r="W56" s="2135">
        <v>8</v>
      </c>
      <c r="X56" s="2135">
        <v>8</v>
      </c>
      <c r="Y56" s="2150"/>
      <c r="Z56" s="2135"/>
      <c r="AA56" s="2135" t="s">
        <v>50</v>
      </c>
      <c r="AB56" s="2135" t="s">
        <v>50</v>
      </c>
      <c r="AC56" s="2135" t="s">
        <v>50</v>
      </c>
      <c r="AD56" s="2135" t="s">
        <v>50</v>
      </c>
      <c r="AE56" s="2150" t="s">
        <v>50</v>
      </c>
      <c r="AF56" s="2150"/>
      <c r="AG56" s="2163"/>
      <c r="AH56" s="115"/>
      <c r="AI56" s="116"/>
    </row>
    <row r="57" spans="1:37" ht="18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37" ht="18" customHeight="1" x14ac:dyDescent="0.2">
      <c r="A58" s="69"/>
      <c r="B58" s="42" t="s">
        <v>125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37" ht="18" customHeight="1" x14ac:dyDescent="0.2">
      <c r="A59" s="2020" t="s">
        <v>43</v>
      </c>
      <c r="B59" s="2020"/>
      <c r="C59" s="2019"/>
      <c r="D59" s="2020" t="s">
        <v>17</v>
      </c>
      <c r="E59" s="2018"/>
      <c r="F59" s="2019"/>
      <c r="G59" s="2020" t="s">
        <v>18</v>
      </c>
      <c r="H59" s="2018"/>
      <c r="I59" s="2019"/>
      <c r="J59" s="2020" t="s">
        <v>19</v>
      </c>
      <c r="K59" s="2018"/>
      <c r="L59" s="2019"/>
      <c r="M59" s="2020" t="s">
        <v>20</v>
      </c>
      <c r="N59" s="2018"/>
      <c r="O59" s="2019"/>
      <c r="P59" s="2020" t="s">
        <v>21</v>
      </c>
      <c r="Q59" s="2018"/>
      <c r="R59" s="2015"/>
      <c r="S59" s="2016" t="s">
        <v>22</v>
      </c>
      <c r="T59" s="2018"/>
      <c r="U59" s="2019"/>
      <c r="V59" s="2020" t="s">
        <v>23</v>
      </c>
      <c r="W59" s="2018"/>
      <c r="X59" s="2164" t="s">
        <v>126</v>
      </c>
      <c r="Y59" s="2018"/>
      <c r="Z59" s="2018"/>
      <c r="AA59" s="2165"/>
      <c r="AB59" s="2009"/>
      <c r="AC59" s="2009"/>
      <c r="AD59" s="2009"/>
      <c r="AE59" s="2009"/>
      <c r="AF59" s="2009"/>
      <c r="AG59" s="2010"/>
      <c r="AH59" s="1"/>
    </row>
    <row r="60" spans="1:37" ht="18" customHeight="1" x14ac:dyDescent="0.2">
      <c r="A60" s="2166">
        <v>8517</v>
      </c>
      <c r="B60" s="2167" t="s">
        <v>127</v>
      </c>
      <c r="C60" s="2168" t="s">
        <v>128</v>
      </c>
      <c r="D60" s="2169"/>
      <c r="E60" s="2008"/>
      <c r="F60" s="2168" t="s">
        <v>128</v>
      </c>
      <c r="G60" s="2169"/>
      <c r="H60" s="2008"/>
      <c r="I60" s="2168" t="s">
        <v>128</v>
      </c>
      <c r="J60" s="2169"/>
      <c r="K60" s="2008"/>
      <c r="L60" s="2168" t="s">
        <v>128</v>
      </c>
      <c r="M60" s="2169"/>
      <c r="N60" s="2008"/>
      <c r="O60" s="2168" t="s">
        <v>129</v>
      </c>
      <c r="P60" s="2169"/>
      <c r="Q60" s="2008"/>
      <c r="R60" s="2168"/>
      <c r="S60" s="2169"/>
      <c r="T60" s="2008"/>
      <c r="U60" s="2168" t="s">
        <v>130</v>
      </c>
      <c r="V60" s="2169"/>
      <c r="W60" s="2008"/>
      <c r="X60" s="2006"/>
      <c r="Y60" s="2009"/>
      <c r="Z60" s="2009"/>
      <c r="AA60" s="2009"/>
      <c r="AB60" s="2009"/>
      <c r="AC60" s="2009"/>
      <c r="AD60" s="2009"/>
      <c r="AE60" s="2009"/>
      <c r="AF60" s="2009"/>
      <c r="AG60" s="2010"/>
      <c r="AH60" s="1"/>
    </row>
    <row r="61" spans="1:37" ht="18" customHeight="1" x14ac:dyDescent="0.2">
      <c r="B61" s="2037" t="s">
        <v>131</v>
      </c>
      <c r="C61" s="2170" t="s">
        <v>132</v>
      </c>
      <c r="D61" s="2171"/>
      <c r="E61" s="2172"/>
      <c r="F61" s="2170" t="s">
        <v>132</v>
      </c>
      <c r="G61" s="2173"/>
      <c r="H61" s="2172"/>
      <c r="I61" s="2168" t="s">
        <v>132</v>
      </c>
      <c r="J61" s="2169"/>
      <c r="K61" s="2174"/>
      <c r="L61" s="2168" t="s">
        <v>132</v>
      </c>
      <c r="M61" s="2169"/>
      <c r="N61" s="2174"/>
      <c r="O61" s="2168" t="s">
        <v>133</v>
      </c>
      <c r="P61" s="2169"/>
      <c r="Q61" s="2008"/>
      <c r="R61" s="2175" t="s">
        <v>0</v>
      </c>
      <c r="S61" s="2169"/>
      <c r="T61" s="2174"/>
      <c r="U61" s="2169" t="s">
        <v>0</v>
      </c>
      <c r="V61" s="2169"/>
      <c r="W61" s="2008"/>
      <c r="X61" s="2176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37" ht="18" customHeight="1" x14ac:dyDescent="0.2">
      <c r="A62" s="2177"/>
      <c r="B62" s="2167" t="s">
        <v>134</v>
      </c>
      <c r="C62" s="2170" t="s">
        <v>135</v>
      </c>
      <c r="D62" s="2171"/>
      <c r="E62" s="2173"/>
      <c r="F62" s="2170" t="s">
        <v>135</v>
      </c>
      <c r="G62" s="2171"/>
      <c r="H62" s="2173"/>
      <c r="I62" s="2170" t="s">
        <v>135</v>
      </c>
      <c r="J62" s="2171"/>
      <c r="K62" s="2173"/>
      <c r="L62" s="2170" t="s">
        <v>135</v>
      </c>
      <c r="M62" s="2171"/>
      <c r="N62" s="2173"/>
      <c r="O62" s="2170" t="s">
        <v>136</v>
      </c>
      <c r="P62" s="2171"/>
      <c r="Q62" s="2173"/>
      <c r="R62" s="2178"/>
      <c r="S62" s="208"/>
      <c r="T62" s="2172"/>
      <c r="U62" s="2171"/>
      <c r="V62" s="2171"/>
      <c r="W62" s="2173"/>
      <c r="X62" s="2006"/>
      <c r="Y62" s="2009"/>
      <c r="Z62" s="2009"/>
      <c r="AA62" s="2009"/>
      <c r="AB62" s="2009"/>
      <c r="AC62" s="2009"/>
      <c r="AD62" s="2009"/>
      <c r="AE62" s="2009"/>
      <c r="AF62" s="2009"/>
      <c r="AG62" s="2010"/>
      <c r="AH62" s="1"/>
    </row>
    <row r="63" spans="1:37" ht="18" customHeight="1" x14ac:dyDescent="0.2">
      <c r="A63" s="2020"/>
      <c r="B63" s="2167" t="s">
        <v>472</v>
      </c>
      <c r="C63" s="2272" t="s">
        <v>240</v>
      </c>
      <c r="D63" s="2007"/>
      <c r="E63" s="2007"/>
      <c r="F63" s="2272" t="s">
        <v>473</v>
      </c>
      <c r="G63" s="2116"/>
      <c r="H63" s="2007"/>
      <c r="I63" s="2187" t="s">
        <v>240</v>
      </c>
      <c r="J63" s="2430"/>
      <c r="K63" s="2431"/>
      <c r="L63" s="2187" t="s">
        <v>240</v>
      </c>
      <c r="M63" s="2430"/>
      <c r="N63" s="2432"/>
      <c r="O63" s="2272" t="s">
        <v>474</v>
      </c>
      <c r="P63" s="2007"/>
      <c r="Q63" s="2007"/>
      <c r="R63" s="2187" t="s">
        <v>242</v>
      </c>
      <c r="S63" s="2430"/>
      <c r="T63" s="2433"/>
      <c r="U63" s="2187" t="s">
        <v>242</v>
      </c>
      <c r="V63" s="2430"/>
      <c r="W63" s="2433"/>
      <c r="Y63" s="467"/>
      <c r="Z63" s="467"/>
      <c r="AC63" s="2434"/>
      <c r="AD63" s="2434"/>
      <c r="AE63" s="2434">
        <v>68</v>
      </c>
      <c r="AF63" s="2009"/>
      <c r="AG63" s="2010"/>
      <c r="AH63" s="1"/>
      <c r="AJ63" t="s">
        <v>137</v>
      </c>
    </row>
    <row r="64" spans="1:37" ht="18" customHeight="1" thickBot="1" x14ac:dyDescent="0.25">
      <c r="A64" s="37"/>
      <c r="B64" s="62"/>
      <c r="C64" s="46"/>
      <c r="D64" s="46"/>
      <c r="E64" s="6"/>
      <c r="F64" s="46"/>
      <c r="G64" s="46"/>
      <c r="H64" s="6"/>
      <c r="I64" s="46"/>
      <c r="J64" s="46"/>
      <c r="K64" s="6"/>
      <c r="L64" s="46"/>
      <c r="M64" s="46"/>
      <c r="N64" s="6"/>
      <c r="O64" s="46"/>
      <c r="P64" s="46"/>
      <c r="Q64" s="6"/>
      <c r="R64" s="46"/>
      <c r="S64" s="46"/>
      <c r="T64" s="6"/>
      <c r="U64" s="46"/>
      <c r="V64" s="46"/>
      <c r="W64" s="6"/>
      <c r="X64" s="6"/>
      <c r="Y64" s="48"/>
      <c r="Z64" s="48"/>
      <c r="AA64" s="48"/>
      <c r="AB64" s="48"/>
      <c r="AC64" s="48"/>
      <c r="AD64" s="48"/>
      <c r="AE64" s="48"/>
      <c r="AF64" s="48"/>
      <c r="AG64" s="48"/>
      <c r="AH64" s="1"/>
    </row>
    <row r="65" spans="1:40" ht="18" customHeight="1" thickBot="1" x14ac:dyDescent="0.25">
      <c r="A65" s="2435"/>
      <c r="B65" s="2436" t="s">
        <v>44</v>
      </c>
      <c r="C65" s="2383">
        <v>1</v>
      </c>
      <c r="D65" s="2384">
        <v>2</v>
      </c>
      <c r="E65" s="2384">
        <v>3</v>
      </c>
      <c r="F65" s="2383">
        <v>4</v>
      </c>
      <c r="G65" s="2383">
        <v>5</v>
      </c>
      <c r="H65" s="2383">
        <v>6</v>
      </c>
      <c r="I65" s="2383">
        <v>7</v>
      </c>
      <c r="J65" s="2383">
        <v>8</v>
      </c>
      <c r="K65" s="2384">
        <v>9</v>
      </c>
      <c r="L65" s="2384">
        <v>10</v>
      </c>
      <c r="M65" s="2383">
        <v>11</v>
      </c>
      <c r="N65" s="2383">
        <v>12</v>
      </c>
      <c r="O65" s="2383">
        <v>13</v>
      </c>
      <c r="P65" s="2383">
        <v>14</v>
      </c>
      <c r="Q65" s="2383">
        <v>15</v>
      </c>
      <c r="R65" s="2384">
        <v>16</v>
      </c>
      <c r="S65" s="2384">
        <v>17</v>
      </c>
      <c r="T65" s="2383">
        <v>18</v>
      </c>
      <c r="U65" s="2383">
        <v>19</v>
      </c>
      <c r="V65" s="2383">
        <v>20</v>
      </c>
      <c r="W65" s="2383">
        <v>21</v>
      </c>
      <c r="X65" s="2383">
        <v>22</v>
      </c>
      <c r="Y65" s="2384">
        <v>23</v>
      </c>
      <c r="Z65" s="2384">
        <v>24</v>
      </c>
      <c r="AA65" s="2383">
        <v>25</v>
      </c>
      <c r="AB65" s="2383">
        <v>26</v>
      </c>
      <c r="AC65" s="2383">
        <v>27</v>
      </c>
      <c r="AD65" s="2383">
        <v>28</v>
      </c>
      <c r="AE65" s="2383">
        <v>29</v>
      </c>
      <c r="AF65" s="2384">
        <v>30</v>
      </c>
      <c r="AG65" s="2026"/>
      <c r="AH65" s="1"/>
      <c r="AJ65" s="2025" t="s">
        <v>41</v>
      </c>
      <c r="AK65" s="2025" t="s">
        <v>62</v>
      </c>
      <c r="AL65" s="2025" t="s">
        <v>63</v>
      </c>
      <c r="AM65" s="2025" t="s">
        <v>64</v>
      </c>
      <c r="AN65" s="2025" t="s">
        <v>65</v>
      </c>
    </row>
    <row r="66" spans="1:40" ht="18" customHeight="1" thickBot="1" x14ac:dyDescent="0.25">
      <c r="A66" s="2437"/>
      <c r="B66" s="2438" t="s">
        <v>138</v>
      </c>
      <c r="C66" s="2283" t="s">
        <v>50</v>
      </c>
      <c r="D66" s="2283"/>
      <c r="E66" s="2285">
        <v>26</v>
      </c>
      <c r="F66" s="2285" t="s">
        <v>50</v>
      </c>
      <c r="G66" s="2285" t="s">
        <v>50</v>
      </c>
      <c r="H66" s="2285" t="s">
        <v>50</v>
      </c>
      <c r="I66" s="2285" t="s">
        <v>50</v>
      </c>
      <c r="J66" s="2285" t="s">
        <v>50</v>
      </c>
      <c r="K66" s="2283"/>
      <c r="L66" s="2283"/>
      <c r="M66" s="2285">
        <v>25</v>
      </c>
      <c r="N66" s="2285">
        <v>25</v>
      </c>
      <c r="O66" s="2428">
        <v>25</v>
      </c>
      <c r="P66" s="636" t="s">
        <v>50</v>
      </c>
      <c r="Q66" s="636" t="s">
        <v>50</v>
      </c>
      <c r="R66" s="2283"/>
      <c r="S66" s="2344"/>
      <c r="T66" s="2040" t="s">
        <v>142</v>
      </c>
      <c r="U66" s="2040" t="s">
        <v>142</v>
      </c>
      <c r="V66" s="2040" t="s">
        <v>142</v>
      </c>
      <c r="W66" s="2040" t="s">
        <v>142</v>
      </c>
      <c r="X66" s="2040" t="s">
        <v>142</v>
      </c>
      <c r="Y66" s="2144" t="s">
        <v>143</v>
      </c>
      <c r="Z66" s="2144" t="s">
        <v>143</v>
      </c>
      <c r="AA66" s="1842" t="s">
        <v>50</v>
      </c>
      <c r="AB66" s="1842" t="s">
        <v>50</v>
      </c>
      <c r="AC66" s="636" t="s">
        <v>50</v>
      </c>
      <c r="AD66" s="636" t="s">
        <v>50</v>
      </c>
      <c r="AE66" s="636" t="s">
        <v>50</v>
      </c>
      <c r="AF66" s="2283"/>
      <c r="AG66" s="2439"/>
      <c r="AH66" s="1"/>
      <c r="AJ66" s="638">
        <v>106</v>
      </c>
      <c r="AK66" s="638">
        <v>8</v>
      </c>
      <c r="AL66" s="638">
        <f>IF(AJ66="","",SUM(AJ66:AK66))</f>
        <v>114</v>
      </c>
      <c r="AM66" s="639">
        <f t="shared" ref="AM66:AM96" si="0">IF(AJ66="","",AL66-_xlfn.SINGLE(NormTid))</f>
        <v>-46.330000000000013</v>
      </c>
      <c r="AN66" s="639">
        <f>IF(AM66="","",AM66+'Oktober 2024'!AN66)</f>
        <v>135.76999999999992</v>
      </c>
    </row>
    <row r="67" spans="1:40" ht="18" customHeight="1" thickBot="1" x14ac:dyDescent="0.25">
      <c r="A67" s="748"/>
      <c r="B67" s="2187" t="s">
        <v>144</v>
      </c>
      <c r="C67" s="862" t="s">
        <v>149</v>
      </c>
      <c r="D67" s="862" t="s">
        <v>150</v>
      </c>
      <c r="E67" s="862" t="s">
        <v>71</v>
      </c>
      <c r="F67" s="2040" t="s">
        <v>142</v>
      </c>
      <c r="G67" s="2040" t="s">
        <v>142</v>
      </c>
      <c r="H67" s="2040" t="s">
        <v>142</v>
      </c>
      <c r="I67" s="2040" t="s">
        <v>142</v>
      </c>
      <c r="J67" s="2040" t="s">
        <v>142</v>
      </c>
      <c r="K67" s="2144" t="s">
        <v>143</v>
      </c>
      <c r="L67" s="2144" t="s">
        <v>143</v>
      </c>
      <c r="M67" s="2285" t="s">
        <v>50</v>
      </c>
      <c r="N67" s="2285" t="s">
        <v>50</v>
      </c>
      <c r="O67" s="2440" t="s">
        <v>297</v>
      </c>
      <c r="P67" s="2440" t="s">
        <v>297</v>
      </c>
      <c r="Q67" s="2440" t="s">
        <v>297</v>
      </c>
      <c r="R67" s="2040"/>
      <c r="S67" s="2040"/>
      <c r="T67" s="2055" t="s">
        <v>297</v>
      </c>
      <c r="U67" s="2055" t="s">
        <v>297</v>
      </c>
      <c r="V67" s="2055" t="s">
        <v>297</v>
      </c>
      <c r="W67" s="2132" t="s">
        <v>297</v>
      </c>
      <c r="X67" s="2132" t="s">
        <v>297</v>
      </c>
      <c r="Y67" s="2132"/>
      <c r="Z67" s="2132">
        <v>26</v>
      </c>
      <c r="AA67" s="2441">
        <v>26</v>
      </c>
      <c r="AB67" s="2441">
        <v>26</v>
      </c>
      <c r="AC67" s="2441">
        <v>26</v>
      </c>
      <c r="AD67" s="2426">
        <v>26</v>
      </c>
      <c r="AE67" s="2426">
        <v>26</v>
      </c>
      <c r="AF67" s="2426"/>
      <c r="AG67" s="2442"/>
      <c r="AH67" s="1"/>
      <c r="AJ67" s="638">
        <v>133</v>
      </c>
      <c r="AK67" s="638">
        <v>8.5</v>
      </c>
      <c r="AL67" s="638">
        <f t="shared" ref="AL67:AL96" si="1">IF(AJ67="","",SUM(AJ67:AK67))</f>
        <v>141.5</v>
      </c>
      <c r="AM67" s="639">
        <f t="shared" si="0"/>
        <v>-18.830000000000013</v>
      </c>
      <c r="AN67" s="639">
        <f>IF(AM67="","",AM67+'Oktober 2024'!AN67)</f>
        <v>-21.030000000000094</v>
      </c>
    </row>
    <row r="68" spans="1:40" ht="18" customHeight="1" thickBot="1" x14ac:dyDescent="0.25">
      <c r="A68" s="748"/>
      <c r="B68" s="1912" t="s">
        <v>146</v>
      </c>
      <c r="C68" s="2443" t="s">
        <v>46</v>
      </c>
      <c r="D68" s="2443"/>
      <c r="E68" s="2443"/>
      <c r="F68" s="2443" t="s">
        <v>46</v>
      </c>
      <c r="G68" s="2443" t="s">
        <v>46</v>
      </c>
      <c r="H68" s="2443" t="s">
        <v>46</v>
      </c>
      <c r="I68" s="2443" t="s">
        <v>46</v>
      </c>
      <c r="J68" s="2443" t="s">
        <v>46</v>
      </c>
      <c r="K68" s="2443"/>
      <c r="L68" s="2443"/>
      <c r="M68" s="2444" t="s">
        <v>46</v>
      </c>
      <c r="N68" s="2444" t="s">
        <v>46</v>
      </c>
      <c r="O68" s="2445" t="s">
        <v>46</v>
      </c>
      <c r="P68" s="2445" t="s">
        <v>46</v>
      </c>
      <c r="Q68" s="2445" t="s">
        <v>46</v>
      </c>
      <c r="R68" s="2445"/>
      <c r="S68" s="2445"/>
      <c r="T68" s="2443" t="s">
        <v>46</v>
      </c>
      <c r="U68" s="2443" t="s">
        <v>46</v>
      </c>
      <c r="V68" s="2443" t="s">
        <v>46</v>
      </c>
      <c r="W68" s="2443" t="s">
        <v>46</v>
      </c>
      <c r="X68" s="2443" t="s">
        <v>46</v>
      </c>
      <c r="Y68" s="2443"/>
      <c r="Z68" s="2443"/>
      <c r="AA68" s="2443" t="s">
        <v>79</v>
      </c>
      <c r="AB68" s="2040" t="s">
        <v>46</v>
      </c>
      <c r="AC68" s="2040" t="s">
        <v>46</v>
      </c>
      <c r="AD68" s="2040" t="s">
        <v>46</v>
      </c>
      <c r="AE68" s="2040" t="s">
        <v>46</v>
      </c>
      <c r="AF68" s="2040"/>
      <c r="AG68" s="2442"/>
      <c r="AH68" s="1"/>
      <c r="AJ68" s="638">
        <v>154</v>
      </c>
      <c r="AK68" s="638">
        <v>0</v>
      </c>
      <c r="AL68" s="638">
        <f t="shared" si="1"/>
        <v>154</v>
      </c>
      <c r="AM68" s="639">
        <f t="shared" si="0"/>
        <v>-6.3300000000000125</v>
      </c>
      <c r="AN68" s="639">
        <f>IF(AM68="","",AM68+'Oktober 2024'!AN68)</f>
        <v>24.149999999999913</v>
      </c>
    </row>
    <row r="69" spans="1:40" ht="18" customHeight="1" thickBot="1" x14ac:dyDescent="0.25">
      <c r="A69" s="748"/>
      <c r="B69" s="1912" t="s">
        <v>151</v>
      </c>
      <c r="C69" s="2040" t="s">
        <v>142</v>
      </c>
      <c r="D69" s="2040" t="s">
        <v>143</v>
      </c>
      <c r="E69" s="2144" t="s">
        <v>143</v>
      </c>
      <c r="F69" s="1842">
        <v>8</v>
      </c>
      <c r="G69" s="636" t="s">
        <v>50</v>
      </c>
      <c r="H69" s="636" t="s">
        <v>50</v>
      </c>
      <c r="I69" s="636" t="s">
        <v>50</v>
      </c>
      <c r="J69" s="636" t="s">
        <v>50</v>
      </c>
      <c r="K69" s="2144"/>
      <c r="L69" s="2285">
        <v>26</v>
      </c>
      <c r="M69" s="2285">
        <v>26</v>
      </c>
      <c r="N69" s="2285">
        <v>26</v>
      </c>
      <c r="O69" s="2285">
        <v>26</v>
      </c>
      <c r="P69" s="2285">
        <v>26</v>
      </c>
      <c r="Q69" s="2285">
        <v>26</v>
      </c>
      <c r="R69" s="2144"/>
      <c r="S69" s="2144"/>
      <c r="T69" s="2285">
        <v>25</v>
      </c>
      <c r="U69" s="2285">
        <v>25</v>
      </c>
      <c r="V69" s="2285">
        <v>25</v>
      </c>
      <c r="W69" s="2285">
        <v>25</v>
      </c>
      <c r="X69" s="2285">
        <v>25</v>
      </c>
      <c r="Y69" s="2040"/>
      <c r="Z69" s="2135" t="s">
        <v>109</v>
      </c>
      <c r="AA69" s="248">
        <v>11</v>
      </c>
      <c r="AB69" s="246">
        <v>11</v>
      </c>
      <c r="AC69" s="246">
        <v>11</v>
      </c>
      <c r="AD69" s="2343" t="s">
        <v>50</v>
      </c>
      <c r="AE69" s="2194" t="s">
        <v>46</v>
      </c>
      <c r="AF69" s="2144"/>
      <c r="AG69" s="2442"/>
      <c r="AH69" s="1"/>
      <c r="AJ69" s="638">
        <v>156</v>
      </c>
      <c r="AK69" s="638">
        <v>11.5</v>
      </c>
      <c r="AL69" s="638">
        <f t="shared" si="1"/>
        <v>167.5</v>
      </c>
      <c r="AM69" s="639">
        <f t="shared" si="0"/>
        <v>7.1699999999999875</v>
      </c>
      <c r="AN69" s="639">
        <f>IF(AM69="","",AM69+'Oktober 2024'!AN69)</f>
        <v>50.169999999999924</v>
      </c>
    </row>
    <row r="70" spans="1:40" ht="18" customHeight="1" thickBot="1" x14ac:dyDescent="0.25">
      <c r="A70" s="748"/>
      <c r="B70" s="1552" t="s">
        <v>155</v>
      </c>
      <c r="C70" s="2055" t="s">
        <v>322</v>
      </c>
      <c r="D70" s="2040"/>
      <c r="E70" s="2040"/>
      <c r="F70" s="636" t="s">
        <v>50</v>
      </c>
      <c r="G70" s="636" t="s">
        <v>50</v>
      </c>
      <c r="H70" s="2055" t="s">
        <v>475</v>
      </c>
      <c r="I70" s="2055" t="s">
        <v>475</v>
      </c>
      <c r="J70" s="2055" t="s">
        <v>475</v>
      </c>
      <c r="K70" s="2055" t="s">
        <v>475</v>
      </c>
      <c r="L70" s="2055" t="s">
        <v>475</v>
      </c>
      <c r="M70" s="636" t="s">
        <v>50</v>
      </c>
      <c r="N70" s="636" t="s">
        <v>50</v>
      </c>
      <c r="O70" s="636" t="s">
        <v>50</v>
      </c>
      <c r="P70" s="636" t="s">
        <v>168</v>
      </c>
      <c r="Q70" s="636" t="s">
        <v>50</v>
      </c>
      <c r="R70" s="2055"/>
      <c r="S70" s="2055"/>
      <c r="T70" s="2055">
        <v>1</v>
      </c>
      <c r="U70" s="2055">
        <v>1</v>
      </c>
      <c r="V70" s="2040">
        <v>1</v>
      </c>
      <c r="W70" s="2040">
        <v>1</v>
      </c>
      <c r="X70" s="1087" t="s">
        <v>145</v>
      </c>
      <c r="Y70" s="1363" t="s">
        <v>147</v>
      </c>
      <c r="Z70" s="1363" t="s">
        <v>148</v>
      </c>
      <c r="AA70" s="636" t="s">
        <v>50</v>
      </c>
      <c r="AB70" s="1634" t="s">
        <v>50</v>
      </c>
      <c r="AC70" s="636" t="s">
        <v>50</v>
      </c>
      <c r="AD70" s="636" t="s">
        <v>50</v>
      </c>
      <c r="AE70" s="636" t="s">
        <v>50</v>
      </c>
      <c r="AF70" s="2055"/>
      <c r="AG70" s="2442"/>
      <c r="AH70" s="1"/>
      <c r="AJ70" s="638">
        <v>136.5</v>
      </c>
      <c r="AK70" s="638">
        <v>7.5</v>
      </c>
      <c r="AL70" s="638">
        <f t="shared" si="1"/>
        <v>144</v>
      </c>
      <c r="AM70" s="639">
        <f t="shared" si="0"/>
        <v>-16.330000000000013</v>
      </c>
      <c r="AN70" s="639">
        <f>IF(AM70="","",AM70+'Oktober 2024'!AN70)</f>
        <v>-6.8300000000000836</v>
      </c>
    </row>
    <row r="71" spans="1:40" ht="18" customHeight="1" thickBot="1" x14ac:dyDescent="0.25">
      <c r="A71" s="1614"/>
      <c r="B71" s="2187" t="s">
        <v>156</v>
      </c>
      <c r="C71" s="2055">
        <v>25</v>
      </c>
      <c r="D71" s="2055"/>
      <c r="E71" s="2055"/>
      <c r="F71" s="2055" t="s">
        <v>160</v>
      </c>
      <c r="G71" s="2055">
        <v>89</v>
      </c>
      <c r="H71" s="636" t="s">
        <v>50</v>
      </c>
      <c r="I71" s="636" t="s">
        <v>50</v>
      </c>
      <c r="J71" s="636" t="s">
        <v>50</v>
      </c>
      <c r="K71" s="2285" t="s">
        <v>103</v>
      </c>
      <c r="L71" s="2285" t="s">
        <v>104</v>
      </c>
      <c r="M71" s="2057">
        <v>6</v>
      </c>
      <c r="N71" s="2144">
        <v>6</v>
      </c>
      <c r="O71" s="2344">
        <v>6</v>
      </c>
      <c r="P71" s="2446">
        <v>6</v>
      </c>
      <c r="Q71" s="2446">
        <v>6</v>
      </c>
      <c r="R71" s="2144"/>
      <c r="S71" s="2285" t="s">
        <v>0</v>
      </c>
      <c r="T71" s="2311">
        <v>26</v>
      </c>
      <c r="U71" s="2311">
        <v>26</v>
      </c>
      <c r="V71" s="2311">
        <v>26</v>
      </c>
      <c r="W71" s="2311">
        <v>26</v>
      </c>
      <c r="X71" s="2311">
        <v>26</v>
      </c>
      <c r="Y71" s="2055"/>
      <c r="Z71" s="2285"/>
      <c r="AA71" s="2344">
        <v>9</v>
      </c>
      <c r="AB71" s="2344">
        <v>9</v>
      </c>
      <c r="AC71" s="2343">
        <v>9</v>
      </c>
      <c r="AD71" s="2343">
        <v>9</v>
      </c>
      <c r="AE71" s="2344">
        <v>9</v>
      </c>
      <c r="AF71" s="2055" t="s">
        <v>70</v>
      </c>
      <c r="AG71" s="2043"/>
      <c r="AJ71" s="638">
        <v>152.5</v>
      </c>
      <c r="AK71" s="638">
        <v>10.5</v>
      </c>
      <c r="AL71" s="638">
        <f t="shared" si="1"/>
        <v>163</v>
      </c>
      <c r="AM71" s="639">
        <f t="shared" si="0"/>
        <v>2.6699999999999875</v>
      </c>
      <c r="AN71" s="639">
        <f>IF(AM71="","",AM71+'Oktober 2024'!AN71)</f>
        <v>60.169999999999924</v>
      </c>
    </row>
    <row r="72" spans="1:40" ht="18" customHeight="1" thickBot="1" x14ac:dyDescent="0.25">
      <c r="A72" s="368"/>
      <c r="B72" s="2187" t="s">
        <v>159</v>
      </c>
      <c r="C72" s="2040" t="s">
        <v>50</v>
      </c>
      <c r="D72" s="2406" t="s">
        <v>104</v>
      </c>
      <c r="E72" s="2406" t="s">
        <v>104</v>
      </c>
      <c r="F72" s="2447">
        <v>8</v>
      </c>
      <c r="G72" s="2447">
        <v>8</v>
      </c>
      <c r="H72" s="2448">
        <v>8</v>
      </c>
      <c r="I72" s="2448">
        <v>8</v>
      </c>
      <c r="J72" s="2449" t="s">
        <v>418</v>
      </c>
      <c r="K72" s="2283"/>
      <c r="L72" s="2344"/>
      <c r="M72" s="2344" t="s">
        <v>50</v>
      </c>
      <c r="N72" s="2446" t="s">
        <v>50</v>
      </c>
      <c r="O72" s="2446" t="s">
        <v>50</v>
      </c>
      <c r="P72" s="2344" t="s">
        <v>50</v>
      </c>
      <c r="Q72" s="2343" t="s">
        <v>50</v>
      </c>
      <c r="R72" s="853" t="s">
        <v>150</v>
      </c>
      <c r="S72" s="854" t="s">
        <v>71</v>
      </c>
      <c r="T72" s="2450" t="s">
        <v>46</v>
      </c>
      <c r="U72" s="2450" t="s">
        <v>46</v>
      </c>
      <c r="V72" s="2450" t="s">
        <v>46</v>
      </c>
      <c r="W72" s="2450" t="s">
        <v>46</v>
      </c>
      <c r="X72" s="2451" t="s">
        <v>46</v>
      </c>
      <c r="Y72" s="2344"/>
      <c r="Z72" s="2344"/>
      <c r="AA72" s="2343">
        <v>4</v>
      </c>
      <c r="AB72" s="2404">
        <v>4</v>
      </c>
      <c r="AC72" s="2343">
        <v>4</v>
      </c>
      <c r="AD72" s="2343">
        <v>4</v>
      </c>
      <c r="AE72" s="2343">
        <v>4</v>
      </c>
      <c r="AF72" s="2344" t="s">
        <v>0</v>
      </c>
      <c r="AG72" s="2442"/>
      <c r="AH72" s="1"/>
      <c r="AJ72" s="638">
        <v>145.5</v>
      </c>
      <c r="AK72" s="638">
        <v>4.5</v>
      </c>
      <c r="AL72" s="638">
        <f t="shared" si="1"/>
        <v>150</v>
      </c>
      <c r="AM72" s="639">
        <f t="shared" si="0"/>
        <v>-10.330000000000013</v>
      </c>
      <c r="AN72" s="639">
        <f>IF(AM72="","",AM72+'Oktober 2024'!AN72)</f>
        <v>60.269999999999925</v>
      </c>
    </row>
    <row r="73" spans="1:40" ht="18" customHeight="1" thickBot="1" x14ac:dyDescent="0.25">
      <c r="A73" s="764"/>
      <c r="B73" s="1552" t="s">
        <v>161</v>
      </c>
      <c r="C73" s="635" t="s">
        <v>162</v>
      </c>
      <c r="D73" s="635" t="s">
        <v>163</v>
      </c>
      <c r="E73" s="635" t="s">
        <v>164</v>
      </c>
      <c r="F73" s="636" t="s">
        <v>50</v>
      </c>
      <c r="G73" s="1842" t="s">
        <v>162</v>
      </c>
      <c r="H73" s="1842" t="s">
        <v>162</v>
      </c>
      <c r="I73" s="1842" t="s">
        <v>162</v>
      </c>
      <c r="J73" s="862" t="s">
        <v>149</v>
      </c>
      <c r="K73" s="636"/>
      <c r="L73" s="636"/>
      <c r="M73" s="636" t="s">
        <v>162</v>
      </c>
      <c r="N73" s="636" t="s">
        <v>162</v>
      </c>
      <c r="O73" s="635" t="s">
        <v>162</v>
      </c>
      <c r="P73" s="635" t="s">
        <v>162</v>
      </c>
      <c r="Q73" s="1634" t="s">
        <v>162</v>
      </c>
      <c r="R73" s="635" t="s">
        <v>163</v>
      </c>
      <c r="S73" s="635" t="s">
        <v>164</v>
      </c>
      <c r="T73" s="636" t="s">
        <v>50</v>
      </c>
      <c r="U73" s="636" t="s">
        <v>50</v>
      </c>
      <c r="V73" s="636" t="s">
        <v>50</v>
      </c>
      <c r="W73" s="636" t="s">
        <v>50</v>
      </c>
      <c r="X73" s="1363" t="s">
        <v>50</v>
      </c>
      <c r="Y73" s="636"/>
      <c r="Z73" s="636"/>
      <c r="AA73" s="636" t="s">
        <v>162</v>
      </c>
      <c r="AB73" s="636" t="s">
        <v>162</v>
      </c>
      <c r="AC73" s="635" t="s">
        <v>162</v>
      </c>
      <c r="AD73" s="635" t="s">
        <v>162</v>
      </c>
      <c r="AE73" s="635" t="s">
        <v>162</v>
      </c>
      <c r="AF73" s="635" t="s">
        <v>163</v>
      </c>
      <c r="AG73" s="2442"/>
      <c r="AH73" s="1"/>
      <c r="AJ73" s="638">
        <v>159.5</v>
      </c>
      <c r="AK73" s="638">
        <v>12.25</v>
      </c>
      <c r="AL73" s="638">
        <f t="shared" si="1"/>
        <v>171.75</v>
      </c>
      <c r="AM73" s="639">
        <f t="shared" si="0"/>
        <v>11.419999999999987</v>
      </c>
      <c r="AN73" s="639">
        <f>IF(AM73="","",AM73+'Oktober 2024'!AN73)</f>
        <v>-6.1300000000000878</v>
      </c>
    </row>
    <row r="74" spans="1:40" ht="18" customHeight="1" x14ac:dyDescent="0.2">
      <c r="A74" s="764"/>
      <c r="B74" s="1552" t="s">
        <v>165</v>
      </c>
      <c r="C74" s="2055">
        <v>26</v>
      </c>
      <c r="D74" s="2452"/>
      <c r="E74" s="2040"/>
      <c r="F74" s="2040">
        <v>25</v>
      </c>
      <c r="G74" s="2040">
        <v>25</v>
      </c>
      <c r="H74" s="2040">
        <v>25</v>
      </c>
      <c r="I74" s="2040">
        <v>25</v>
      </c>
      <c r="J74" s="2040">
        <v>25</v>
      </c>
      <c r="K74" s="2055"/>
      <c r="L74" s="2055"/>
      <c r="M74" s="2411" t="s">
        <v>451</v>
      </c>
      <c r="N74" s="2411" t="s">
        <v>451</v>
      </c>
      <c r="O74" s="2411" t="s">
        <v>451</v>
      </c>
      <c r="P74" s="2453" t="s">
        <v>451</v>
      </c>
      <c r="Q74" s="2411" t="s">
        <v>451</v>
      </c>
      <c r="R74" s="2040"/>
      <c r="S74" s="2040"/>
      <c r="T74" s="2411" t="s">
        <v>451</v>
      </c>
      <c r="U74" s="2411" t="s">
        <v>451</v>
      </c>
      <c r="V74" s="2411" t="s">
        <v>451</v>
      </c>
      <c r="W74" s="2411" t="s">
        <v>451</v>
      </c>
      <c r="X74" s="2411" t="s">
        <v>451</v>
      </c>
      <c r="Y74" s="344" t="s">
        <v>475</v>
      </c>
      <c r="Z74" s="2040"/>
      <c r="AA74" s="2040">
        <v>25</v>
      </c>
      <c r="AB74" s="2040">
        <v>25</v>
      </c>
      <c r="AC74" s="2040">
        <v>25</v>
      </c>
      <c r="AD74" s="2040">
        <v>25</v>
      </c>
      <c r="AE74" s="2040">
        <v>25</v>
      </c>
      <c r="AF74" s="2040" t="s">
        <v>147</v>
      </c>
      <c r="AG74" s="2043"/>
      <c r="AH74" s="1"/>
      <c r="AJ74" s="638">
        <v>177.25</v>
      </c>
      <c r="AK74" s="638">
        <v>9.25</v>
      </c>
      <c r="AL74" s="638">
        <f t="shared" si="1"/>
        <v>186.5</v>
      </c>
      <c r="AM74" s="639">
        <f t="shared" si="0"/>
        <v>26.169999999999987</v>
      </c>
      <c r="AN74" s="639">
        <f>IF(AM74="","",AM74+'Oktober 2024'!AN74)</f>
        <v>36.819999999999908</v>
      </c>
    </row>
    <row r="75" spans="1:40" ht="18" customHeight="1" x14ac:dyDescent="0.2">
      <c r="A75" s="768"/>
      <c r="B75" s="1552" t="s">
        <v>166</v>
      </c>
      <c r="C75" s="2055" t="s">
        <v>160</v>
      </c>
      <c r="D75" s="2055"/>
      <c r="E75" s="2055"/>
      <c r="F75" s="2429" t="s">
        <v>160</v>
      </c>
      <c r="G75" s="2055" t="s">
        <v>160</v>
      </c>
      <c r="H75" s="2055" t="s">
        <v>160</v>
      </c>
      <c r="I75" s="2055" t="s">
        <v>160</v>
      </c>
      <c r="J75" s="2055" t="s">
        <v>160</v>
      </c>
      <c r="K75" s="2055"/>
      <c r="L75" s="2055"/>
      <c r="M75" s="2055" t="s">
        <v>160</v>
      </c>
      <c r="N75" s="2429" t="s">
        <v>160</v>
      </c>
      <c r="O75" s="2055" t="s">
        <v>160</v>
      </c>
      <c r="P75" s="2055" t="s">
        <v>160</v>
      </c>
      <c r="Q75" s="2055" t="s">
        <v>160</v>
      </c>
      <c r="R75" s="2055"/>
      <c r="S75" s="2055"/>
      <c r="T75" s="2055" t="s">
        <v>160</v>
      </c>
      <c r="U75" s="2055" t="s">
        <v>160</v>
      </c>
      <c r="V75" s="2055" t="s">
        <v>160</v>
      </c>
      <c r="W75" s="2055" t="s">
        <v>160</v>
      </c>
      <c r="X75" s="2055" t="s">
        <v>160</v>
      </c>
      <c r="Y75" s="2055"/>
      <c r="Z75" s="2055"/>
      <c r="AA75" s="2055" t="s">
        <v>160</v>
      </c>
      <c r="AB75" s="2055" t="s">
        <v>160</v>
      </c>
      <c r="AC75" s="2055" t="s">
        <v>160</v>
      </c>
      <c r="AD75" s="2055" t="s">
        <v>160</v>
      </c>
      <c r="AE75" s="2055" t="s">
        <v>160</v>
      </c>
      <c r="AF75" s="2055"/>
      <c r="AG75" s="2442"/>
      <c r="AH75" s="1"/>
      <c r="AJ75" s="638">
        <v>144</v>
      </c>
      <c r="AK75" s="638">
        <v>1.75</v>
      </c>
      <c r="AL75" s="638">
        <f t="shared" si="1"/>
        <v>145.75</v>
      </c>
      <c r="AM75" s="639">
        <f t="shared" si="0"/>
        <v>-14.580000000000013</v>
      </c>
      <c r="AN75" s="639">
        <f>IF(AM75="","",AM75+'Oktober 2024'!AN75)</f>
        <v>-45.180000000000099</v>
      </c>
    </row>
    <row r="76" spans="1:40" ht="18" customHeight="1" thickBot="1" x14ac:dyDescent="0.25">
      <c r="A76" s="768"/>
      <c r="B76" s="2197" t="s">
        <v>167</v>
      </c>
      <c r="C76" s="2040" t="s">
        <v>168</v>
      </c>
      <c r="D76" s="2041"/>
      <c r="E76" s="2040"/>
      <c r="F76" s="2040" t="s">
        <v>168</v>
      </c>
      <c r="G76" s="2040" t="s">
        <v>168</v>
      </c>
      <c r="H76" s="2040" t="s">
        <v>168</v>
      </c>
      <c r="I76" s="2040" t="s">
        <v>168</v>
      </c>
      <c r="J76" s="2040" t="s">
        <v>168</v>
      </c>
      <c r="K76" s="2040"/>
      <c r="L76" s="2040"/>
      <c r="M76" s="2454" t="s">
        <v>46</v>
      </c>
      <c r="N76" s="2455" t="s">
        <v>46</v>
      </c>
      <c r="O76" s="2456" t="s">
        <v>46</v>
      </c>
      <c r="P76" s="2456" t="s">
        <v>46</v>
      </c>
      <c r="Q76" s="2457" t="s">
        <v>46</v>
      </c>
      <c r="R76" s="2055"/>
      <c r="S76" s="2055"/>
      <c r="T76" s="2071" t="s">
        <v>46</v>
      </c>
      <c r="U76" s="2071" t="s">
        <v>46</v>
      </c>
      <c r="V76" s="2071" t="s">
        <v>46</v>
      </c>
      <c r="W76" s="2071" t="s">
        <v>46</v>
      </c>
      <c r="X76" s="2071" t="s">
        <v>46</v>
      </c>
      <c r="Y76" s="2071"/>
      <c r="Z76" s="2071"/>
      <c r="AA76" s="2040" t="s">
        <v>168</v>
      </c>
      <c r="AB76" s="2040" t="s">
        <v>168</v>
      </c>
      <c r="AC76" s="2040" t="s">
        <v>168</v>
      </c>
      <c r="AD76" s="2040" t="s">
        <v>168</v>
      </c>
      <c r="AE76" s="2040" t="s">
        <v>168</v>
      </c>
      <c r="AF76" s="2040"/>
      <c r="AG76" s="2078"/>
      <c r="AH76" s="1"/>
      <c r="AJ76" s="638">
        <v>144</v>
      </c>
      <c r="AK76" s="638">
        <v>0</v>
      </c>
      <c r="AL76" s="638">
        <f t="shared" si="1"/>
        <v>144</v>
      </c>
      <c r="AM76" s="639">
        <f t="shared" si="0"/>
        <v>-16.330000000000013</v>
      </c>
      <c r="AN76" s="639">
        <f>IF(AM76="","",AM76+'Oktober 2024'!AN76)</f>
        <v>-8.3800000000000878</v>
      </c>
    </row>
    <row r="77" spans="1:40" ht="18" customHeight="1" x14ac:dyDescent="0.2">
      <c r="A77" s="768"/>
      <c r="B77" s="2197" t="s">
        <v>170</v>
      </c>
      <c r="C77" s="2055">
        <v>9</v>
      </c>
      <c r="D77" s="248" t="s">
        <v>70</v>
      </c>
      <c r="E77" s="248" t="s">
        <v>70</v>
      </c>
      <c r="F77" s="2458" t="s">
        <v>50</v>
      </c>
      <c r="G77" s="2458" t="s">
        <v>50</v>
      </c>
      <c r="H77" s="2458" t="s">
        <v>50</v>
      </c>
      <c r="I77" s="2458" t="s">
        <v>50</v>
      </c>
      <c r="J77" s="2459" t="s">
        <v>50</v>
      </c>
      <c r="K77" s="2055"/>
      <c r="L77" s="2055"/>
      <c r="M77" s="2040" t="s">
        <v>168</v>
      </c>
      <c r="N77" s="2040" t="s">
        <v>168</v>
      </c>
      <c r="O77" s="2040" t="s">
        <v>168</v>
      </c>
      <c r="P77" s="2457" t="s">
        <v>168</v>
      </c>
      <c r="Q77" s="2100" t="s">
        <v>168</v>
      </c>
      <c r="R77" s="2057">
        <v>23</v>
      </c>
      <c r="S77" s="2055"/>
      <c r="T77" s="2040" t="s">
        <v>168</v>
      </c>
      <c r="U77" s="2040" t="s">
        <v>168</v>
      </c>
      <c r="V77" s="2040" t="s">
        <v>168</v>
      </c>
      <c r="W77" s="2040" t="s">
        <v>168</v>
      </c>
      <c r="X77" s="2040" t="s">
        <v>168</v>
      </c>
      <c r="Y77" s="1363" t="s">
        <v>150</v>
      </c>
      <c r="Z77" s="1363" t="s">
        <v>71</v>
      </c>
      <c r="AA77" s="636" t="s">
        <v>50</v>
      </c>
      <c r="AB77" s="636" t="s">
        <v>50</v>
      </c>
      <c r="AC77" s="636" t="s">
        <v>50</v>
      </c>
      <c r="AD77" s="636">
        <v>11</v>
      </c>
      <c r="AE77" s="1363" t="s">
        <v>149</v>
      </c>
      <c r="AF77" s="635" t="s">
        <v>150</v>
      </c>
      <c r="AG77" s="2078"/>
      <c r="AH77" s="1"/>
      <c r="AJ77" s="638">
        <v>126.75</v>
      </c>
      <c r="AK77" s="638">
        <v>6.5</v>
      </c>
      <c r="AL77" s="638">
        <f t="shared" si="1"/>
        <v>133.25</v>
      </c>
      <c r="AM77" s="639">
        <f t="shared" si="0"/>
        <v>-27.080000000000013</v>
      </c>
      <c r="AN77" s="639">
        <f>IF(AM77="","",AM77+'Oktober 2024'!AN77)</f>
        <v>48.869999999999919</v>
      </c>
    </row>
    <row r="78" spans="1:40" ht="18" customHeight="1" thickBot="1" x14ac:dyDescent="0.25">
      <c r="A78" s="768"/>
      <c r="B78" s="2203" t="s">
        <v>176</v>
      </c>
      <c r="C78" s="2055" t="s">
        <v>475</v>
      </c>
      <c r="D78" s="2055" t="s">
        <v>475</v>
      </c>
      <c r="E78" s="2055" t="s">
        <v>475</v>
      </c>
      <c r="F78" s="2458" t="s">
        <v>50</v>
      </c>
      <c r="G78" s="2458" t="s">
        <v>50</v>
      </c>
      <c r="H78" s="2458" t="s">
        <v>50</v>
      </c>
      <c r="I78" s="2458" t="s">
        <v>50</v>
      </c>
      <c r="J78" s="2459" t="s">
        <v>50</v>
      </c>
      <c r="K78" s="862" t="s">
        <v>147</v>
      </c>
      <c r="L78" s="862" t="s">
        <v>148</v>
      </c>
      <c r="M78" s="2055" t="s">
        <v>475</v>
      </c>
      <c r="N78" s="2055" t="s">
        <v>475</v>
      </c>
      <c r="O78" s="2055" t="s">
        <v>475</v>
      </c>
      <c r="P78" s="2055" t="s">
        <v>475</v>
      </c>
      <c r="Q78" s="2055" t="s">
        <v>475</v>
      </c>
      <c r="R78" s="2055"/>
      <c r="S78" s="2055"/>
      <c r="T78" s="2458" t="s">
        <v>50</v>
      </c>
      <c r="U78" s="2458" t="s">
        <v>50</v>
      </c>
      <c r="V78" s="2458" t="s">
        <v>475</v>
      </c>
      <c r="W78" s="2459" t="s">
        <v>475</v>
      </c>
      <c r="X78" s="2460" t="s">
        <v>475</v>
      </c>
      <c r="Y78" s="2055"/>
      <c r="Z78" s="344" t="s">
        <v>475</v>
      </c>
      <c r="AA78" s="2100" t="s">
        <v>475</v>
      </c>
      <c r="AB78" s="2132" t="s">
        <v>475</v>
      </c>
      <c r="AC78" s="2132" t="s">
        <v>476</v>
      </c>
      <c r="AD78" s="2100" t="s">
        <v>50</v>
      </c>
      <c r="AE78" s="2100" t="s">
        <v>50</v>
      </c>
      <c r="AF78" s="2100" t="s">
        <v>475</v>
      </c>
      <c r="AG78" s="2078"/>
      <c r="AH78" s="1"/>
      <c r="AJ78" s="638">
        <v>156</v>
      </c>
      <c r="AK78" s="638">
        <v>15</v>
      </c>
      <c r="AL78" s="638">
        <f t="shared" si="1"/>
        <v>171</v>
      </c>
      <c r="AM78" s="639">
        <f t="shared" si="0"/>
        <v>10.669999999999987</v>
      </c>
      <c r="AN78" s="639">
        <f>IF(AM78="","",AM78+'Oktober 2024'!AN78)</f>
        <v>30.119999999999919</v>
      </c>
    </row>
    <row r="79" spans="1:40" ht="18" customHeight="1" thickBot="1" x14ac:dyDescent="0.25">
      <c r="A79" s="768"/>
      <c r="B79" s="2461" t="s">
        <v>178</v>
      </c>
      <c r="C79" s="2344">
        <v>11</v>
      </c>
      <c r="D79" s="2283" t="s">
        <v>109</v>
      </c>
      <c r="E79" s="2344" t="s">
        <v>109</v>
      </c>
      <c r="F79" s="2344" t="s">
        <v>50</v>
      </c>
      <c r="G79" s="2344" t="s">
        <v>50</v>
      </c>
      <c r="H79" s="2344" t="s">
        <v>50</v>
      </c>
      <c r="I79" s="2344" t="s">
        <v>50</v>
      </c>
      <c r="J79" s="2283" t="s">
        <v>50</v>
      </c>
      <c r="K79" s="2428" t="s">
        <v>104</v>
      </c>
      <c r="L79" s="2428" t="s">
        <v>104</v>
      </c>
      <c r="M79" s="2426">
        <v>8</v>
      </c>
      <c r="N79" s="2426">
        <v>8</v>
      </c>
      <c r="O79" s="2426">
        <v>8</v>
      </c>
      <c r="P79" s="2426">
        <v>8</v>
      </c>
      <c r="Q79" s="2426" t="s">
        <v>418</v>
      </c>
      <c r="R79" s="2100"/>
      <c r="S79" s="2100"/>
      <c r="T79" s="2462" t="s">
        <v>50</v>
      </c>
      <c r="U79" s="2462" t="s">
        <v>50</v>
      </c>
      <c r="V79" s="2462" t="s">
        <v>50</v>
      </c>
      <c r="W79" s="2462" t="s">
        <v>50</v>
      </c>
      <c r="X79" s="2450" t="s">
        <v>50</v>
      </c>
      <c r="Y79" s="2450"/>
      <c r="Z79" s="2462"/>
      <c r="AA79" s="2462">
        <v>1</v>
      </c>
      <c r="AB79" s="2450">
        <v>1</v>
      </c>
      <c r="AC79" s="2450">
        <v>1</v>
      </c>
      <c r="AD79" s="2450">
        <v>1</v>
      </c>
      <c r="AE79" s="2462">
        <v>1</v>
      </c>
      <c r="AF79" s="2429"/>
      <c r="AG79" s="2463"/>
      <c r="AH79" s="1"/>
      <c r="AJ79" s="638">
        <v>126.25</v>
      </c>
      <c r="AK79" s="638">
        <v>5.5</v>
      </c>
      <c r="AL79" s="638">
        <f t="shared" si="1"/>
        <v>131.75</v>
      </c>
      <c r="AM79" s="639">
        <f t="shared" si="0"/>
        <v>-28.580000000000013</v>
      </c>
      <c r="AN79" s="639">
        <f>IF(AM79="","",AM79+'Oktober 2024'!AN80)</f>
        <v>-44.750000000000092</v>
      </c>
    </row>
    <row r="80" spans="1:40" ht="18" customHeight="1" x14ac:dyDescent="0.2">
      <c r="A80" s="2464"/>
      <c r="B80" s="748" t="s">
        <v>180</v>
      </c>
      <c r="C80" s="2458" t="s">
        <v>50</v>
      </c>
      <c r="D80" s="2040"/>
      <c r="E80" s="2040"/>
      <c r="F80" s="1839" t="s">
        <v>209</v>
      </c>
      <c r="G80" s="1836" t="s">
        <v>209</v>
      </c>
      <c r="H80" s="1839" t="s">
        <v>209</v>
      </c>
      <c r="I80" s="1817" t="s">
        <v>209</v>
      </c>
      <c r="J80" s="1822" t="s">
        <v>209</v>
      </c>
      <c r="K80" s="1822" t="s">
        <v>210</v>
      </c>
      <c r="L80" s="1822" t="s">
        <v>434</v>
      </c>
      <c r="M80" s="1831" t="s">
        <v>50</v>
      </c>
      <c r="N80" s="1831" t="s">
        <v>50</v>
      </c>
      <c r="O80" s="1831" t="s">
        <v>50</v>
      </c>
      <c r="P80" s="1831" t="s">
        <v>50</v>
      </c>
      <c r="Q80" s="1831" t="s">
        <v>50</v>
      </c>
      <c r="R80" s="2040"/>
      <c r="S80" s="2040"/>
      <c r="T80" s="1839" t="s">
        <v>209</v>
      </c>
      <c r="U80" s="1836" t="s">
        <v>209</v>
      </c>
      <c r="V80" s="1839" t="s">
        <v>209</v>
      </c>
      <c r="W80" s="1839" t="s">
        <v>209</v>
      </c>
      <c r="X80" s="2465" t="s">
        <v>209</v>
      </c>
      <c r="Y80" s="2465" t="s">
        <v>210</v>
      </c>
      <c r="Z80" s="2465" t="s">
        <v>211</v>
      </c>
      <c r="AA80" s="1831" t="s">
        <v>50</v>
      </c>
      <c r="AB80" s="1831" t="s">
        <v>50</v>
      </c>
      <c r="AC80" s="1831" t="s">
        <v>50</v>
      </c>
      <c r="AD80" s="1831" t="s">
        <v>50</v>
      </c>
      <c r="AE80" s="1831" t="s">
        <v>50</v>
      </c>
      <c r="AF80" s="2055"/>
      <c r="AG80" s="2466"/>
      <c r="AH80" s="1"/>
      <c r="AJ80" s="638">
        <v>140</v>
      </c>
      <c r="AK80" s="638">
        <v>9.5</v>
      </c>
      <c r="AL80" s="638">
        <f t="shared" si="1"/>
        <v>149.5</v>
      </c>
      <c r="AM80" s="639">
        <f t="shared" si="0"/>
        <v>-10.830000000000013</v>
      </c>
      <c r="AN80" s="639">
        <f>IF(AM80="","",AM80+'Oktober 2024'!AN81)</f>
        <v>-13.230000000000075</v>
      </c>
    </row>
    <row r="81" spans="1:40" ht="18" customHeight="1" x14ac:dyDescent="0.2">
      <c r="A81" s="2464"/>
      <c r="B81" s="748" t="s">
        <v>181</v>
      </c>
      <c r="C81" s="2467" t="s">
        <v>50</v>
      </c>
      <c r="D81" s="2144"/>
      <c r="E81" s="2144"/>
      <c r="F81" s="2429" t="s">
        <v>475</v>
      </c>
      <c r="G81" s="2429" t="s">
        <v>475</v>
      </c>
      <c r="H81" s="2429" t="s">
        <v>475</v>
      </c>
      <c r="I81" s="2429" t="s">
        <v>475</v>
      </c>
      <c r="J81" s="2429" t="s">
        <v>475</v>
      </c>
      <c r="K81" s="2040"/>
      <c r="L81" s="2040"/>
      <c r="M81" s="2040" t="s">
        <v>50</v>
      </c>
      <c r="N81" s="2040" t="s">
        <v>50</v>
      </c>
      <c r="O81" s="2040" t="s">
        <v>50</v>
      </c>
      <c r="P81" s="2040" t="s">
        <v>50</v>
      </c>
      <c r="Q81" s="2040" t="s">
        <v>50</v>
      </c>
      <c r="R81" s="2055" t="s">
        <v>475</v>
      </c>
      <c r="S81" s="2055" t="s">
        <v>475</v>
      </c>
      <c r="T81" s="635" t="s">
        <v>475</v>
      </c>
      <c r="U81" s="635" t="s">
        <v>475</v>
      </c>
      <c r="V81" s="635" t="s">
        <v>50</v>
      </c>
      <c r="W81" s="635" t="s">
        <v>50</v>
      </c>
      <c r="X81" s="636" t="s">
        <v>50</v>
      </c>
      <c r="Y81" s="636" t="s">
        <v>210</v>
      </c>
      <c r="Z81" s="636" t="s">
        <v>211</v>
      </c>
      <c r="AA81" s="2055" t="s">
        <v>50</v>
      </c>
      <c r="AB81" s="2055" t="s">
        <v>50</v>
      </c>
      <c r="AC81" s="2048" t="s">
        <v>50</v>
      </c>
      <c r="AD81" s="2144" t="s">
        <v>475</v>
      </c>
      <c r="AE81" s="2144" t="s">
        <v>475</v>
      </c>
      <c r="AF81" s="2144"/>
      <c r="AG81" s="2466"/>
      <c r="AH81" s="1"/>
      <c r="AJ81" s="638">
        <v>130</v>
      </c>
      <c r="AK81" s="638">
        <v>12</v>
      </c>
      <c r="AL81" s="638">
        <f t="shared" si="1"/>
        <v>142</v>
      </c>
      <c r="AM81" s="639">
        <f t="shared" si="0"/>
        <v>-18.330000000000013</v>
      </c>
      <c r="AN81" s="639">
        <f>IF(AM81="","",AM81+'Oktober 2024'!AN82)</f>
        <v>-56.650000000000063</v>
      </c>
    </row>
    <row r="82" spans="1:40" ht="18" customHeight="1" thickBot="1" x14ac:dyDescent="0.25">
      <c r="A82" s="2464"/>
      <c r="B82" s="748" t="s">
        <v>101</v>
      </c>
      <c r="C82" s="2468" t="s">
        <v>46</v>
      </c>
      <c r="D82" s="2132"/>
      <c r="E82" s="2132"/>
      <c r="F82" s="2132" t="s">
        <v>46</v>
      </c>
      <c r="G82" s="2132" t="s">
        <v>46</v>
      </c>
      <c r="H82" s="2132" t="s">
        <v>46</v>
      </c>
      <c r="I82" s="2132" t="s">
        <v>46</v>
      </c>
      <c r="J82" s="2132" t="s">
        <v>46</v>
      </c>
      <c r="K82" s="2132"/>
      <c r="L82" s="2132"/>
      <c r="M82" s="2132" t="s">
        <v>46</v>
      </c>
      <c r="N82" s="2132" t="s">
        <v>46</v>
      </c>
      <c r="O82" s="2132" t="s">
        <v>46</v>
      </c>
      <c r="P82" s="2132" t="s">
        <v>46</v>
      </c>
      <c r="Q82" s="2132" t="s">
        <v>46</v>
      </c>
      <c r="R82" s="2132"/>
      <c r="S82" s="2132"/>
      <c r="T82" s="2132" t="s">
        <v>46</v>
      </c>
      <c r="U82" s="2132" t="s">
        <v>46</v>
      </c>
      <c r="V82" s="2132" t="s">
        <v>46</v>
      </c>
      <c r="W82" s="2132" t="s">
        <v>46</v>
      </c>
      <c r="X82" s="2132" t="s">
        <v>46</v>
      </c>
      <c r="Y82" s="2132"/>
      <c r="Z82" s="2132"/>
      <c r="AA82" s="2132" t="s">
        <v>46</v>
      </c>
      <c r="AB82" s="2132" t="s">
        <v>46</v>
      </c>
      <c r="AC82" s="2132" t="s">
        <v>46</v>
      </c>
      <c r="AD82" s="2132" t="s">
        <v>46</v>
      </c>
      <c r="AE82" s="2132" t="s">
        <v>46</v>
      </c>
      <c r="AF82" s="2132"/>
      <c r="AG82" s="2469"/>
      <c r="AH82" s="1"/>
      <c r="AJ82" s="638">
        <f t="shared" ref="AJ82" si="2">$AJ$12</f>
        <v>160.33000000000001</v>
      </c>
      <c r="AK82" s="638"/>
      <c r="AL82" s="638">
        <f t="shared" ref="AL82:AL90" si="3">IF(AJ82="","",SUM(AJ82:AK82))</f>
        <v>160.33000000000001</v>
      </c>
      <c r="AM82" s="639">
        <f t="shared" ref="AM82:AM89" si="4">IF(AJ82="","",AL82-_xlfn.SINGLE(NormTid))</f>
        <v>0</v>
      </c>
      <c r="AN82" s="639">
        <f>IF(AM82="","",AM82+'Oktober 2024'!AN83)</f>
        <v>-4.5800000000000125</v>
      </c>
    </row>
    <row r="83" spans="1:40" ht="18" customHeight="1" thickBot="1" x14ac:dyDescent="0.25">
      <c r="A83" s="2464"/>
      <c r="B83" s="1813" t="s">
        <v>183</v>
      </c>
      <c r="C83" s="853" t="s">
        <v>145</v>
      </c>
      <c r="D83" s="853" t="s">
        <v>147</v>
      </c>
      <c r="E83" s="854" t="s">
        <v>148</v>
      </c>
      <c r="F83" s="2470" t="s">
        <v>162</v>
      </c>
      <c r="G83" s="2458" t="s">
        <v>50</v>
      </c>
      <c r="H83" s="2458" t="s">
        <v>50</v>
      </c>
      <c r="I83" s="2458" t="s">
        <v>50</v>
      </c>
      <c r="J83" s="2459" t="s">
        <v>50</v>
      </c>
      <c r="K83" s="2055"/>
      <c r="L83" s="2055"/>
      <c r="M83" s="2040" t="s">
        <v>142</v>
      </c>
      <c r="N83" s="2040" t="s">
        <v>142</v>
      </c>
      <c r="O83" s="2040" t="s">
        <v>142</v>
      </c>
      <c r="P83" s="2057" t="s">
        <v>142</v>
      </c>
      <c r="Q83" s="2040" t="s">
        <v>142</v>
      </c>
      <c r="R83" s="2144" t="s">
        <v>143</v>
      </c>
      <c r="S83" s="2144" t="s">
        <v>143</v>
      </c>
      <c r="T83" s="636" t="s">
        <v>50</v>
      </c>
      <c r="U83" s="636" t="s">
        <v>50</v>
      </c>
      <c r="V83" s="636" t="s">
        <v>50</v>
      </c>
      <c r="W83" s="636" t="s">
        <v>50</v>
      </c>
      <c r="X83" s="1634" t="s">
        <v>297</v>
      </c>
      <c r="Y83" s="2144"/>
      <c r="Z83" s="2144"/>
      <c r="AA83" s="2055" t="s">
        <v>154</v>
      </c>
      <c r="AB83" s="2055" t="s">
        <v>154</v>
      </c>
      <c r="AC83" s="2040" t="s">
        <v>154</v>
      </c>
      <c r="AD83" s="2040" t="s">
        <v>154</v>
      </c>
      <c r="AE83" s="2040" t="s">
        <v>154</v>
      </c>
      <c r="AF83" s="2040"/>
      <c r="AG83" s="2078"/>
      <c r="AH83" s="1"/>
      <c r="AJ83" s="638">
        <v>118.5</v>
      </c>
      <c r="AK83" s="638">
        <v>8</v>
      </c>
      <c r="AL83" s="638">
        <f t="shared" si="3"/>
        <v>126.5</v>
      </c>
      <c r="AM83" s="639">
        <f t="shared" si="4"/>
        <v>-33.830000000000013</v>
      </c>
      <c r="AN83" s="639">
        <f>IF(AM83="","",AM83+'Oktober 2024'!AN84)</f>
        <v>73.829999999999927</v>
      </c>
    </row>
    <row r="84" spans="1:40" ht="18" customHeight="1" thickBot="1" x14ac:dyDescent="0.25">
      <c r="A84" s="2464"/>
      <c r="B84" s="764" t="s">
        <v>426</v>
      </c>
      <c r="C84" s="2411" t="s">
        <v>451</v>
      </c>
      <c r="D84" s="2055"/>
      <c r="E84" s="2045"/>
      <c r="F84" s="2411" t="s">
        <v>451</v>
      </c>
      <c r="G84" s="2411" t="s">
        <v>451</v>
      </c>
      <c r="H84" s="2411" t="s">
        <v>451</v>
      </c>
      <c r="I84" s="2411" t="s">
        <v>451</v>
      </c>
      <c r="J84" s="2411" t="s">
        <v>451</v>
      </c>
      <c r="K84" s="2055"/>
      <c r="L84" s="2055"/>
      <c r="M84" s="2429" t="s">
        <v>46</v>
      </c>
      <c r="N84" s="2471" t="s">
        <v>46</v>
      </c>
      <c r="O84" s="2471" t="s">
        <v>46</v>
      </c>
      <c r="P84" s="2471" t="s">
        <v>46</v>
      </c>
      <c r="Q84" s="2471" t="s">
        <v>46</v>
      </c>
      <c r="R84" s="2429"/>
      <c r="S84" s="2429"/>
      <c r="T84" s="2429" t="s">
        <v>46</v>
      </c>
      <c r="U84" s="2429" t="s">
        <v>46</v>
      </c>
      <c r="V84" s="2189" t="s">
        <v>46</v>
      </c>
      <c r="W84" s="2189" t="s">
        <v>46</v>
      </c>
      <c r="X84" s="2189" t="s">
        <v>46</v>
      </c>
      <c r="Y84" s="2189"/>
      <c r="Z84" s="2189"/>
      <c r="AA84" s="2411" t="s">
        <v>451</v>
      </c>
      <c r="AB84" s="2411" t="s">
        <v>451</v>
      </c>
      <c r="AC84" s="2411" t="s">
        <v>451</v>
      </c>
      <c r="AD84" s="2411" t="s">
        <v>451</v>
      </c>
      <c r="AE84" s="2411" t="s">
        <v>451</v>
      </c>
      <c r="AF84" s="2040"/>
      <c r="AG84" s="2078"/>
      <c r="AH84" s="1"/>
      <c r="AJ84" s="638">
        <v>154</v>
      </c>
      <c r="AK84" s="638">
        <v>0</v>
      </c>
      <c r="AL84" s="638">
        <f t="shared" si="3"/>
        <v>154</v>
      </c>
      <c r="AM84" s="639">
        <f t="shared" si="4"/>
        <v>-6.3300000000000125</v>
      </c>
      <c r="AN84" s="639">
        <f>IF(AM84="","",AM84+'Oktober 2024'!AN85)</f>
        <v>37.979999999999961</v>
      </c>
    </row>
    <row r="85" spans="1:40" ht="18" customHeight="1" x14ac:dyDescent="0.2">
      <c r="A85" s="2464"/>
      <c r="B85" s="748" t="s">
        <v>391</v>
      </c>
      <c r="C85" s="2411" t="s">
        <v>50</v>
      </c>
      <c r="D85" s="2055"/>
      <c r="E85" s="2045"/>
      <c r="F85" s="802">
        <v>21</v>
      </c>
      <c r="G85" s="802">
        <v>21</v>
      </c>
      <c r="H85" s="802">
        <v>21</v>
      </c>
      <c r="I85" s="802">
        <v>21</v>
      </c>
      <c r="J85" s="802">
        <v>23</v>
      </c>
      <c r="K85" s="802">
        <v>23</v>
      </c>
      <c r="L85" s="802">
        <v>23</v>
      </c>
      <c r="M85" s="2458" t="s">
        <v>50</v>
      </c>
      <c r="N85" s="2458" t="s">
        <v>50</v>
      </c>
      <c r="O85" s="2458" t="s">
        <v>50</v>
      </c>
      <c r="P85" s="2458" t="s">
        <v>50</v>
      </c>
      <c r="Q85" s="2458" t="s">
        <v>50</v>
      </c>
      <c r="R85" s="2055"/>
      <c r="S85" s="2057">
        <v>23</v>
      </c>
      <c r="T85" s="2055">
        <v>21</v>
      </c>
      <c r="U85" s="2055">
        <v>21</v>
      </c>
      <c r="V85" s="2055">
        <v>21</v>
      </c>
      <c r="W85" s="2055">
        <v>21</v>
      </c>
      <c r="X85" s="2055">
        <v>21</v>
      </c>
      <c r="Y85" s="2040">
        <v>22</v>
      </c>
      <c r="Z85" s="2040">
        <v>22</v>
      </c>
      <c r="AA85" s="2458" t="s">
        <v>50</v>
      </c>
      <c r="AB85" s="2458" t="s">
        <v>50</v>
      </c>
      <c r="AC85" s="2458" t="s">
        <v>50</v>
      </c>
      <c r="AD85" s="2458" t="s">
        <v>50</v>
      </c>
      <c r="AE85" s="2458" t="s">
        <v>50</v>
      </c>
      <c r="AF85" s="2040"/>
      <c r="AG85" s="2078"/>
      <c r="AH85" s="1"/>
      <c r="AJ85" s="638">
        <v>142</v>
      </c>
      <c r="AK85" s="638">
        <v>11.25</v>
      </c>
      <c r="AL85" s="638">
        <f t="shared" si="3"/>
        <v>153.25</v>
      </c>
      <c r="AM85" s="639">
        <f t="shared" si="4"/>
        <v>-7.0800000000000125</v>
      </c>
      <c r="AN85" s="639">
        <f>IF(AM85="","",AM85+'Oktober 2024'!AN86)</f>
        <v>-0.52000000000003865</v>
      </c>
    </row>
    <row r="86" spans="1:40" ht="18" customHeight="1" x14ac:dyDescent="0.2">
      <c r="A86" s="2464"/>
      <c r="B86" s="748" t="s">
        <v>452</v>
      </c>
      <c r="C86" s="2411">
        <v>4</v>
      </c>
      <c r="D86" s="2055"/>
      <c r="E86" s="2045"/>
      <c r="F86" s="2144" t="s">
        <v>401</v>
      </c>
      <c r="G86" s="2040">
        <v>22</v>
      </c>
      <c r="H86" s="2040">
        <v>22</v>
      </c>
      <c r="I86" s="2451">
        <v>22</v>
      </c>
      <c r="J86" s="2071" t="s">
        <v>46</v>
      </c>
      <c r="K86" s="2071"/>
      <c r="L86" s="2071"/>
      <c r="M86" s="2071" t="s">
        <v>46</v>
      </c>
      <c r="N86" s="2071" t="s">
        <v>46</v>
      </c>
      <c r="O86" s="2071" t="s">
        <v>46</v>
      </c>
      <c r="P86" s="2071" t="s">
        <v>46</v>
      </c>
      <c r="Q86" s="2071" t="s">
        <v>46</v>
      </c>
      <c r="R86" s="2071"/>
      <c r="S86" s="2071"/>
      <c r="T86" s="2071" t="s">
        <v>46</v>
      </c>
      <c r="U86" s="2071" t="s">
        <v>46</v>
      </c>
      <c r="V86" s="2071" t="s">
        <v>46</v>
      </c>
      <c r="W86" s="2071" t="s">
        <v>46</v>
      </c>
      <c r="X86" s="2071" t="s">
        <v>46</v>
      </c>
      <c r="Y86" s="2071"/>
      <c r="Z86" s="2071"/>
      <c r="AA86" s="800">
        <v>21</v>
      </c>
      <c r="AB86" s="800">
        <v>21</v>
      </c>
      <c r="AC86" s="800">
        <v>21</v>
      </c>
      <c r="AD86" s="800">
        <v>21</v>
      </c>
      <c r="AE86" s="800">
        <v>21</v>
      </c>
      <c r="AF86" s="800">
        <v>21</v>
      </c>
      <c r="AG86" s="2078"/>
      <c r="AH86" s="1"/>
      <c r="AJ86" s="638">
        <v>181</v>
      </c>
      <c r="AK86" s="638">
        <v>6.75</v>
      </c>
      <c r="AL86" s="638">
        <f t="shared" si="3"/>
        <v>187.75</v>
      </c>
      <c r="AM86" s="639">
        <f t="shared" si="4"/>
        <v>27.419999999999987</v>
      </c>
      <c r="AN86" s="639">
        <f>IF(AM86="","",AM86+'Oktober 2024'!AN87)</f>
        <v>34.339999999999975</v>
      </c>
    </row>
    <row r="87" spans="1:40" ht="18" customHeight="1" thickBot="1" x14ac:dyDescent="0.25">
      <c r="A87" s="2464"/>
      <c r="B87" s="748" t="s">
        <v>453</v>
      </c>
      <c r="C87" s="2411" t="s">
        <v>297</v>
      </c>
      <c r="D87" s="2055"/>
      <c r="E87" s="2045"/>
      <c r="F87" s="2411" t="s">
        <v>297</v>
      </c>
      <c r="G87" s="2411" t="s">
        <v>297</v>
      </c>
      <c r="H87" s="2411" t="s">
        <v>297</v>
      </c>
      <c r="I87" s="2411" t="s">
        <v>297</v>
      </c>
      <c r="J87" s="2472" t="s">
        <v>297</v>
      </c>
      <c r="K87" s="2473"/>
      <c r="L87" s="2473"/>
      <c r="M87" s="2472" t="s">
        <v>297</v>
      </c>
      <c r="N87" s="2472" t="s">
        <v>297</v>
      </c>
      <c r="O87" s="2472" t="s">
        <v>297</v>
      </c>
      <c r="P87" s="2472" t="s">
        <v>297</v>
      </c>
      <c r="Q87" s="2472" t="s">
        <v>297</v>
      </c>
      <c r="R87" s="2473"/>
      <c r="S87" s="2473"/>
      <c r="T87" s="2472" t="s">
        <v>297</v>
      </c>
      <c r="U87" s="2472" t="s">
        <v>297</v>
      </c>
      <c r="V87" s="2472" t="s">
        <v>297</v>
      </c>
      <c r="W87" s="2472" t="s">
        <v>297</v>
      </c>
      <c r="X87" s="2472" t="s">
        <v>297</v>
      </c>
      <c r="Y87" s="2473"/>
      <c r="Z87" s="2473"/>
      <c r="AA87" s="2411" t="s">
        <v>297</v>
      </c>
      <c r="AB87" s="2411" t="s">
        <v>297</v>
      </c>
      <c r="AC87" s="2411" t="s">
        <v>297</v>
      </c>
      <c r="AD87" s="2411" t="s">
        <v>297</v>
      </c>
      <c r="AE87" s="2411" t="s">
        <v>297</v>
      </c>
      <c r="AF87" s="2040"/>
      <c r="AG87" s="2078"/>
      <c r="AH87" s="1"/>
      <c r="AJ87" s="638">
        <v>153</v>
      </c>
      <c r="AK87" s="638">
        <v>0</v>
      </c>
      <c r="AL87" s="638">
        <f t="shared" si="3"/>
        <v>153</v>
      </c>
      <c r="AM87" s="639">
        <f t="shared" si="4"/>
        <v>-7.3300000000000125</v>
      </c>
      <c r="AN87" s="639">
        <f>IF(AM87="","",AM87+'Oktober 2024'!AN88)</f>
        <v>-29.240000000000038</v>
      </c>
    </row>
    <row r="88" spans="1:40" ht="18" customHeight="1" thickBot="1" x14ac:dyDescent="0.25">
      <c r="A88" s="2474"/>
      <c r="B88" s="748" t="s">
        <v>477</v>
      </c>
      <c r="C88" s="2475">
        <v>7</v>
      </c>
      <c r="D88" s="2055"/>
      <c r="E88" s="2045"/>
      <c r="F88" s="636" t="s">
        <v>50</v>
      </c>
      <c r="G88" s="636" t="s">
        <v>50</v>
      </c>
      <c r="H88" s="636" t="s">
        <v>50</v>
      </c>
      <c r="I88" s="636" t="s">
        <v>50</v>
      </c>
      <c r="J88" s="636" t="s">
        <v>50</v>
      </c>
      <c r="K88" s="2476" t="s">
        <v>104</v>
      </c>
      <c r="L88" s="2476" t="s">
        <v>104</v>
      </c>
      <c r="M88" s="2477">
        <v>8</v>
      </c>
      <c r="N88" s="2476">
        <v>8</v>
      </c>
      <c r="O88" s="2476">
        <v>8</v>
      </c>
      <c r="P88" s="2476">
        <v>8</v>
      </c>
      <c r="Q88" s="2477">
        <v>8</v>
      </c>
      <c r="R88" s="2055"/>
      <c r="S88" s="2055"/>
      <c r="T88" s="636" t="s">
        <v>50</v>
      </c>
      <c r="U88" s="636" t="s">
        <v>50</v>
      </c>
      <c r="V88" s="636" t="s">
        <v>50</v>
      </c>
      <c r="W88" s="636" t="s">
        <v>50</v>
      </c>
      <c r="X88" s="636" t="s">
        <v>50</v>
      </c>
      <c r="Y88" s="2285" t="s">
        <v>103</v>
      </c>
      <c r="Z88" s="2285" t="s">
        <v>104</v>
      </c>
      <c r="AA88" s="2055">
        <v>1</v>
      </c>
      <c r="AB88" s="2055">
        <v>1</v>
      </c>
      <c r="AC88" s="2040">
        <v>1</v>
      </c>
      <c r="AD88" s="2040">
        <v>1</v>
      </c>
      <c r="AE88" s="2040">
        <v>1</v>
      </c>
      <c r="AF88" s="2040"/>
      <c r="AG88" s="2078"/>
      <c r="AH88" s="1"/>
      <c r="AJ88" s="638">
        <v>121</v>
      </c>
      <c r="AK88" s="638">
        <v>3.5</v>
      </c>
      <c r="AL88" s="638">
        <f t="shared" si="3"/>
        <v>124.5</v>
      </c>
      <c r="AM88" s="639">
        <f t="shared" si="4"/>
        <v>-35.830000000000013</v>
      </c>
      <c r="AN88" s="639">
        <f>IF(AM88="","",AM88+'Oktober 2024'!AN89)</f>
        <v>-27.660000000000025</v>
      </c>
    </row>
    <row r="89" spans="1:40" ht="18" customHeight="1" thickBot="1" x14ac:dyDescent="0.25">
      <c r="A89" s="2474"/>
      <c r="B89" s="2478" t="s">
        <v>478</v>
      </c>
      <c r="C89" s="2479">
        <v>5</v>
      </c>
      <c r="D89" s="2480"/>
      <c r="E89" s="2481"/>
      <c r="F89" s="2285">
        <v>26</v>
      </c>
      <c r="G89" s="2285">
        <v>26</v>
      </c>
      <c r="H89" s="2285">
        <v>26</v>
      </c>
      <c r="I89" s="2285">
        <v>26</v>
      </c>
      <c r="J89" s="2285">
        <v>26</v>
      </c>
      <c r="K89" s="1615" t="s">
        <v>150</v>
      </c>
      <c r="L89" s="1615" t="s">
        <v>71</v>
      </c>
      <c r="M89" s="2475" t="s">
        <v>46</v>
      </c>
      <c r="N89" s="2482">
        <v>5</v>
      </c>
      <c r="O89" s="2482">
        <v>25</v>
      </c>
      <c r="P89" s="2045">
        <v>25</v>
      </c>
      <c r="Q89" s="2057">
        <v>25</v>
      </c>
      <c r="R89" s="2055"/>
      <c r="S89" s="2055">
        <v>26</v>
      </c>
      <c r="T89" s="2040">
        <v>5</v>
      </c>
      <c r="U89" s="2055">
        <v>5</v>
      </c>
      <c r="V89" s="2040">
        <v>5</v>
      </c>
      <c r="W89" s="2077">
        <v>5</v>
      </c>
      <c r="X89" s="2057">
        <v>5</v>
      </c>
      <c r="Y89" s="2144"/>
      <c r="Z89" s="2057">
        <v>26</v>
      </c>
      <c r="AA89" s="2040" t="s">
        <v>142</v>
      </c>
      <c r="AB89" s="2040" t="s">
        <v>142</v>
      </c>
      <c r="AC89" s="2040" t="s">
        <v>142</v>
      </c>
      <c r="AD89" s="2040" t="s">
        <v>142</v>
      </c>
      <c r="AE89" s="2040" t="s">
        <v>142</v>
      </c>
      <c r="AF89" s="2144" t="s">
        <v>143</v>
      </c>
      <c r="AG89" s="2078"/>
      <c r="AH89" s="1"/>
      <c r="AJ89" s="638">
        <v>180.75</v>
      </c>
      <c r="AK89" s="638">
        <v>14.75</v>
      </c>
      <c r="AL89" s="638">
        <f t="shared" si="3"/>
        <v>195.5</v>
      </c>
      <c r="AM89" s="639">
        <f t="shared" si="4"/>
        <v>35.169999999999987</v>
      </c>
      <c r="AN89" s="639">
        <f>IF(AM89="","",AM89+'Oktober 2024'!AN90)</f>
        <v>36.669999999999987</v>
      </c>
    </row>
    <row r="90" spans="1:40" ht="18" customHeight="1" x14ac:dyDescent="0.2">
      <c r="A90" s="2474"/>
      <c r="B90" s="2187" t="s">
        <v>479</v>
      </c>
      <c r="C90" s="799"/>
      <c r="D90" s="799"/>
      <c r="E90" s="2483"/>
      <c r="F90" s="2467"/>
      <c r="G90" s="2144"/>
      <c r="H90" s="2040"/>
      <c r="I90" s="2040"/>
      <c r="J90" s="2055"/>
      <c r="K90" s="2055"/>
      <c r="L90" s="2055"/>
      <c r="M90" s="2475">
        <v>69</v>
      </c>
      <c r="N90" s="2475">
        <v>99</v>
      </c>
      <c r="O90" s="2475">
        <v>22</v>
      </c>
      <c r="P90" s="2475">
        <v>22</v>
      </c>
      <c r="Q90" s="2475">
        <v>22</v>
      </c>
      <c r="R90" s="2055">
        <v>22</v>
      </c>
      <c r="S90" s="2055">
        <v>22</v>
      </c>
      <c r="T90" s="2100" t="s">
        <v>50</v>
      </c>
      <c r="U90" s="2100" t="s">
        <v>50</v>
      </c>
      <c r="V90" s="2100" t="s">
        <v>50</v>
      </c>
      <c r="W90" s="2100" t="s">
        <v>50</v>
      </c>
      <c r="X90" s="2100" t="s">
        <v>50</v>
      </c>
      <c r="Y90" s="2144"/>
      <c r="Z90" s="2144"/>
      <c r="AA90" s="2475">
        <v>26</v>
      </c>
      <c r="AB90" s="2475">
        <v>26</v>
      </c>
      <c r="AC90" s="2475">
        <v>26</v>
      </c>
      <c r="AD90" s="2475">
        <v>26</v>
      </c>
      <c r="AE90" s="2475">
        <v>26</v>
      </c>
      <c r="AF90" s="2040"/>
      <c r="AG90" s="2078"/>
      <c r="AH90" s="1"/>
      <c r="AJ90" s="638">
        <v>102</v>
      </c>
      <c r="AK90" s="638">
        <v>7.25</v>
      </c>
      <c r="AL90" s="638">
        <f t="shared" si="3"/>
        <v>109.25</v>
      </c>
      <c r="AM90" s="639">
        <f>IF(AJ90="","",AL90-115.93)</f>
        <v>-6.6800000000000068</v>
      </c>
      <c r="AN90" s="639">
        <f>IF(AM90="","",AM90+'Oktober 2024'!AN92)</f>
        <v>-6.6800000000000068</v>
      </c>
    </row>
    <row r="91" spans="1:40" ht="18" customHeight="1" x14ac:dyDescent="0.2">
      <c r="A91" s="2474"/>
      <c r="B91" s="638"/>
      <c r="C91" s="799"/>
      <c r="D91" s="799"/>
      <c r="E91" s="2483"/>
      <c r="F91" s="2467"/>
      <c r="G91" s="2144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2055"/>
      <c r="AC91" s="2040"/>
      <c r="AD91" s="2040"/>
      <c r="AE91" s="2040"/>
      <c r="AF91" s="2040"/>
      <c r="AG91" s="2078"/>
      <c r="AH91" s="1"/>
      <c r="AJ91" s="638"/>
      <c r="AK91" s="638"/>
      <c r="AL91" s="638"/>
      <c r="AM91" s="639"/>
      <c r="AN91" s="639"/>
    </row>
    <row r="92" spans="1:40" ht="18" customHeight="1" thickBot="1" x14ac:dyDescent="0.25">
      <c r="A92" s="2474"/>
      <c r="B92" s="2484" t="s">
        <v>0</v>
      </c>
      <c r="C92" s="963" t="s">
        <v>46</v>
      </c>
      <c r="D92" s="963"/>
      <c r="E92" s="2485"/>
      <c r="F92" s="2467" t="s">
        <v>46</v>
      </c>
      <c r="G92" s="2144" t="s">
        <v>46</v>
      </c>
      <c r="H92" s="2040" t="s">
        <v>46</v>
      </c>
      <c r="I92" s="2040" t="s">
        <v>46</v>
      </c>
      <c r="J92" s="2055" t="s">
        <v>46</v>
      </c>
      <c r="K92" s="2055"/>
      <c r="L92" s="2055"/>
      <c r="M92" s="2055" t="s">
        <v>46</v>
      </c>
      <c r="N92" s="2045" t="s">
        <v>46</v>
      </c>
      <c r="O92" s="2045" t="s">
        <v>46</v>
      </c>
      <c r="P92" s="2045" t="s">
        <v>46</v>
      </c>
      <c r="Q92" s="2045" t="s">
        <v>46</v>
      </c>
      <c r="R92" s="2055"/>
      <c r="S92" s="2055"/>
      <c r="T92" s="2055" t="s">
        <v>46</v>
      </c>
      <c r="U92" s="2055" t="s">
        <v>46</v>
      </c>
      <c r="V92" s="2144" t="s">
        <v>46</v>
      </c>
      <c r="W92" s="2144" t="s">
        <v>46</v>
      </c>
      <c r="X92" s="2144" t="s">
        <v>46</v>
      </c>
      <c r="Y92" s="2144"/>
      <c r="Z92" s="2144"/>
      <c r="AA92" s="2055" t="s">
        <v>46</v>
      </c>
      <c r="AB92" s="2055" t="s">
        <v>46</v>
      </c>
      <c r="AC92" s="2040" t="s">
        <v>46</v>
      </c>
      <c r="AD92" s="2040" t="s">
        <v>46</v>
      </c>
      <c r="AE92" s="2040" t="s">
        <v>46</v>
      </c>
      <c r="AF92" s="2040"/>
      <c r="AG92" s="2078"/>
      <c r="AH92" s="1"/>
      <c r="AJ92" s="638"/>
      <c r="AK92" s="638"/>
      <c r="AL92" s="638"/>
      <c r="AM92" s="639"/>
      <c r="AN92" s="639"/>
    </row>
    <row r="93" spans="1:40" ht="18" customHeight="1" thickBot="1" x14ac:dyDescent="0.25">
      <c r="A93" s="242"/>
      <c r="B93" s="332" t="s">
        <v>182</v>
      </c>
      <c r="C93" s="1810">
        <v>1</v>
      </c>
      <c r="D93" s="2486">
        <v>2</v>
      </c>
      <c r="E93" s="2486">
        <v>3</v>
      </c>
      <c r="F93" s="2487">
        <v>4</v>
      </c>
      <c r="G93" s="2487">
        <v>5</v>
      </c>
      <c r="H93" s="2487">
        <v>6</v>
      </c>
      <c r="I93" s="2487">
        <v>7</v>
      </c>
      <c r="J93" s="2487">
        <v>8</v>
      </c>
      <c r="K93" s="2488">
        <v>9</v>
      </c>
      <c r="L93" s="2488">
        <v>10</v>
      </c>
      <c r="M93" s="2487">
        <v>11</v>
      </c>
      <c r="N93" s="2487">
        <v>12</v>
      </c>
      <c r="O93" s="2487">
        <v>13</v>
      </c>
      <c r="P93" s="2487">
        <v>14</v>
      </c>
      <c r="Q93" s="2487">
        <v>15</v>
      </c>
      <c r="R93" s="2488">
        <v>16</v>
      </c>
      <c r="S93" s="2488">
        <v>17</v>
      </c>
      <c r="T93" s="2487">
        <v>18</v>
      </c>
      <c r="U93" s="2487">
        <v>19</v>
      </c>
      <c r="V93" s="2487">
        <v>20</v>
      </c>
      <c r="W93" s="2487">
        <v>21</v>
      </c>
      <c r="X93" s="2487">
        <v>22</v>
      </c>
      <c r="Y93" s="2488">
        <v>23</v>
      </c>
      <c r="Z93" s="2488">
        <v>24</v>
      </c>
      <c r="AA93" s="2487">
        <v>25</v>
      </c>
      <c r="AB93" s="2487">
        <v>26</v>
      </c>
      <c r="AC93" s="2487">
        <v>27</v>
      </c>
      <c r="AD93" s="2487">
        <v>28</v>
      </c>
      <c r="AE93" s="2487">
        <v>29</v>
      </c>
      <c r="AF93" s="2488">
        <v>30</v>
      </c>
      <c r="AG93" s="2033"/>
      <c r="AH93" s="1"/>
      <c r="AJ93" s="638"/>
      <c r="AK93" s="638"/>
      <c r="AL93" s="638"/>
      <c r="AM93" s="639"/>
      <c r="AN93" s="639"/>
    </row>
    <row r="94" spans="1:40" ht="18" customHeight="1" thickBot="1" x14ac:dyDescent="0.25">
      <c r="A94" s="369"/>
      <c r="B94" s="2489" t="s">
        <v>409</v>
      </c>
      <c r="C94" s="636" t="s">
        <v>139</v>
      </c>
      <c r="D94" s="636" t="s">
        <v>140</v>
      </c>
      <c r="E94" s="636" t="s">
        <v>141</v>
      </c>
      <c r="F94" s="2055" t="s">
        <v>475</v>
      </c>
      <c r="G94" s="2055" t="s">
        <v>475</v>
      </c>
      <c r="H94" s="2458" t="s">
        <v>50</v>
      </c>
      <c r="I94" s="2458" t="s">
        <v>50</v>
      </c>
      <c r="J94" s="636" t="s">
        <v>139</v>
      </c>
      <c r="K94" s="636" t="s">
        <v>140</v>
      </c>
      <c r="L94" s="636" t="s">
        <v>141</v>
      </c>
      <c r="M94" s="2458" t="s">
        <v>50</v>
      </c>
      <c r="N94" s="2458" t="s">
        <v>160</v>
      </c>
      <c r="O94" s="2458" t="s">
        <v>50</v>
      </c>
      <c r="P94" s="2458" t="s">
        <v>50</v>
      </c>
      <c r="Q94" s="636" t="s">
        <v>139</v>
      </c>
      <c r="R94" s="636" t="s">
        <v>140</v>
      </c>
      <c r="S94" s="636" t="s">
        <v>141</v>
      </c>
      <c r="T94" s="2458" t="s">
        <v>50</v>
      </c>
      <c r="U94" s="2458" t="s">
        <v>50</v>
      </c>
      <c r="V94" s="2458" t="s">
        <v>50</v>
      </c>
      <c r="W94" s="2458" t="s">
        <v>50</v>
      </c>
      <c r="X94" s="636" t="s">
        <v>139</v>
      </c>
      <c r="Y94" s="636" t="s">
        <v>140</v>
      </c>
      <c r="Z94" s="636" t="s">
        <v>141</v>
      </c>
      <c r="AA94" s="2458" t="s">
        <v>50</v>
      </c>
      <c r="AB94" s="2458" t="s">
        <v>50</v>
      </c>
      <c r="AC94" s="2458" t="s">
        <v>50</v>
      </c>
      <c r="AD94" s="2470" t="s">
        <v>50</v>
      </c>
      <c r="AE94" s="636" t="s">
        <v>139</v>
      </c>
      <c r="AF94" s="636" t="s">
        <v>140</v>
      </c>
      <c r="AG94" s="1831"/>
      <c r="AH94" s="1"/>
      <c r="AJ94" s="638">
        <v>148</v>
      </c>
      <c r="AK94" s="638">
        <v>13.25</v>
      </c>
      <c r="AL94" s="638">
        <f t="shared" si="1"/>
        <v>161.25</v>
      </c>
      <c r="AM94" s="639">
        <f t="shared" si="0"/>
        <v>0.91999999999998749</v>
      </c>
      <c r="AN94" s="639">
        <f>IF(AM94="","",AM94+'Oktober 2024'!AN94)</f>
        <v>-36.020000000000039</v>
      </c>
    </row>
    <row r="95" spans="1:40" ht="18" customHeight="1" x14ac:dyDescent="0.2">
      <c r="A95" s="768"/>
      <c r="B95" s="2187" t="s">
        <v>480</v>
      </c>
      <c r="C95" s="799" t="s">
        <v>46</v>
      </c>
      <c r="D95" s="799"/>
      <c r="E95" s="799"/>
      <c r="F95" s="2490">
        <v>23</v>
      </c>
      <c r="G95" s="2490">
        <v>23</v>
      </c>
      <c r="H95" s="2490">
        <v>23</v>
      </c>
      <c r="I95" s="2490">
        <v>23</v>
      </c>
      <c r="J95" s="2490">
        <v>23</v>
      </c>
      <c r="K95" s="2490">
        <v>23</v>
      </c>
      <c r="L95" s="2490">
        <v>23</v>
      </c>
      <c r="M95" s="2458" t="s">
        <v>50</v>
      </c>
      <c r="N95" s="2458" t="s">
        <v>50</v>
      </c>
      <c r="O95" s="2458" t="s">
        <v>50</v>
      </c>
      <c r="P95" s="2458" t="s">
        <v>50</v>
      </c>
      <c r="Q95" s="2458" t="s">
        <v>50</v>
      </c>
      <c r="R95" s="799"/>
      <c r="S95" s="799"/>
      <c r="T95" s="2055">
        <v>23</v>
      </c>
      <c r="U95" s="2055">
        <v>23</v>
      </c>
      <c r="V95" s="2055">
        <v>23</v>
      </c>
      <c r="W95" s="2055">
        <v>23</v>
      </c>
      <c r="X95" s="2055">
        <v>23</v>
      </c>
      <c r="Y95" s="799">
        <v>23</v>
      </c>
      <c r="Z95" s="799">
        <v>23</v>
      </c>
      <c r="AA95" s="2458" t="s">
        <v>50</v>
      </c>
      <c r="AB95" s="2458" t="s">
        <v>50</v>
      </c>
      <c r="AC95" s="2458" t="s">
        <v>50</v>
      </c>
      <c r="AD95" s="2458" t="s">
        <v>50</v>
      </c>
      <c r="AE95" s="2458" t="s">
        <v>50</v>
      </c>
      <c r="AF95" s="799"/>
      <c r="AG95" s="801"/>
      <c r="AH95" s="1"/>
      <c r="AJ95" s="638">
        <v>142</v>
      </c>
      <c r="AK95" s="638">
        <v>11</v>
      </c>
      <c r="AL95" s="638">
        <f t="shared" si="1"/>
        <v>153</v>
      </c>
      <c r="AM95" s="639">
        <f t="shared" si="0"/>
        <v>-7.3300000000000125</v>
      </c>
      <c r="AN95" s="639">
        <f>IF(AM95="","",AM95+'Oktober 2024'!AN94)</f>
        <v>-44.270000000000039</v>
      </c>
    </row>
    <row r="96" spans="1:40" ht="18" customHeight="1" x14ac:dyDescent="0.2">
      <c r="A96" s="768"/>
      <c r="B96" s="2491"/>
      <c r="C96" s="799" t="s">
        <v>46</v>
      </c>
      <c r="D96" s="799"/>
      <c r="E96" s="799"/>
      <c r="F96" s="799" t="s">
        <v>46</v>
      </c>
      <c r="G96" s="799" t="s">
        <v>46</v>
      </c>
      <c r="H96" s="636" t="s">
        <v>46</v>
      </c>
      <c r="I96" s="636" t="s">
        <v>46</v>
      </c>
      <c r="J96" s="799" t="s">
        <v>46</v>
      </c>
      <c r="K96" s="799"/>
      <c r="L96" s="799"/>
      <c r="M96" s="799" t="s">
        <v>46</v>
      </c>
      <c r="N96" s="799" t="s">
        <v>46</v>
      </c>
      <c r="O96" s="636" t="s">
        <v>46</v>
      </c>
      <c r="P96" s="636" t="s">
        <v>46</v>
      </c>
      <c r="Q96" s="799" t="s">
        <v>46</v>
      </c>
      <c r="R96" s="799"/>
      <c r="S96" s="799"/>
      <c r="T96" s="799" t="s">
        <v>46</v>
      </c>
      <c r="U96" s="799" t="s">
        <v>46</v>
      </c>
      <c r="V96" s="636" t="s">
        <v>46</v>
      </c>
      <c r="W96" s="636" t="s">
        <v>46</v>
      </c>
      <c r="X96" s="799" t="s">
        <v>46</v>
      </c>
      <c r="Y96" s="799"/>
      <c r="Z96" s="799"/>
      <c r="AA96" s="799" t="s">
        <v>46</v>
      </c>
      <c r="AB96" s="799" t="s">
        <v>46</v>
      </c>
      <c r="AC96" s="636" t="s">
        <v>46</v>
      </c>
      <c r="AD96" s="636" t="s">
        <v>46</v>
      </c>
      <c r="AE96" s="799" t="s">
        <v>46</v>
      </c>
      <c r="AF96" s="799"/>
      <c r="AG96" s="801"/>
      <c r="AH96" s="1"/>
      <c r="AJ96" s="638">
        <f t="shared" ref="AJ96" si="5">$AJ$12</f>
        <v>160.33000000000001</v>
      </c>
      <c r="AK96" s="638"/>
      <c r="AL96" s="638">
        <f t="shared" si="1"/>
        <v>160.33000000000001</v>
      </c>
      <c r="AM96" s="639">
        <f t="shared" si="0"/>
        <v>0</v>
      </c>
      <c r="AN96" s="639">
        <f>IF(AM96="","",AM96+'Oktober 2024'!AN95)</f>
        <v>0</v>
      </c>
    </row>
    <row r="97" spans="1:40" ht="18" customHeight="1" x14ac:dyDescent="0.2">
      <c r="A97" s="768"/>
      <c r="B97" s="1137"/>
      <c r="C97" s="636"/>
      <c r="D97" s="636"/>
      <c r="E97" s="635"/>
      <c r="F97" s="636"/>
      <c r="G97" s="636"/>
      <c r="H97" s="636"/>
      <c r="I97" s="636"/>
      <c r="J97" s="636"/>
      <c r="K97" s="636"/>
      <c r="L97" s="636"/>
      <c r="M97" s="636"/>
      <c r="N97" s="636"/>
      <c r="O97" s="799"/>
      <c r="P97" s="799"/>
      <c r="Q97" s="799"/>
      <c r="R97" s="799"/>
      <c r="S97" s="799"/>
      <c r="T97" s="799"/>
      <c r="U97" s="799"/>
      <c r="V97" s="799"/>
      <c r="W97" s="636"/>
      <c r="X97" s="636"/>
      <c r="Y97" s="636"/>
      <c r="Z97" s="636"/>
      <c r="AA97" s="636"/>
      <c r="AB97" s="636"/>
      <c r="AC97" s="636"/>
      <c r="AD97" s="635"/>
      <c r="AE97" s="636"/>
      <c r="AF97" s="636"/>
      <c r="AG97" s="801"/>
      <c r="AH97" s="1"/>
      <c r="AJ97" s="638">
        <f>$AJ$12</f>
        <v>160.33000000000001</v>
      </c>
      <c r="AK97" s="638"/>
      <c r="AL97" s="638">
        <f>IF(AJ97="","",SUM(AJ97:AK97))</f>
        <v>160.33000000000001</v>
      </c>
      <c r="AM97" s="639">
        <f>IF(AJ97="","",AL97-_xlfn.SINGLE(NormTid))</f>
        <v>0</v>
      </c>
      <c r="AN97" s="639">
        <f>IF(AM97="","",AM97+'Oktober 2024'!AN96)</f>
        <v>0</v>
      </c>
    </row>
    <row r="98" spans="1:40" ht="18" customHeight="1" thickBot="1" x14ac:dyDescent="0.25">
      <c r="A98" s="2464"/>
      <c r="B98" s="748" t="s">
        <v>481</v>
      </c>
      <c r="C98" s="2492"/>
      <c r="D98" s="1363"/>
      <c r="E98" s="1363"/>
      <c r="F98" s="820"/>
      <c r="G98" s="820"/>
      <c r="H98" s="655"/>
      <c r="I98" s="655"/>
      <c r="J98" s="655"/>
      <c r="K98" s="655"/>
      <c r="L98" s="655"/>
      <c r="M98" s="655"/>
      <c r="N98" s="655"/>
      <c r="O98" s="655"/>
      <c r="P98" s="655"/>
      <c r="Q98" s="655"/>
      <c r="R98" s="655"/>
      <c r="S98" s="655"/>
      <c r="T98" s="655"/>
      <c r="U98" s="655"/>
      <c r="V98" s="655"/>
      <c r="W98" s="655"/>
      <c r="X98" s="655"/>
      <c r="Y98" s="655"/>
      <c r="Z98" s="655"/>
      <c r="AA98" s="655"/>
      <c r="AB98" s="655"/>
      <c r="AC98" s="655"/>
      <c r="AD98" s="655"/>
      <c r="AE98" s="655"/>
      <c r="AF98" s="655"/>
      <c r="AG98" s="821"/>
      <c r="AH98" s="1"/>
      <c r="AJ98" s="638">
        <f>$AJ$12</f>
        <v>160.33000000000001</v>
      </c>
      <c r="AK98" s="638"/>
      <c r="AL98" s="638">
        <f>IF(AJ98="","",SUM(AJ98:AK98))</f>
        <v>160.33000000000001</v>
      </c>
      <c r="AM98" s="639">
        <f>IF(AJ98="","",AL98-_xlfn.SINGLE(NormTid))</f>
        <v>0</v>
      </c>
      <c r="AN98" s="639">
        <f>IF(AM98="","",AM98+'Oktober 2024'!AN100)</f>
        <v>0</v>
      </c>
    </row>
    <row r="99" spans="1:40" ht="18" customHeight="1" thickBot="1" x14ac:dyDescent="0.25">
      <c r="A99" s="42"/>
      <c r="B99" s="2493" t="s">
        <v>191</v>
      </c>
      <c r="C99" s="333">
        <v>1</v>
      </c>
      <c r="D99" s="2486">
        <v>2</v>
      </c>
      <c r="E99" s="2486">
        <v>3</v>
      </c>
      <c r="F99" s="1810">
        <v>4</v>
      </c>
      <c r="G99" s="1810">
        <v>5</v>
      </c>
      <c r="H99" s="1810">
        <v>6</v>
      </c>
      <c r="I99" s="1810">
        <v>7</v>
      </c>
      <c r="J99" s="1810">
        <v>8</v>
      </c>
      <c r="K99" s="2486">
        <v>9</v>
      </c>
      <c r="L99" s="2486">
        <v>10</v>
      </c>
      <c r="M99" s="1810">
        <v>11</v>
      </c>
      <c r="N99" s="1810">
        <v>12</v>
      </c>
      <c r="O99" s="1810">
        <v>13</v>
      </c>
      <c r="P99" s="1810">
        <v>14</v>
      </c>
      <c r="Q99" s="1810">
        <v>15</v>
      </c>
      <c r="R99" s="2486">
        <v>16</v>
      </c>
      <c r="S99" s="2486">
        <v>17</v>
      </c>
      <c r="T99" s="1810">
        <v>18</v>
      </c>
      <c r="U99" s="1810">
        <v>19</v>
      </c>
      <c r="V99" s="1810">
        <v>20</v>
      </c>
      <c r="W99" s="1810">
        <v>21</v>
      </c>
      <c r="X99" s="1810">
        <v>22</v>
      </c>
      <c r="Y99" s="2486">
        <v>23</v>
      </c>
      <c r="Z99" s="2486">
        <v>24</v>
      </c>
      <c r="AA99" s="1810">
        <v>25</v>
      </c>
      <c r="AB99" s="1810">
        <v>26</v>
      </c>
      <c r="AC99" s="1810">
        <v>27</v>
      </c>
      <c r="AD99" s="1810">
        <v>28</v>
      </c>
      <c r="AE99" s="1810">
        <v>29</v>
      </c>
      <c r="AF99" s="2486">
        <v>30</v>
      </c>
      <c r="AG99" s="2494"/>
      <c r="AH99" s="1"/>
      <c r="AJ99" s="1638"/>
      <c r="AK99" s="1638"/>
      <c r="AL99" s="1638"/>
      <c r="AM99" s="1639"/>
      <c r="AN99" s="1639"/>
    </row>
    <row r="100" spans="1:40" ht="18" customHeight="1" thickBot="1" x14ac:dyDescent="0.25">
      <c r="A100" s="2495"/>
      <c r="B100" s="2484" t="s">
        <v>194</v>
      </c>
      <c r="C100" s="1839" t="s">
        <v>46</v>
      </c>
      <c r="D100" s="1839" t="s">
        <v>46</v>
      </c>
      <c r="E100" s="1839" t="s">
        <v>46</v>
      </c>
      <c r="F100" s="1839" t="s">
        <v>46</v>
      </c>
      <c r="G100" s="1839" t="s">
        <v>46</v>
      </c>
      <c r="H100" s="1839" t="s">
        <v>46</v>
      </c>
      <c r="I100" s="1839" t="s">
        <v>46</v>
      </c>
      <c r="J100" s="1839" t="s">
        <v>46</v>
      </c>
      <c r="K100" s="1839"/>
      <c r="L100" s="1839"/>
      <c r="M100" s="1839" t="s">
        <v>46</v>
      </c>
      <c r="N100" s="1839" t="s">
        <v>46</v>
      </c>
      <c r="O100" s="1839" t="s">
        <v>46</v>
      </c>
      <c r="P100" s="1839" t="s">
        <v>46</v>
      </c>
      <c r="Q100" s="1839" t="s">
        <v>46</v>
      </c>
      <c r="R100" s="1839"/>
      <c r="S100" s="1839"/>
      <c r="T100" s="1839" t="s">
        <v>46</v>
      </c>
      <c r="U100" s="1839" t="s">
        <v>46</v>
      </c>
      <c r="V100" s="1839" t="s">
        <v>46</v>
      </c>
      <c r="W100" s="1839" t="s">
        <v>46</v>
      </c>
      <c r="X100" s="1839" t="s">
        <v>46</v>
      </c>
      <c r="Y100" s="1839"/>
      <c r="Z100" s="1839"/>
      <c r="AA100" s="1839" t="s">
        <v>46</v>
      </c>
      <c r="AB100" s="1839" t="s">
        <v>46</v>
      </c>
      <c r="AC100" s="1839" t="s">
        <v>46</v>
      </c>
      <c r="AD100" s="1839" t="s">
        <v>46</v>
      </c>
      <c r="AE100" s="1839" t="s">
        <v>46</v>
      </c>
      <c r="AF100" s="1839"/>
      <c r="AG100" s="1831"/>
      <c r="AH100" s="1"/>
      <c r="AJ100" s="123"/>
      <c r="AK100" s="123"/>
      <c r="AL100" s="123"/>
      <c r="AM100" s="215"/>
      <c r="AN100" s="215"/>
    </row>
    <row r="101" spans="1:40" ht="18" customHeight="1" thickBot="1" x14ac:dyDescent="0.3">
      <c r="A101" s="2496"/>
      <c r="B101" s="70" t="s">
        <v>430</v>
      </c>
      <c r="C101" s="799" t="s">
        <v>50</v>
      </c>
      <c r="D101" s="799"/>
      <c r="E101" s="799"/>
      <c r="F101" s="799">
        <v>69</v>
      </c>
      <c r="G101" s="799">
        <v>69</v>
      </c>
      <c r="H101" s="636">
        <v>69</v>
      </c>
      <c r="I101" s="636">
        <v>69</v>
      </c>
      <c r="J101" s="805" t="s">
        <v>455</v>
      </c>
      <c r="K101" s="345"/>
      <c r="L101" s="345"/>
      <c r="M101" s="799">
        <v>1</v>
      </c>
      <c r="N101" s="799">
        <v>1</v>
      </c>
      <c r="O101" s="636">
        <v>1</v>
      </c>
      <c r="P101" s="636">
        <v>1</v>
      </c>
      <c r="Q101" s="799">
        <v>1</v>
      </c>
      <c r="R101" s="799"/>
      <c r="S101" s="799"/>
      <c r="T101" s="2100" t="s">
        <v>46</v>
      </c>
      <c r="U101" s="2100" t="s">
        <v>46</v>
      </c>
      <c r="V101" s="2132" t="s">
        <v>46</v>
      </c>
      <c r="W101" s="2132" t="s">
        <v>46</v>
      </c>
      <c r="X101" s="2132">
        <v>10</v>
      </c>
      <c r="Y101" s="2132" t="s">
        <v>106</v>
      </c>
      <c r="Z101" s="2132" t="s">
        <v>106</v>
      </c>
      <c r="AA101" s="2497" t="s">
        <v>50</v>
      </c>
      <c r="AB101" s="2497" t="s">
        <v>50</v>
      </c>
      <c r="AC101" s="2497" t="s">
        <v>50</v>
      </c>
      <c r="AD101" s="2497" t="s">
        <v>50</v>
      </c>
      <c r="AE101" s="2498" t="s">
        <v>50</v>
      </c>
      <c r="AF101" s="805"/>
      <c r="AG101" s="801"/>
      <c r="AH101" s="1"/>
      <c r="AJ101" s="123"/>
      <c r="AK101" s="123"/>
      <c r="AL101" s="123"/>
      <c r="AM101" s="123"/>
      <c r="AN101" s="123"/>
    </row>
    <row r="102" spans="1:40" ht="18" customHeight="1" x14ac:dyDescent="0.2">
      <c r="A102" s="2496"/>
      <c r="B102" s="70" t="s">
        <v>431</v>
      </c>
      <c r="C102" s="2475">
        <v>25</v>
      </c>
      <c r="D102" s="799"/>
      <c r="E102" s="799"/>
      <c r="F102" s="815">
        <v>21</v>
      </c>
      <c r="G102" s="815">
        <v>21</v>
      </c>
      <c r="H102" s="815">
        <v>21</v>
      </c>
      <c r="I102" s="811">
        <v>21</v>
      </c>
      <c r="J102" s="811">
        <v>21</v>
      </c>
      <c r="K102" s="2499">
        <v>21</v>
      </c>
      <c r="L102" s="2499">
        <v>21</v>
      </c>
      <c r="M102" s="2458" t="s">
        <v>50</v>
      </c>
      <c r="N102" s="2458" t="s">
        <v>50</v>
      </c>
      <c r="O102" s="2458" t="s">
        <v>50</v>
      </c>
      <c r="P102" s="2458" t="s">
        <v>50</v>
      </c>
      <c r="Q102" s="2458" t="s">
        <v>50</v>
      </c>
      <c r="R102" s="799"/>
      <c r="S102" s="799"/>
      <c r="T102" s="638">
        <v>22</v>
      </c>
      <c r="U102" s="638">
        <v>22</v>
      </c>
      <c r="V102" s="638">
        <v>22</v>
      </c>
      <c r="W102" s="638">
        <v>22</v>
      </c>
      <c r="X102" s="638">
        <v>22</v>
      </c>
      <c r="Y102" s="638">
        <v>21</v>
      </c>
      <c r="Z102" s="638">
        <v>21</v>
      </c>
      <c r="AA102" s="2458" t="s">
        <v>50</v>
      </c>
      <c r="AB102" s="2458" t="s">
        <v>50</v>
      </c>
      <c r="AC102" s="2458" t="s">
        <v>50</v>
      </c>
      <c r="AD102" s="2458" t="s">
        <v>50</v>
      </c>
      <c r="AE102" s="2458" t="s">
        <v>50</v>
      </c>
      <c r="AF102" s="799"/>
      <c r="AG102" s="801"/>
      <c r="AH102" s="1"/>
      <c r="AJ102" s="123"/>
      <c r="AK102" s="123"/>
      <c r="AL102" s="123"/>
      <c r="AM102" s="123"/>
      <c r="AN102" s="123"/>
    </row>
    <row r="103" spans="1:40" ht="18" customHeight="1" thickBot="1" x14ac:dyDescent="0.25">
      <c r="A103" s="2435"/>
      <c r="B103" s="2500" t="s">
        <v>482</v>
      </c>
      <c r="C103" s="1282" t="s">
        <v>418</v>
      </c>
      <c r="D103" s="597"/>
      <c r="E103" s="712"/>
      <c r="F103" s="712" t="s">
        <v>50</v>
      </c>
      <c r="G103" s="712" t="s">
        <v>50</v>
      </c>
      <c r="H103" s="712" t="s">
        <v>50</v>
      </c>
      <c r="I103" s="712" t="s">
        <v>50</v>
      </c>
      <c r="J103" s="597" t="s">
        <v>50</v>
      </c>
      <c r="K103" s="597"/>
      <c r="L103" s="597"/>
      <c r="M103" s="780">
        <v>3</v>
      </c>
      <c r="N103" s="780">
        <v>3</v>
      </c>
      <c r="O103" s="714">
        <v>3</v>
      </c>
      <c r="P103" s="2501">
        <v>3</v>
      </c>
      <c r="Q103" s="2501">
        <v>3</v>
      </c>
      <c r="R103" s="780"/>
      <c r="S103" s="780"/>
      <c r="T103" s="780">
        <v>9</v>
      </c>
      <c r="U103" s="712">
        <v>9</v>
      </c>
      <c r="V103" s="597">
        <v>9</v>
      </c>
      <c r="W103" s="597">
        <v>9</v>
      </c>
      <c r="X103" s="711">
        <v>9</v>
      </c>
      <c r="Y103" s="712" t="s">
        <v>70</v>
      </c>
      <c r="Z103" s="2141"/>
      <c r="AA103" s="712" t="s">
        <v>50</v>
      </c>
      <c r="AB103" s="712" t="s">
        <v>50</v>
      </c>
      <c r="AC103" s="596" t="s">
        <v>50</v>
      </c>
      <c r="AD103" s="712" t="s">
        <v>50</v>
      </c>
      <c r="AE103" s="712" t="s">
        <v>50</v>
      </c>
      <c r="AF103" s="712" t="s">
        <v>103</v>
      </c>
      <c r="AG103" s="2502"/>
      <c r="AH103" s="1"/>
      <c r="AJ103" s="123"/>
      <c r="AK103" s="123"/>
      <c r="AL103" s="123"/>
      <c r="AM103" s="123"/>
      <c r="AN103" s="123"/>
    </row>
    <row r="104" spans="1:40" ht="18" customHeight="1" thickBot="1" x14ac:dyDescent="0.25">
      <c r="A104" s="841"/>
      <c r="B104" s="2503" t="s">
        <v>195</v>
      </c>
      <c r="C104" s="273">
        <v>1</v>
      </c>
      <c r="D104" s="272">
        <v>2</v>
      </c>
      <c r="E104" s="272">
        <v>3</v>
      </c>
      <c r="F104" s="273">
        <v>4</v>
      </c>
      <c r="G104" s="273">
        <v>5</v>
      </c>
      <c r="H104" s="273">
        <v>6</v>
      </c>
      <c r="I104" s="273">
        <v>7</v>
      </c>
      <c r="J104" s="273">
        <v>8</v>
      </c>
      <c r="K104" s="272">
        <v>9</v>
      </c>
      <c r="L104" s="272">
        <v>10</v>
      </c>
      <c r="M104" s="273">
        <v>11</v>
      </c>
      <c r="N104" s="273">
        <v>12</v>
      </c>
      <c r="O104" s="273">
        <v>13</v>
      </c>
      <c r="P104" s="273">
        <v>14</v>
      </c>
      <c r="Q104" s="273">
        <v>15</v>
      </c>
      <c r="R104" s="272">
        <v>16</v>
      </c>
      <c r="S104" s="272">
        <v>17</v>
      </c>
      <c r="T104" s="273">
        <v>18</v>
      </c>
      <c r="U104" s="273">
        <v>19</v>
      </c>
      <c r="V104" s="273">
        <v>20</v>
      </c>
      <c r="W104" s="273">
        <v>21</v>
      </c>
      <c r="X104" s="273">
        <v>22</v>
      </c>
      <c r="Y104" s="272">
        <v>23</v>
      </c>
      <c r="Z104" s="272">
        <v>24</v>
      </c>
      <c r="AA104" s="273">
        <v>25</v>
      </c>
      <c r="AB104" s="273">
        <v>26</v>
      </c>
      <c r="AC104" s="273">
        <v>27</v>
      </c>
      <c r="AD104" s="273">
        <v>28</v>
      </c>
      <c r="AE104" s="273">
        <v>29</v>
      </c>
      <c r="AF104" s="272">
        <v>30</v>
      </c>
      <c r="AG104" s="274"/>
      <c r="AH104" s="1"/>
    </row>
    <row r="105" spans="1:40" ht="18" customHeight="1" x14ac:dyDescent="0.2">
      <c r="A105" s="2496"/>
      <c r="B105" s="295" t="s">
        <v>483</v>
      </c>
      <c r="C105" s="2283"/>
      <c r="D105" s="2504"/>
      <c r="E105" s="2283"/>
      <c r="F105" s="2283"/>
      <c r="G105" s="2283"/>
      <c r="H105" s="2283"/>
      <c r="I105" s="2283"/>
      <c r="J105" s="2283"/>
      <c r="K105" s="2283"/>
      <c r="L105" s="2283"/>
      <c r="M105" s="2283"/>
      <c r="N105" s="2283"/>
      <c r="O105" s="2283"/>
      <c r="P105" s="2283"/>
      <c r="Q105" s="2283"/>
      <c r="R105" s="2283"/>
      <c r="S105" s="2283"/>
      <c r="T105" s="2505">
        <v>79</v>
      </c>
      <c r="U105" s="2505">
        <v>79</v>
      </c>
      <c r="V105" s="2505">
        <v>6</v>
      </c>
      <c r="W105" s="2505">
        <v>5</v>
      </c>
      <c r="X105" s="2505">
        <v>26</v>
      </c>
      <c r="Y105" s="2283"/>
      <c r="Z105" s="2283"/>
      <c r="AA105" s="2283"/>
      <c r="AB105" s="2283"/>
      <c r="AC105" s="2283"/>
      <c r="AD105" s="2283"/>
      <c r="AE105" s="2283"/>
      <c r="AF105" s="2283"/>
      <c r="AG105" s="2286"/>
      <c r="AH105" s="1"/>
    </row>
    <row r="106" spans="1:40" ht="18" customHeight="1" x14ac:dyDescent="0.2">
      <c r="A106" s="2496"/>
      <c r="C106" s="2506"/>
      <c r="D106" s="2506"/>
      <c r="E106" s="2506"/>
      <c r="F106" s="2047"/>
      <c r="G106" s="2047"/>
      <c r="H106" s="2506"/>
      <c r="I106" s="2506"/>
      <c r="J106" s="2506"/>
      <c r="K106" s="2506"/>
      <c r="L106" s="2506"/>
      <c r="M106" s="2506"/>
      <c r="N106" s="2506"/>
      <c r="O106" s="2506"/>
      <c r="P106" s="2506"/>
      <c r="Q106" s="2506"/>
      <c r="R106" s="2506"/>
      <c r="S106" s="2506"/>
      <c r="T106" s="2040"/>
      <c r="U106" s="2506"/>
      <c r="V106" s="2506"/>
      <c r="W106" s="2506"/>
      <c r="X106" s="2506"/>
      <c r="Y106" s="2506"/>
      <c r="Z106" s="2506"/>
      <c r="AA106" s="2506"/>
      <c r="AB106" s="2506"/>
      <c r="AC106" s="2506"/>
      <c r="AD106" s="2506"/>
      <c r="AE106" s="2506"/>
      <c r="AF106" s="2506"/>
      <c r="AG106" s="2507"/>
      <c r="AH106" s="1"/>
    </row>
    <row r="107" spans="1:40" ht="18" customHeight="1" x14ac:dyDescent="0.2">
      <c r="A107" s="96"/>
      <c r="B107" s="70"/>
      <c r="C107" s="336"/>
      <c r="D107" s="336"/>
      <c r="E107" s="336"/>
      <c r="F107" s="336"/>
      <c r="G107" s="336"/>
      <c r="H107" s="336"/>
      <c r="I107" s="336"/>
      <c r="J107" s="336"/>
      <c r="K107" s="336"/>
      <c r="L107" s="336"/>
      <c r="M107" s="336"/>
      <c r="N107" s="336"/>
      <c r="O107" s="336"/>
      <c r="P107" s="336"/>
      <c r="Q107" s="336"/>
      <c r="R107" s="336"/>
      <c r="S107" s="336"/>
      <c r="T107" s="336"/>
      <c r="U107" s="336"/>
      <c r="V107" s="336"/>
      <c r="W107" s="336"/>
      <c r="X107" s="336"/>
      <c r="Y107" s="336"/>
      <c r="Z107" s="336"/>
      <c r="AA107" s="336"/>
      <c r="AB107" s="336"/>
      <c r="AC107" s="336"/>
      <c r="AD107" s="336"/>
      <c r="AE107" s="336"/>
      <c r="AF107" s="336"/>
      <c r="AG107" s="120"/>
      <c r="AH107" s="1"/>
    </row>
    <row r="108" spans="1:40" ht="18" customHeight="1" thickBot="1" x14ac:dyDescent="0.25">
      <c r="A108" s="3" t="s">
        <v>197</v>
      </c>
      <c r="B108" s="70"/>
      <c r="C108" s="336"/>
      <c r="D108" s="336"/>
      <c r="E108" s="336"/>
      <c r="F108" s="336"/>
      <c r="G108" s="336"/>
      <c r="H108" s="336"/>
      <c r="I108" s="336"/>
      <c r="J108" s="336"/>
      <c r="K108" s="336"/>
      <c r="L108" s="336"/>
      <c r="M108" s="336"/>
      <c r="N108" s="336"/>
      <c r="O108" s="336"/>
      <c r="P108" s="336"/>
      <c r="Q108" s="336"/>
      <c r="R108" s="335"/>
      <c r="S108" s="335"/>
      <c r="T108" s="335"/>
      <c r="U108" s="336"/>
      <c r="V108" s="336"/>
      <c r="W108" s="336"/>
      <c r="X108" s="336"/>
      <c r="Y108" s="336"/>
      <c r="Z108" s="336"/>
      <c r="AA108" s="336"/>
      <c r="AB108" s="336"/>
      <c r="AC108" s="336"/>
      <c r="AD108" s="336"/>
      <c r="AE108" s="336"/>
      <c r="AF108" s="336"/>
      <c r="AG108" s="120"/>
      <c r="AH108" s="1"/>
    </row>
    <row r="109" spans="1:40" ht="18" customHeight="1" thickBot="1" x14ac:dyDescent="0.3">
      <c r="A109" s="126"/>
      <c r="B109" s="217"/>
      <c r="C109" s="218"/>
      <c r="D109" s="218"/>
      <c r="E109" s="221" t="s">
        <v>198</v>
      </c>
      <c r="F109" s="218"/>
      <c r="G109" s="218"/>
      <c r="H109" s="218"/>
      <c r="I109" s="218"/>
      <c r="J109" s="218"/>
      <c r="K109" s="226" t="s">
        <v>13</v>
      </c>
      <c r="L109" s="222"/>
      <c r="M109" s="222"/>
      <c r="N109" s="222"/>
      <c r="O109" s="222"/>
      <c r="P109" s="222"/>
      <c r="Q109" s="222"/>
      <c r="R109" s="222"/>
      <c r="S109" s="222"/>
      <c r="T109" s="223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"/>
    </row>
    <row r="110" spans="1:40" ht="18" customHeight="1" x14ac:dyDescent="0.25">
      <c r="A110" s="126"/>
      <c r="B110" s="217" t="s">
        <v>199</v>
      </c>
      <c r="C110" s="218"/>
      <c r="D110" s="218"/>
      <c r="E110" s="219" t="s">
        <v>200</v>
      </c>
      <c r="F110" s="218"/>
      <c r="G110" s="218"/>
      <c r="H110" s="218"/>
      <c r="I110" s="218"/>
      <c r="J110" s="218"/>
      <c r="K110" s="218" t="s">
        <v>201</v>
      </c>
      <c r="L110" s="218"/>
      <c r="M110" s="218"/>
      <c r="N110" s="218"/>
      <c r="O110" s="218"/>
      <c r="P110" s="218"/>
      <c r="Q110" s="218"/>
      <c r="R110" s="236" t="s">
        <v>202</v>
      </c>
      <c r="S110" s="236"/>
      <c r="T110" s="236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"/>
    </row>
    <row r="111" spans="1:40" ht="18" customHeight="1" x14ac:dyDescent="0.25">
      <c r="A111" s="126"/>
      <c r="B111" s="217" t="s">
        <v>22</v>
      </c>
      <c r="C111" s="218"/>
      <c r="D111" s="218"/>
      <c r="E111" s="221" t="s">
        <v>203</v>
      </c>
      <c r="F111" s="218"/>
      <c r="G111" s="218"/>
      <c r="H111" s="218"/>
      <c r="I111" s="218"/>
      <c r="J111" s="218"/>
      <c r="K111" s="218" t="s">
        <v>204</v>
      </c>
      <c r="L111" s="218"/>
      <c r="M111" s="218"/>
      <c r="N111" s="218"/>
      <c r="O111" s="218"/>
      <c r="P111" s="218"/>
      <c r="Q111" s="218"/>
      <c r="R111" s="218"/>
      <c r="S111" s="218"/>
      <c r="T111" s="220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"/>
    </row>
    <row r="112" spans="1:40" ht="18" customHeight="1" x14ac:dyDescent="0.25">
      <c r="A112" s="126"/>
      <c r="B112" s="217" t="s">
        <v>205</v>
      </c>
      <c r="C112" s="218"/>
      <c r="D112" s="218"/>
      <c r="E112" s="221" t="s">
        <v>206</v>
      </c>
      <c r="F112" s="218"/>
      <c r="G112" s="218"/>
      <c r="H112" s="218"/>
      <c r="I112" s="218"/>
      <c r="J112" s="218"/>
      <c r="K112" s="218" t="s">
        <v>207</v>
      </c>
      <c r="L112" s="229"/>
      <c r="M112" s="229"/>
      <c r="N112" s="229"/>
      <c r="O112" s="229"/>
      <c r="P112" s="229"/>
      <c r="Q112" s="229"/>
      <c r="R112" s="229"/>
      <c r="S112" s="229"/>
      <c r="T112" s="230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"/>
    </row>
    <row r="113" spans="1:40" ht="18" customHeight="1" x14ac:dyDescent="0.25">
      <c r="A113" s="126"/>
      <c r="B113" s="227"/>
      <c r="C113" s="227"/>
      <c r="D113" s="227"/>
      <c r="E113" s="228"/>
      <c r="F113" s="227"/>
      <c r="G113" s="227"/>
      <c r="H113" s="227"/>
      <c r="I113" s="227"/>
      <c r="J113" s="227"/>
      <c r="K113" s="227"/>
      <c r="L113" s="231"/>
      <c r="M113" s="231"/>
      <c r="N113" s="231"/>
      <c r="O113" s="231"/>
      <c r="P113" s="231"/>
      <c r="Q113" s="231"/>
      <c r="R113" s="231"/>
      <c r="S113" s="231"/>
      <c r="T113" s="231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"/>
    </row>
    <row r="114" spans="1:40" ht="18" customHeight="1" x14ac:dyDescent="0.25">
      <c r="A114" s="126"/>
      <c r="B114" s="2508" t="s">
        <v>44</v>
      </c>
      <c r="C114" s="2383">
        <v>1</v>
      </c>
      <c r="D114" s="2384">
        <v>2</v>
      </c>
      <c r="E114" s="2384">
        <v>3</v>
      </c>
      <c r="F114" s="2383">
        <v>4</v>
      </c>
      <c r="G114" s="2383">
        <v>5</v>
      </c>
      <c r="H114" s="2383">
        <v>6</v>
      </c>
      <c r="I114" s="2383">
        <v>7</v>
      </c>
      <c r="J114" s="2383">
        <v>8</v>
      </c>
      <c r="K114" s="2384">
        <v>9</v>
      </c>
      <c r="L114" s="2384">
        <v>10</v>
      </c>
      <c r="M114" s="2383">
        <v>11</v>
      </c>
      <c r="N114" s="2383">
        <v>12</v>
      </c>
      <c r="O114" s="2383">
        <v>13</v>
      </c>
      <c r="P114" s="2383">
        <v>14</v>
      </c>
      <c r="Q114" s="2383">
        <v>15</v>
      </c>
      <c r="R114" s="2384">
        <v>16</v>
      </c>
      <c r="S114" s="2384">
        <v>17</v>
      </c>
      <c r="T114" s="2383">
        <v>18</v>
      </c>
      <c r="U114" s="2383">
        <v>19</v>
      </c>
      <c r="V114" s="2383">
        <v>20</v>
      </c>
      <c r="W114" s="2383">
        <v>21</v>
      </c>
      <c r="X114" s="2383">
        <v>22</v>
      </c>
      <c r="Y114" s="2384">
        <v>23</v>
      </c>
      <c r="Z114" s="2384">
        <v>24</v>
      </c>
      <c r="AA114" s="2383">
        <v>25</v>
      </c>
      <c r="AB114" s="2383">
        <v>26</v>
      </c>
      <c r="AC114" s="2383">
        <v>27</v>
      </c>
      <c r="AD114" s="2383">
        <v>28</v>
      </c>
      <c r="AE114" s="2383">
        <v>29</v>
      </c>
      <c r="AF114" s="2384">
        <v>30</v>
      </c>
      <c r="AG114" s="2026"/>
      <c r="AH114" s="1"/>
      <c r="AJ114" s="2025" t="s">
        <v>41</v>
      </c>
      <c r="AK114" s="2025" t="s">
        <v>62</v>
      </c>
      <c r="AL114" s="2025" t="s">
        <v>63</v>
      </c>
      <c r="AM114" s="2025" t="s">
        <v>64</v>
      </c>
      <c r="AN114" s="2025" t="s">
        <v>65</v>
      </c>
    </row>
    <row r="115" spans="1:40" ht="18" customHeight="1" x14ac:dyDescent="0.2">
      <c r="B115" s="2509" t="s">
        <v>484</v>
      </c>
      <c r="C115" s="2246" t="s">
        <v>50</v>
      </c>
      <c r="D115" s="2246" t="s">
        <v>50</v>
      </c>
      <c r="E115" s="2246" t="s">
        <v>50</v>
      </c>
      <c r="F115" s="2246" t="s">
        <v>209</v>
      </c>
      <c r="G115" s="2246" t="s">
        <v>209</v>
      </c>
      <c r="H115" s="2246" t="s">
        <v>209</v>
      </c>
      <c r="I115" s="2246" t="s">
        <v>209</v>
      </c>
      <c r="J115" s="2246" t="s">
        <v>209</v>
      </c>
      <c r="K115" s="2246" t="s">
        <v>210</v>
      </c>
      <c r="L115" s="2246" t="s">
        <v>211</v>
      </c>
      <c r="M115" s="2246" t="s">
        <v>50</v>
      </c>
      <c r="N115" s="2246" t="s">
        <v>50</v>
      </c>
      <c r="O115" s="2246" t="s">
        <v>50</v>
      </c>
      <c r="P115" s="2246" t="s">
        <v>50</v>
      </c>
      <c r="Q115" s="2246" t="s">
        <v>50</v>
      </c>
      <c r="R115" s="2246" t="s">
        <v>50</v>
      </c>
      <c r="S115" s="2246" t="s">
        <v>50</v>
      </c>
      <c r="T115" s="2246" t="s">
        <v>209</v>
      </c>
      <c r="U115" s="2246" t="s">
        <v>209</v>
      </c>
      <c r="V115" s="2246" t="s">
        <v>209</v>
      </c>
      <c r="W115" s="2246" t="s">
        <v>209</v>
      </c>
      <c r="X115" s="2246" t="s">
        <v>209</v>
      </c>
      <c r="Y115" s="2246" t="s">
        <v>210</v>
      </c>
      <c r="Z115" s="2246" t="s">
        <v>211</v>
      </c>
      <c r="AA115" s="2246" t="s">
        <v>50</v>
      </c>
      <c r="AB115" s="2246" t="s">
        <v>50</v>
      </c>
      <c r="AC115" s="2246" t="s">
        <v>50</v>
      </c>
      <c r="AD115" s="2246" t="s">
        <v>50</v>
      </c>
      <c r="AE115" s="2246" t="s">
        <v>50</v>
      </c>
      <c r="AF115" s="2246" t="s">
        <v>50</v>
      </c>
      <c r="AG115" s="1831"/>
      <c r="AH115" s="1"/>
      <c r="AJ115" s="638">
        <f>$AJ$12</f>
        <v>160.33000000000001</v>
      </c>
      <c r="AK115" s="638"/>
      <c r="AL115" s="638">
        <f>IF(AJ115="","",SUM(AJ115:AK115))</f>
        <v>160.33000000000001</v>
      </c>
      <c r="AM115" s="639">
        <f t="shared" ref="AM115:AM116" si="6">IF(AJ115="","",AL115-AJ115)</f>
        <v>0</v>
      </c>
      <c r="AN115" s="639">
        <f>IF(AM115="","",AM115+'Oktober 2024'!AN119)</f>
        <v>-24.330000000000013</v>
      </c>
    </row>
    <row r="116" spans="1:40" ht="18" customHeight="1" x14ac:dyDescent="0.2">
      <c r="B116" s="851" t="s">
        <v>212</v>
      </c>
      <c r="C116" s="813" t="s">
        <v>209</v>
      </c>
      <c r="D116" s="635" t="s">
        <v>210</v>
      </c>
      <c r="E116" s="635" t="s">
        <v>211</v>
      </c>
      <c r="F116" s="636" t="s">
        <v>50</v>
      </c>
      <c r="G116" s="635" t="s">
        <v>50</v>
      </c>
      <c r="H116" s="635" t="s">
        <v>50</v>
      </c>
      <c r="I116" s="636" t="s">
        <v>50</v>
      </c>
      <c r="J116" s="636" t="s">
        <v>50</v>
      </c>
      <c r="K116" s="636"/>
      <c r="L116" s="636"/>
      <c r="M116" s="636" t="s">
        <v>209</v>
      </c>
      <c r="N116" s="636" t="s">
        <v>209</v>
      </c>
      <c r="O116" s="635" t="s">
        <v>209</v>
      </c>
      <c r="P116" s="635" t="s">
        <v>209</v>
      </c>
      <c r="Q116" s="813" t="s">
        <v>209</v>
      </c>
      <c r="R116" s="635" t="s">
        <v>210</v>
      </c>
      <c r="S116" s="635" t="s">
        <v>211</v>
      </c>
      <c r="T116" s="636" t="s">
        <v>50</v>
      </c>
      <c r="U116" s="635" t="s">
        <v>50</v>
      </c>
      <c r="V116" s="635" t="s">
        <v>50</v>
      </c>
      <c r="W116" s="636" t="s">
        <v>50</v>
      </c>
      <c r="X116" s="636" t="s">
        <v>50</v>
      </c>
      <c r="Y116" s="636"/>
      <c r="Z116" s="636"/>
      <c r="AA116" s="636" t="s">
        <v>209</v>
      </c>
      <c r="AB116" s="636" t="s">
        <v>209</v>
      </c>
      <c r="AC116" s="635" t="s">
        <v>209</v>
      </c>
      <c r="AD116" s="635" t="s">
        <v>209</v>
      </c>
      <c r="AE116" s="813" t="s">
        <v>209</v>
      </c>
      <c r="AF116" s="635" t="s">
        <v>210</v>
      </c>
      <c r="AG116" s="801"/>
      <c r="AH116" s="1"/>
      <c r="AJ116" s="2510">
        <f t="shared" ref="AJ116" si="7">$AJ$12</f>
        <v>160.33000000000001</v>
      </c>
      <c r="AK116" s="2510"/>
      <c r="AL116" s="2510">
        <f t="shared" ref="AL116" si="8">IF(AJ116="","",SUM(AJ116:AK116))</f>
        <v>160.33000000000001</v>
      </c>
      <c r="AM116" s="2511">
        <f t="shared" si="6"/>
        <v>0</v>
      </c>
      <c r="AN116" s="639">
        <f>IF(AM116="","",AM116+'Oktober 2024'!AN120)</f>
        <v>-10.330000000000013</v>
      </c>
    </row>
    <row r="117" spans="1:40" ht="18" customHeight="1" x14ac:dyDescent="0.2">
      <c r="B117" s="2512" t="s">
        <v>0</v>
      </c>
      <c r="C117" s="853" t="s">
        <v>145</v>
      </c>
      <c r="D117" s="853" t="s">
        <v>147</v>
      </c>
      <c r="E117" s="854" t="s">
        <v>148</v>
      </c>
      <c r="F117" s="853"/>
      <c r="G117" s="853" t="s">
        <v>0</v>
      </c>
      <c r="H117" s="853" t="s">
        <v>0</v>
      </c>
      <c r="I117" s="1363" t="s">
        <v>0</v>
      </c>
      <c r="J117" s="1363" t="s">
        <v>145</v>
      </c>
      <c r="K117" s="1363" t="s">
        <v>147</v>
      </c>
      <c r="L117" s="1363" t="s">
        <v>148</v>
      </c>
      <c r="M117" s="1363" t="s">
        <v>0</v>
      </c>
      <c r="N117" s="1363" t="s">
        <v>0</v>
      </c>
      <c r="O117" s="853" t="s">
        <v>0</v>
      </c>
      <c r="P117" s="853" t="s">
        <v>0</v>
      </c>
      <c r="Q117" s="853" t="s">
        <v>145</v>
      </c>
      <c r="R117" s="853" t="s">
        <v>147</v>
      </c>
      <c r="S117" s="854" t="s">
        <v>148</v>
      </c>
      <c r="T117" s="853"/>
      <c r="U117" s="853" t="s">
        <v>0</v>
      </c>
      <c r="V117" s="853" t="s">
        <v>0</v>
      </c>
      <c r="W117" s="1363" t="s">
        <v>0</v>
      </c>
      <c r="X117" s="1363" t="s">
        <v>145</v>
      </c>
      <c r="Y117" s="1363" t="s">
        <v>147</v>
      </c>
      <c r="Z117" s="1363" t="s">
        <v>148</v>
      </c>
      <c r="AA117" s="1363" t="s">
        <v>0</v>
      </c>
      <c r="AB117" s="1363" t="s">
        <v>0</v>
      </c>
      <c r="AC117" s="853" t="s">
        <v>0</v>
      </c>
      <c r="AD117" s="853" t="s">
        <v>0</v>
      </c>
      <c r="AE117" s="853" t="s">
        <v>145</v>
      </c>
      <c r="AF117" s="853" t="s">
        <v>147</v>
      </c>
      <c r="AG117" s="1384"/>
      <c r="AH117" s="1"/>
      <c r="AJ117" s="2513"/>
      <c r="AK117" s="2513"/>
      <c r="AL117" s="2513"/>
      <c r="AM117" s="2514"/>
      <c r="AN117" s="2514"/>
    </row>
    <row r="118" spans="1:40" ht="18" customHeight="1" x14ac:dyDescent="0.2">
      <c r="B118" s="232"/>
      <c r="C118" s="233"/>
      <c r="D118" s="233"/>
      <c r="E118" s="234"/>
      <c r="F118" s="234"/>
      <c r="G118" s="234"/>
      <c r="H118" s="234"/>
      <c r="I118" s="234"/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  <c r="AA118" s="234"/>
      <c r="AB118" s="234"/>
      <c r="AC118" s="234"/>
      <c r="AD118" s="234"/>
      <c r="AE118" s="234"/>
      <c r="AF118" s="234"/>
      <c r="AG118" s="234"/>
      <c r="AH118" s="1"/>
      <c r="AJ118" s="123"/>
      <c r="AK118" s="123"/>
      <c r="AL118" s="123"/>
      <c r="AM118" s="215"/>
      <c r="AN118" s="215"/>
    </row>
    <row r="119" spans="1:40" ht="18" customHeight="1" x14ac:dyDescent="0.2">
      <c r="A119" s="3" t="s">
        <v>213</v>
      </c>
      <c r="AH119" s="1"/>
      <c r="AJ119" s="123"/>
      <c r="AK119" s="123"/>
      <c r="AL119" s="123"/>
      <c r="AM119" s="215"/>
      <c r="AN119" s="215"/>
    </row>
    <row r="120" spans="1:40" ht="18" customHeight="1" x14ac:dyDescent="0.25">
      <c r="B120" s="217"/>
      <c r="C120" s="218"/>
      <c r="D120" s="218"/>
      <c r="E120" s="221" t="s">
        <v>198</v>
      </c>
      <c r="F120" s="218"/>
      <c r="G120" s="218"/>
      <c r="H120" s="218"/>
      <c r="I120" s="218"/>
      <c r="J120" s="218"/>
      <c r="K120" s="226" t="s">
        <v>13</v>
      </c>
      <c r="L120" s="222"/>
      <c r="M120" s="222"/>
      <c r="N120" s="222"/>
      <c r="O120" s="222"/>
      <c r="P120" s="222"/>
      <c r="Q120" s="222"/>
      <c r="R120" s="222"/>
      <c r="S120" s="222"/>
      <c r="T120" s="223"/>
      <c r="AH120" s="1"/>
      <c r="AJ120" s="123"/>
      <c r="AK120" s="123"/>
      <c r="AL120" s="123"/>
      <c r="AM120" s="215"/>
      <c r="AN120" s="215"/>
    </row>
    <row r="121" spans="1:40" ht="18" customHeight="1" x14ac:dyDescent="0.25">
      <c r="B121" s="217" t="s">
        <v>199</v>
      </c>
      <c r="C121" s="218"/>
      <c r="D121" s="218"/>
      <c r="E121" s="219" t="s">
        <v>214</v>
      </c>
      <c r="F121" s="218"/>
      <c r="G121" s="218"/>
      <c r="H121" s="218"/>
      <c r="I121" s="218"/>
      <c r="J121" s="218"/>
      <c r="K121" s="218" t="s">
        <v>215</v>
      </c>
      <c r="L121" s="218"/>
      <c r="M121" s="218"/>
      <c r="N121" s="218"/>
      <c r="O121" s="218"/>
      <c r="P121" s="218"/>
      <c r="Q121" s="218"/>
      <c r="R121" s="236" t="s">
        <v>216</v>
      </c>
      <c r="S121" s="236"/>
      <c r="T121" s="236"/>
      <c r="AH121" s="1"/>
      <c r="AJ121" s="123"/>
      <c r="AK121" s="123"/>
      <c r="AL121" s="123"/>
      <c r="AM121" s="215"/>
      <c r="AN121" s="215"/>
    </row>
    <row r="122" spans="1:40" ht="18" customHeight="1" x14ac:dyDescent="0.25">
      <c r="B122" s="217" t="s">
        <v>22</v>
      </c>
      <c r="C122" s="218"/>
      <c r="D122" s="218"/>
      <c r="E122" s="221" t="s">
        <v>217</v>
      </c>
      <c r="F122" s="218"/>
      <c r="G122" s="218"/>
      <c r="H122" s="218"/>
      <c r="I122" s="218"/>
      <c r="J122" s="218"/>
      <c r="K122" s="218" t="s">
        <v>218</v>
      </c>
      <c r="L122" s="218"/>
      <c r="M122" s="218"/>
      <c r="N122" s="218"/>
      <c r="O122" s="218"/>
      <c r="P122" s="218"/>
      <c r="Q122" s="218"/>
      <c r="R122" s="218"/>
      <c r="S122" s="218"/>
      <c r="T122" s="220"/>
      <c r="AH122" s="1"/>
      <c r="AJ122" s="123"/>
      <c r="AK122" s="123"/>
      <c r="AL122" s="123"/>
      <c r="AM122" s="215"/>
      <c r="AN122" s="215"/>
    </row>
    <row r="123" spans="1:40" ht="18" customHeight="1" x14ac:dyDescent="0.25">
      <c r="B123" s="217" t="s">
        <v>205</v>
      </c>
      <c r="C123" s="218"/>
      <c r="D123" s="218"/>
      <c r="E123" s="221" t="s">
        <v>219</v>
      </c>
      <c r="F123" s="218"/>
      <c r="G123" s="218"/>
      <c r="H123" s="218"/>
      <c r="I123" s="218"/>
      <c r="J123" s="218"/>
      <c r="K123" s="218" t="s">
        <v>220</v>
      </c>
      <c r="L123" s="229"/>
      <c r="M123" s="229"/>
      <c r="N123" s="229"/>
      <c r="O123" s="229"/>
      <c r="P123" s="229"/>
      <c r="Q123" s="229"/>
      <c r="R123" s="229"/>
      <c r="S123" s="229"/>
      <c r="T123" s="230"/>
      <c r="U123" s="108"/>
      <c r="V123" s="108"/>
      <c r="AH123" s="1"/>
      <c r="AJ123" s="123"/>
      <c r="AK123" s="123"/>
      <c r="AL123" s="123"/>
      <c r="AM123" s="215"/>
      <c r="AN123" s="215"/>
    </row>
    <row r="124" spans="1:40" ht="18" customHeight="1" x14ac:dyDescent="0.2">
      <c r="T124" s="108"/>
      <c r="U124" s="108"/>
      <c r="V124" s="108"/>
      <c r="AH124" s="1"/>
      <c r="AJ124" s="123"/>
      <c r="AK124" s="123"/>
      <c r="AL124" s="123"/>
      <c r="AM124" s="215"/>
      <c r="AN124" s="215"/>
    </row>
    <row r="125" spans="1:40" ht="18" customHeight="1" x14ac:dyDescent="0.2">
      <c r="B125" s="1845" t="s">
        <v>44</v>
      </c>
      <c r="C125" s="2383">
        <v>1</v>
      </c>
      <c r="D125" s="2384">
        <v>2</v>
      </c>
      <c r="E125" s="2384">
        <v>3</v>
      </c>
      <c r="F125" s="2383">
        <v>4</v>
      </c>
      <c r="G125" s="2383">
        <v>5</v>
      </c>
      <c r="H125" s="2383">
        <v>6</v>
      </c>
      <c r="I125" s="2383">
        <v>7</v>
      </c>
      <c r="J125" s="2383">
        <v>8</v>
      </c>
      <c r="K125" s="2384">
        <v>9</v>
      </c>
      <c r="L125" s="2384">
        <v>10</v>
      </c>
      <c r="M125" s="2383">
        <v>11</v>
      </c>
      <c r="N125" s="2383">
        <v>12</v>
      </c>
      <c r="O125" s="2383">
        <v>13</v>
      </c>
      <c r="P125" s="2383">
        <v>14</v>
      </c>
      <c r="Q125" s="2383">
        <v>15</v>
      </c>
      <c r="R125" s="2384">
        <v>16</v>
      </c>
      <c r="S125" s="2384">
        <v>17</v>
      </c>
      <c r="T125" s="2383">
        <v>18</v>
      </c>
      <c r="U125" s="2383">
        <v>19</v>
      </c>
      <c r="V125" s="2383">
        <v>20</v>
      </c>
      <c r="W125" s="2383">
        <v>21</v>
      </c>
      <c r="X125" s="2383">
        <v>22</v>
      </c>
      <c r="Y125" s="2384">
        <v>23</v>
      </c>
      <c r="Z125" s="2384">
        <v>24</v>
      </c>
      <c r="AA125" s="2383">
        <v>25</v>
      </c>
      <c r="AB125" s="2383">
        <v>26</v>
      </c>
      <c r="AC125" s="2383">
        <v>27</v>
      </c>
      <c r="AD125" s="2383">
        <v>28</v>
      </c>
      <c r="AE125" s="2383">
        <v>29</v>
      </c>
      <c r="AF125" s="2384">
        <v>30</v>
      </c>
      <c r="AG125" s="2026"/>
      <c r="AH125" s="1"/>
      <c r="AJ125" s="2025" t="s">
        <v>41</v>
      </c>
      <c r="AK125" s="2025" t="s">
        <v>62</v>
      </c>
      <c r="AL125" s="2025" t="s">
        <v>63</v>
      </c>
      <c r="AM125" s="2025" t="s">
        <v>64</v>
      </c>
      <c r="AN125" s="2025" t="s">
        <v>65</v>
      </c>
    </row>
    <row r="126" spans="1:40" ht="18" customHeight="1" x14ac:dyDescent="0.2">
      <c r="B126" s="2515" t="s">
        <v>221</v>
      </c>
      <c r="C126" s="370" t="s">
        <v>50</v>
      </c>
      <c r="D126" s="370"/>
      <c r="E126" s="370"/>
      <c r="F126" s="370" t="s">
        <v>72</v>
      </c>
      <c r="G126" s="370" t="s">
        <v>72</v>
      </c>
      <c r="H126" s="373" t="s">
        <v>72</v>
      </c>
      <c r="I126" s="373" t="s">
        <v>72</v>
      </c>
      <c r="J126" s="373" t="s">
        <v>72</v>
      </c>
      <c r="K126" s="373" t="s">
        <v>73</v>
      </c>
      <c r="L126" s="373" t="s">
        <v>74</v>
      </c>
      <c r="M126" s="370" t="s">
        <v>50</v>
      </c>
      <c r="N126" s="370" t="s">
        <v>50</v>
      </c>
      <c r="O126" s="370" t="s">
        <v>50</v>
      </c>
      <c r="P126" s="370" t="s">
        <v>50</v>
      </c>
      <c r="Q126" s="370" t="s">
        <v>50</v>
      </c>
      <c r="R126" s="370"/>
      <c r="S126" s="370"/>
      <c r="T126" s="370" t="s">
        <v>72</v>
      </c>
      <c r="U126" s="370" t="s">
        <v>72</v>
      </c>
      <c r="V126" s="373" t="s">
        <v>72</v>
      </c>
      <c r="W126" s="373" t="s">
        <v>72</v>
      </c>
      <c r="X126" s="373" t="s">
        <v>72</v>
      </c>
      <c r="Y126" s="373" t="s">
        <v>73</v>
      </c>
      <c r="Z126" s="373" t="s">
        <v>74</v>
      </c>
      <c r="AA126" s="370" t="s">
        <v>50</v>
      </c>
      <c r="AB126" s="370" t="s">
        <v>50</v>
      </c>
      <c r="AC126" s="370" t="s">
        <v>50</v>
      </c>
      <c r="AD126" s="370" t="s">
        <v>50</v>
      </c>
      <c r="AE126" s="370" t="s">
        <v>50</v>
      </c>
      <c r="AF126" s="370"/>
      <c r="AG126" s="1817" t="s">
        <v>0</v>
      </c>
      <c r="AH126" s="1"/>
      <c r="AJ126" s="638">
        <f>$AJ$12</f>
        <v>160.33000000000001</v>
      </c>
      <c r="AK126" s="638"/>
      <c r="AL126" s="638">
        <f>IF(AJ126="","",SUM(AJ126:AK126))</f>
        <v>160.33000000000001</v>
      </c>
      <c r="AM126" s="639">
        <f>IF(AJ126="","",AL126-AJ126)</f>
        <v>0</v>
      </c>
      <c r="AN126" s="639">
        <f>IF(AM126="","",AM126+'Oktober 2024'!AN130)</f>
        <v>-36.330000000000013</v>
      </c>
    </row>
    <row r="127" spans="1:40" ht="18" customHeight="1" x14ac:dyDescent="0.2">
      <c r="B127" s="2516" t="s">
        <v>222</v>
      </c>
      <c r="C127" s="635" t="s">
        <v>72</v>
      </c>
      <c r="D127" s="635" t="s">
        <v>73</v>
      </c>
      <c r="E127" s="635" t="s">
        <v>74</v>
      </c>
      <c r="F127" s="636" t="s">
        <v>50</v>
      </c>
      <c r="G127" s="636" t="s">
        <v>50</v>
      </c>
      <c r="H127" s="636" t="s">
        <v>50</v>
      </c>
      <c r="I127" s="636" t="s">
        <v>50</v>
      </c>
      <c r="J127" s="636" t="s">
        <v>50</v>
      </c>
      <c r="K127" s="636"/>
      <c r="L127" s="636"/>
      <c r="M127" s="636" t="s">
        <v>72</v>
      </c>
      <c r="N127" s="636" t="s">
        <v>72</v>
      </c>
      <c r="O127" s="635" t="s">
        <v>72</v>
      </c>
      <c r="P127" s="635" t="s">
        <v>72</v>
      </c>
      <c r="Q127" s="635" t="s">
        <v>72</v>
      </c>
      <c r="R127" s="635" t="s">
        <v>73</v>
      </c>
      <c r="S127" s="635" t="s">
        <v>74</v>
      </c>
      <c r="T127" s="636" t="s">
        <v>50</v>
      </c>
      <c r="U127" s="636" t="s">
        <v>50</v>
      </c>
      <c r="V127" s="636" t="s">
        <v>50</v>
      </c>
      <c r="W127" s="636" t="s">
        <v>50</v>
      </c>
      <c r="X127" s="636" t="s">
        <v>50</v>
      </c>
      <c r="Y127" s="636"/>
      <c r="Z127" s="636"/>
      <c r="AA127" s="636" t="s">
        <v>72</v>
      </c>
      <c r="AB127" s="636" t="s">
        <v>72</v>
      </c>
      <c r="AC127" s="635" t="s">
        <v>72</v>
      </c>
      <c r="AD127" s="635" t="s">
        <v>72</v>
      </c>
      <c r="AE127" s="635" t="s">
        <v>72</v>
      </c>
      <c r="AF127" s="635" t="s">
        <v>73</v>
      </c>
      <c r="AG127" s="636" t="s">
        <v>0</v>
      </c>
      <c r="AH127" s="1"/>
      <c r="AJ127" s="638">
        <f>$AJ$12</f>
        <v>160.33000000000001</v>
      </c>
      <c r="AK127" s="638"/>
      <c r="AL127" s="638">
        <f>IF(AJ127="","",SUM(AJ127:AK127))</f>
        <v>160.33000000000001</v>
      </c>
      <c r="AM127" s="639">
        <f>IF(AJ127="","",AL127-AJ127)</f>
        <v>0</v>
      </c>
      <c r="AN127" s="639">
        <f>IF(AM127="","",AM127+'Oktober 2024'!AN131)</f>
        <v>-10.330000000000013</v>
      </c>
    </row>
    <row r="128" spans="1:40" ht="18" customHeight="1" x14ac:dyDescent="0.2">
      <c r="B128" s="2517" t="s">
        <v>0</v>
      </c>
      <c r="C128" s="2518" t="s">
        <v>139</v>
      </c>
      <c r="D128" s="2518" t="s">
        <v>140</v>
      </c>
      <c r="E128" s="2518" t="s">
        <v>141</v>
      </c>
      <c r="F128" s="2518" t="s">
        <v>50</v>
      </c>
      <c r="G128" s="2518" t="s">
        <v>50</v>
      </c>
      <c r="H128" s="2518" t="s">
        <v>50</v>
      </c>
      <c r="I128" s="2518" t="s">
        <v>50</v>
      </c>
      <c r="J128" s="2518" t="s">
        <v>139</v>
      </c>
      <c r="K128" s="2518" t="s">
        <v>140</v>
      </c>
      <c r="L128" s="2518" t="s">
        <v>141</v>
      </c>
      <c r="M128" s="2518" t="s">
        <v>50</v>
      </c>
      <c r="N128" s="2518" t="s">
        <v>50</v>
      </c>
      <c r="O128" s="2518" t="s">
        <v>50</v>
      </c>
      <c r="P128" s="2518" t="s">
        <v>50</v>
      </c>
      <c r="Q128" s="2518" t="s">
        <v>139</v>
      </c>
      <c r="R128" s="2518" t="s">
        <v>140</v>
      </c>
      <c r="S128" s="2518" t="s">
        <v>141</v>
      </c>
      <c r="T128" s="2518" t="s">
        <v>50</v>
      </c>
      <c r="U128" s="2518" t="s">
        <v>50</v>
      </c>
      <c r="V128" s="2518" t="s">
        <v>50</v>
      </c>
      <c r="W128" s="2518" t="s">
        <v>50</v>
      </c>
      <c r="X128" s="2518" t="s">
        <v>139</v>
      </c>
      <c r="Y128" s="2518" t="s">
        <v>140</v>
      </c>
      <c r="Z128" s="2518" t="s">
        <v>141</v>
      </c>
      <c r="AA128" s="2518" t="s">
        <v>50</v>
      </c>
      <c r="AB128" s="2518" t="s">
        <v>50</v>
      </c>
      <c r="AC128" s="2518" t="s">
        <v>50</v>
      </c>
      <c r="AD128" s="2518" t="s">
        <v>50</v>
      </c>
      <c r="AE128" s="2518" t="s">
        <v>139</v>
      </c>
      <c r="AF128" s="2518" t="s">
        <v>140</v>
      </c>
      <c r="AG128" s="2518" t="s">
        <v>0</v>
      </c>
      <c r="AH128" s="1"/>
    </row>
    <row r="129" spans="1:40" ht="18" customHeight="1" x14ac:dyDescent="0.2">
      <c r="B129" s="235" t="s">
        <v>0</v>
      </c>
      <c r="C129" s="234" t="s">
        <v>0</v>
      </c>
      <c r="D129" s="234" t="s">
        <v>0</v>
      </c>
      <c r="E129" s="234" t="s">
        <v>0</v>
      </c>
      <c r="F129" s="234" t="s">
        <v>0</v>
      </c>
      <c r="G129" s="234" t="s">
        <v>0</v>
      </c>
      <c r="H129" s="234" t="s">
        <v>0</v>
      </c>
      <c r="I129" s="234" t="s">
        <v>0</v>
      </c>
      <c r="J129" s="234" t="s">
        <v>0</v>
      </c>
      <c r="K129" s="234" t="s">
        <v>0</v>
      </c>
      <c r="L129" s="234" t="s">
        <v>0</v>
      </c>
      <c r="M129" s="234" t="s">
        <v>0</v>
      </c>
      <c r="N129" s="234" t="s">
        <v>0</v>
      </c>
      <c r="O129" s="234" t="s">
        <v>0</v>
      </c>
      <c r="P129" s="234" t="s">
        <v>0</v>
      </c>
      <c r="Q129" s="234" t="s">
        <v>0</v>
      </c>
      <c r="R129" s="234" t="s">
        <v>0</v>
      </c>
      <c r="S129" s="234" t="s">
        <v>0</v>
      </c>
      <c r="T129" s="234" t="s">
        <v>0</v>
      </c>
      <c r="U129" s="234" t="s">
        <v>0</v>
      </c>
      <c r="V129" s="234" t="s">
        <v>0</v>
      </c>
      <c r="W129" s="234" t="s">
        <v>0</v>
      </c>
      <c r="X129" s="234" t="s">
        <v>0</v>
      </c>
      <c r="Y129" s="234" t="s">
        <v>0</v>
      </c>
      <c r="Z129" s="234" t="s">
        <v>0</v>
      </c>
      <c r="AA129" s="234" t="s">
        <v>0</v>
      </c>
      <c r="AB129" s="234" t="s">
        <v>0</v>
      </c>
      <c r="AC129" s="234" t="s">
        <v>0</v>
      </c>
      <c r="AD129" s="234" t="s">
        <v>0</v>
      </c>
      <c r="AE129" s="234" t="s">
        <v>0</v>
      </c>
      <c r="AF129" s="234" t="s">
        <v>0</v>
      </c>
      <c r="AG129" s="234" t="s">
        <v>0</v>
      </c>
      <c r="AH129" s="1"/>
      <c r="AJ129" s="123"/>
      <c r="AK129" s="123"/>
      <c r="AL129" s="123"/>
      <c r="AM129" s="215"/>
      <c r="AN129" s="215"/>
    </row>
    <row r="130" spans="1:40" ht="18" customHeight="1" thickBot="1" x14ac:dyDescent="0.25">
      <c r="A130" s="3" t="s">
        <v>485</v>
      </c>
      <c r="AH130" s="1"/>
      <c r="AJ130" s="123"/>
      <c r="AK130" s="123"/>
      <c r="AL130" s="123"/>
      <c r="AM130" s="215"/>
      <c r="AN130" s="215"/>
    </row>
    <row r="131" spans="1:40" ht="18" customHeight="1" thickBot="1" x14ac:dyDescent="0.3">
      <c r="B131" s="217"/>
      <c r="C131" s="218"/>
      <c r="D131" s="218"/>
      <c r="E131" s="221" t="s">
        <v>198</v>
      </c>
      <c r="F131" s="218"/>
      <c r="G131" s="218"/>
      <c r="H131" s="218"/>
      <c r="I131" s="218"/>
      <c r="J131" s="218"/>
      <c r="K131" s="226" t="s">
        <v>13</v>
      </c>
      <c r="L131" s="222"/>
      <c r="M131" s="222"/>
      <c r="N131" s="222"/>
      <c r="O131" s="222"/>
      <c r="P131" s="222"/>
      <c r="Q131" s="222"/>
      <c r="R131" s="222"/>
      <c r="S131" s="222"/>
      <c r="T131" s="223"/>
      <c r="AH131" s="1"/>
      <c r="AJ131" s="123"/>
      <c r="AK131" s="123"/>
      <c r="AL131" s="123"/>
      <c r="AM131" s="215"/>
      <c r="AN131" s="215"/>
    </row>
    <row r="132" spans="1:40" ht="18" customHeight="1" x14ac:dyDescent="0.25">
      <c r="B132" s="217" t="s">
        <v>199</v>
      </c>
      <c r="C132" s="218"/>
      <c r="D132" s="218"/>
      <c r="E132" s="219" t="s">
        <v>224</v>
      </c>
      <c r="F132" s="218"/>
      <c r="G132" s="218"/>
      <c r="H132" s="218"/>
      <c r="I132" s="218"/>
      <c r="J132" s="218"/>
      <c r="K132" s="218" t="s">
        <v>225</v>
      </c>
      <c r="L132" s="218"/>
      <c r="M132" s="218"/>
      <c r="N132" s="218"/>
      <c r="O132" s="218"/>
      <c r="P132" s="218"/>
      <c r="Q132" s="218"/>
      <c r="R132" s="236" t="s">
        <v>226</v>
      </c>
      <c r="S132" s="236"/>
      <c r="T132" s="236"/>
      <c r="AH132" s="1"/>
      <c r="AJ132" s="123"/>
      <c r="AK132" s="123"/>
      <c r="AL132" s="123"/>
      <c r="AM132" s="215"/>
      <c r="AN132" s="215"/>
    </row>
    <row r="133" spans="1:40" ht="18" customHeight="1" x14ac:dyDescent="0.25">
      <c r="B133" s="217" t="s">
        <v>22</v>
      </c>
      <c r="C133" s="218"/>
      <c r="D133" s="218"/>
      <c r="E133" s="221" t="s">
        <v>227</v>
      </c>
      <c r="F133" s="218"/>
      <c r="G133" s="218"/>
      <c r="H133" s="218"/>
      <c r="I133" s="218"/>
      <c r="J133" s="218"/>
      <c r="K133" s="218" t="s">
        <v>228</v>
      </c>
      <c r="L133" s="218"/>
      <c r="M133" s="218"/>
      <c r="N133" s="218"/>
      <c r="O133" s="218"/>
      <c r="P133" s="218"/>
      <c r="Q133" s="218"/>
      <c r="R133" s="218"/>
      <c r="S133" s="218"/>
      <c r="T133" s="220"/>
      <c r="AH133" s="1"/>
      <c r="AJ133" s="123"/>
      <c r="AK133" s="123"/>
      <c r="AL133" s="123"/>
      <c r="AM133" s="215"/>
      <c r="AN133" s="215"/>
    </row>
    <row r="134" spans="1:40" ht="18" customHeight="1" x14ac:dyDescent="0.25">
      <c r="B134" s="217" t="s">
        <v>205</v>
      </c>
      <c r="C134" s="218"/>
      <c r="D134" s="218"/>
      <c r="E134" s="221" t="s">
        <v>229</v>
      </c>
      <c r="F134" s="218"/>
      <c r="G134" s="218"/>
      <c r="H134" s="218"/>
      <c r="I134" s="218"/>
      <c r="J134" s="218"/>
      <c r="K134" s="218" t="s">
        <v>230</v>
      </c>
      <c r="L134" s="229"/>
      <c r="M134" s="229"/>
      <c r="N134" s="229"/>
      <c r="O134" s="229"/>
      <c r="P134" s="229"/>
      <c r="Q134" s="229"/>
      <c r="R134" s="229"/>
      <c r="S134" s="229"/>
      <c r="T134" s="230"/>
      <c r="U134" s="108"/>
      <c r="V134" s="108"/>
      <c r="AH134" s="1"/>
      <c r="AJ134" s="123"/>
      <c r="AK134" s="123"/>
      <c r="AL134" s="123"/>
      <c r="AM134" s="215"/>
      <c r="AN134" s="215"/>
    </row>
    <row r="135" spans="1:40" ht="18" customHeight="1" x14ac:dyDescent="0.2">
      <c r="T135" s="108"/>
      <c r="U135" s="108"/>
      <c r="V135" s="108"/>
      <c r="AH135" s="1"/>
      <c r="AJ135" s="123"/>
      <c r="AK135" s="123"/>
      <c r="AL135" s="123"/>
      <c r="AM135" s="215"/>
      <c r="AN135" s="215"/>
    </row>
    <row r="136" spans="1:40" ht="18" customHeight="1" thickBot="1" x14ac:dyDescent="0.25">
      <c r="B136" s="1845" t="s">
        <v>44</v>
      </c>
      <c r="C136" s="2383">
        <v>1</v>
      </c>
      <c r="D136" s="2384">
        <v>2</v>
      </c>
      <c r="E136" s="2384">
        <v>3</v>
      </c>
      <c r="F136" s="2383">
        <v>4</v>
      </c>
      <c r="G136" s="2383">
        <v>5</v>
      </c>
      <c r="H136" s="2383">
        <v>6</v>
      </c>
      <c r="I136" s="2383">
        <v>7</v>
      </c>
      <c r="J136" s="2383">
        <v>8</v>
      </c>
      <c r="K136" s="2384">
        <v>9</v>
      </c>
      <c r="L136" s="2384">
        <v>10</v>
      </c>
      <c r="M136" s="2383">
        <v>11</v>
      </c>
      <c r="N136" s="2383">
        <v>12</v>
      </c>
      <c r="O136" s="2383">
        <v>13</v>
      </c>
      <c r="P136" s="2383">
        <v>14</v>
      </c>
      <c r="Q136" s="2383">
        <v>15</v>
      </c>
      <c r="R136" s="2384">
        <v>16</v>
      </c>
      <c r="S136" s="2384">
        <v>17</v>
      </c>
      <c r="T136" s="2383">
        <v>18</v>
      </c>
      <c r="U136" s="2383">
        <v>19</v>
      </c>
      <c r="V136" s="2383">
        <v>20</v>
      </c>
      <c r="W136" s="2383">
        <v>21</v>
      </c>
      <c r="X136" s="2383">
        <v>22</v>
      </c>
      <c r="Y136" s="2384">
        <v>23</v>
      </c>
      <c r="Z136" s="2384">
        <v>24</v>
      </c>
      <c r="AA136" s="2383">
        <v>25</v>
      </c>
      <c r="AB136" s="2383">
        <v>26</v>
      </c>
      <c r="AC136" s="2383">
        <v>27</v>
      </c>
      <c r="AD136" s="2383">
        <v>28</v>
      </c>
      <c r="AE136" s="2383">
        <v>29</v>
      </c>
      <c r="AF136" s="2384">
        <v>30</v>
      </c>
      <c r="AG136" s="2026"/>
      <c r="AH136" s="1"/>
      <c r="AJ136" s="2025" t="s">
        <v>41</v>
      </c>
      <c r="AK136" s="2025" t="s">
        <v>62</v>
      </c>
      <c r="AL136" s="2025" t="s">
        <v>63</v>
      </c>
      <c r="AM136" s="2025" t="s">
        <v>64</v>
      </c>
      <c r="AN136" s="2025" t="s">
        <v>65</v>
      </c>
    </row>
    <row r="137" spans="1:40" ht="18" customHeight="1" thickBot="1" x14ac:dyDescent="0.25">
      <c r="B137" s="2509" t="s">
        <v>231</v>
      </c>
      <c r="C137" s="1817" t="s">
        <v>50</v>
      </c>
      <c r="D137" s="1817"/>
      <c r="E137" s="1817"/>
      <c r="F137" s="2465" t="s">
        <v>162</v>
      </c>
      <c r="G137" s="2465" t="s">
        <v>162</v>
      </c>
      <c r="H137" s="2465" t="s">
        <v>162</v>
      </c>
      <c r="I137" s="2465" t="s">
        <v>162</v>
      </c>
      <c r="J137" s="2465" t="s">
        <v>162</v>
      </c>
      <c r="K137" s="1839" t="s">
        <v>163</v>
      </c>
      <c r="L137" s="1839" t="s">
        <v>164</v>
      </c>
      <c r="M137" s="1817" t="s">
        <v>50</v>
      </c>
      <c r="N137" s="1817" t="s">
        <v>50</v>
      </c>
      <c r="O137" s="1817" t="s">
        <v>50</v>
      </c>
      <c r="P137" s="1817" t="s">
        <v>50</v>
      </c>
      <c r="Q137" s="862" t="s">
        <v>145</v>
      </c>
      <c r="R137" s="862" t="s">
        <v>147</v>
      </c>
      <c r="S137" s="862" t="s">
        <v>148</v>
      </c>
      <c r="T137" s="1817" t="s">
        <v>162</v>
      </c>
      <c r="U137" s="1817" t="s">
        <v>162</v>
      </c>
      <c r="V137" s="1839" t="s">
        <v>162</v>
      </c>
      <c r="W137" s="1839" t="s">
        <v>162</v>
      </c>
      <c r="X137" s="2519" t="s">
        <v>162</v>
      </c>
      <c r="Y137" s="1839" t="s">
        <v>163</v>
      </c>
      <c r="Z137" s="1839" t="s">
        <v>164</v>
      </c>
      <c r="AA137" s="1817" t="s">
        <v>50</v>
      </c>
      <c r="AB137" s="1817" t="s">
        <v>50</v>
      </c>
      <c r="AC137" s="2519" t="s">
        <v>50</v>
      </c>
      <c r="AD137" s="1817" t="s">
        <v>50</v>
      </c>
      <c r="AE137" s="1817" t="s">
        <v>50</v>
      </c>
      <c r="AF137" s="1817"/>
      <c r="AG137" s="1817" t="s">
        <v>0</v>
      </c>
      <c r="AH137" s="1"/>
      <c r="AJ137" s="638">
        <f>$AJ$12</f>
        <v>160.33000000000001</v>
      </c>
      <c r="AK137" s="638"/>
      <c r="AL137" s="638">
        <f>IF(AJ137="","",SUM(AJ137:AK137))</f>
        <v>160.33000000000001</v>
      </c>
      <c r="AM137" s="639">
        <f>IF(AJ137="","",AL137-AJ137)</f>
        <v>0</v>
      </c>
      <c r="AN137" s="639">
        <f>IF(AM137="","",AM137+'Oktober 2024'!AN141)</f>
        <v>-24.330000000000013</v>
      </c>
    </row>
    <row r="138" spans="1:40" ht="18" customHeight="1" x14ac:dyDescent="0.2">
      <c r="B138" s="863" t="s">
        <v>0</v>
      </c>
      <c r="C138" s="635" t="s">
        <v>162</v>
      </c>
      <c r="D138" s="635" t="s">
        <v>163</v>
      </c>
      <c r="E138" s="635" t="s">
        <v>164</v>
      </c>
      <c r="F138" s="636" t="s">
        <v>50</v>
      </c>
      <c r="G138" s="636" t="s">
        <v>50</v>
      </c>
      <c r="H138" s="636" t="s">
        <v>50</v>
      </c>
      <c r="I138" s="636" t="s">
        <v>50</v>
      </c>
      <c r="J138" s="636" t="s">
        <v>50</v>
      </c>
      <c r="K138" s="636"/>
      <c r="L138" s="636"/>
      <c r="M138" s="636" t="s">
        <v>162</v>
      </c>
      <c r="N138" s="636" t="s">
        <v>162</v>
      </c>
      <c r="O138" s="635" t="s">
        <v>162</v>
      </c>
      <c r="P138" s="635" t="s">
        <v>162</v>
      </c>
      <c r="Q138" s="635" t="s">
        <v>162</v>
      </c>
      <c r="R138" s="635" t="s">
        <v>163</v>
      </c>
      <c r="S138" s="635" t="s">
        <v>164</v>
      </c>
      <c r="T138" s="636" t="s">
        <v>50</v>
      </c>
      <c r="U138" s="636" t="s">
        <v>50</v>
      </c>
      <c r="V138" s="636" t="s">
        <v>50</v>
      </c>
      <c r="W138" s="636" t="s">
        <v>50</v>
      </c>
      <c r="X138" s="636" t="s">
        <v>50</v>
      </c>
      <c r="Y138" s="636"/>
      <c r="Z138" s="636"/>
      <c r="AA138" s="636" t="s">
        <v>162</v>
      </c>
      <c r="AB138" s="636" t="s">
        <v>162</v>
      </c>
      <c r="AC138" s="635" t="s">
        <v>162</v>
      </c>
      <c r="AD138" s="635" t="s">
        <v>162</v>
      </c>
      <c r="AE138" s="635" t="s">
        <v>162</v>
      </c>
      <c r="AF138" s="635" t="s">
        <v>163</v>
      </c>
      <c r="AG138" s="636" t="s">
        <v>0</v>
      </c>
      <c r="AH138" s="1"/>
      <c r="AJ138" s="638">
        <f>$AJ$12</f>
        <v>160.33000000000001</v>
      </c>
      <c r="AK138" s="638"/>
      <c r="AL138" s="638">
        <f>IF(AJ138="","",SUM(AJ138:AK138))</f>
        <v>160.33000000000001</v>
      </c>
      <c r="AM138" s="639">
        <f>IF(AJ138="","",AL138-AJ138)</f>
        <v>0</v>
      </c>
      <c r="AN138" s="639">
        <f>IF(AM138="","",AM138+'Oktober 2024'!AN142)</f>
        <v>0</v>
      </c>
    </row>
    <row r="139" spans="1:40" ht="18" customHeight="1" thickBot="1" x14ac:dyDescent="0.25">
      <c r="B139" s="864" t="s">
        <v>0</v>
      </c>
      <c r="C139" s="1363" t="s">
        <v>149</v>
      </c>
      <c r="D139" s="1363" t="s">
        <v>150</v>
      </c>
      <c r="E139" s="1363" t="s">
        <v>71</v>
      </c>
      <c r="F139" s="1363" t="s">
        <v>50</v>
      </c>
      <c r="G139" s="1363" t="s">
        <v>50</v>
      </c>
      <c r="H139" s="1363" t="s">
        <v>50</v>
      </c>
      <c r="I139" s="1363" t="s">
        <v>50</v>
      </c>
      <c r="J139" s="1363" t="s">
        <v>149</v>
      </c>
      <c r="K139" s="1363" t="s">
        <v>150</v>
      </c>
      <c r="L139" s="1363" t="s">
        <v>71</v>
      </c>
      <c r="M139" s="1363" t="s">
        <v>50</v>
      </c>
      <c r="N139" s="1363" t="s">
        <v>50</v>
      </c>
      <c r="O139" s="1363" t="s">
        <v>50</v>
      </c>
      <c r="P139" s="1363" t="s">
        <v>50</v>
      </c>
      <c r="Q139" s="1363" t="s">
        <v>149</v>
      </c>
      <c r="R139" s="1363" t="s">
        <v>150</v>
      </c>
      <c r="S139" s="1363" t="s">
        <v>71</v>
      </c>
      <c r="T139" s="1363" t="s">
        <v>50</v>
      </c>
      <c r="U139" s="1363" t="s">
        <v>50</v>
      </c>
      <c r="V139" s="1363" t="s">
        <v>50</v>
      </c>
      <c r="W139" s="1363" t="s">
        <v>50</v>
      </c>
      <c r="X139" s="1363" t="s">
        <v>149</v>
      </c>
      <c r="Y139" s="1363" t="s">
        <v>150</v>
      </c>
      <c r="Z139" s="1363" t="s">
        <v>71</v>
      </c>
      <c r="AA139" s="1363" t="s">
        <v>50</v>
      </c>
      <c r="AB139" s="1363" t="s">
        <v>50</v>
      </c>
      <c r="AC139" s="1363" t="s">
        <v>50</v>
      </c>
      <c r="AD139" s="1363" t="s">
        <v>50</v>
      </c>
      <c r="AE139" s="1363" t="s">
        <v>149</v>
      </c>
      <c r="AF139" s="1363" t="s">
        <v>150</v>
      </c>
      <c r="AG139" s="1363" t="s">
        <v>0</v>
      </c>
      <c r="AH139" s="1"/>
      <c r="AJ139" s="123"/>
      <c r="AK139" s="123"/>
      <c r="AL139" s="123"/>
      <c r="AM139" s="215"/>
      <c r="AN139" s="215"/>
    </row>
    <row r="140" spans="1:40" ht="18" customHeight="1" thickBot="1" x14ac:dyDescent="0.25">
      <c r="A140" s="3" t="s">
        <v>486</v>
      </c>
      <c r="AH140" s="1"/>
      <c r="AJ140" s="123"/>
      <c r="AK140" s="123"/>
      <c r="AL140" s="123"/>
      <c r="AM140" s="215"/>
      <c r="AN140" s="215"/>
    </row>
    <row r="141" spans="1:40" ht="18" customHeight="1" thickBot="1" x14ac:dyDescent="0.3">
      <c r="B141" s="217"/>
      <c r="C141" s="218"/>
      <c r="D141" s="218"/>
      <c r="E141" s="221" t="s">
        <v>198</v>
      </c>
      <c r="F141" s="218"/>
      <c r="G141" s="218"/>
      <c r="H141" s="218"/>
      <c r="I141" s="218"/>
      <c r="J141" s="218"/>
      <c r="K141" s="226" t="s">
        <v>13</v>
      </c>
      <c r="L141" s="222"/>
      <c r="M141" s="222"/>
      <c r="N141" s="222"/>
      <c r="O141" s="222"/>
      <c r="P141" s="222"/>
      <c r="Q141" s="222"/>
      <c r="R141" s="222"/>
      <c r="S141" s="222"/>
      <c r="T141" s="223"/>
      <c r="AH141" s="1"/>
      <c r="AJ141" s="123"/>
      <c r="AK141" s="123"/>
      <c r="AL141" s="123"/>
      <c r="AM141" s="215"/>
      <c r="AN141" s="215"/>
    </row>
    <row r="142" spans="1:40" ht="18" customHeight="1" thickBot="1" x14ac:dyDescent="0.3">
      <c r="B142" s="217" t="s">
        <v>487</v>
      </c>
      <c r="C142" s="218"/>
      <c r="D142" s="218"/>
      <c r="E142" s="219" t="s">
        <v>488</v>
      </c>
      <c r="F142" s="218"/>
      <c r="G142" s="218"/>
      <c r="H142" s="218"/>
      <c r="I142" s="218"/>
      <c r="J142" s="218"/>
      <c r="K142" s="218" t="s">
        <v>0</v>
      </c>
      <c r="L142" s="218"/>
      <c r="M142" s="218"/>
      <c r="N142" s="218"/>
      <c r="O142" s="218"/>
      <c r="P142" s="218"/>
      <c r="Q142" s="218"/>
      <c r="R142" s="236" t="s">
        <v>0</v>
      </c>
      <c r="S142" s="236"/>
      <c r="T142" s="236"/>
      <c r="AH142" s="1"/>
      <c r="AJ142" s="123"/>
      <c r="AK142" s="123"/>
      <c r="AL142" s="123"/>
      <c r="AM142" s="215"/>
      <c r="AN142" s="215"/>
    </row>
    <row r="143" spans="1:40" ht="18" customHeight="1" thickBot="1" x14ac:dyDescent="0.3">
      <c r="B143" s="217" t="s">
        <v>0</v>
      </c>
      <c r="C143" s="218"/>
      <c r="D143" s="218"/>
      <c r="E143" s="221" t="s">
        <v>0</v>
      </c>
      <c r="F143" s="218"/>
      <c r="G143" s="218"/>
      <c r="H143" s="218"/>
      <c r="I143" s="218"/>
      <c r="J143" s="218"/>
      <c r="K143" s="218" t="s">
        <v>0</v>
      </c>
      <c r="L143" s="218"/>
      <c r="M143" s="218"/>
      <c r="N143" s="218"/>
      <c r="O143" s="218"/>
      <c r="P143" s="218"/>
      <c r="Q143" s="218"/>
      <c r="R143" s="218"/>
      <c r="S143" s="218"/>
      <c r="T143" s="220"/>
      <c r="AH143" s="1"/>
      <c r="AJ143" s="123"/>
      <c r="AK143" s="123"/>
      <c r="AL143" s="123"/>
      <c r="AM143" s="215"/>
      <c r="AN143" s="215"/>
    </row>
    <row r="144" spans="1:40" ht="18" customHeight="1" thickBot="1" x14ac:dyDescent="0.3">
      <c r="B144" s="217" t="s">
        <v>0</v>
      </c>
      <c r="C144" s="218"/>
      <c r="D144" s="218"/>
      <c r="E144" s="221" t="s">
        <v>0</v>
      </c>
      <c r="F144" s="218"/>
      <c r="G144" s="218"/>
      <c r="H144" s="218"/>
      <c r="I144" s="218"/>
      <c r="J144" s="218"/>
      <c r="K144" s="218" t="s">
        <v>0</v>
      </c>
      <c r="L144" s="229"/>
      <c r="M144" s="229"/>
      <c r="N144" s="229"/>
      <c r="O144" s="229"/>
      <c r="P144" s="229"/>
      <c r="Q144" s="229"/>
      <c r="R144" s="229"/>
      <c r="S144" s="229"/>
      <c r="T144" s="230"/>
      <c r="U144" s="108"/>
      <c r="V144" s="108"/>
      <c r="AH144" s="1"/>
      <c r="AJ144" s="123"/>
      <c r="AK144" s="123"/>
      <c r="AL144" s="123"/>
      <c r="AM144" s="215"/>
      <c r="AN144" s="215"/>
    </row>
    <row r="145" spans="1:40" ht="18" customHeight="1" thickBot="1" x14ac:dyDescent="0.25">
      <c r="T145" s="108"/>
      <c r="U145" s="108"/>
      <c r="V145" s="108"/>
      <c r="AH145" s="1"/>
      <c r="AJ145" s="123"/>
      <c r="AK145" s="123"/>
      <c r="AL145" s="123"/>
      <c r="AM145" s="215"/>
      <c r="AN145" s="215"/>
    </row>
    <row r="146" spans="1:40" ht="18" customHeight="1" thickBot="1" x14ac:dyDescent="0.25">
      <c r="B146" s="2257" t="s">
        <v>448</v>
      </c>
      <c r="C146" s="2383">
        <v>1</v>
      </c>
      <c r="D146" s="2383">
        <v>2</v>
      </c>
      <c r="E146" s="2383">
        <v>3</v>
      </c>
      <c r="F146" s="2383">
        <v>4</v>
      </c>
      <c r="G146" s="2384">
        <v>5</v>
      </c>
      <c r="H146" s="2384">
        <v>6</v>
      </c>
      <c r="I146" s="2383">
        <v>7</v>
      </c>
      <c r="J146" s="2383">
        <v>8</v>
      </c>
      <c r="K146" s="2383">
        <v>9</v>
      </c>
      <c r="L146" s="2383">
        <v>10</v>
      </c>
      <c r="M146" s="2383">
        <v>11</v>
      </c>
      <c r="N146" s="2384">
        <v>12</v>
      </c>
      <c r="O146" s="2384">
        <v>13</v>
      </c>
      <c r="P146" s="2383">
        <v>14</v>
      </c>
      <c r="Q146" s="2383">
        <v>15</v>
      </c>
      <c r="R146" s="2383">
        <v>16</v>
      </c>
      <c r="S146" s="2383">
        <v>17</v>
      </c>
      <c r="T146" s="2383">
        <v>18</v>
      </c>
      <c r="U146" s="2384">
        <v>19</v>
      </c>
      <c r="V146" s="2384">
        <v>20</v>
      </c>
      <c r="W146" s="2383">
        <v>21</v>
      </c>
      <c r="X146" s="2383">
        <v>22</v>
      </c>
      <c r="Y146" s="2383">
        <v>23</v>
      </c>
      <c r="Z146" s="2383">
        <v>24</v>
      </c>
      <c r="AA146" s="2383">
        <v>25</v>
      </c>
      <c r="AB146" s="2384">
        <v>26</v>
      </c>
      <c r="AC146" s="2384">
        <v>27</v>
      </c>
      <c r="AD146" s="2383">
        <v>28</v>
      </c>
      <c r="AE146" s="2383">
        <v>29</v>
      </c>
      <c r="AF146" s="2383">
        <v>30</v>
      </c>
      <c r="AG146" s="2383">
        <v>31</v>
      </c>
      <c r="AH146" s="1"/>
      <c r="AJ146" s="123"/>
      <c r="AK146" s="123"/>
      <c r="AL146" s="123"/>
      <c r="AM146" s="215"/>
      <c r="AN146" s="215"/>
    </row>
    <row r="147" spans="1:40" ht="18" customHeight="1" x14ac:dyDescent="0.2">
      <c r="B147" s="2520" t="s">
        <v>0</v>
      </c>
      <c r="C147" s="635" t="s">
        <v>475</v>
      </c>
      <c r="D147" s="635" t="s">
        <v>475</v>
      </c>
      <c r="E147" s="635" t="s">
        <v>475</v>
      </c>
      <c r="F147" s="635" t="s">
        <v>475</v>
      </c>
      <c r="G147" s="636" t="s">
        <v>0</v>
      </c>
      <c r="H147" s="636" t="s">
        <v>0</v>
      </c>
      <c r="I147" s="636" t="s">
        <v>50</v>
      </c>
      <c r="J147" s="636" t="s">
        <v>50</v>
      </c>
      <c r="K147" s="636" t="s">
        <v>50</v>
      </c>
      <c r="L147" s="636" t="s">
        <v>50</v>
      </c>
      <c r="M147" s="636" t="s">
        <v>50</v>
      </c>
      <c r="N147" s="636"/>
      <c r="O147" s="635"/>
      <c r="P147" s="635" t="s">
        <v>475</v>
      </c>
      <c r="Q147" s="635" t="s">
        <v>475</v>
      </c>
      <c r="R147" s="635" t="s">
        <v>475</v>
      </c>
      <c r="S147" s="635" t="s">
        <v>475</v>
      </c>
      <c r="T147" s="635" t="s">
        <v>475</v>
      </c>
      <c r="U147" s="636" t="s">
        <v>0</v>
      </c>
      <c r="V147" s="636" t="s">
        <v>0</v>
      </c>
      <c r="W147" s="636" t="s">
        <v>50</v>
      </c>
      <c r="X147" s="636" t="s">
        <v>50</v>
      </c>
      <c r="Y147" s="636" t="s">
        <v>50</v>
      </c>
      <c r="Z147" s="636" t="s">
        <v>50</v>
      </c>
      <c r="AA147" s="636" t="s">
        <v>50</v>
      </c>
      <c r="AB147" s="636"/>
      <c r="AC147" s="635"/>
      <c r="AD147" s="635" t="s">
        <v>475</v>
      </c>
      <c r="AE147" s="635" t="s">
        <v>475</v>
      </c>
      <c r="AF147" s="635" t="s">
        <v>475</v>
      </c>
      <c r="AG147" s="635" t="s">
        <v>475</v>
      </c>
      <c r="AH147" s="1"/>
      <c r="AJ147" s="123"/>
      <c r="AK147" s="123"/>
      <c r="AL147" s="123"/>
      <c r="AM147" s="215"/>
      <c r="AN147" s="215"/>
    </row>
    <row r="148" spans="1:40" ht="18" customHeight="1" x14ac:dyDescent="0.2">
      <c r="B148" s="863" t="s">
        <v>0</v>
      </c>
      <c r="C148" s="636" t="s">
        <v>50</v>
      </c>
      <c r="D148" s="636" t="s">
        <v>50</v>
      </c>
      <c r="E148" s="636" t="s">
        <v>50</v>
      </c>
      <c r="F148" s="636" t="s">
        <v>50</v>
      </c>
      <c r="G148" s="636" t="s">
        <v>50</v>
      </c>
      <c r="H148" s="636" t="s">
        <v>50</v>
      </c>
      <c r="I148" s="635" t="s">
        <v>475</v>
      </c>
      <c r="J148" s="635" t="s">
        <v>475</v>
      </c>
      <c r="K148" s="635" t="s">
        <v>475</v>
      </c>
      <c r="L148" s="635" t="s">
        <v>475</v>
      </c>
      <c r="M148" s="635" t="s">
        <v>475</v>
      </c>
      <c r="N148" s="636" t="s">
        <v>0</v>
      </c>
      <c r="O148" s="635"/>
      <c r="P148" s="636" t="s">
        <v>50</v>
      </c>
      <c r="Q148" s="636" t="s">
        <v>50</v>
      </c>
      <c r="R148" s="636" t="s">
        <v>50</v>
      </c>
      <c r="S148" s="636" t="s">
        <v>50</v>
      </c>
      <c r="T148" s="636" t="s">
        <v>50</v>
      </c>
      <c r="U148" s="636" t="s">
        <v>0</v>
      </c>
      <c r="V148" s="636" t="s">
        <v>0</v>
      </c>
      <c r="W148" s="635" t="s">
        <v>475</v>
      </c>
      <c r="X148" s="635" t="s">
        <v>475</v>
      </c>
      <c r="Y148" s="635" t="s">
        <v>475</v>
      </c>
      <c r="Z148" s="635" t="s">
        <v>475</v>
      </c>
      <c r="AA148" s="635" t="s">
        <v>475</v>
      </c>
      <c r="AB148" s="636" t="s">
        <v>0</v>
      </c>
      <c r="AC148" s="636" t="s">
        <v>0</v>
      </c>
      <c r="AD148" s="636" t="s">
        <v>50</v>
      </c>
      <c r="AE148" s="636" t="s">
        <v>50</v>
      </c>
      <c r="AF148" s="636" t="s">
        <v>50</v>
      </c>
      <c r="AG148" s="636" t="s">
        <v>50</v>
      </c>
      <c r="AH148" s="1"/>
      <c r="AJ148" s="123"/>
      <c r="AK148" s="123"/>
      <c r="AL148" s="123"/>
      <c r="AM148" s="215"/>
      <c r="AN148" s="215"/>
    </row>
    <row r="149" spans="1:40" ht="18" customHeight="1" thickBot="1" x14ac:dyDescent="0.25">
      <c r="B149" s="864" t="s">
        <v>0</v>
      </c>
      <c r="C149" s="636" t="s">
        <v>0</v>
      </c>
      <c r="D149" s="636" t="s">
        <v>0</v>
      </c>
      <c r="E149" s="636" t="s">
        <v>0</v>
      </c>
      <c r="F149" s="636" t="s">
        <v>0</v>
      </c>
      <c r="G149" s="636" t="s">
        <v>0</v>
      </c>
      <c r="H149" s="636" t="s">
        <v>0</v>
      </c>
      <c r="I149" s="636" t="s">
        <v>0</v>
      </c>
      <c r="J149" s="636" t="s">
        <v>0</v>
      </c>
      <c r="K149" s="636" t="s">
        <v>0</v>
      </c>
      <c r="L149" s="636" t="s">
        <v>0</v>
      </c>
      <c r="M149" s="636" t="s">
        <v>0</v>
      </c>
      <c r="N149" s="636" t="s">
        <v>0</v>
      </c>
      <c r="O149" s="636" t="s">
        <v>0</v>
      </c>
      <c r="P149" s="636" t="s">
        <v>0</v>
      </c>
      <c r="Q149" s="636" t="s">
        <v>0</v>
      </c>
      <c r="R149" s="636" t="s">
        <v>0</v>
      </c>
      <c r="S149" s="636" t="s">
        <v>0</v>
      </c>
      <c r="T149" s="636" t="s">
        <v>0</v>
      </c>
      <c r="U149" s="636" t="s">
        <v>0</v>
      </c>
      <c r="V149" s="636" t="s">
        <v>0</v>
      </c>
      <c r="W149" s="636" t="s">
        <v>0</v>
      </c>
      <c r="X149" s="636" t="s">
        <v>0</v>
      </c>
      <c r="Y149" s="636" t="s">
        <v>0</v>
      </c>
      <c r="Z149" s="636" t="s">
        <v>0</v>
      </c>
      <c r="AA149" s="636" t="s">
        <v>0</v>
      </c>
      <c r="AB149" s="636" t="s">
        <v>0</v>
      </c>
      <c r="AC149" s="636" t="s">
        <v>0</v>
      </c>
      <c r="AD149" s="636" t="s">
        <v>0</v>
      </c>
      <c r="AE149" s="636" t="s">
        <v>0</v>
      </c>
      <c r="AF149" s="636" t="s">
        <v>0</v>
      </c>
      <c r="AG149" s="636" t="s">
        <v>0</v>
      </c>
      <c r="AH149" s="1"/>
      <c r="AJ149" s="123"/>
      <c r="AK149" s="123"/>
      <c r="AL149" s="123"/>
      <c r="AM149" s="215"/>
      <c r="AN149" s="215"/>
    </row>
    <row r="150" spans="1:40" ht="18" customHeight="1" x14ac:dyDescent="0.2">
      <c r="B150" s="227"/>
      <c r="C150" s="128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28"/>
      <c r="AH150" s="1"/>
      <c r="AJ150" s="123"/>
      <c r="AK150" s="123"/>
      <c r="AL150" s="123"/>
      <c r="AM150" s="215"/>
      <c r="AN150" s="215"/>
    </row>
    <row r="151" spans="1:40" ht="18" customHeight="1" x14ac:dyDescent="0.2">
      <c r="B151" s="227"/>
      <c r="C151" s="128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28"/>
      <c r="AH151" s="1"/>
      <c r="AJ151" s="123"/>
      <c r="AK151" s="123"/>
      <c r="AL151" s="123"/>
      <c r="AM151" s="215"/>
      <c r="AN151" s="215"/>
    </row>
    <row r="152" spans="1:40" ht="18" customHeight="1" x14ac:dyDescent="0.2">
      <c r="B152" s="227"/>
      <c r="C152" s="128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28"/>
      <c r="AH152" s="1"/>
      <c r="AJ152" s="123"/>
      <c r="AK152" s="123"/>
      <c r="AL152" s="123"/>
      <c r="AM152" s="215"/>
      <c r="AN152" s="215"/>
    </row>
    <row r="153" spans="1:40" ht="18" customHeight="1" x14ac:dyDescent="0.2">
      <c r="B153" s="127"/>
      <c r="C153" s="128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"/>
    </row>
    <row r="154" spans="1:40" ht="18" customHeight="1" thickBot="1" x14ac:dyDescent="0.25">
      <c r="A154" s="129"/>
      <c r="B154" s="123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0"/>
      <c r="AB154" s="130"/>
      <c r="AC154" s="130"/>
      <c r="AD154" s="130"/>
      <c r="AE154" s="130"/>
      <c r="AF154" s="130"/>
      <c r="AG154" s="131"/>
      <c r="AH154" s="132"/>
      <c r="AI154" s="116"/>
    </row>
    <row r="155" spans="1:40" ht="18" customHeight="1" x14ac:dyDescent="0.2">
      <c r="A155" s="48"/>
      <c r="B155" s="2521" t="s">
        <v>247</v>
      </c>
      <c r="C155" s="2522"/>
      <c r="D155" s="2523" t="s">
        <v>17</v>
      </c>
      <c r="E155" s="2524"/>
      <c r="F155" s="2522"/>
      <c r="G155" s="2525" t="s">
        <v>18</v>
      </c>
      <c r="H155" s="2526"/>
      <c r="I155" s="2527"/>
      <c r="J155" s="2525" t="s">
        <v>19</v>
      </c>
      <c r="K155" s="2528"/>
      <c r="L155" s="2527"/>
      <c r="M155" s="2529" t="s">
        <v>20</v>
      </c>
      <c r="N155" s="2528"/>
      <c r="O155" s="2527"/>
      <c r="P155" s="2525" t="s">
        <v>21</v>
      </c>
      <c r="Q155" s="2530"/>
      <c r="R155" s="2527"/>
      <c r="S155" s="2525" t="s">
        <v>22</v>
      </c>
      <c r="T155" s="2531"/>
      <c r="U155" s="2527"/>
      <c r="V155" s="2525" t="s">
        <v>23</v>
      </c>
      <c r="W155" s="2530"/>
      <c r="X155" s="2532" t="s">
        <v>234</v>
      </c>
      <c r="Y155" s="2533"/>
      <c r="Z155" s="2533"/>
      <c r="AA155" s="2534"/>
      <c r="AB155" s="2535" t="s">
        <v>126</v>
      </c>
      <c r="AC155" s="2536"/>
      <c r="AD155" s="2536"/>
      <c r="AE155" s="2537"/>
      <c r="AF155" s="2537"/>
      <c r="AG155" s="2538"/>
      <c r="AH155" s="132"/>
      <c r="AI155" s="116"/>
    </row>
    <row r="156" spans="1:40" ht="18" customHeight="1" x14ac:dyDescent="0.2">
      <c r="A156" s="48"/>
      <c r="B156" s="2539" t="s">
        <v>248</v>
      </c>
      <c r="C156" s="2540" t="s">
        <v>249</v>
      </c>
      <c r="D156" s="2009"/>
      <c r="E156" s="2010"/>
      <c r="F156" s="2540" t="s">
        <v>249</v>
      </c>
      <c r="G156" s="2009"/>
      <c r="H156" s="2010"/>
      <c r="I156" s="2540" t="s">
        <v>249</v>
      </c>
      <c r="J156" s="2009"/>
      <c r="K156" s="2010"/>
      <c r="L156" s="2540" t="s">
        <v>249</v>
      </c>
      <c r="M156" s="2009"/>
      <c r="N156" s="2010"/>
      <c r="O156" s="2540" t="s">
        <v>250</v>
      </c>
      <c r="P156" s="2009"/>
      <c r="Q156" s="2010"/>
      <c r="R156" s="2540"/>
      <c r="S156" s="2009"/>
      <c r="T156" s="2010"/>
      <c r="U156" s="2540"/>
      <c r="V156" s="2009"/>
      <c r="W156" s="2010"/>
      <c r="X156" s="2540"/>
      <c r="Y156" s="2541"/>
      <c r="Z156" s="2541"/>
      <c r="AA156" s="2541"/>
      <c r="AB156" s="2006"/>
      <c r="AC156" s="2541"/>
      <c r="AD156" s="2541"/>
      <c r="AE156" s="2541"/>
      <c r="AF156" s="2541"/>
      <c r="AG156" s="2542"/>
      <c r="AH156" s="132"/>
      <c r="AI156" s="116"/>
    </row>
    <row r="157" spans="1:40" ht="18" customHeight="1" x14ac:dyDescent="0.2">
      <c r="A157" s="48"/>
      <c r="B157" s="4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132"/>
      <c r="AI157" s="116"/>
    </row>
    <row r="158" spans="1:40" ht="18" customHeight="1" x14ac:dyDescent="0.2">
      <c r="A158" s="2543" t="s">
        <v>43</v>
      </c>
      <c r="B158" s="2128" t="s">
        <v>44</v>
      </c>
      <c r="C158" s="2383">
        <v>1</v>
      </c>
      <c r="D158" s="2384">
        <v>2</v>
      </c>
      <c r="E158" s="2384">
        <v>3</v>
      </c>
      <c r="F158" s="2383">
        <v>4</v>
      </c>
      <c r="G158" s="2383">
        <v>5</v>
      </c>
      <c r="H158" s="2383">
        <v>6</v>
      </c>
      <c r="I158" s="2383">
        <v>7</v>
      </c>
      <c r="J158" s="2383">
        <v>8</v>
      </c>
      <c r="K158" s="2384">
        <v>9</v>
      </c>
      <c r="L158" s="2384">
        <v>10</v>
      </c>
      <c r="M158" s="2383">
        <v>11</v>
      </c>
      <c r="N158" s="2383">
        <v>12</v>
      </c>
      <c r="O158" s="2383">
        <v>13</v>
      </c>
      <c r="P158" s="2383">
        <v>14</v>
      </c>
      <c r="Q158" s="2383">
        <v>15</v>
      </c>
      <c r="R158" s="2384">
        <v>16</v>
      </c>
      <c r="S158" s="2384">
        <v>17</v>
      </c>
      <c r="T158" s="2383">
        <v>18</v>
      </c>
      <c r="U158" s="2383">
        <v>19</v>
      </c>
      <c r="V158" s="2383">
        <v>20</v>
      </c>
      <c r="W158" s="2383">
        <v>21</v>
      </c>
      <c r="X158" s="2383">
        <v>22</v>
      </c>
      <c r="Y158" s="2384">
        <v>23</v>
      </c>
      <c r="Z158" s="2384">
        <v>24</v>
      </c>
      <c r="AA158" s="2383">
        <v>25</v>
      </c>
      <c r="AB158" s="2383">
        <v>26</v>
      </c>
      <c r="AC158" s="2383">
        <v>27</v>
      </c>
      <c r="AD158" s="2383">
        <v>28</v>
      </c>
      <c r="AE158" s="2383">
        <v>29</v>
      </c>
      <c r="AF158" s="2384">
        <v>30</v>
      </c>
      <c r="AG158" s="2026"/>
      <c r="AH158" s="132"/>
      <c r="AI158" s="116"/>
    </row>
    <row r="159" spans="1:40" ht="18" customHeight="1" x14ac:dyDescent="0.2">
      <c r="A159" s="2309">
        <v>8520</v>
      </c>
      <c r="B159" s="2310" t="s">
        <v>251</v>
      </c>
      <c r="C159" s="2283" t="s">
        <v>252</v>
      </c>
      <c r="D159" s="2283"/>
      <c r="E159" s="2283"/>
      <c r="F159" s="2544" t="s">
        <v>252</v>
      </c>
      <c r="G159" s="2424" t="s">
        <v>252</v>
      </c>
      <c r="H159" s="2424" t="s">
        <v>252</v>
      </c>
      <c r="I159" s="2424" t="s">
        <v>252</v>
      </c>
      <c r="J159" s="2424" t="s">
        <v>252</v>
      </c>
      <c r="K159" s="2424"/>
      <c r="L159" s="2424"/>
      <c r="M159" s="2424" t="s">
        <v>252</v>
      </c>
      <c r="N159" s="2311" t="s">
        <v>252</v>
      </c>
      <c r="O159" s="2311" t="s">
        <v>252</v>
      </c>
      <c r="P159" s="2311" t="s">
        <v>252</v>
      </c>
      <c r="Q159" s="2311" t="s">
        <v>252</v>
      </c>
      <c r="R159" s="2311"/>
      <c r="S159" s="2311"/>
      <c r="T159" s="2426" t="s">
        <v>252</v>
      </c>
      <c r="U159" s="2426" t="s">
        <v>253</v>
      </c>
      <c r="V159" s="2311" t="s">
        <v>252</v>
      </c>
      <c r="W159" s="2311" t="s">
        <v>252</v>
      </c>
      <c r="X159" s="2311" t="s">
        <v>252</v>
      </c>
      <c r="Y159" s="2283"/>
      <c r="Z159" s="2283"/>
      <c r="AA159" s="2283" t="s">
        <v>252</v>
      </c>
      <c r="AB159" s="2283" t="s">
        <v>252</v>
      </c>
      <c r="AC159" s="2283" t="s">
        <v>252</v>
      </c>
      <c r="AD159" s="2545" t="s">
        <v>252</v>
      </c>
      <c r="AE159" s="2283" t="s">
        <v>252</v>
      </c>
      <c r="AF159" s="2283"/>
      <c r="AG159" s="2286"/>
      <c r="AH159" s="132"/>
      <c r="AI159" s="116"/>
    </row>
    <row r="160" spans="1:40" ht="18" customHeight="1" x14ac:dyDescent="0.2">
      <c r="A160" s="136"/>
      <c r="B160" s="135"/>
      <c r="C160" s="128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32"/>
      <c r="AI160" s="116"/>
    </row>
    <row r="161" spans="1:35" ht="18" customHeight="1" x14ac:dyDescent="0.2">
      <c r="AH161" s="67"/>
      <c r="AI161" s="67"/>
    </row>
    <row r="162" spans="1:35" ht="18" customHeight="1" x14ac:dyDescent="0.2">
      <c r="A162" s="107" t="s">
        <v>254</v>
      </c>
      <c r="B162" s="108"/>
      <c r="C162" s="108"/>
      <c r="D162" s="109"/>
      <c r="E162" s="109"/>
      <c r="F162" s="109"/>
      <c r="G162" s="65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8"/>
      <c r="AI162" s="108"/>
    </row>
    <row r="163" spans="1:35" ht="18" customHeight="1" x14ac:dyDescent="0.2">
      <c r="A163" s="107"/>
      <c r="B163" s="2521" t="s">
        <v>255</v>
      </c>
      <c r="C163" s="2546"/>
      <c r="D163" s="2547" t="s">
        <v>17</v>
      </c>
      <c r="E163" s="2548"/>
      <c r="F163" s="2549"/>
      <c r="G163" s="2546"/>
      <c r="H163" s="2547" t="s">
        <v>18</v>
      </c>
      <c r="I163" s="2548"/>
      <c r="J163" s="2549"/>
      <c r="K163" s="2546"/>
      <c r="L163" s="2547" t="s">
        <v>19</v>
      </c>
      <c r="M163" s="2548"/>
      <c r="N163" s="2549"/>
      <c r="O163" s="2546"/>
      <c r="P163" s="2547" t="s">
        <v>20</v>
      </c>
      <c r="Q163" s="2548"/>
      <c r="R163" s="2549"/>
      <c r="S163" s="2546"/>
      <c r="T163" s="2547" t="s">
        <v>21</v>
      </c>
      <c r="U163" s="2548"/>
      <c r="V163" s="2549"/>
      <c r="W163" s="2546"/>
      <c r="X163" s="2547" t="s">
        <v>22</v>
      </c>
      <c r="Y163" s="2548"/>
      <c r="Z163" s="2549"/>
      <c r="AA163" s="2546"/>
      <c r="AB163" s="2547" t="s">
        <v>23</v>
      </c>
      <c r="AC163" s="2548"/>
      <c r="AD163" s="2548"/>
      <c r="AE163" s="2550" t="s">
        <v>126</v>
      </c>
      <c r="AF163" s="2548"/>
      <c r="AG163" s="2548"/>
      <c r="AH163" s="2548"/>
      <c r="AI163" s="2551"/>
    </row>
    <row r="164" spans="1:35" ht="18" customHeight="1" x14ac:dyDescent="0.2">
      <c r="A164" s="107"/>
      <c r="B164" s="2552" t="s">
        <v>235</v>
      </c>
      <c r="C164" s="2553">
        <v>69</v>
      </c>
      <c r="D164" s="2554" t="s">
        <v>256</v>
      </c>
      <c r="E164" s="2554"/>
      <c r="F164" s="2555"/>
      <c r="G164" s="2553">
        <v>69</v>
      </c>
      <c r="H164" s="2554" t="s">
        <v>256</v>
      </c>
      <c r="I164" s="2554"/>
      <c r="J164" s="2555"/>
      <c r="K164" s="2553">
        <v>69</v>
      </c>
      <c r="L164" s="2554" t="s">
        <v>256</v>
      </c>
      <c r="M164" s="2554"/>
      <c r="N164" s="2555"/>
      <c r="O164" s="2553">
        <v>69</v>
      </c>
      <c r="P164" s="2554" t="s">
        <v>256</v>
      </c>
      <c r="Q164" s="2554"/>
      <c r="R164" s="2555"/>
      <c r="S164" s="2553">
        <v>69</v>
      </c>
      <c r="T164" s="2554" t="s">
        <v>256</v>
      </c>
      <c r="U164" s="2554"/>
      <c r="V164" s="2555"/>
      <c r="W164" s="2553"/>
      <c r="X164" s="2556"/>
      <c r="Y164" s="2556"/>
      <c r="Z164" s="2557"/>
      <c r="AA164" s="2553"/>
      <c r="AB164" s="2554"/>
      <c r="AC164" s="2554"/>
      <c r="AD164" s="2169"/>
      <c r="AE164" s="2558">
        <v>35</v>
      </c>
      <c r="AF164" s="2554"/>
      <c r="AG164" s="2554"/>
      <c r="AH164" s="2169"/>
      <c r="AI164" s="2559"/>
    </row>
    <row r="165" spans="1:35" ht="18" customHeight="1" x14ac:dyDescent="0.2">
      <c r="A165" s="107"/>
      <c r="B165" s="2552" t="s">
        <v>236</v>
      </c>
      <c r="C165" s="2553">
        <v>79</v>
      </c>
      <c r="D165" s="2554" t="s">
        <v>257</v>
      </c>
      <c r="E165" s="2554"/>
      <c r="F165" s="2555"/>
      <c r="G165" s="2553">
        <v>79</v>
      </c>
      <c r="H165" s="2554" t="s">
        <v>257</v>
      </c>
      <c r="I165" s="2554"/>
      <c r="J165" s="2555"/>
      <c r="K165" s="2553">
        <v>79</v>
      </c>
      <c r="L165" s="2554" t="s">
        <v>257</v>
      </c>
      <c r="M165" s="2554"/>
      <c r="N165" s="2555"/>
      <c r="O165" s="2553">
        <v>79</v>
      </c>
      <c r="P165" s="2554" t="s">
        <v>257</v>
      </c>
      <c r="Q165" s="2554"/>
      <c r="R165" s="2555"/>
      <c r="S165" s="2553">
        <v>79</v>
      </c>
      <c r="T165" s="2554" t="s">
        <v>257</v>
      </c>
      <c r="U165" s="2554"/>
      <c r="V165" s="2555"/>
      <c r="W165" s="2553"/>
      <c r="X165" s="2554"/>
      <c r="Y165" s="2554"/>
      <c r="Z165" s="2555"/>
      <c r="AA165" s="2554"/>
      <c r="AB165" s="2554"/>
      <c r="AC165" s="2554"/>
      <c r="AD165" s="2169"/>
      <c r="AE165" s="2558">
        <v>40</v>
      </c>
      <c r="AF165" s="2554"/>
      <c r="AG165" s="2554"/>
      <c r="AH165" s="2169"/>
      <c r="AI165" s="2559"/>
    </row>
    <row r="166" spans="1:35" ht="18" customHeight="1" x14ac:dyDescent="0.2">
      <c r="A166" s="107"/>
      <c r="B166" s="2552" t="s">
        <v>243</v>
      </c>
      <c r="C166" s="2553">
        <v>89</v>
      </c>
      <c r="D166" s="2554" t="s">
        <v>258</v>
      </c>
      <c r="E166" s="2554"/>
      <c r="F166" s="2555"/>
      <c r="G166" s="2553">
        <v>89</v>
      </c>
      <c r="H166" s="2554" t="s">
        <v>258</v>
      </c>
      <c r="I166" s="2554"/>
      <c r="J166" s="2555"/>
      <c r="K166" s="2553">
        <v>89</v>
      </c>
      <c r="L166" s="2554" t="s">
        <v>258</v>
      </c>
      <c r="M166" s="2554"/>
      <c r="N166" s="2555"/>
      <c r="O166" s="2553">
        <v>89</v>
      </c>
      <c r="P166" s="2554" t="s">
        <v>258</v>
      </c>
      <c r="Q166" s="2554"/>
      <c r="R166" s="2555"/>
      <c r="S166" s="2553">
        <v>89</v>
      </c>
      <c r="T166" s="2554" t="s">
        <v>259</v>
      </c>
      <c r="U166" s="2554"/>
      <c r="V166" s="2555"/>
      <c r="W166" s="2560"/>
      <c r="X166" s="2561" t="s">
        <v>260</v>
      </c>
      <c r="Y166" s="2561"/>
      <c r="Z166" s="2562"/>
      <c r="AA166" s="2560"/>
      <c r="AB166" s="2561"/>
      <c r="AC166" s="2561"/>
      <c r="AD166" s="2171"/>
      <c r="AE166" s="2558">
        <v>44</v>
      </c>
      <c r="AF166" s="2554"/>
      <c r="AG166" s="2554"/>
      <c r="AH166" s="2169"/>
      <c r="AI166" s="2559"/>
    </row>
    <row r="167" spans="1:35" ht="18" customHeight="1" x14ac:dyDescent="0.2">
      <c r="A167" s="107"/>
      <c r="B167" s="19" t="s">
        <v>245</v>
      </c>
      <c r="C167" s="2560">
        <v>99</v>
      </c>
      <c r="D167" s="2561" t="s">
        <v>261</v>
      </c>
      <c r="E167" s="2561"/>
      <c r="F167" s="2562"/>
      <c r="G167" s="2560">
        <v>99</v>
      </c>
      <c r="H167" s="2561" t="s">
        <v>261</v>
      </c>
      <c r="I167" s="2561"/>
      <c r="J167" s="2562"/>
      <c r="K167" s="2560">
        <v>99</v>
      </c>
      <c r="L167" s="2561" t="s">
        <v>261</v>
      </c>
      <c r="M167" s="2561"/>
      <c r="N167" s="2562"/>
      <c r="O167" s="2560">
        <v>99</v>
      </c>
      <c r="P167" s="2561" t="s">
        <v>261</v>
      </c>
      <c r="Q167" s="2561"/>
      <c r="R167" s="2562"/>
      <c r="S167" s="2560">
        <v>99</v>
      </c>
      <c r="T167" s="2561" t="s">
        <v>244</v>
      </c>
      <c r="U167" s="2561"/>
      <c r="V167" s="2171"/>
      <c r="W167" s="2170"/>
      <c r="X167" s="2171"/>
      <c r="Y167" s="2561"/>
      <c r="Z167" s="2562"/>
      <c r="AA167" s="2170"/>
      <c r="AB167" s="2171"/>
      <c r="AC167" s="2561"/>
      <c r="AD167" s="2562"/>
      <c r="AE167" s="2563">
        <v>28</v>
      </c>
      <c r="AF167" s="2561"/>
      <c r="AG167" s="2561"/>
      <c r="AH167" s="2171"/>
      <c r="AI167" s="2564"/>
    </row>
    <row r="168" spans="1:35" ht="18" customHeight="1" x14ac:dyDescent="0.2">
      <c r="A168" s="107"/>
      <c r="B168" s="2565" t="s">
        <v>262</v>
      </c>
      <c r="C168" s="2566" t="s">
        <v>77</v>
      </c>
      <c r="D168" s="2567" t="s">
        <v>263</v>
      </c>
      <c r="E168" s="2568"/>
      <c r="F168" s="2121"/>
      <c r="G168" s="2566" t="s">
        <v>77</v>
      </c>
      <c r="H168" s="2567" t="s">
        <v>263</v>
      </c>
      <c r="I168" s="2119"/>
      <c r="J168" s="2568"/>
      <c r="K168" s="2566" t="s">
        <v>77</v>
      </c>
      <c r="L168" s="2567" t="s">
        <v>263</v>
      </c>
      <c r="M168" s="2568"/>
      <c r="N168" s="2569"/>
      <c r="O168" s="2566" t="s">
        <v>77</v>
      </c>
      <c r="P168" s="2567" t="s">
        <v>263</v>
      </c>
      <c r="Q168" s="2568"/>
      <c r="R168" s="2567"/>
      <c r="S168" s="2566" t="s">
        <v>77</v>
      </c>
      <c r="T168" s="2123" t="s">
        <v>264</v>
      </c>
      <c r="U168" s="2567"/>
      <c r="V168" s="2569"/>
      <c r="W168" s="2568"/>
      <c r="X168" s="2567"/>
      <c r="Y168" s="2567"/>
      <c r="Z168" s="2567"/>
      <c r="AA168" s="2570"/>
      <c r="AB168" s="2571"/>
      <c r="AC168" s="2567"/>
      <c r="AD168" s="2572"/>
      <c r="AE168" s="2567"/>
      <c r="AF168" s="2567"/>
      <c r="AG168" s="2567"/>
      <c r="AH168" s="2573"/>
      <c r="AI168" s="2574"/>
    </row>
    <row r="169" spans="1:35" ht="18" customHeight="1" x14ac:dyDescent="0.2">
      <c r="A169" s="68"/>
      <c r="B169" s="107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8"/>
      <c r="AI169" s="108"/>
    </row>
    <row r="170" spans="1:35" ht="18" customHeight="1" x14ac:dyDescent="0.2">
      <c r="A170" s="2543"/>
      <c r="B170" s="2128" t="s">
        <v>44</v>
      </c>
      <c r="C170" s="2383">
        <v>1</v>
      </c>
      <c r="D170" s="2384">
        <v>2</v>
      </c>
      <c r="E170" s="2384">
        <v>3</v>
      </c>
      <c r="F170" s="2383">
        <v>4</v>
      </c>
      <c r="G170" s="2383">
        <v>5</v>
      </c>
      <c r="H170" s="2383">
        <v>6</v>
      </c>
      <c r="I170" s="2383">
        <v>7</v>
      </c>
      <c r="J170" s="2383">
        <v>8</v>
      </c>
      <c r="K170" s="2384">
        <v>9</v>
      </c>
      <c r="L170" s="2384">
        <v>10</v>
      </c>
      <c r="M170" s="2383">
        <v>11</v>
      </c>
      <c r="N170" s="2383">
        <v>12</v>
      </c>
      <c r="O170" s="2383">
        <v>13</v>
      </c>
      <c r="P170" s="2383">
        <v>14</v>
      </c>
      <c r="Q170" s="2383">
        <v>15</v>
      </c>
      <c r="R170" s="2384">
        <v>16</v>
      </c>
      <c r="S170" s="2384">
        <v>17</v>
      </c>
      <c r="T170" s="2383">
        <v>18</v>
      </c>
      <c r="U170" s="2383">
        <v>19</v>
      </c>
      <c r="V170" s="2383">
        <v>20</v>
      </c>
      <c r="W170" s="2383">
        <v>21</v>
      </c>
      <c r="X170" s="2383">
        <v>22</v>
      </c>
      <c r="Y170" s="2384">
        <v>23</v>
      </c>
      <c r="Z170" s="2384">
        <v>24</v>
      </c>
      <c r="AA170" s="2383">
        <v>25</v>
      </c>
      <c r="AB170" s="2383">
        <v>26</v>
      </c>
      <c r="AC170" s="2383">
        <v>27</v>
      </c>
      <c r="AD170" s="2383">
        <v>28</v>
      </c>
      <c r="AE170" s="2383">
        <v>29</v>
      </c>
      <c r="AF170" s="2384">
        <v>30</v>
      </c>
      <c r="AG170" s="2026"/>
      <c r="AH170" s="110"/>
      <c r="AI170" s="111"/>
    </row>
    <row r="171" spans="1:35" ht="18" customHeight="1" thickBot="1" x14ac:dyDescent="0.25">
      <c r="A171" s="2281">
        <v>1</v>
      </c>
      <c r="B171" s="2341" t="s">
        <v>265</v>
      </c>
      <c r="C171" s="2344" t="s">
        <v>77</v>
      </c>
      <c r="D171" s="2344"/>
      <c r="E171" s="2283"/>
      <c r="F171" s="2283">
        <v>69</v>
      </c>
      <c r="G171" s="2283">
        <v>69</v>
      </c>
      <c r="H171" s="2283">
        <v>69</v>
      </c>
      <c r="I171" s="2426">
        <v>69</v>
      </c>
      <c r="J171" s="2426" t="s">
        <v>455</v>
      </c>
      <c r="K171" s="2344"/>
      <c r="L171" s="2343"/>
      <c r="M171" s="2283">
        <v>79</v>
      </c>
      <c r="N171" s="2344">
        <v>79</v>
      </c>
      <c r="O171" s="2344">
        <v>79</v>
      </c>
      <c r="P171" s="2344">
        <v>79</v>
      </c>
      <c r="Q171" s="2344">
        <v>79</v>
      </c>
      <c r="R171" s="2344"/>
      <c r="S171" s="2283"/>
      <c r="T171" s="2283">
        <v>89</v>
      </c>
      <c r="U171" s="2344">
        <v>89</v>
      </c>
      <c r="V171" s="2344">
        <v>89</v>
      </c>
      <c r="W171" s="2344">
        <v>89</v>
      </c>
      <c r="X171" s="2344">
        <v>89</v>
      </c>
      <c r="Y171" s="2344">
        <v>89</v>
      </c>
      <c r="Z171" s="2344"/>
      <c r="AA171" s="2343">
        <v>99</v>
      </c>
      <c r="AB171" s="2344">
        <v>99</v>
      </c>
      <c r="AC171" s="2423">
        <v>99</v>
      </c>
      <c r="AD171" s="2423">
        <v>99</v>
      </c>
      <c r="AE171" s="2344" t="s">
        <v>50</v>
      </c>
      <c r="AF171" s="2343"/>
      <c r="AG171" s="2349"/>
      <c r="AH171" s="124"/>
      <c r="AI171" s="67"/>
    </row>
    <row r="172" spans="1:35" ht="18" customHeight="1" thickBot="1" x14ac:dyDescent="0.25">
      <c r="A172" s="2575">
        <v>2</v>
      </c>
      <c r="B172" s="2576" t="s">
        <v>266</v>
      </c>
      <c r="C172" s="2047">
        <v>69</v>
      </c>
      <c r="D172" s="2040"/>
      <c r="E172" s="2047"/>
      <c r="F172" s="2047">
        <v>79</v>
      </c>
      <c r="G172" s="2047">
        <v>79</v>
      </c>
      <c r="H172" s="2144">
        <v>79</v>
      </c>
      <c r="I172" s="2577">
        <v>79</v>
      </c>
      <c r="J172" s="2144">
        <v>79</v>
      </c>
      <c r="K172" s="2144"/>
      <c r="L172" s="2040"/>
      <c r="M172" s="2040">
        <v>89</v>
      </c>
      <c r="N172" s="2144">
        <v>89</v>
      </c>
      <c r="O172" s="2144">
        <v>89</v>
      </c>
      <c r="P172" s="2144">
        <v>89</v>
      </c>
      <c r="Q172" s="2578">
        <v>89</v>
      </c>
      <c r="R172" s="2045">
        <v>89</v>
      </c>
      <c r="S172" s="2144"/>
      <c r="T172" s="2040">
        <v>99</v>
      </c>
      <c r="U172" s="2144">
        <v>99</v>
      </c>
      <c r="V172" s="2144">
        <v>99</v>
      </c>
      <c r="W172" s="2144">
        <v>99</v>
      </c>
      <c r="X172" s="2057" t="s">
        <v>157</v>
      </c>
      <c r="Y172" s="2144"/>
      <c r="Z172" s="2144"/>
      <c r="AA172" s="2040" t="s">
        <v>77</v>
      </c>
      <c r="AB172" s="2045" t="s">
        <v>77</v>
      </c>
      <c r="AC172" s="2423" t="s">
        <v>77</v>
      </c>
      <c r="AD172" s="2423" t="s">
        <v>77</v>
      </c>
      <c r="AE172" s="2055" t="s">
        <v>77</v>
      </c>
      <c r="AF172" s="2055"/>
      <c r="AG172" s="2442"/>
      <c r="AH172" s="125"/>
      <c r="AI172" s="106"/>
    </row>
    <row r="173" spans="1:35" ht="18" customHeight="1" thickBot="1" x14ac:dyDescent="0.25">
      <c r="A173" s="2575">
        <v>3</v>
      </c>
      <c r="B173" s="2576" t="s">
        <v>267</v>
      </c>
      <c r="C173" s="2579">
        <v>79</v>
      </c>
      <c r="D173" s="2040"/>
      <c r="E173" s="2040"/>
      <c r="F173" s="2579">
        <v>89</v>
      </c>
      <c r="G173" s="2580">
        <v>89</v>
      </c>
      <c r="H173" s="2579">
        <v>89</v>
      </c>
      <c r="I173" s="2581">
        <v>89</v>
      </c>
      <c r="J173" s="2579">
        <v>89</v>
      </c>
      <c r="K173" s="2579">
        <v>89</v>
      </c>
      <c r="L173" s="2579"/>
      <c r="M173" s="2195">
        <v>99</v>
      </c>
      <c r="N173" s="2144">
        <v>99</v>
      </c>
      <c r="O173" s="2055">
        <v>99</v>
      </c>
      <c r="P173" s="2582">
        <v>99</v>
      </c>
      <c r="Q173" s="2055" t="s">
        <v>50</v>
      </c>
      <c r="R173" s="2055"/>
      <c r="S173" s="2055"/>
      <c r="T173" s="2055" t="s">
        <v>77</v>
      </c>
      <c r="U173" s="2055" t="s">
        <v>77</v>
      </c>
      <c r="V173" s="2050" t="s">
        <v>77</v>
      </c>
      <c r="W173" s="2050" t="s">
        <v>77</v>
      </c>
      <c r="X173" s="2050" t="s">
        <v>77</v>
      </c>
      <c r="Y173" s="2579"/>
      <c r="Z173" s="2579"/>
      <c r="AA173" s="2352">
        <v>69</v>
      </c>
      <c r="AB173" s="2352">
        <v>69</v>
      </c>
      <c r="AC173" s="2352">
        <v>69</v>
      </c>
      <c r="AD173" s="2423" t="s">
        <v>421</v>
      </c>
      <c r="AE173" s="2579">
        <v>69</v>
      </c>
      <c r="AF173" s="2579"/>
      <c r="AG173" s="2583"/>
      <c r="AH173" s="124"/>
      <c r="AI173" s="67"/>
    </row>
    <row r="174" spans="1:35" ht="18" customHeight="1" x14ac:dyDescent="0.2">
      <c r="A174" s="2575">
        <v>4</v>
      </c>
      <c r="B174" s="2576" t="s">
        <v>269</v>
      </c>
      <c r="C174" s="2040">
        <v>89</v>
      </c>
      <c r="D174" s="2040">
        <v>89</v>
      </c>
      <c r="E174" s="2040"/>
      <c r="F174" s="2040">
        <v>99</v>
      </c>
      <c r="G174" s="2040">
        <v>99</v>
      </c>
      <c r="H174" s="2040">
        <v>99</v>
      </c>
      <c r="I174" s="2577">
        <v>99</v>
      </c>
      <c r="J174" s="2040" t="s">
        <v>50</v>
      </c>
      <c r="K174" s="2040"/>
      <c r="L174" s="2040"/>
      <c r="M174" s="2040" t="s">
        <v>77</v>
      </c>
      <c r="N174" s="2144" t="s">
        <v>77</v>
      </c>
      <c r="O174" s="2040" t="s">
        <v>77</v>
      </c>
      <c r="P174" s="2582" t="s">
        <v>77</v>
      </c>
      <c r="Q174" s="2506" t="s">
        <v>152</v>
      </c>
      <c r="R174" s="2506"/>
      <c r="S174" s="2040"/>
      <c r="T174" s="2040">
        <v>69</v>
      </c>
      <c r="U174" s="2040">
        <v>69</v>
      </c>
      <c r="V174" s="2040">
        <v>69</v>
      </c>
      <c r="W174" s="2040">
        <v>69</v>
      </c>
      <c r="X174" s="2040">
        <v>69</v>
      </c>
      <c r="Y174" s="2506"/>
      <c r="Z174" s="2506"/>
      <c r="AA174" s="2040">
        <v>79</v>
      </c>
      <c r="AB174" s="2040">
        <v>79</v>
      </c>
      <c r="AC174" s="2423" t="s">
        <v>427</v>
      </c>
      <c r="AD174" s="2423" t="s">
        <v>427</v>
      </c>
      <c r="AE174" s="2040">
        <v>79</v>
      </c>
      <c r="AF174" s="2506"/>
      <c r="AG174" s="2442"/>
      <c r="AH174" s="124"/>
      <c r="AI174" s="67"/>
    </row>
    <row r="175" spans="1:35" ht="18" customHeight="1" thickBot="1" x14ac:dyDescent="0.25">
      <c r="A175" s="2584">
        <v>5</v>
      </c>
      <c r="B175" s="2145" t="s">
        <v>270</v>
      </c>
      <c r="C175" s="2585" t="s">
        <v>50</v>
      </c>
      <c r="D175" s="2585"/>
      <c r="E175" s="2150"/>
      <c r="F175" s="2141" t="s">
        <v>77</v>
      </c>
      <c r="G175" s="2141" t="s">
        <v>77</v>
      </c>
      <c r="H175" s="2135" t="s">
        <v>77</v>
      </c>
      <c r="I175" s="2577" t="s">
        <v>77</v>
      </c>
      <c r="J175" s="2135" t="s">
        <v>77</v>
      </c>
      <c r="K175" s="2156"/>
      <c r="L175" s="2150"/>
      <c r="M175" s="2150">
        <v>69</v>
      </c>
      <c r="N175" s="2135">
        <v>69</v>
      </c>
      <c r="O175" s="2585">
        <v>69</v>
      </c>
      <c r="P175" s="2582">
        <v>69</v>
      </c>
      <c r="Q175" s="2585">
        <v>69</v>
      </c>
      <c r="R175" s="2585"/>
      <c r="S175" s="2150"/>
      <c r="T175" s="2134">
        <v>79</v>
      </c>
      <c r="U175" s="2134">
        <v>79</v>
      </c>
      <c r="V175" s="2585">
        <v>79</v>
      </c>
      <c r="W175" s="2585">
        <v>79</v>
      </c>
      <c r="X175" s="2585">
        <v>79</v>
      </c>
      <c r="Y175" s="2586"/>
      <c r="Z175" s="2586"/>
      <c r="AA175" s="2141">
        <v>89</v>
      </c>
      <c r="AB175" s="2585">
        <v>89</v>
      </c>
      <c r="AC175" s="2150">
        <v>89</v>
      </c>
      <c r="AD175" s="2150">
        <v>89</v>
      </c>
      <c r="AE175" s="2138">
        <v>89</v>
      </c>
      <c r="AF175" s="2150">
        <v>89</v>
      </c>
      <c r="AG175" s="2587"/>
      <c r="AH175" s="124"/>
      <c r="AI175" s="67"/>
    </row>
    <row r="176" spans="1:35" ht="18" customHeight="1" x14ac:dyDescent="0.2">
      <c r="A176" s="129"/>
      <c r="B176" s="141"/>
      <c r="C176" s="142"/>
      <c r="D176" s="142"/>
      <c r="E176" s="142"/>
      <c r="F176" s="128"/>
      <c r="G176" s="140"/>
      <c r="H176" s="140"/>
      <c r="I176" s="140"/>
      <c r="J176" s="140"/>
      <c r="K176" s="140"/>
      <c r="L176" s="128"/>
      <c r="M176" s="128"/>
      <c r="N176" s="142"/>
      <c r="O176" s="142"/>
      <c r="P176" s="142"/>
      <c r="Q176" s="142"/>
      <c r="R176" s="142"/>
      <c r="S176" s="128"/>
      <c r="T176" s="143"/>
      <c r="U176" s="142"/>
      <c r="V176" s="142"/>
      <c r="W176" s="142"/>
      <c r="X176" s="142"/>
      <c r="Y176" s="142"/>
      <c r="Z176" s="144"/>
      <c r="AA176" s="144"/>
      <c r="AB176" s="142"/>
      <c r="AC176" s="142"/>
      <c r="AD176" s="142"/>
      <c r="AE176" s="142"/>
      <c r="AF176" s="142"/>
      <c r="AG176" s="144"/>
      <c r="AH176" s="124"/>
      <c r="AI176" s="2588"/>
    </row>
    <row r="177" spans="1:35" ht="18" customHeight="1" x14ac:dyDescent="0.2">
      <c r="A177" s="69"/>
      <c r="B177" s="70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7"/>
      <c r="AI177" s="67"/>
    </row>
    <row r="178" spans="1:35" ht="18" customHeight="1" x14ac:dyDescent="0.2">
      <c r="A178" s="107" t="s">
        <v>271</v>
      </c>
      <c r="B178" s="108"/>
      <c r="C178" s="108"/>
      <c r="D178" s="109"/>
      <c r="E178" s="109"/>
      <c r="F178" s="109"/>
      <c r="G178" s="65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8"/>
      <c r="AI178" s="108"/>
    </row>
    <row r="179" spans="1:35" ht="18" customHeight="1" x14ac:dyDescent="0.2">
      <c r="A179" s="107"/>
      <c r="B179" s="2521" t="s">
        <v>255</v>
      </c>
      <c r="C179" s="2546"/>
      <c r="D179" s="2547" t="s">
        <v>17</v>
      </c>
      <c r="E179" s="2548"/>
      <c r="F179" s="2549"/>
      <c r="G179" s="2546"/>
      <c r="H179" s="2547" t="s">
        <v>18</v>
      </c>
      <c r="I179" s="2548"/>
      <c r="J179" s="2549"/>
      <c r="K179" s="2546"/>
      <c r="L179" s="2547" t="s">
        <v>19</v>
      </c>
      <c r="M179" s="2548"/>
      <c r="N179" s="2549"/>
      <c r="O179" s="2546"/>
      <c r="P179" s="2547" t="s">
        <v>20</v>
      </c>
      <c r="Q179" s="2548"/>
      <c r="R179" s="2549"/>
      <c r="S179" s="2546"/>
      <c r="T179" s="2547" t="s">
        <v>21</v>
      </c>
      <c r="U179" s="2548"/>
      <c r="V179" s="2549"/>
      <c r="W179" s="2546"/>
      <c r="X179" s="2547" t="s">
        <v>22</v>
      </c>
      <c r="Y179" s="2548"/>
      <c r="Z179" s="2549"/>
      <c r="AA179" s="2546"/>
      <c r="AB179" s="2547" t="s">
        <v>23</v>
      </c>
      <c r="AC179" s="2548"/>
      <c r="AD179" s="2548"/>
      <c r="AE179" s="2550" t="s">
        <v>126</v>
      </c>
      <c r="AF179" s="2548"/>
      <c r="AG179" s="2548"/>
      <c r="AH179" s="2548"/>
      <c r="AI179" s="2551"/>
    </row>
    <row r="180" spans="1:35" ht="18" customHeight="1" x14ac:dyDescent="0.2">
      <c r="A180" s="107"/>
      <c r="B180" s="2552" t="s">
        <v>272</v>
      </c>
      <c r="C180" s="2168" t="s">
        <v>273</v>
      </c>
      <c r="D180" s="2554"/>
      <c r="E180" s="2554"/>
      <c r="F180" s="2555"/>
      <c r="G180" s="2168" t="s">
        <v>273</v>
      </c>
      <c r="H180" s="2554"/>
      <c r="I180" s="2554"/>
      <c r="J180" s="2555"/>
      <c r="K180" s="2168" t="s">
        <v>273</v>
      </c>
      <c r="L180" s="2554"/>
      <c r="M180" s="2554"/>
      <c r="N180" s="2555"/>
      <c r="O180" s="2168" t="s">
        <v>274</v>
      </c>
      <c r="P180" s="2554"/>
      <c r="Q180" s="2554"/>
      <c r="R180" s="2555"/>
      <c r="S180" s="2168" t="s">
        <v>275</v>
      </c>
      <c r="T180" s="2554"/>
      <c r="U180" s="2554"/>
      <c r="V180" s="2555"/>
      <c r="W180" s="2168" t="s">
        <v>276</v>
      </c>
      <c r="X180" s="2556"/>
      <c r="Y180" s="2556"/>
      <c r="Z180" s="2557"/>
      <c r="AA180" s="2168" t="s">
        <v>276</v>
      </c>
      <c r="AB180" s="2554"/>
      <c r="AC180" s="2554"/>
      <c r="AD180" s="2169"/>
      <c r="AE180" s="2558">
        <v>68</v>
      </c>
      <c r="AF180" s="948"/>
      <c r="AG180" s="948"/>
      <c r="AH180" s="948"/>
      <c r="AI180" s="949"/>
    </row>
    <row r="181" spans="1:35" ht="18" customHeight="1" x14ac:dyDescent="0.2">
      <c r="A181" s="107"/>
      <c r="B181" s="2552"/>
      <c r="C181" s="2589" t="s">
        <v>244</v>
      </c>
      <c r="D181" s="2590"/>
      <c r="E181" s="2590"/>
      <c r="F181" s="2591"/>
      <c r="G181" s="2592" t="s">
        <v>244</v>
      </c>
      <c r="H181" s="2590"/>
      <c r="I181" s="2590"/>
      <c r="J181" s="2591"/>
      <c r="K181" s="2168" t="s">
        <v>244</v>
      </c>
      <c r="L181" s="2554"/>
      <c r="M181" s="2554"/>
      <c r="N181" s="2555"/>
      <c r="O181" s="2168" t="s">
        <v>244</v>
      </c>
      <c r="P181" s="2554"/>
      <c r="Q181" s="2554"/>
      <c r="R181" s="2555"/>
      <c r="S181" s="2168" t="s">
        <v>244</v>
      </c>
      <c r="T181" s="2554"/>
      <c r="U181" s="2554"/>
      <c r="V181" s="2555"/>
      <c r="W181" s="2168" t="s">
        <v>244</v>
      </c>
      <c r="X181" s="2554"/>
      <c r="Y181" s="2554"/>
      <c r="Z181" s="2555"/>
      <c r="AA181" s="2554" t="s">
        <v>244</v>
      </c>
      <c r="AB181" s="2554"/>
      <c r="AC181" s="2554"/>
      <c r="AD181" s="2169"/>
      <c r="AE181" s="2558">
        <v>0</v>
      </c>
      <c r="AF181" s="948"/>
      <c r="AG181" s="948"/>
      <c r="AH181" s="948"/>
      <c r="AI181" s="949"/>
    </row>
    <row r="182" spans="1:35" ht="18" customHeight="1" x14ac:dyDescent="0.2">
      <c r="A182" s="107"/>
      <c r="B182" s="2552" t="s">
        <v>277</v>
      </c>
      <c r="C182" s="2168" t="s">
        <v>274</v>
      </c>
      <c r="D182" s="2554"/>
      <c r="E182" s="2554"/>
      <c r="F182" s="2555"/>
      <c r="G182" s="2168" t="s">
        <v>274</v>
      </c>
      <c r="H182" s="2554"/>
      <c r="I182" s="2554"/>
      <c r="J182" s="2555"/>
      <c r="K182" s="2168" t="s">
        <v>274</v>
      </c>
      <c r="L182" s="2554"/>
      <c r="M182" s="2554"/>
      <c r="N182" s="2555"/>
      <c r="O182" s="2168" t="s">
        <v>273</v>
      </c>
      <c r="P182" s="2554"/>
      <c r="Q182" s="2554"/>
      <c r="R182" s="2555"/>
      <c r="S182" s="2168" t="s">
        <v>273</v>
      </c>
      <c r="T182" s="2554"/>
      <c r="U182" s="2554"/>
      <c r="V182" s="2555"/>
      <c r="W182" s="2168" t="s">
        <v>275</v>
      </c>
      <c r="X182" s="2556"/>
      <c r="Y182" s="2556"/>
      <c r="Z182" s="2557"/>
      <c r="AA182" s="2168" t="s">
        <v>275</v>
      </c>
      <c r="AB182" s="2554"/>
      <c r="AC182" s="2554"/>
      <c r="AD182" s="2169"/>
      <c r="AE182" s="2558">
        <v>68</v>
      </c>
      <c r="AF182" s="2554"/>
      <c r="AG182" s="2554" t="s">
        <v>0</v>
      </c>
      <c r="AH182" s="2169"/>
      <c r="AI182" s="2559"/>
    </row>
    <row r="183" spans="1:35" ht="18" customHeight="1" x14ac:dyDescent="0.2">
      <c r="A183" s="107"/>
      <c r="B183" s="2552"/>
      <c r="C183" s="2168" t="s">
        <v>244</v>
      </c>
      <c r="D183" s="2554"/>
      <c r="E183" s="2554"/>
      <c r="F183" s="2555"/>
      <c r="G183" s="2168" t="s">
        <v>244</v>
      </c>
      <c r="H183" s="2554"/>
      <c r="I183" s="2554"/>
      <c r="J183" s="2555"/>
      <c r="K183" s="2168" t="s">
        <v>244</v>
      </c>
      <c r="L183" s="2554"/>
      <c r="M183" s="2554"/>
      <c r="N183" s="2555"/>
      <c r="O183" s="2168" t="s">
        <v>244</v>
      </c>
      <c r="P183" s="2554"/>
      <c r="Q183" s="2554"/>
      <c r="R183" s="2555"/>
      <c r="S183" s="2168" t="s">
        <v>244</v>
      </c>
      <c r="T183" s="2554"/>
      <c r="U183" s="2554"/>
      <c r="V183" s="2555"/>
      <c r="W183" s="2168" t="s">
        <v>244</v>
      </c>
      <c r="X183" s="2554"/>
      <c r="Y183" s="2554"/>
      <c r="Z183" s="2555"/>
      <c r="AA183" s="2554" t="s">
        <v>244</v>
      </c>
      <c r="AB183" s="2554"/>
      <c r="AC183" s="2554"/>
      <c r="AD183" s="2169"/>
      <c r="AE183" s="2558">
        <v>0</v>
      </c>
      <c r="AF183" s="2554"/>
      <c r="AG183" s="2554"/>
      <c r="AH183" s="2169"/>
      <c r="AI183" s="2559"/>
    </row>
    <row r="184" spans="1:35" ht="18" customHeight="1" x14ac:dyDescent="0.2">
      <c r="A184" s="107"/>
      <c r="B184" s="2552" t="s">
        <v>278</v>
      </c>
      <c r="C184" s="2168" t="s">
        <v>273</v>
      </c>
      <c r="D184" s="2554"/>
      <c r="E184" s="2554"/>
      <c r="F184" s="2555"/>
      <c r="G184" s="2168" t="s">
        <v>273</v>
      </c>
      <c r="H184" s="2554"/>
      <c r="I184" s="2554"/>
      <c r="J184" s="2555"/>
      <c r="K184" s="2168" t="s">
        <v>273</v>
      </c>
      <c r="L184" s="2554"/>
      <c r="M184" s="2554"/>
      <c r="N184" s="2555"/>
      <c r="O184" s="2168" t="s">
        <v>273</v>
      </c>
      <c r="P184" s="2554"/>
      <c r="Q184" s="2554"/>
      <c r="R184" s="2555"/>
      <c r="S184" s="2168" t="s">
        <v>273</v>
      </c>
      <c r="T184" s="2554"/>
      <c r="U184" s="2554"/>
      <c r="V184" s="2555"/>
      <c r="W184" s="2168" t="s">
        <v>279</v>
      </c>
      <c r="X184" s="2561"/>
      <c r="Y184" s="2561"/>
      <c r="Z184" s="2562"/>
      <c r="AA184" s="2168" t="s">
        <v>279</v>
      </c>
      <c r="AB184" s="2561"/>
      <c r="AC184" s="2561"/>
      <c r="AD184" s="2171"/>
      <c r="AE184" s="2558">
        <v>68</v>
      </c>
      <c r="AF184" s="2554"/>
      <c r="AG184" s="2554"/>
      <c r="AH184" s="2169"/>
      <c r="AI184" s="2559"/>
    </row>
    <row r="185" spans="1:35" ht="18" customHeight="1" x14ac:dyDescent="0.2">
      <c r="A185" s="107"/>
      <c r="B185" s="2552"/>
      <c r="C185" s="2593" t="s">
        <v>244</v>
      </c>
      <c r="D185" s="2594"/>
      <c r="E185" s="2594"/>
      <c r="F185" s="2595"/>
      <c r="G185" s="2593" t="s">
        <v>244</v>
      </c>
      <c r="H185" s="2594"/>
      <c r="I185" s="2594"/>
      <c r="J185" s="2595"/>
      <c r="K185" s="2593" t="s">
        <v>244</v>
      </c>
      <c r="L185" s="2594"/>
      <c r="M185" s="2594"/>
      <c r="N185" s="2595"/>
      <c r="O185" s="2593" t="s">
        <v>244</v>
      </c>
      <c r="P185" s="2594"/>
      <c r="Q185" s="2594"/>
      <c r="R185" s="2595"/>
      <c r="S185" s="2593" t="s">
        <v>244</v>
      </c>
      <c r="T185" s="2594"/>
      <c r="U185" s="2594"/>
      <c r="V185" s="2573"/>
      <c r="W185" s="2593" t="s">
        <v>244</v>
      </c>
      <c r="X185" s="2573"/>
      <c r="Y185" s="2594"/>
      <c r="Z185" s="2595"/>
      <c r="AA185" s="2593" t="s">
        <v>244</v>
      </c>
      <c r="AB185" s="2573"/>
      <c r="AC185" s="2594"/>
      <c r="AD185" s="2595"/>
      <c r="AE185" s="2596">
        <v>0</v>
      </c>
      <c r="AF185" s="2594"/>
      <c r="AG185" s="2594"/>
      <c r="AH185" s="2573"/>
      <c r="AI185" s="2574"/>
    </row>
    <row r="186" spans="1:35" ht="18" customHeight="1" x14ac:dyDescent="0.2">
      <c r="A186" s="68"/>
      <c r="B186" s="107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8"/>
      <c r="AI186" s="108"/>
    </row>
    <row r="187" spans="1:35" ht="18" customHeight="1" x14ac:dyDescent="0.2">
      <c r="A187" s="2543"/>
      <c r="B187" s="2128" t="s">
        <v>44</v>
      </c>
      <c r="C187" s="2383">
        <v>1</v>
      </c>
      <c r="D187" s="2384">
        <v>2</v>
      </c>
      <c r="E187" s="2384">
        <v>3</v>
      </c>
      <c r="F187" s="2383">
        <v>4</v>
      </c>
      <c r="G187" s="2383">
        <v>5</v>
      </c>
      <c r="H187" s="2383">
        <v>6</v>
      </c>
      <c r="I187" s="2383">
        <v>7</v>
      </c>
      <c r="J187" s="2383">
        <v>8</v>
      </c>
      <c r="K187" s="2384">
        <v>9</v>
      </c>
      <c r="L187" s="2384">
        <v>10</v>
      </c>
      <c r="M187" s="2383">
        <v>11</v>
      </c>
      <c r="N187" s="2383">
        <v>12</v>
      </c>
      <c r="O187" s="2383">
        <v>13</v>
      </c>
      <c r="P187" s="2383">
        <v>14</v>
      </c>
      <c r="Q187" s="2383">
        <v>15</v>
      </c>
      <c r="R187" s="2384">
        <v>16</v>
      </c>
      <c r="S187" s="2384">
        <v>17</v>
      </c>
      <c r="T187" s="2383">
        <v>18</v>
      </c>
      <c r="U187" s="2383">
        <v>19</v>
      </c>
      <c r="V187" s="2383">
        <v>20</v>
      </c>
      <c r="W187" s="2383">
        <v>21</v>
      </c>
      <c r="X187" s="2383">
        <v>22</v>
      </c>
      <c r="Y187" s="2384">
        <v>23</v>
      </c>
      <c r="Z187" s="2384">
        <v>24</v>
      </c>
      <c r="AA187" s="2383">
        <v>25</v>
      </c>
      <c r="AB187" s="2383">
        <v>26</v>
      </c>
      <c r="AC187" s="2383">
        <v>27</v>
      </c>
      <c r="AD187" s="2383">
        <v>28</v>
      </c>
      <c r="AE187" s="2383">
        <v>29</v>
      </c>
      <c r="AF187" s="2384">
        <v>30</v>
      </c>
      <c r="AG187" s="2026"/>
      <c r="AH187" s="110"/>
      <c r="AI187" s="111"/>
    </row>
    <row r="188" spans="1:35" ht="18" customHeight="1" x14ac:dyDescent="0.2">
      <c r="A188" s="2597">
        <v>1</v>
      </c>
      <c r="B188" s="2598"/>
      <c r="C188" s="1817" t="s">
        <v>50</v>
      </c>
      <c r="D188" s="1817"/>
      <c r="E188" s="1817"/>
      <c r="F188" s="2599">
        <v>22</v>
      </c>
      <c r="G188" s="2599">
        <v>22</v>
      </c>
      <c r="H188" s="1817">
        <v>22</v>
      </c>
      <c r="I188" s="1817">
        <v>22</v>
      </c>
      <c r="J188" s="1817">
        <v>22</v>
      </c>
      <c r="K188" s="1817">
        <v>22</v>
      </c>
      <c r="L188" s="1817">
        <v>22</v>
      </c>
      <c r="M188" s="636" t="s">
        <v>50</v>
      </c>
      <c r="N188" s="636" t="s">
        <v>50</v>
      </c>
      <c r="O188" s="799" t="s">
        <v>50</v>
      </c>
      <c r="P188" s="799" t="s">
        <v>50</v>
      </c>
      <c r="Q188" s="799" t="s">
        <v>50</v>
      </c>
      <c r="R188" s="799"/>
      <c r="S188" s="799"/>
      <c r="T188" s="2599">
        <v>23</v>
      </c>
      <c r="U188" s="2599">
        <v>23</v>
      </c>
      <c r="V188" s="1817">
        <v>23</v>
      </c>
      <c r="W188" s="1817">
        <v>23</v>
      </c>
      <c r="X188" s="1817">
        <v>23</v>
      </c>
      <c r="Y188" s="1817">
        <v>23</v>
      </c>
      <c r="Z188" s="2599">
        <v>23</v>
      </c>
      <c r="AA188" s="636" t="s">
        <v>50</v>
      </c>
      <c r="AB188" s="636" t="s">
        <v>50</v>
      </c>
      <c r="AC188" s="636" t="s">
        <v>50</v>
      </c>
      <c r="AD188" s="635" t="s">
        <v>50</v>
      </c>
      <c r="AE188" s="636" t="s">
        <v>50</v>
      </c>
      <c r="AF188" s="636"/>
      <c r="AG188" s="2600"/>
      <c r="AH188" s="67"/>
      <c r="AI188" s="67"/>
    </row>
    <row r="189" spans="1:35" ht="18" customHeight="1" x14ac:dyDescent="0.2">
      <c r="A189" s="956">
        <v>2</v>
      </c>
      <c r="B189" s="748"/>
      <c r="C189" s="636" t="s">
        <v>50</v>
      </c>
      <c r="D189" s="636"/>
      <c r="E189" s="636"/>
      <c r="F189" s="800">
        <v>23</v>
      </c>
      <c r="G189" s="800">
        <v>23</v>
      </c>
      <c r="H189" s="800">
        <v>23</v>
      </c>
      <c r="I189" s="800">
        <v>23</v>
      </c>
      <c r="J189" s="800">
        <v>23</v>
      </c>
      <c r="K189" s="800">
        <v>23</v>
      </c>
      <c r="L189" s="800">
        <v>23</v>
      </c>
      <c r="M189" s="636" t="s">
        <v>50</v>
      </c>
      <c r="N189" s="636" t="s">
        <v>50</v>
      </c>
      <c r="O189" s="799" t="s">
        <v>50</v>
      </c>
      <c r="P189" s="799" t="s">
        <v>50</v>
      </c>
      <c r="Q189" s="799" t="s">
        <v>50</v>
      </c>
      <c r="R189" s="799"/>
      <c r="S189" s="799"/>
      <c r="T189" s="800">
        <v>21</v>
      </c>
      <c r="U189" s="800">
        <v>21</v>
      </c>
      <c r="V189" s="800">
        <v>21</v>
      </c>
      <c r="W189" s="800">
        <v>21</v>
      </c>
      <c r="X189" s="800">
        <v>21</v>
      </c>
      <c r="Y189" s="800">
        <v>21</v>
      </c>
      <c r="Z189" s="635" t="s">
        <v>110</v>
      </c>
      <c r="AA189" s="636" t="s">
        <v>50</v>
      </c>
      <c r="AB189" s="636" t="s">
        <v>50</v>
      </c>
      <c r="AC189" s="636" t="s">
        <v>50</v>
      </c>
      <c r="AD189" s="635" t="s">
        <v>50</v>
      </c>
      <c r="AE189" s="636" t="s">
        <v>50</v>
      </c>
      <c r="AF189" s="636"/>
      <c r="AG189" s="819"/>
      <c r="AH189" s="67"/>
      <c r="AI189" s="67"/>
    </row>
    <row r="190" spans="1:35" ht="18" customHeight="1" x14ac:dyDescent="0.2">
      <c r="A190" s="956">
        <v>3</v>
      </c>
      <c r="B190" s="748"/>
      <c r="C190" s="636" t="s">
        <v>50</v>
      </c>
      <c r="D190" s="636"/>
      <c r="E190" s="636"/>
      <c r="F190" s="799">
        <v>21</v>
      </c>
      <c r="G190" s="799">
        <v>21</v>
      </c>
      <c r="H190" s="799">
        <v>21</v>
      </c>
      <c r="I190" s="636">
        <v>21</v>
      </c>
      <c r="J190" s="636">
        <v>21</v>
      </c>
      <c r="K190" s="957">
        <v>21</v>
      </c>
      <c r="L190" s="957">
        <v>21</v>
      </c>
      <c r="M190" s="636" t="s">
        <v>50</v>
      </c>
      <c r="N190" s="636" t="s">
        <v>50</v>
      </c>
      <c r="O190" s="799" t="s">
        <v>50</v>
      </c>
      <c r="P190" s="799" t="s">
        <v>50</v>
      </c>
      <c r="Q190" s="799" t="s">
        <v>50</v>
      </c>
      <c r="R190" s="799"/>
      <c r="S190" s="799"/>
      <c r="T190" s="636">
        <v>22</v>
      </c>
      <c r="U190" s="636">
        <v>22</v>
      </c>
      <c r="V190" s="636">
        <v>22</v>
      </c>
      <c r="W190" s="636">
        <v>22</v>
      </c>
      <c r="X190" s="636">
        <v>22</v>
      </c>
      <c r="Y190" s="636">
        <v>22</v>
      </c>
      <c r="Z190" s="635" t="s">
        <v>401</v>
      </c>
      <c r="AA190" s="636" t="s">
        <v>50</v>
      </c>
      <c r="AB190" s="636" t="s">
        <v>50</v>
      </c>
      <c r="AC190" s="636" t="s">
        <v>50</v>
      </c>
      <c r="AD190" s="635" t="s">
        <v>50</v>
      </c>
      <c r="AE190" s="636" t="s">
        <v>50</v>
      </c>
      <c r="AF190" s="636"/>
      <c r="AG190" s="819"/>
      <c r="AH190" s="67"/>
      <c r="AI190" s="67"/>
    </row>
    <row r="191" spans="1:35" ht="18" customHeight="1" x14ac:dyDescent="0.2">
      <c r="A191" s="956">
        <v>4</v>
      </c>
      <c r="B191" s="371" t="s">
        <v>281</v>
      </c>
      <c r="C191" s="810">
        <v>21</v>
      </c>
      <c r="D191" s="810">
        <v>21</v>
      </c>
      <c r="E191" s="1530" t="s">
        <v>175</v>
      </c>
      <c r="F191" s="636" t="s">
        <v>50</v>
      </c>
      <c r="G191" s="800" t="s">
        <v>50</v>
      </c>
      <c r="H191" s="800" t="s">
        <v>50</v>
      </c>
      <c r="I191" s="799" t="s">
        <v>50</v>
      </c>
      <c r="J191" s="799" t="s">
        <v>50</v>
      </c>
      <c r="K191" s="799"/>
      <c r="L191" s="799"/>
      <c r="M191" s="799">
        <v>22</v>
      </c>
      <c r="N191" s="799">
        <v>22</v>
      </c>
      <c r="O191" s="799">
        <v>22</v>
      </c>
      <c r="P191" s="636">
        <v>22</v>
      </c>
      <c r="Q191" s="636">
        <v>22</v>
      </c>
      <c r="R191" s="1637">
        <v>22</v>
      </c>
      <c r="S191" s="1637">
        <v>22</v>
      </c>
      <c r="T191" s="636" t="s">
        <v>50</v>
      </c>
      <c r="U191" s="800" t="s">
        <v>50</v>
      </c>
      <c r="V191" s="800" t="s">
        <v>50</v>
      </c>
      <c r="W191" s="635" t="s">
        <v>50</v>
      </c>
      <c r="X191" s="636" t="s">
        <v>50</v>
      </c>
      <c r="Y191" s="636"/>
      <c r="Z191" s="635"/>
      <c r="AA191" s="636">
        <v>23</v>
      </c>
      <c r="AB191" s="1047">
        <v>23</v>
      </c>
      <c r="AC191" s="636">
        <v>23</v>
      </c>
      <c r="AD191" s="635" t="s">
        <v>179</v>
      </c>
      <c r="AE191" s="636">
        <v>23</v>
      </c>
      <c r="AF191" s="636">
        <v>23</v>
      </c>
      <c r="AG191" s="801"/>
      <c r="AH191" s="67"/>
      <c r="AI191" s="67"/>
    </row>
    <row r="192" spans="1:35" ht="18" customHeight="1" x14ac:dyDescent="0.2">
      <c r="A192" s="956">
        <v>5</v>
      </c>
      <c r="B192" s="2515" t="s">
        <v>282</v>
      </c>
      <c r="C192" s="636">
        <v>22</v>
      </c>
      <c r="D192" s="636">
        <v>22</v>
      </c>
      <c r="E192" s="635" t="s">
        <v>401</v>
      </c>
      <c r="F192" s="636" t="s">
        <v>50</v>
      </c>
      <c r="G192" s="800" t="s">
        <v>50</v>
      </c>
      <c r="H192" s="800" t="s">
        <v>50</v>
      </c>
      <c r="I192" s="799" t="s">
        <v>50</v>
      </c>
      <c r="J192" s="799" t="s">
        <v>50</v>
      </c>
      <c r="K192" s="799"/>
      <c r="L192" s="961">
        <v>22</v>
      </c>
      <c r="M192" s="636">
        <v>23</v>
      </c>
      <c r="N192" s="636">
        <v>23</v>
      </c>
      <c r="O192" s="636">
        <v>23</v>
      </c>
      <c r="P192" s="805">
        <v>23</v>
      </c>
      <c r="Q192" s="805">
        <v>23</v>
      </c>
      <c r="R192" s="805">
        <v>23</v>
      </c>
      <c r="S192" s="805">
        <v>23</v>
      </c>
      <c r="T192" s="805" t="s">
        <v>50</v>
      </c>
      <c r="U192" s="805" t="s">
        <v>102</v>
      </c>
      <c r="V192" s="833" t="s">
        <v>50</v>
      </c>
      <c r="W192" s="833" t="s">
        <v>50</v>
      </c>
      <c r="X192" s="833" t="s">
        <v>50</v>
      </c>
      <c r="Y192" s="833"/>
      <c r="Z192" s="833"/>
      <c r="AA192" s="968">
        <v>21</v>
      </c>
      <c r="AB192" s="968">
        <v>21</v>
      </c>
      <c r="AC192" s="968">
        <v>21</v>
      </c>
      <c r="AD192" s="968">
        <v>21</v>
      </c>
      <c r="AE192" s="968">
        <v>21</v>
      </c>
      <c r="AF192" s="968">
        <v>21</v>
      </c>
      <c r="AG192" s="801"/>
      <c r="AH192" s="67"/>
      <c r="AI192" s="67"/>
    </row>
    <row r="193" spans="1:35" ht="18" customHeight="1" x14ac:dyDescent="0.2">
      <c r="A193" s="962">
        <v>6</v>
      </c>
      <c r="B193" s="1912" t="s">
        <v>283</v>
      </c>
      <c r="C193" s="1363">
        <v>23</v>
      </c>
      <c r="D193" s="1363">
        <v>23</v>
      </c>
      <c r="E193" s="853" t="s">
        <v>179</v>
      </c>
      <c r="F193" s="636" t="s">
        <v>50</v>
      </c>
      <c r="G193" s="800" t="s">
        <v>50</v>
      </c>
      <c r="H193" s="800" t="s">
        <v>50</v>
      </c>
      <c r="I193" s="799" t="s">
        <v>50</v>
      </c>
      <c r="J193" s="799" t="s">
        <v>50</v>
      </c>
      <c r="K193" s="799"/>
      <c r="L193" s="799"/>
      <c r="M193" s="963">
        <v>21</v>
      </c>
      <c r="N193" s="1363">
        <v>21</v>
      </c>
      <c r="O193" s="1363">
        <v>21</v>
      </c>
      <c r="P193" s="1363">
        <v>21</v>
      </c>
      <c r="Q193" s="1363">
        <v>21</v>
      </c>
      <c r="R193" s="1363">
        <v>21</v>
      </c>
      <c r="S193" s="1363">
        <v>21</v>
      </c>
      <c r="T193" s="636" t="s">
        <v>50</v>
      </c>
      <c r="U193" s="800" t="s">
        <v>50</v>
      </c>
      <c r="V193" s="800" t="s">
        <v>50</v>
      </c>
      <c r="W193" s="635" t="s">
        <v>50</v>
      </c>
      <c r="X193" s="1842" t="s">
        <v>50</v>
      </c>
      <c r="Y193" s="1842"/>
      <c r="Z193" s="849"/>
      <c r="AA193" s="1363">
        <v>22</v>
      </c>
      <c r="AB193" s="854">
        <v>22</v>
      </c>
      <c r="AC193" s="854">
        <v>22</v>
      </c>
      <c r="AD193" s="853" t="s">
        <v>401</v>
      </c>
      <c r="AE193" s="1363">
        <v>22</v>
      </c>
      <c r="AF193" s="1363">
        <v>22</v>
      </c>
      <c r="AG193" s="1384"/>
      <c r="AH193" s="67"/>
      <c r="AI193" s="67"/>
    </row>
    <row r="194" spans="1:35" ht="18" customHeight="1" x14ac:dyDescent="0.2">
      <c r="A194" s="129"/>
      <c r="B194" s="127"/>
      <c r="C194" s="128"/>
      <c r="D194" s="128"/>
      <c r="E194" s="140"/>
      <c r="F194" s="128"/>
      <c r="G194" s="128"/>
      <c r="H194" s="145"/>
      <c r="I194" s="145"/>
      <c r="J194" s="145"/>
      <c r="K194" s="145"/>
      <c r="L194" s="145"/>
      <c r="M194" s="145"/>
      <c r="N194" s="125"/>
      <c r="O194" s="125"/>
      <c r="P194" s="140"/>
      <c r="Q194" s="128"/>
      <c r="R194" s="128"/>
      <c r="S194" s="140"/>
      <c r="T194" s="128"/>
      <c r="U194" s="128"/>
      <c r="V194" s="128"/>
      <c r="W194" s="128"/>
      <c r="X194" s="128"/>
      <c r="Y194" s="128"/>
      <c r="Z194" s="128"/>
      <c r="AA194" s="128"/>
      <c r="AB194" s="125"/>
      <c r="AC194" s="125"/>
      <c r="AD194" s="140"/>
      <c r="AE194" s="128"/>
      <c r="AF194" s="128"/>
      <c r="AG194" s="140"/>
      <c r="AH194" s="67"/>
      <c r="AI194" s="67"/>
    </row>
    <row r="195" spans="1:35" ht="18" customHeight="1" x14ac:dyDescent="0.2">
      <c r="A195" s="69"/>
      <c r="B195" s="70"/>
      <c r="C195" s="120"/>
      <c r="D195" s="120"/>
      <c r="E195" s="106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06"/>
      <c r="Q195" s="120"/>
      <c r="R195" s="120"/>
      <c r="S195" s="106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1"/>
      <c r="AD195" s="121"/>
      <c r="AE195" s="121"/>
      <c r="AF195" s="120"/>
      <c r="AG195" s="106"/>
      <c r="AH195" s="67"/>
      <c r="AI195" s="67"/>
    </row>
    <row r="196" spans="1:35" ht="18" customHeight="1" x14ac:dyDescent="0.2">
      <c r="A196" s="103" t="s">
        <v>284</v>
      </c>
      <c r="D196" s="48"/>
      <c r="E196" s="48"/>
      <c r="F196" s="48"/>
      <c r="G196" s="65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</row>
    <row r="197" spans="1:35" ht="18" customHeight="1" x14ac:dyDescent="0.2">
      <c r="A197" s="1"/>
      <c r="B197" s="2521" t="s">
        <v>255</v>
      </c>
      <c r="C197" s="2522"/>
      <c r="D197" s="2547" t="s">
        <v>17</v>
      </c>
      <c r="E197" s="2415"/>
      <c r="F197" s="2526"/>
      <c r="G197" s="2522"/>
      <c r="H197" s="2547" t="s">
        <v>18</v>
      </c>
      <c r="I197" s="2415"/>
      <c r="J197" s="2526"/>
      <c r="K197" s="2522"/>
      <c r="L197" s="2547" t="s">
        <v>19</v>
      </c>
      <c r="M197" s="2415"/>
      <c r="N197" s="2526"/>
      <c r="O197" s="2522"/>
      <c r="P197" s="2547" t="s">
        <v>20</v>
      </c>
      <c r="Q197" s="2415"/>
      <c r="R197" s="2526"/>
      <c r="S197" s="2522"/>
      <c r="T197" s="2547" t="s">
        <v>21</v>
      </c>
      <c r="U197" s="2415"/>
      <c r="V197" s="2526"/>
      <c r="W197" s="2522"/>
      <c r="X197" s="2547" t="s">
        <v>22</v>
      </c>
      <c r="Y197" s="2415"/>
      <c r="Z197" s="2526"/>
      <c r="AA197" s="2522"/>
      <c r="AB197" s="2547" t="s">
        <v>23</v>
      </c>
      <c r="AC197" s="2415"/>
      <c r="AD197" s="2415"/>
      <c r="AE197" s="2550" t="s">
        <v>126</v>
      </c>
      <c r="AF197" s="2415"/>
      <c r="AG197" s="2415"/>
      <c r="AH197" s="2415"/>
      <c r="AI197" s="2270"/>
    </row>
    <row r="198" spans="1:35" ht="18" customHeight="1" x14ac:dyDescent="0.2">
      <c r="A198" s="1"/>
      <c r="B198" s="2552" t="s">
        <v>235</v>
      </c>
      <c r="C198" s="2168" t="s">
        <v>256</v>
      </c>
      <c r="D198" s="2007"/>
      <c r="E198" s="2007"/>
      <c r="F198" s="2555"/>
      <c r="G198" s="2168" t="s">
        <v>256</v>
      </c>
      <c r="H198" s="2007"/>
      <c r="I198" s="2007"/>
      <c r="J198" s="2555"/>
      <c r="K198" s="2168" t="s">
        <v>256</v>
      </c>
      <c r="L198" s="2007"/>
      <c r="M198" s="2007"/>
      <c r="N198" s="2555"/>
      <c r="O198" s="2168" t="s">
        <v>285</v>
      </c>
      <c r="P198" s="2007"/>
      <c r="Q198" s="2007"/>
      <c r="R198" s="2555"/>
      <c r="S198" s="2168" t="s">
        <v>244</v>
      </c>
      <c r="T198" s="2007"/>
      <c r="U198" s="2007"/>
      <c r="V198" s="2555"/>
      <c r="W198" s="2601"/>
      <c r="X198" s="2602"/>
      <c r="Y198" s="2602"/>
      <c r="Z198" s="2557"/>
      <c r="AA198" s="2553"/>
      <c r="AB198" s="2007"/>
      <c r="AC198" s="2007"/>
      <c r="AD198" s="2169"/>
      <c r="AE198" s="2558">
        <v>27</v>
      </c>
      <c r="AF198" s="2007"/>
      <c r="AG198" s="2007"/>
      <c r="AH198" s="2169"/>
      <c r="AI198" s="2603"/>
    </row>
    <row r="199" spans="1:35" ht="18" customHeight="1" x14ac:dyDescent="0.2">
      <c r="A199" s="1"/>
      <c r="B199" s="2552" t="s">
        <v>236</v>
      </c>
      <c r="C199" s="2168" t="s">
        <v>286</v>
      </c>
      <c r="D199" s="2007"/>
      <c r="E199" s="2007"/>
      <c r="F199" s="2555"/>
      <c r="G199" s="2168" t="s">
        <v>286</v>
      </c>
      <c r="H199" s="2007"/>
      <c r="I199" s="2007"/>
      <c r="J199" s="2555"/>
      <c r="K199" s="2168" t="s">
        <v>286</v>
      </c>
      <c r="L199" s="2007"/>
      <c r="M199" s="2007"/>
      <c r="N199" s="2555"/>
      <c r="O199" s="2168" t="s">
        <v>286</v>
      </c>
      <c r="P199" s="2007"/>
      <c r="Q199" s="2007"/>
      <c r="R199" s="2555"/>
      <c r="S199" s="2168" t="s">
        <v>256</v>
      </c>
      <c r="T199" s="2007"/>
      <c r="U199" s="2007"/>
      <c r="V199" s="2555"/>
      <c r="W199" s="2168"/>
      <c r="X199" s="2007"/>
      <c r="Y199" s="2007"/>
      <c r="Z199" s="2555"/>
      <c r="AA199" s="2007"/>
      <c r="AB199" s="2007"/>
      <c r="AC199" s="2007"/>
      <c r="AD199" s="2169"/>
      <c r="AE199" s="2558">
        <v>39</v>
      </c>
      <c r="AF199" s="2007"/>
      <c r="AG199" s="2007"/>
      <c r="AH199" s="2169"/>
      <c r="AI199" s="2603"/>
    </row>
    <row r="200" spans="1:35" ht="18" customHeight="1" x14ac:dyDescent="0.2">
      <c r="A200" s="1"/>
      <c r="B200" s="2552"/>
      <c r="C200" s="2168"/>
      <c r="D200" s="2007"/>
      <c r="E200" s="2007"/>
      <c r="F200" s="2555"/>
      <c r="G200" s="2168"/>
      <c r="H200" s="2007"/>
      <c r="I200" s="2007"/>
      <c r="J200" s="2555"/>
      <c r="K200" s="2168"/>
      <c r="L200" s="2007"/>
      <c r="M200" s="2007"/>
      <c r="N200" s="2555"/>
      <c r="O200" s="2168"/>
      <c r="P200" s="2007"/>
      <c r="Q200" s="2007"/>
      <c r="R200" s="2555"/>
      <c r="S200" s="2168"/>
      <c r="T200" s="2007"/>
      <c r="U200" s="2007"/>
      <c r="V200" s="2555"/>
      <c r="W200" s="2170"/>
      <c r="X200" s="2106"/>
      <c r="Y200" s="2106"/>
      <c r="Z200" s="2562"/>
      <c r="AA200" s="2106"/>
      <c r="AB200" s="2106"/>
      <c r="AC200" s="2106"/>
      <c r="AD200" s="2171"/>
      <c r="AE200" s="2558"/>
      <c r="AF200" s="2007"/>
      <c r="AG200" s="2007"/>
      <c r="AH200" s="2169"/>
      <c r="AI200" s="2603"/>
    </row>
    <row r="201" spans="1:35" ht="18" customHeight="1" x14ac:dyDescent="0.2">
      <c r="A201" s="1"/>
      <c r="B201" s="2552" t="s">
        <v>243</v>
      </c>
      <c r="C201" s="2168" t="s">
        <v>286</v>
      </c>
      <c r="D201" s="2007"/>
      <c r="E201" s="2007"/>
      <c r="F201" s="2555"/>
      <c r="G201" s="2168" t="s">
        <v>286</v>
      </c>
      <c r="H201" s="2007"/>
      <c r="I201" s="2007"/>
      <c r="J201" s="2555"/>
      <c r="K201" s="2168" t="s">
        <v>286</v>
      </c>
      <c r="L201" s="2007"/>
      <c r="M201" s="2007"/>
      <c r="N201" s="2555"/>
      <c r="O201" s="2168" t="s">
        <v>286</v>
      </c>
      <c r="P201" s="2007"/>
      <c r="Q201" s="2007"/>
      <c r="R201" s="2555"/>
      <c r="S201" s="2168" t="s">
        <v>286</v>
      </c>
      <c r="T201" s="2007"/>
      <c r="U201" s="2007"/>
      <c r="V201" s="2555"/>
      <c r="W201" s="2170" t="s">
        <v>260</v>
      </c>
      <c r="X201" s="2106"/>
      <c r="Y201" s="2106"/>
      <c r="Z201" s="2562"/>
      <c r="AA201" s="2560"/>
      <c r="AB201" s="2106"/>
      <c r="AC201" s="2106"/>
      <c r="AD201" s="2171"/>
      <c r="AE201" s="2558">
        <v>45</v>
      </c>
      <c r="AF201" s="2007"/>
      <c r="AG201" s="2007"/>
      <c r="AH201" s="2169"/>
      <c r="AI201" s="2603"/>
    </row>
    <row r="202" spans="1:35" ht="18" customHeight="1" x14ac:dyDescent="0.2">
      <c r="A202" s="1"/>
      <c r="B202" s="147" t="s">
        <v>245</v>
      </c>
      <c r="C202" s="2593"/>
      <c r="D202" s="2119"/>
      <c r="E202" s="2119"/>
      <c r="F202" s="2595"/>
      <c r="G202" s="2593"/>
      <c r="H202" s="2119"/>
      <c r="I202" s="2119"/>
      <c r="J202" s="2595"/>
      <c r="K202" s="2593"/>
      <c r="L202" s="2119"/>
      <c r="M202" s="2119"/>
      <c r="N202" s="2595"/>
      <c r="O202" s="2593"/>
      <c r="P202" s="2119"/>
      <c r="Q202" s="2119"/>
      <c r="R202" s="2595"/>
      <c r="S202" s="2593"/>
      <c r="T202" s="2119"/>
      <c r="U202" s="2119"/>
      <c r="V202" s="2573"/>
      <c r="W202" s="2593"/>
      <c r="X202" s="2573"/>
      <c r="Y202" s="2119"/>
      <c r="Z202" s="2595"/>
      <c r="AA202" s="2593"/>
      <c r="AB202" s="2573"/>
      <c r="AC202" s="2119"/>
      <c r="AD202" s="2595"/>
      <c r="AE202" s="2604"/>
      <c r="AF202" s="2119"/>
      <c r="AG202" s="2119"/>
      <c r="AH202" s="2573"/>
      <c r="AI202" s="2126"/>
    </row>
    <row r="203" spans="1:35" ht="18" customHeight="1" x14ac:dyDescent="0.2">
      <c r="A203" s="68"/>
      <c r="B203" s="1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</row>
    <row r="204" spans="1:35" ht="18" customHeight="1" thickBot="1" x14ac:dyDescent="0.25">
      <c r="A204" s="2543"/>
      <c r="B204" s="2128" t="s">
        <v>44</v>
      </c>
      <c r="C204" s="2383">
        <v>1</v>
      </c>
      <c r="D204" s="2384">
        <v>2</v>
      </c>
      <c r="E204" s="2384">
        <v>3</v>
      </c>
      <c r="F204" s="2383">
        <v>4</v>
      </c>
      <c r="G204" s="2383">
        <v>5</v>
      </c>
      <c r="H204" s="2383">
        <v>6</v>
      </c>
      <c r="I204" s="2383">
        <v>7</v>
      </c>
      <c r="J204" s="2383">
        <v>8</v>
      </c>
      <c r="K204" s="2384">
        <v>9</v>
      </c>
      <c r="L204" s="2384">
        <v>10</v>
      </c>
      <c r="M204" s="2383">
        <v>11</v>
      </c>
      <c r="N204" s="2383">
        <v>12</v>
      </c>
      <c r="O204" s="2383">
        <v>13</v>
      </c>
      <c r="P204" s="2383">
        <v>14</v>
      </c>
      <c r="Q204" s="2383">
        <v>15</v>
      </c>
      <c r="R204" s="2384">
        <v>16</v>
      </c>
      <c r="S204" s="2384">
        <v>17</v>
      </c>
      <c r="T204" s="2383">
        <v>18</v>
      </c>
      <c r="U204" s="2383">
        <v>19</v>
      </c>
      <c r="V204" s="2383">
        <v>20</v>
      </c>
      <c r="W204" s="2383">
        <v>21</v>
      </c>
      <c r="X204" s="2383">
        <v>22</v>
      </c>
      <c r="Y204" s="2384">
        <v>23</v>
      </c>
      <c r="Z204" s="2384">
        <v>24</v>
      </c>
      <c r="AA204" s="2383">
        <v>25</v>
      </c>
      <c r="AB204" s="2383">
        <v>26</v>
      </c>
      <c r="AC204" s="2383">
        <v>27</v>
      </c>
      <c r="AD204" s="2383">
        <v>28</v>
      </c>
      <c r="AE204" s="2383">
        <v>29</v>
      </c>
      <c r="AF204" s="2384">
        <v>30</v>
      </c>
      <c r="AG204" s="2026"/>
      <c r="AH204" s="110"/>
      <c r="AI204" s="111"/>
    </row>
    <row r="205" spans="1:35" ht="18" customHeight="1" x14ac:dyDescent="0.2">
      <c r="A205" s="2281">
        <v>1</v>
      </c>
      <c r="B205" s="2605" t="s">
        <v>462</v>
      </c>
      <c r="C205" s="2283" t="s">
        <v>46</v>
      </c>
      <c r="D205" s="2283"/>
      <c r="E205" s="2365"/>
      <c r="F205" s="2283" t="s">
        <v>46</v>
      </c>
      <c r="G205" s="2283" t="s">
        <v>46</v>
      </c>
      <c r="H205" s="2283" t="s">
        <v>46</v>
      </c>
      <c r="I205" s="2283" t="s">
        <v>46</v>
      </c>
      <c r="J205" s="2283" t="s">
        <v>46</v>
      </c>
      <c r="K205" s="2040" t="s">
        <v>290</v>
      </c>
      <c r="L205" s="2283"/>
      <c r="M205" s="2283" t="s">
        <v>46</v>
      </c>
      <c r="N205" s="2283" t="s">
        <v>46</v>
      </c>
      <c r="O205" s="2283" t="s">
        <v>46</v>
      </c>
      <c r="P205" s="2343" t="s">
        <v>46</v>
      </c>
      <c r="Q205" s="2283" t="s">
        <v>46</v>
      </c>
      <c r="R205" s="2343"/>
      <c r="S205" s="2343"/>
      <c r="T205" s="2343" t="s">
        <v>46</v>
      </c>
      <c r="U205" s="2283" t="s">
        <v>46</v>
      </c>
      <c r="V205" s="2283" t="s">
        <v>46</v>
      </c>
      <c r="W205" s="2283" t="s">
        <v>46</v>
      </c>
      <c r="X205" s="2283" t="s">
        <v>46</v>
      </c>
      <c r="Y205" s="2283"/>
      <c r="Z205" s="2365"/>
      <c r="AA205" s="2283" t="s">
        <v>46</v>
      </c>
      <c r="AB205" s="2283" t="s">
        <v>46</v>
      </c>
      <c r="AC205" s="2283" t="s">
        <v>46</v>
      </c>
      <c r="AD205" s="2283" t="s">
        <v>46</v>
      </c>
      <c r="AE205" s="2283" t="s">
        <v>46</v>
      </c>
      <c r="AF205" s="2040" t="s">
        <v>290</v>
      </c>
      <c r="AG205" s="2286"/>
      <c r="AH205" s="132"/>
      <c r="AI205" s="116"/>
    </row>
    <row r="206" spans="1:35" ht="18" customHeight="1" x14ac:dyDescent="0.2">
      <c r="A206" s="2575">
        <v>2</v>
      </c>
      <c r="B206" s="2606" t="s">
        <v>287</v>
      </c>
      <c r="C206" s="2040" t="s">
        <v>290</v>
      </c>
      <c r="D206" s="2040" t="s">
        <v>290</v>
      </c>
      <c r="E206" s="2040"/>
      <c r="F206" s="2040" t="s">
        <v>288</v>
      </c>
      <c r="G206" s="2040" t="s">
        <v>288</v>
      </c>
      <c r="H206" s="2040" t="s">
        <v>288</v>
      </c>
      <c r="I206" s="2040" t="s">
        <v>288</v>
      </c>
      <c r="J206" s="2040" t="s">
        <v>50</v>
      </c>
      <c r="K206" s="2040"/>
      <c r="L206" s="2040"/>
      <c r="M206" s="2040" t="s">
        <v>289</v>
      </c>
      <c r="N206" s="2040" t="s">
        <v>289</v>
      </c>
      <c r="O206" s="2040" t="s">
        <v>289</v>
      </c>
      <c r="P206" s="2055" t="s">
        <v>289</v>
      </c>
      <c r="Q206" s="2040" t="s">
        <v>289</v>
      </c>
      <c r="R206" s="2040"/>
      <c r="S206" s="2040"/>
      <c r="T206" s="2040" t="s">
        <v>290</v>
      </c>
      <c r="U206" s="2040" t="s">
        <v>290</v>
      </c>
      <c r="V206" s="2040" t="s">
        <v>290</v>
      </c>
      <c r="W206" s="2040" t="s">
        <v>290</v>
      </c>
      <c r="X206" s="2040" t="s">
        <v>290</v>
      </c>
      <c r="Y206" s="2040" t="s">
        <v>290</v>
      </c>
      <c r="Z206" s="2040"/>
      <c r="AA206" s="2040" t="s">
        <v>288</v>
      </c>
      <c r="AB206" s="2040" t="s">
        <v>288</v>
      </c>
      <c r="AC206" s="2040" t="s">
        <v>288</v>
      </c>
      <c r="AD206" s="2040" t="s">
        <v>288</v>
      </c>
      <c r="AE206" s="2040" t="s">
        <v>50</v>
      </c>
      <c r="AF206" s="2040"/>
      <c r="AG206" s="2043"/>
      <c r="AH206" s="132"/>
      <c r="AI206" s="116"/>
    </row>
    <row r="207" spans="1:35" ht="18" customHeight="1" x14ac:dyDescent="0.2">
      <c r="A207" s="2575">
        <v>3</v>
      </c>
      <c r="B207" s="2606" t="s">
        <v>463</v>
      </c>
      <c r="C207" s="2040" t="s">
        <v>50</v>
      </c>
      <c r="D207" s="2040"/>
      <c r="E207" s="2040"/>
      <c r="F207" s="2040" t="s">
        <v>289</v>
      </c>
      <c r="G207" s="2040" t="s">
        <v>289</v>
      </c>
      <c r="H207" s="2040" t="s">
        <v>289</v>
      </c>
      <c r="I207" s="2040" t="s">
        <v>289</v>
      </c>
      <c r="J207" s="2040" t="s">
        <v>289</v>
      </c>
      <c r="K207" s="2040"/>
      <c r="L207" s="2040"/>
      <c r="M207" s="2040" t="s">
        <v>290</v>
      </c>
      <c r="N207" s="2040" t="s">
        <v>290</v>
      </c>
      <c r="O207" s="2040" t="s">
        <v>290</v>
      </c>
      <c r="P207" s="2040" t="s">
        <v>290</v>
      </c>
      <c r="Q207" s="2040" t="s">
        <v>290</v>
      </c>
      <c r="R207" s="2040" t="s">
        <v>290</v>
      </c>
      <c r="S207" s="2040"/>
      <c r="T207" s="2040" t="s">
        <v>288</v>
      </c>
      <c r="U207" s="2040"/>
      <c r="V207" s="2040" t="s">
        <v>288</v>
      </c>
      <c r="W207" s="2040" t="s">
        <v>288</v>
      </c>
      <c r="X207" s="2040" t="s">
        <v>50</v>
      </c>
      <c r="Y207" s="2040"/>
      <c r="Z207" s="2040"/>
      <c r="AA207" s="2040" t="s">
        <v>289</v>
      </c>
      <c r="AB207" s="2040" t="s">
        <v>289</v>
      </c>
      <c r="AC207" s="2040" t="s">
        <v>289</v>
      </c>
      <c r="AD207" s="2040" t="s">
        <v>289</v>
      </c>
      <c r="AE207" s="2040" t="s">
        <v>289</v>
      </c>
      <c r="AF207" s="2040"/>
      <c r="AG207" s="2043"/>
      <c r="AH207" s="132"/>
      <c r="AI207" s="116"/>
    </row>
    <row r="208" spans="1:35" ht="18" customHeight="1" x14ac:dyDescent="0.2">
      <c r="A208" s="2575">
        <v>4</v>
      </c>
      <c r="B208" s="2606"/>
      <c r="C208" s="2040"/>
      <c r="D208" s="2040"/>
      <c r="E208" s="2040"/>
      <c r="F208" s="2040"/>
      <c r="G208" s="2040"/>
      <c r="H208" s="2040"/>
      <c r="I208" s="2040"/>
      <c r="J208" s="2040"/>
      <c r="K208" s="2040"/>
      <c r="L208" s="2047"/>
      <c r="M208" s="2047"/>
      <c r="N208" s="2040"/>
      <c r="O208" s="2040"/>
      <c r="P208" s="2040"/>
      <c r="Q208" s="2040"/>
      <c r="R208" s="2040"/>
      <c r="S208" s="2040"/>
      <c r="T208" s="2040"/>
      <c r="U208" s="2040"/>
      <c r="V208" s="2040"/>
      <c r="W208" s="2040"/>
      <c r="X208" s="2040"/>
      <c r="Y208" s="2040"/>
      <c r="Z208" s="2040"/>
      <c r="AA208" s="2040"/>
      <c r="AB208" s="2040"/>
      <c r="AC208" s="2040"/>
      <c r="AD208" s="2040"/>
      <c r="AE208" s="2040"/>
      <c r="AF208" s="2040"/>
      <c r="AG208" s="2607"/>
      <c r="AH208" s="132"/>
      <c r="AI208" s="116"/>
    </row>
    <row r="209" spans="1:35" ht="18" customHeight="1" x14ac:dyDescent="0.2">
      <c r="A209" s="2575">
        <v>5</v>
      </c>
      <c r="B209" s="2606" t="s">
        <v>489</v>
      </c>
      <c r="C209" s="2040"/>
      <c r="D209" s="2040"/>
      <c r="E209" s="2040"/>
      <c r="F209" s="2040"/>
      <c r="G209" s="2040"/>
      <c r="H209" s="2040"/>
      <c r="I209" s="2040"/>
      <c r="J209" s="2040"/>
      <c r="K209" s="2047"/>
      <c r="L209" s="2040"/>
      <c r="M209" s="2040"/>
      <c r="N209" s="2040"/>
      <c r="O209" s="2040"/>
      <c r="P209" s="2040"/>
      <c r="Q209" s="2040"/>
      <c r="R209" s="2040"/>
      <c r="S209" s="2040"/>
      <c r="T209" s="2040"/>
      <c r="U209" s="2040"/>
      <c r="V209" s="2040"/>
      <c r="W209" s="2040"/>
      <c r="X209" s="2040"/>
      <c r="Y209" s="2040"/>
      <c r="Z209" s="2040"/>
      <c r="AA209" s="2040"/>
      <c r="AB209" s="2040"/>
      <c r="AC209" s="2040"/>
      <c r="AD209" s="2040"/>
      <c r="AE209" s="2040"/>
      <c r="AF209" s="2047"/>
      <c r="AG209" s="2043"/>
      <c r="AH209" s="132"/>
      <c r="AI209" s="116"/>
    </row>
    <row r="210" spans="1:35" ht="18" customHeight="1" x14ac:dyDescent="0.2">
      <c r="A210" s="2575">
        <v>6</v>
      </c>
      <c r="B210" s="2606" t="s">
        <v>292</v>
      </c>
      <c r="C210" s="2040" t="s">
        <v>46</v>
      </c>
      <c r="D210" s="2040"/>
      <c r="E210" s="2040"/>
      <c r="F210" s="2045" t="s">
        <v>46</v>
      </c>
      <c r="G210" s="2040" t="s">
        <v>46</v>
      </c>
      <c r="H210" s="2040" t="s">
        <v>46</v>
      </c>
      <c r="I210" s="2040" t="s">
        <v>46</v>
      </c>
      <c r="J210" s="2040" t="s">
        <v>46</v>
      </c>
      <c r="K210" s="2040"/>
      <c r="L210" s="2040"/>
      <c r="M210" s="2040" t="s">
        <v>46</v>
      </c>
      <c r="N210" s="2144" t="s">
        <v>46</v>
      </c>
      <c r="O210" s="2040" t="s">
        <v>46</v>
      </c>
      <c r="P210" s="2047" t="s">
        <v>46</v>
      </c>
      <c r="Q210" s="2047" t="s">
        <v>46</v>
      </c>
      <c r="R210" s="2047"/>
      <c r="S210" s="2047"/>
      <c r="T210" s="2040" t="s">
        <v>46</v>
      </c>
      <c r="U210" s="2040" t="s">
        <v>46</v>
      </c>
      <c r="V210" s="2045" t="s">
        <v>46</v>
      </c>
      <c r="W210" s="2040" t="s">
        <v>46</v>
      </c>
      <c r="X210" s="2040" t="s">
        <v>46</v>
      </c>
      <c r="Y210" s="2040"/>
      <c r="Z210" s="2040"/>
      <c r="AA210" s="2045" t="s">
        <v>46</v>
      </c>
      <c r="AB210" s="2040" t="s">
        <v>46</v>
      </c>
      <c r="AC210" s="2040" t="s">
        <v>46</v>
      </c>
      <c r="AD210" s="2040" t="s">
        <v>46</v>
      </c>
      <c r="AE210" s="2040" t="s">
        <v>46</v>
      </c>
      <c r="AF210" s="2040"/>
      <c r="AG210" s="2442"/>
      <c r="AH210" s="124"/>
      <c r="AI210" s="67"/>
    </row>
    <row r="211" spans="1:35" ht="18" customHeight="1" thickBot="1" x14ac:dyDescent="0.25">
      <c r="A211" s="2584"/>
      <c r="B211" s="2044" t="s">
        <v>293</v>
      </c>
      <c r="C211" s="2150"/>
      <c r="D211" s="2150"/>
      <c r="E211" s="2150"/>
      <c r="F211" s="2150"/>
      <c r="G211" s="2150"/>
      <c r="H211" s="2150"/>
      <c r="I211" s="2396"/>
      <c r="J211" s="2150"/>
      <c r="K211" s="2150"/>
      <c r="L211" s="2150"/>
      <c r="M211" s="2150"/>
      <c r="N211" s="2150"/>
      <c r="O211" s="2150"/>
      <c r="P211" s="2150"/>
      <c r="Q211" s="2150"/>
      <c r="R211" s="2150"/>
      <c r="S211" s="2150"/>
      <c r="T211" s="2150"/>
      <c r="U211" s="2150"/>
      <c r="V211" s="2150"/>
      <c r="W211" s="2150"/>
      <c r="X211" s="2150"/>
      <c r="Y211" s="2150"/>
      <c r="Z211" s="2150"/>
      <c r="AA211" s="2150"/>
      <c r="AB211" s="2150"/>
      <c r="AC211" s="2150"/>
      <c r="AD211" s="2396"/>
      <c r="AE211" s="2150"/>
      <c r="AF211" s="2150"/>
      <c r="AG211" s="2158"/>
      <c r="AH211" s="67"/>
      <c r="AI211" s="67"/>
    </row>
    <row r="212" spans="1:35" ht="18" customHeight="1" x14ac:dyDescent="0.2">
      <c r="A212" s="129"/>
      <c r="C212" s="128"/>
      <c r="D212" s="128"/>
      <c r="E212" s="128"/>
      <c r="F212" s="128"/>
      <c r="G212" s="128"/>
      <c r="H212" s="128"/>
      <c r="I212" s="123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28"/>
      <c r="AH212" s="67"/>
      <c r="AI212" s="67"/>
    </row>
    <row r="213" spans="1:35" ht="18" customHeight="1" x14ac:dyDescent="0.2">
      <c r="A213" s="129"/>
      <c r="B213" s="127"/>
      <c r="C213" s="128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28"/>
      <c r="AH213" s="67"/>
      <c r="AI213" s="67"/>
    </row>
    <row r="214" spans="1:35" ht="18" customHeight="1" x14ac:dyDescent="0.2">
      <c r="A214" s="97" t="s">
        <v>294</v>
      </c>
      <c r="B214" s="48"/>
      <c r="C214" s="66"/>
      <c r="D214" s="48"/>
      <c r="E214" s="48"/>
      <c r="F214" s="66"/>
      <c r="G214" s="48"/>
      <c r="H214" s="48"/>
      <c r="I214" s="66"/>
      <c r="J214" s="66"/>
      <c r="K214" s="48"/>
      <c r="L214" s="66"/>
      <c r="M214" s="48"/>
      <c r="N214" s="48"/>
      <c r="O214" s="66"/>
      <c r="P214" s="48"/>
      <c r="Q214" s="66"/>
      <c r="R214" s="66"/>
      <c r="S214" s="48"/>
      <c r="T214" s="48"/>
      <c r="U214" s="66"/>
      <c r="V214" s="48"/>
      <c r="W214" s="66"/>
      <c r="X214" s="66"/>
      <c r="Y214" s="48"/>
      <c r="Z214" s="48"/>
      <c r="AA214" s="48"/>
      <c r="AB214" s="48"/>
      <c r="AC214" s="48"/>
      <c r="AD214" s="48"/>
      <c r="AE214" s="66"/>
      <c r="AF214" s="48"/>
      <c r="AG214" s="48"/>
      <c r="AH214" s="67"/>
      <c r="AI214" s="67"/>
    </row>
    <row r="215" spans="1:35" ht="18" customHeight="1" x14ac:dyDescent="0.2">
      <c r="A215" s="69"/>
      <c r="B215" s="1509" t="s">
        <v>295</v>
      </c>
      <c r="C215" s="1926"/>
      <c r="D215" s="224" t="s">
        <v>17</v>
      </c>
      <c r="E215" s="225"/>
      <c r="F215" s="1927"/>
      <c r="G215" s="1511"/>
      <c r="H215" s="224" t="s">
        <v>18</v>
      </c>
      <c r="I215" s="225"/>
      <c r="J215" s="1927"/>
      <c r="K215" s="1511"/>
      <c r="L215" s="224" t="s">
        <v>19</v>
      </c>
      <c r="M215" s="225"/>
      <c r="N215" s="1927"/>
      <c r="O215" s="1511"/>
      <c r="P215" s="224" t="s">
        <v>20</v>
      </c>
      <c r="Q215" s="225"/>
      <c r="R215" s="1927"/>
      <c r="S215" s="1511"/>
      <c r="T215" s="224" t="s">
        <v>21</v>
      </c>
      <c r="U215" s="225"/>
      <c r="V215" s="1927"/>
      <c r="W215" s="1511"/>
      <c r="X215" s="224" t="s">
        <v>22</v>
      </c>
      <c r="Y215" s="225"/>
      <c r="Z215" s="1927"/>
      <c r="AA215" s="1511"/>
      <c r="AB215" s="224" t="s">
        <v>23</v>
      </c>
      <c r="AC215" s="225"/>
      <c r="AD215" s="225"/>
      <c r="AE215" s="1512" t="s">
        <v>126</v>
      </c>
      <c r="AF215" s="225"/>
      <c r="AG215" s="225"/>
      <c r="AH215" s="225"/>
      <c r="AI215" s="1928"/>
    </row>
    <row r="216" spans="1:35" ht="18" customHeight="1" thickBot="1" x14ac:dyDescent="0.25">
      <c r="A216" s="69"/>
      <c r="B216" s="1137" t="s">
        <v>296</v>
      </c>
      <c r="C216" s="983" t="s">
        <v>297</v>
      </c>
      <c r="D216" s="1930" t="s">
        <v>298</v>
      </c>
      <c r="E216" s="985"/>
      <c r="F216" s="1932"/>
      <c r="G216" s="987"/>
      <c r="H216" s="2608" t="s">
        <v>298</v>
      </c>
      <c r="I216" s="2609"/>
      <c r="J216" s="1932"/>
      <c r="K216" s="987"/>
      <c r="L216" s="2608" t="s">
        <v>298</v>
      </c>
      <c r="M216" s="2609"/>
      <c r="N216" s="1932"/>
      <c r="O216" s="987"/>
      <c r="P216" s="2608" t="s">
        <v>299</v>
      </c>
      <c r="Q216" s="2609"/>
      <c r="R216" s="1932"/>
      <c r="S216" s="987"/>
      <c r="T216" s="2608" t="s">
        <v>300</v>
      </c>
      <c r="U216" s="2609"/>
      <c r="V216" s="1932"/>
      <c r="W216" s="990"/>
      <c r="X216" s="2610"/>
      <c r="Y216" s="2610"/>
      <c r="Z216" s="1935"/>
      <c r="AA216" s="990"/>
      <c r="AB216" s="2610"/>
      <c r="AC216" s="2610"/>
      <c r="AD216" s="2610"/>
      <c r="AE216" s="990"/>
      <c r="AF216" s="2610"/>
      <c r="AG216" s="2610"/>
      <c r="AH216" s="2611"/>
      <c r="AI216" s="1936"/>
    </row>
    <row r="217" spans="1:35" ht="18" customHeight="1" x14ac:dyDescent="0.2">
      <c r="A217" s="69"/>
      <c r="B217" s="1509" t="s">
        <v>295</v>
      </c>
      <c r="C217" s="2612"/>
      <c r="D217" s="224" t="s">
        <v>17</v>
      </c>
      <c r="E217" s="225"/>
      <c r="F217" s="1927"/>
      <c r="G217" s="1511"/>
      <c r="H217" s="224" t="s">
        <v>18</v>
      </c>
      <c r="I217" s="225"/>
      <c r="J217" s="1927"/>
      <c r="K217" s="1511"/>
      <c r="L217" s="224" t="s">
        <v>19</v>
      </c>
      <c r="M217" s="225"/>
      <c r="N217" s="1927"/>
      <c r="O217" s="1511"/>
      <c r="P217" s="224" t="s">
        <v>20</v>
      </c>
      <c r="Q217" s="225"/>
      <c r="R217" s="1927"/>
      <c r="S217" s="1511"/>
      <c r="T217" s="224" t="s">
        <v>21</v>
      </c>
      <c r="U217" s="225"/>
      <c r="V217" s="1927"/>
      <c r="W217" s="1511"/>
      <c r="X217" s="224" t="s">
        <v>22</v>
      </c>
      <c r="Y217" s="225"/>
      <c r="Z217" s="1927"/>
      <c r="AA217" s="1511"/>
      <c r="AB217" s="224" t="s">
        <v>23</v>
      </c>
      <c r="AC217" s="225"/>
      <c r="AD217" s="225"/>
      <c r="AE217" s="1512" t="s">
        <v>126</v>
      </c>
      <c r="AF217" s="225"/>
      <c r="AG217" s="225"/>
      <c r="AH217" s="225"/>
      <c r="AI217" s="1928"/>
    </row>
    <row r="218" spans="1:35" ht="18" customHeight="1" x14ac:dyDescent="0.2">
      <c r="A218" s="69"/>
      <c r="B218" s="1137" t="s">
        <v>296</v>
      </c>
      <c r="C218" s="983" t="s">
        <v>297</v>
      </c>
      <c r="D218" s="1930" t="s">
        <v>298</v>
      </c>
      <c r="E218" s="985"/>
      <c r="F218" s="1932"/>
      <c r="G218" s="987"/>
      <c r="H218" s="2608" t="s">
        <v>298</v>
      </c>
      <c r="I218" s="2609"/>
      <c r="J218" s="1932"/>
      <c r="K218" s="987"/>
      <c r="L218" s="2608" t="s">
        <v>298</v>
      </c>
      <c r="M218" s="2609"/>
      <c r="N218" s="1932"/>
      <c r="O218" s="987"/>
      <c r="P218" s="2608" t="s">
        <v>299</v>
      </c>
      <c r="Q218" s="2609"/>
      <c r="R218" s="1932"/>
      <c r="S218" s="987"/>
      <c r="T218" s="2608" t="s">
        <v>300</v>
      </c>
      <c r="U218" s="2609"/>
      <c r="V218" s="1932"/>
      <c r="W218" s="990"/>
      <c r="X218" s="2610"/>
      <c r="Y218" s="2610"/>
      <c r="Z218" s="1935"/>
      <c r="AA218" s="990"/>
      <c r="AB218" s="2610"/>
      <c r="AC218" s="2610"/>
      <c r="AD218" s="2610"/>
      <c r="AE218" s="990"/>
      <c r="AF218" s="2610"/>
      <c r="AG218" s="2610"/>
      <c r="AH218" s="2611"/>
      <c r="AI218" s="1936"/>
    </row>
    <row r="219" spans="1:35" ht="18" customHeight="1" x14ac:dyDescent="0.2">
      <c r="A219" s="69"/>
      <c r="B219" s="1137" t="s">
        <v>301</v>
      </c>
      <c r="C219" s="983" t="s">
        <v>174</v>
      </c>
      <c r="D219" s="1930" t="s">
        <v>298</v>
      </c>
      <c r="E219" s="985"/>
      <c r="F219" s="1932"/>
      <c r="G219" s="987"/>
      <c r="H219" s="2608" t="s">
        <v>298</v>
      </c>
      <c r="I219" s="2609"/>
      <c r="J219" s="1932"/>
      <c r="K219" s="987"/>
      <c r="L219" s="2608" t="s">
        <v>302</v>
      </c>
      <c r="M219" s="2609"/>
      <c r="N219" s="1932"/>
      <c r="O219" s="987"/>
      <c r="P219" s="2608" t="s">
        <v>303</v>
      </c>
      <c r="Q219" s="2609"/>
      <c r="R219" s="1932"/>
      <c r="S219" s="987"/>
      <c r="T219" s="2608" t="s">
        <v>304</v>
      </c>
      <c r="U219" s="2609"/>
      <c r="V219" s="1932"/>
      <c r="W219" s="990"/>
      <c r="X219" s="2610"/>
      <c r="Y219" s="2610"/>
      <c r="Z219" s="1935"/>
      <c r="AA219" s="990"/>
      <c r="AB219" s="2610"/>
      <c r="AC219" s="2610"/>
      <c r="AD219" s="2610"/>
      <c r="AE219" s="990"/>
      <c r="AF219" s="2610"/>
      <c r="AG219" s="2610"/>
      <c r="AH219" s="2611"/>
      <c r="AI219" s="1936"/>
    </row>
    <row r="220" spans="1:35" ht="18" customHeight="1" x14ac:dyDescent="0.2">
      <c r="A220" s="69"/>
      <c r="B220" s="1137" t="s">
        <v>305</v>
      </c>
      <c r="C220" s="983" t="s">
        <v>154</v>
      </c>
      <c r="D220" s="1930" t="s">
        <v>306</v>
      </c>
      <c r="E220" s="985"/>
      <c r="F220" s="1932"/>
      <c r="G220" s="987"/>
      <c r="H220" s="1930" t="s">
        <v>306</v>
      </c>
      <c r="I220" s="2609"/>
      <c r="J220" s="1932"/>
      <c r="K220" s="987"/>
      <c r="L220" s="1930" t="s">
        <v>306</v>
      </c>
      <c r="M220" s="2609"/>
      <c r="N220" s="1932"/>
      <c r="O220" s="987"/>
      <c r="P220" s="2608" t="s">
        <v>307</v>
      </c>
      <c r="Q220" s="2609"/>
      <c r="R220" s="1932"/>
      <c r="S220" s="987"/>
      <c r="T220" s="2608" t="s">
        <v>304</v>
      </c>
      <c r="U220" s="2609"/>
      <c r="V220" s="1932"/>
      <c r="W220" s="1006"/>
      <c r="X220" s="1142"/>
      <c r="Y220" s="1142"/>
      <c r="Z220" s="2431"/>
      <c r="AA220" s="1006"/>
      <c r="AB220" s="1142"/>
      <c r="AC220" s="1142"/>
      <c r="AD220" s="1142"/>
      <c r="AE220" s="1006"/>
      <c r="AF220" s="1142"/>
      <c r="AG220" s="1142"/>
      <c r="AH220" s="2611"/>
      <c r="AI220" s="1936"/>
    </row>
    <row r="221" spans="1:35" ht="18" customHeight="1" x14ac:dyDescent="0.2">
      <c r="A221" s="69"/>
      <c r="B221" s="1137" t="s">
        <v>308</v>
      </c>
      <c r="C221" s="983" t="s">
        <v>309</v>
      </c>
      <c r="D221" s="1930" t="s">
        <v>310</v>
      </c>
      <c r="E221" s="985"/>
      <c r="F221" s="1932"/>
      <c r="G221" s="987"/>
      <c r="H221" s="2608" t="s">
        <v>298</v>
      </c>
      <c r="I221" s="2609"/>
      <c r="J221" s="1932"/>
      <c r="K221" s="987"/>
      <c r="L221" s="2608" t="s">
        <v>298</v>
      </c>
      <c r="M221" s="2609"/>
      <c r="N221" s="1932"/>
      <c r="O221" s="987"/>
      <c r="P221" s="2608" t="s">
        <v>311</v>
      </c>
      <c r="Q221" s="2609"/>
      <c r="R221" s="1932"/>
      <c r="S221" s="987"/>
      <c r="T221" s="2608" t="s">
        <v>312</v>
      </c>
      <c r="U221" s="2609"/>
      <c r="V221" s="1932"/>
      <c r="W221" s="990"/>
      <c r="X221" s="2610"/>
      <c r="Y221" s="2610"/>
      <c r="Z221" s="2431"/>
      <c r="AA221" s="990"/>
      <c r="AB221" s="2610"/>
      <c r="AC221" s="2610"/>
      <c r="AD221" s="2610"/>
      <c r="AE221" s="990"/>
      <c r="AF221" s="2610"/>
      <c r="AG221" s="2610"/>
      <c r="AH221" s="2611"/>
      <c r="AI221" s="1936"/>
    </row>
    <row r="222" spans="1:35" ht="18" customHeight="1" x14ac:dyDescent="0.2">
      <c r="A222" s="69"/>
      <c r="B222" s="1520" t="s">
        <v>313</v>
      </c>
      <c r="C222" s="983" t="s">
        <v>160</v>
      </c>
      <c r="D222" s="1930" t="s">
        <v>314</v>
      </c>
      <c r="E222" s="985"/>
      <c r="F222" s="1937"/>
      <c r="G222" s="996"/>
      <c r="H222" s="1930" t="s">
        <v>314</v>
      </c>
      <c r="I222" s="2613"/>
      <c r="J222" s="1937"/>
      <c r="K222" s="996"/>
      <c r="L222" s="1930" t="s">
        <v>314</v>
      </c>
      <c r="M222" s="2613"/>
      <c r="N222" s="1937"/>
      <c r="O222" s="996"/>
      <c r="P222" s="2608" t="s">
        <v>315</v>
      </c>
      <c r="Q222" s="2613"/>
      <c r="R222" s="1937"/>
      <c r="S222" s="996"/>
      <c r="T222" s="2608" t="s">
        <v>304</v>
      </c>
      <c r="U222" s="2613"/>
      <c r="V222" s="2431"/>
      <c r="W222" s="1523"/>
      <c r="X222" s="1638"/>
      <c r="Y222" s="1638"/>
      <c r="Z222" s="1008"/>
      <c r="AA222" s="1523"/>
      <c r="AB222" s="1638"/>
      <c r="AC222" s="1638"/>
      <c r="AD222" s="1638"/>
      <c r="AE222" s="1523"/>
      <c r="AF222" s="1638"/>
      <c r="AG222" s="1638"/>
      <c r="AH222" s="1524"/>
      <c r="AI222" s="1002"/>
    </row>
    <row r="223" spans="1:35" ht="18" customHeight="1" x14ac:dyDescent="0.2">
      <c r="A223" s="69"/>
      <c r="B223" s="1137" t="s">
        <v>316</v>
      </c>
      <c r="C223" s="983" t="s">
        <v>168</v>
      </c>
      <c r="D223" s="1930" t="s">
        <v>317</v>
      </c>
      <c r="E223" s="985"/>
      <c r="F223" s="1932"/>
      <c r="G223" s="987"/>
      <c r="H223" s="1930" t="s">
        <v>317</v>
      </c>
      <c r="I223" s="2609"/>
      <c r="J223" s="1932"/>
      <c r="K223" s="987"/>
      <c r="L223" s="1930" t="s">
        <v>317</v>
      </c>
      <c r="M223" s="2609"/>
      <c r="N223" s="1932"/>
      <c r="O223" s="987"/>
      <c r="P223" s="2608" t="s">
        <v>318</v>
      </c>
      <c r="Q223" s="2609"/>
      <c r="R223" s="1932"/>
      <c r="S223" s="987"/>
      <c r="T223" s="2608" t="s">
        <v>304</v>
      </c>
      <c r="U223" s="2609"/>
      <c r="V223" s="1932"/>
      <c r="W223" s="1006"/>
      <c r="X223" s="2610"/>
      <c r="Y223" s="2610"/>
      <c r="Z223" s="1142"/>
      <c r="AA223" s="1006"/>
      <c r="AB223" s="2610"/>
      <c r="AC223" s="2610"/>
      <c r="AD223" s="2610"/>
      <c r="AE223" s="990"/>
      <c r="AF223" s="2610"/>
      <c r="AG223" s="2610"/>
      <c r="AH223" s="2611"/>
      <c r="AI223" s="1936"/>
    </row>
    <row r="224" spans="1:35" ht="18" customHeight="1" x14ac:dyDescent="0.2">
      <c r="A224" s="69"/>
      <c r="B224" s="1137" t="s">
        <v>319</v>
      </c>
      <c r="C224" s="983" t="s">
        <v>158</v>
      </c>
      <c r="D224" s="1930" t="s">
        <v>320</v>
      </c>
      <c r="E224" s="985"/>
      <c r="F224" s="1932"/>
      <c r="G224" s="987"/>
      <c r="H224" s="2608" t="s">
        <v>320</v>
      </c>
      <c r="I224" s="2609"/>
      <c r="J224" s="1932"/>
      <c r="K224" s="987"/>
      <c r="L224" s="2608" t="s">
        <v>320</v>
      </c>
      <c r="M224" s="2609"/>
      <c r="N224" s="2609"/>
      <c r="O224" s="987"/>
      <c r="P224" s="2608" t="s">
        <v>320</v>
      </c>
      <c r="Q224" s="2609"/>
      <c r="R224" s="2609"/>
      <c r="S224" s="987"/>
      <c r="T224" s="2608" t="s">
        <v>304</v>
      </c>
      <c r="U224" s="2609"/>
      <c r="V224" s="1932"/>
      <c r="W224" s="1137"/>
      <c r="X224" s="1142"/>
      <c r="Y224" s="1142"/>
      <c r="Z224" s="1142"/>
      <c r="AA224" s="1006"/>
      <c r="AB224" s="1142"/>
      <c r="AC224" s="1142"/>
      <c r="AD224" s="1142"/>
      <c r="AE224" s="1006"/>
      <c r="AF224" s="1142"/>
      <c r="AG224" s="1142"/>
      <c r="AH224" s="2611"/>
      <c r="AI224" s="1936"/>
    </row>
    <row r="225" spans="1:37" ht="18" customHeight="1" x14ac:dyDescent="0.2">
      <c r="A225" s="69"/>
      <c r="B225" s="1137" t="s">
        <v>321</v>
      </c>
      <c r="C225" s="983" t="s">
        <v>322</v>
      </c>
      <c r="D225" s="1930" t="s">
        <v>320</v>
      </c>
      <c r="E225" s="985"/>
      <c r="F225" s="1932"/>
      <c r="G225" s="987"/>
      <c r="H225" s="2608" t="s">
        <v>320</v>
      </c>
      <c r="I225" s="2609"/>
      <c r="J225" s="1932"/>
      <c r="K225" s="987"/>
      <c r="L225" s="2608" t="s">
        <v>320</v>
      </c>
      <c r="M225" s="2609"/>
      <c r="N225" s="2609"/>
      <c r="O225" s="987"/>
      <c r="P225" s="2608" t="s">
        <v>320</v>
      </c>
      <c r="Q225" s="2609"/>
      <c r="R225" s="2609"/>
      <c r="S225" s="987"/>
      <c r="T225" s="2608" t="s">
        <v>304</v>
      </c>
      <c r="U225" s="2609"/>
      <c r="V225" s="1932"/>
      <c r="W225" s="1137"/>
      <c r="X225" s="1142"/>
      <c r="Y225" s="1142"/>
      <c r="Z225" s="2431"/>
      <c r="AA225" s="2614"/>
      <c r="AB225" s="1142"/>
      <c r="AC225" s="1142"/>
      <c r="AD225" s="1142"/>
      <c r="AE225" s="1006"/>
      <c r="AF225" s="1142"/>
      <c r="AG225" s="1142"/>
      <c r="AH225" s="2611"/>
      <c r="AI225" s="1936"/>
      <c r="AJ225" s="123"/>
    </row>
    <row r="226" spans="1:37" ht="18" customHeight="1" x14ac:dyDescent="0.2">
      <c r="A226" s="69"/>
      <c r="B226" s="1137" t="s">
        <v>465</v>
      </c>
      <c r="C226" s="983" t="s">
        <v>451</v>
      </c>
      <c r="D226" s="1930" t="s">
        <v>320</v>
      </c>
      <c r="E226" s="985"/>
      <c r="F226" s="1932"/>
      <c r="G226" s="987"/>
      <c r="H226" s="2608" t="s">
        <v>320</v>
      </c>
      <c r="I226" s="2609"/>
      <c r="J226" s="1932"/>
      <c r="K226" s="987"/>
      <c r="L226" s="2608" t="s">
        <v>320</v>
      </c>
      <c r="M226" s="2609"/>
      <c r="N226" s="2609"/>
      <c r="O226" s="987"/>
      <c r="P226" s="2608" t="s">
        <v>320</v>
      </c>
      <c r="Q226" s="2609"/>
      <c r="R226" s="2609"/>
      <c r="S226" s="987"/>
      <c r="T226" s="2608" t="s">
        <v>304</v>
      </c>
      <c r="U226" s="2609"/>
      <c r="V226" s="1932"/>
      <c r="AA226" s="122"/>
      <c r="AE226" s="122"/>
      <c r="AH226" s="67"/>
      <c r="AI226" s="67"/>
      <c r="AJ226" s="123"/>
    </row>
    <row r="227" spans="1:37" ht="18" customHeight="1" thickBot="1" x14ac:dyDescent="0.25">
      <c r="A227" s="69"/>
      <c r="B227" t="s">
        <v>323</v>
      </c>
      <c r="C227" s="122"/>
      <c r="F227" s="122"/>
      <c r="I227" s="122"/>
      <c r="J227" s="122"/>
      <c r="L227" s="122"/>
      <c r="O227" s="122"/>
      <c r="Q227" s="122"/>
      <c r="R227" s="122"/>
      <c r="U227" s="122"/>
      <c r="W227" s="122"/>
      <c r="X227" s="122"/>
      <c r="AE227" s="122"/>
      <c r="AH227" s="67"/>
      <c r="AI227" s="67"/>
      <c r="AJ227" s="123"/>
    </row>
    <row r="228" spans="1:37" ht="18" customHeight="1" x14ac:dyDescent="0.2">
      <c r="A228" s="69"/>
      <c r="B228" s="1509" t="s">
        <v>295</v>
      </c>
      <c r="C228" s="2612"/>
      <c r="D228" s="224" t="s">
        <v>17</v>
      </c>
      <c r="E228" s="225"/>
      <c r="F228" s="1927"/>
      <c r="G228" s="1511"/>
      <c r="H228" s="224" t="s">
        <v>18</v>
      </c>
      <c r="I228" s="225"/>
      <c r="J228" s="1927"/>
      <c r="K228" s="1511"/>
      <c r="L228" s="224" t="s">
        <v>19</v>
      </c>
      <c r="M228" s="225"/>
      <c r="N228" s="1927"/>
      <c r="O228" s="1511"/>
      <c r="P228" s="224" t="s">
        <v>20</v>
      </c>
      <c r="Q228" s="225"/>
      <c r="R228" s="1927"/>
      <c r="S228" s="1511"/>
      <c r="T228" s="224" t="s">
        <v>21</v>
      </c>
      <c r="U228" s="225"/>
      <c r="V228" s="1927"/>
      <c r="W228" s="1511"/>
      <c r="X228" s="224" t="s">
        <v>22</v>
      </c>
      <c r="Y228" s="225"/>
      <c r="Z228" s="1927"/>
      <c r="AA228" s="1511"/>
      <c r="AB228" s="224" t="s">
        <v>23</v>
      </c>
      <c r="AC228" s="225"/>
      <c r="AD228" s="225"/>
      <c r="AE228" s="1512" t="s">
        <v>126</v>
      </c>
      <c r="AF228" s="225"/>
      <c r="AG228" s="225"/>
      <c r="AH228" s="225"/>
      <c r="AI228" s="1928"/>
      <c r="AJ228" s="123"/>
    </row>
    <row r="229" spans="1:37" ht="18" customHeight="1" x14ac:dyDescent="0.2">
      <c r="A229" s="69"/>
      <c r="B229" s="1137" t="s">
        <v>296</v>
      </c>
      <c r="C229" s="983" t="s">
        <v>297</v>
      </c>
      <c r="D229" s="1930" t="s">
        <v>324</v>
      </c>
      <c r="E229" s="985"/>
      <c r="F229" s="1932"/>
      <c r="G229" s="987"/>
      <c r="H229" s="1930" t="s">
        <v>324</v>
      </c>
      <c r="I229" s="2609"/>
      <c r="J229" s="1932"/>
      <c r="K229" s="987"/>
      <c r="L229" s="1930" t="s">
        <v>324</v>
      </c>
      <c r="M229" s="2609"/>
      <c r="N229" s="1932"/>
      <c r="O229" s="987"/>
      <c r="P229" s="2608" t="s">
        <v>325</v>
      </c>
      <c r="Q229" s="2609"/>
      <c r="R229" s="1932"/>
      <c r="S229" s="987"/>
      <c r="T229" s="2608" t="s">
        <v>326</v>
      </c>
      <c r="U229" s="2609"/>
      <c r="V229" s="1932"/>
      <c r="W229" s="1006"/>
      <c r="X229" s="1142"/>
      <c r="Y229" s="1142"/>
      <c r="Z229" s="2431"/>
      <c r="AA229" s="1006"/>
      <c r="AB229" s="1142"/>
      <c r="AC229" s="1142"/>
      <c r="AD229" s="1142"/>
      <c r="AE229" s="1006"/>
      <c r="AF229" s="1142"/>
      <c r="AG229" s="1142"/>
      <c r="AH229" s="2611"/>
      <c r="AI229" s="1936"/>
      <c r="AJ229" s="123"/>
    </row>
    <row r="230" spans="1:37" ht="18" customHeight="1" x14ac:dyDescent="0.2">
      <c r="A230" s="69"/>
      <c r="B230" s="1137" t="s">
        <v>301</v>
      </c>
      <c r="C230" s="983" t="s">
        <v>174</v>
      </c>
      <c r="D230" s="1930" t="s">
        <v>324</v>
      </c>
      <c r="E230" s="985"/>
      <c r="F230" s="1932"/>
      <c r="G230" s="987"/>
      <c r="H230" s="1930" t="s">
        <v>324</v>
      </c>
      <c r="I230" s="2609"/>
      <c r="J230" s="1932"/>
      <c r="K230" s="987"/>
      <c r="L230" s="2608" t="s">
        <v>302</v>
      </c>
      <c r="M230" s="2609"/>
      <c r="N230" s="1932"/>
      <c r="O230" s="987"/>
      <c r="P230" s="2608" t="s">
        <v>327</v>
      </c>
      <c r="Q230" s="2609"/>
      <c r="R230" s="1932"/>
      <c r="S230" s="987"/>
      <c r="T230" s="2608" t="s">
        <v>328</v>
      </c>
      <c r="U230" s="2609"/>
      <c r="V230" s="1932"/>
      <c r="W230" s="1006"/>
      <c r="X230" s="1142"/>
      <c r="Y230" s="1142"/>
      <c r="Z230" s="2431"/>
      <c r="AA230" s="1006"/>
      <c r="AB230" s="1142"/>
      <c r="AC230" s="1142"/>
      <c r="AD230" s="1142"/>
      <c r="AE230" s="1006"/>
      <c r="AF230" s="1142"/>
      <c r="AG230" s="1142"/>
      <c r="AH230" s="2611"/>
      <c r="AI230" s="1936"/>
      <c r="AJ230" s="123"/>
    </row>
    <row r="231" spans="1:37" ht="18" customHeight="1" x14ac:dyDescent="0.2">
      <c r="A231" s="69"/>
      <c r="B231" s="1137" t="s">
        <v>305</v>
      </c>
      <c r="C231" s="983" t="s">
        <v>154</v>
      </c>
      <c r="D231" s="1930" t="s">
        <v>324</v>
      </c>
      <c r="E231" s="985"/>
      <c r="F231" s="1932"/>
      <c r="G231" s="987"/>
      <c r="H231" s="1930" t="s">
        <v>324</v>
      </c>
      <c r="I231" s="2609"/>
      <c r="J231" s="1932"/>
      <c r="K231" s="987"/>
      <c r="L231" s="1930" t="s">
        <v>324</v>
      </c>
      <c r="M231" s="2609"/>
      <c r="N231" s="1932"/>
      <c r="O231" s="987"/>
      <c r="P231" s="2608" t="s">
        <v>329</v>
      </c>
      <c r="Q231" s="2609"/>
      <c r="R231" s="1932"/>
      <c r="S231" s="987"/>
      <c r="T231" s="2608" t="s">
        <v>328</v>
      </c>
      <c r="U231" s="2609"/>
      <c r="V231" s="1932"/>
      <c r="W231" s="1006"/>
      <c r="X231" s="1142"/>
      <c r="Y231" s="1142"/>
      <c r="Z231" s="2431"/>
      <c r="AA231" s="1006"/>
      <c r="AB231" s="1142"/>
      <c r="AC231" s="1142"/>
      <c r="AD231" s="1142"/>
      <c r="AE231" s="1006"/>
      <c r="AF231" s="1142"/>
      <c r="AG231" s="1142"/>
      <c r="AH231" s="2611"/>
      <c r="AI231" s="1936"/>
      <c r="AJ231" s="123"/>
    </row>
    <row r="232" spans="1:37" ht="18" customHeight="1" x14ac:dyDescent="0.2">
      <c r="A232" s="69"/>
      <c r="B232" s="1137" t="s">
        <v>308</v>
      </c>
      <c r="C232" s="983" t="s">
        <v>309</v>
      </c>
      <c r="D232" s="1930" t="s">
        <v>330</v>
      </c>
      <c r="E232" s="985"/>
      <c r="F232" s="1932"/>
      <c r="G232" s="987"/>
      <c r="H232" s="1930" t="s">
        <v>330</v>
      </c>
      <c r="I232" s="2609"/>
      <c r="J232" s="1932"/>
      <c r="K232" s="987"/>
      <c r="L232" s="1930" t="s">
        <v>314</v>
      </c>
      <c r="M232" s="2609"/>
      <c r="N232" s="1932"/>
      <c r="O232" s="987"/>
      <c r="P232" s="2608" t="s">
        <v>331</v>
      </c>
      <c r="Q232" s="2609"/>
      <c r="R232" s="1932"/>
      <c r="S232" s="987"/>
      <c r="T232" s="2608" t="s">
        <v>326</v>
      </c>
      <c r="U232" s="2609"/>
      <c r="V232" s="1932"/>
      <c r="W232" s="1006"/>
      <c r="X232" s="1142"/>
      <c r="Y232" s="1142"/>
      <c r="Z232" s="2431"/>
      <c r="AA232" s="1006"/>
      <c r="AB232" s="1142"/>
      <c r="AC232" s="1142"/>
      <c r="AD232" s="1142"/>
      <c r="AE232" s="1006"/>
      <c r="AF232" s="1142"/>
      <c r="AG232" s="1142"/>
      <c r="AH232" s="2611"/>
      <c r="AI232" s="1936"/>
      <c r="AJ232" s="123"/>
    </row>
    <row r="233" spans="1:37" ht="18" customHeight="1" x14ac:dyDescent="0.2">
      <c r="A233" s="69"/>
      <c r="B233" s="1520" t="s">
        <v>313</v>
      </c>
      <c r="C233" s="983" t="s">
        <v>160</v>
      </c>
      <c r="D233" s="1930" t="s">
        <v>324</v>
      </c>
      <c r="E233" s="985"/>
      <c r="F233" s="1932"/>
      <c r="G233" s="987"/>
      <c r="H233" s="1930" t="s">
        <v>324</v>
      </c>
      <c r="I233" s="2609"/>
      <c r="J233" s="1932"/>
      <c r="K233" s="987"/>
      <c r="L233" s="1930" t="s">
        <v>324</v>
      </c>
      <c r="M233" s="2609"/>
      <c r="N233" s="1932"/>
      <c r="O233" s="987"/>
      <c r="P233" s="2608" t="s">
        <v>329</v>
      </c>
      <c r="Q233" s="2609"/>
      <c r="R233" s="1932"/>
      <c r="S233" s="987"/>
      <c r="T233" s="2608" t="s">
        <v>328</v>
      </c>
      <c r="U233" s="2609"/>
      <c r="V233" s="1932"/>
      <c r="W233" s="1523"/>
      <c r="X233" s="1638"/>
      <c r="Y233" s="1638"/>
      <c r="Z233" s="1008"/>
      <c r="AA233" s="1523"/>
      <c r="AB233" s="1638"/>
      <c r="AC233" s="1638"/>
      <c r="AD233" s="1638"/>
      <c r="AE233" s="1523"/>
      <c r="AF233" s="1638"/>
      <c r="AG233" s="1638"/>
      <c r="AH233" s="1524"/>
      <c r="AI233" s="1002"/>
      <c r="AJ233" s="123"/>
    </row>
    <row r="234" spans="1:37" ht="18" customHeight="1" x14ac:dyDescent="0.2">
      <c r="A234" s="69"/>
      <c r="B234" s="1137" t="s">
        <v>316</v>
      </c>
      <c r="C234" s="983" t="s">
        <v>168</v>
      </c>
      <c r="D234" s="1930" t="s">
        <v>324</v>
      </c>
      <c r="E234" s="985"/>
      <c r="F234" s="1932"/>
      <c r="G234" s="987"/>
      <c r="H234" s="1930" t="s">
        <v>324</v>
      </c>
      <c r="I234" s="2609"/>
      <c r="J234" s="1932"/>
      <c r="K234" s="987"/>
      <c r="L234" s="1930" t="s">
        <v>324</v>
      </c>
      <c r="M234" s="2609"/>
      <c r="N234" s="1932"/>
      <c r="O234" s="987"/>
      <c r="P234" s="2608" t="s">
        <v>325</v>
      </c>
      <c r="Q234" s="2609"/>
      <c r="R234" s="1932"/>
      <c r="S234" s="987"/>
      <c r="T234" s="2608" t="s">
        <v>326</v>
      </c>
      <c r="U234" s="2609"/>
      <c r="V234" s="1932"/>
      <c r="W234" s="1006"/>
      <c r="X234" s="1142"/>
      <c r="Y234" s="1142"/>
      <c r="Z234" s="1142"/>
      <c r="AA234" s="1006"/>
      <c r="AB234" s="1142"/>
      <c r="AC234" s="1142"/>
      <c r="AD234" s="1142"/>
      <c r="AE234" s="1006"/>
      <c r="AF234" s="1142"/>
      <c r="AG234" s="1142"/>
      <c r="AH234" s="2611"/>
      <c r="AI234" s="1936"/>
      <c r="AJ234" s="123"/>
    </row>
    <row r="235" spans="1:37" ht="18" customHeight="1" x14ac:dyDescent="0.2">
      <c r="A235" s="69"/>
      <c r="B235" s="1137" t="s">
        <v>321</v>
      </c>
      <c r="C235" s="983" t="s">
        <v>322</v>
      </c>
      <c r="D235" s="1930" t="s">
        <v>320</v>
      </c>
      <c r="E235" s="985"/>
      <c r="F235" s="1932"/>
      <c r="G235" s="987"/>
      <c r="H235" s="2608" t="s">
        <v>320</v>
      </c>
      <c r="I235" s="2609"/>
      <c r="J235" s="1932"/>
      <c r="K235" s="987"/>
      <c r="L235" s="2608" t="s">
        <v>320</v>
      </c>
      <c r="M235" s="2609"/>
      <c r="N235" s="2609"/>
      <c r="O235" s="987"/>
      <c r="P235" s="2608" t="s">
        <v>320</v>
      </c>
      <c r="Q235" s="2609"/>
      <c r="R235" s="2609"/>
      <c r="S235" s="987"/>
      <c r="T235" s="2608" t="s">
        <v>304</v>
      </c>
      <c r="U235" s="2609"/>
      <c r="V235" s="1932"/>
      <c r="W235" s="1137"/>
      <c r="X235" s="1142"/>
      <c r="Y235" s="1142"/>
      <c r="Z235" s="2431"/>
      <c r="AA235" s="2614"/>
      <c r="AB235" s="1142"/>
      <c r="AC235" s="1142"/>
      <c r="AD235" s="1142"/>
      <c r="AE235" s="1006"/>
      <c r="AF235" s="1142"/>
      <c r="AG235" s="1142"/>
      <c r="AH235" s="2611"/>
      <c r="AI235" s="1936"/>
      <c r="AJ235" s="123"/>
    </row>
    <row r="236" spans="1:37" ht="18" customHeight="1" x14ac:dyDescent="0.2">
      <c r="A236" s="69"/>
      <c r="B236" s="1137" t="s">
        <v>465</v>
      </c>
      <c r="C236" s="983" t="s">
        <v>451</v>
      </c>
      <c r="D236" s="1930" t="s">
        <v>320</v>
      </c>
      <c r="E236" s="985"/>
      <c r="F236" s="1932"/>
      <c r="G236" s="987"/>
      <c r="H236" s="2608" t="s">
        <v>320</v>
      </c>
      <c r="I236" s="2609"/>
      <c r="J236" s="1932"/>
      <c r="K236" s="987"/>
      <c r="L236" s="2608" t="s">
        <v>320</v>
      </c>
      <c r="M236" s="2609"/>
      <c r="N236" s="2609"/>
      <c r="O236" s="987"/>
      <c r="P236" s="2608" t="s">
        <v>320</v>
      </c>
      <c r="Q236" s="2609"/>
      <c r="R236" s="2609"/>
      <c r="S236" s="987"/>
      <c r="T236" s="2608" t="s">
        <v>304</v>
      </c>
      <c r="U236" s="2609"/>
      <c r="V236" s="1932"/>
      <c r="W236" s="1137"/>
      <c r="X236" s="1142"/>
      <c r="Y236" s="1142"/>
      <c r="Z236" s="2431"/>
      <c r="AA236" s="2614"/>
      <c r="AB236" s="1142"/>
      <c r="AC236" s="1142"/>
      <c r="AD236" s="1142"/>
      <c r="AE236" s="1006"/>
      <c r="AF236" s="1142"/>
      <c r="AG236" s="1142"/>
      <c r="AH236" s="2611"/>
      <c r="AI236" s="1936"/>
      <c r="AJ236" s="123"/>
    </row>
    <row r="237" spans="1:37" ht="18" customHeight="1" x14ac:dyDescent="0.2">
      <c r="A237" s="69"/>
      <c r="B237" s="1011" t="s">
        <v>332</v>
      </c>
      <c r="C237" s="635" t="s">
        <v>414</v>
      </c>
      <c r="D237" s="635"/>
      <c r="E237" s="635"/>
      <c r="F237" s="635" t="s">
        <v>414</v>
      </c>
      <c r="G237" s="635" t="s">
        <v>414</v>
      </c>
      <c r="H237" s="635" t="s">
        <v>297</v>
      </c>
      <c r="I237" s="635" t="s">
        <v>414</v>
      </c>
      <c r="J237" s="635" t="s">
        <v>414</v>
      </c>
      <c r="K237" s="635"/>
      <c r="L237" s="635"/>
      <c r="M237" s="635" t="s">
        <v>414</v>
      </c>
      <c r="N237" s="635" t="s">
        <v>414</v>
      </c>
      <c r="O237" s="635" t="s">
        <v>297</v>
      </c>
      <c r="P237" s="635" t="s">
        <v>414</v>
      </c>
      <c r="Q237" s="635" t="s">
        <v>414</v>
      </c>
      <c r="R237" s="635"/>
      <c r="S237" s="635"/>
      <c r="T237" s="635" t="s">
        <v>414</v>
      </c>
      <c r="U237" s="635" t="s">
        <v>414</v>
      </c>
      <c r="V237" s="635" t="s">
        <v>297</v>
      </c>
      <c r="W237" s="635" t="s">
        <v>414</v>
      </c>
      <c r="X237" s="635" t="s">
        <v>414</v>
      </c>
      <c r="Y237" s="635"/>
      <c r="Z237" s="635"/>
      <c r="AA237" s="635" t="s">
        <v>414</v>
      </c>
      <c r="AB237" s="635" t="s">
        <v>414</v>
      </c>
      <c r="AC237" s="635" t="s">
        <v>297</v>
      </c>
      <c r="AD237" s="635" t="s">
        <v>414</v>
      </c>
      <c r="AE237" s="635" t="s">
        <v>414</v>
      </c>
      <c r="AF237" s="635"/>
      <c r="AG237" s="801"/>
      <c r="AH237" s="116"/>
      <c r="AI237" s="116"/>
    </row>
    <row r="238" spans="1:37" ht="18" customHeight="1" x14ac:dyDescent="0.2">
      <c r="A238" s="69"/>
      <c r="B238" s="1011" t="s">
        <v>333</v>
      </c>
      <c r="C238" s="635" t="s">
        <v>174</v>
      </c>
      <c r="D238" s="635"/>
      <c r="E238" s="635"/>
      <c r="F238" s="635" t="s">
        <v>174</v>
      </c>
      <c r="G238" s="635" t="s">
        <v>174</v>
      </c>
      <c r="H238" s="635" t="s">
        <v>174</v>
      </c>
      <c r="I238" s="635" t="s">
        <v>174</v>
      </c>
      <c r="J238" s="635" t="s">
        <v>174</v>
      </c>
      <c r="K238" s="635"/>
      <c r="L238" s="635"/>
      <c r="M238" s="635" t="s">
        <v>174</v>
      </c>
      <c r="N238" s="635" t="s">
        <v>174</v>
      </c>
      <c r="O238" s="635" t="s">
        <v>174</v>
      </c>
      <c r="P238" s="635" t="s">
        <v>174</v>
      </c>
      <c r="Q238" s="1529" t="s">
        <v>174</v>
      </c>
      <c r="R238" s="635"/>
      <c r="S238" s="635"/>
      <c r="T238" s="635" t="s">
        <v>174</v>
      </c>
      <c r="U238" s="635" t="s">
        <v>174</v>
      </c>
      <c r="V238" s="635" t="s">
        <v>174</v>
      </c>
      <c r="W238" s="635" t="s">
        <v>174</v>
      </c>
      <c r="X238" s="635" t="s">
        <v>174</v>
      </c>
      <c r="Y238" s="635"/>
      <c r="Z238" s="635"/>
      <c r="AA238" s="635" t="s">
        <v>174</v>
      </c>
      <c r="AB238" s="805" t="s">
        <v>174</v>
      </c>
      <c r="AC238" s="805" t="s">
        <v>174</v>
      </c>
      <c r="AD238" s="805" t="s">
        <v>174</v>
      </c>
      <c r="AE238" s="805" t="s">
        <v>174</v>
      </c>
      <c r="AF238" s="635"/>
      <c r="AG238" s="801"/>
      <c r="AH238" s="116"/>
      <c r="AI238" s="116"/>
    </row>
    <row r="239" spans="1:37" ht="18" customHeight="1" x14ac:dyDescent="0.2">
      <c r="A239" s="69"/>
      <c r="B239" s="1012" t="s">
        <v>334</v>
      </c>
      <c r="C239" s="635" t="s">
        <v>154</v>
      </c>
      <c r="D239" s="635"/>
      <c r="E239" s="635"/>
      <c r="F239" s="635" t="s">
        <v>154</v>
      </c>
      <c r="G239" s="799" t="s">
        <v>154</v>
      </c>
      <c r="H239" s="635" t="s">
        <v>154</v>
      </c>
      <c r="I239" s="635" t="s">
        <v>154</v>
      </c>
      <c r="J239" s="635" t="s">
        <v>154</v>
      </c>
      <c r="K239" s="635"/>
      <c r="L239" s="635"/>
      <c r="M239" s="635" t="s">
        <v>154</v>
      </c>
      <c r="N239" s="799" t="s">
        <v>154</v>
      </c>
      <c r="O239" s="635" t="s">
        <v>154</v>
      </c>
      <c r="P239" s="635" t="s">
        <v>154</v>
      </c>
      <c r="Q239" s="635" t="s">
        <v>154</v>
      </c>
      <c r="R239" s="635"/>
      <c r="S239" s="635"/>
      <c r="T239" s="1529" t="s">
        <v>154</v>
      </c>
      <c r="U239" s="799" t="s">
        <v>154</v>
      </c>
      <c r="V239" s="635" t="s">
        <v>154</v>
      </c>
      <c r="W239" s="635" t="s">
        <v>154</v>
      </c>
      <c r="X239" s="635" t="s">
        <v>154</v>
      </c>
      <c r="Y239" s="635"/>
      <c r="Z239" s="635"/>
      <c r="AA239" s="968" t="s">
        <v>154</v>
      </c>
      <c r="AB239" s="968" t="s">
        <v>154</v>
      </c>
      <c r="AC239" s="968" t="s">
        <v>154</v>
      </c>
      <c r="AD239" s="968" t="s">
        <v>154</v>
      </c>
      <c r="AE239" s="968" t="s">
        <v>154</v>
      </c>
      <c r="AF239" s="635"/>
      <c r="AG239" s="801"/>
      <c r="AH239" s="116"/>
      <c r="AI239" s="116"/>
      <c r="AK239" t="s">
        <v>0</v>
      </c>
    </row>
    <row r="240" spans="1:37" ht="18" customHeight="1" x14ac:dyDescent="0.2">
      <c r="A240" s="69"/>
      <c r="B240" s="1011" t="s">
        <v>332</v>
      </c>
      <c r="C240" s="1530" t="s">
        <v>466</v>
      </c>
      <c r="D240" s="635"/>
      <c r="E240" s="635"/>
      <c r="F240" s="635" t="s">
        <v>309</v>
      </c>
      <c r="G240" s="635" t="s">
        <v>309</v>
      </c>
      <c r="H240" s="635" t="s">
        <v>309</v>
      </c>
      <c r="I240" s="635" t="s">
        <v>309</v>
      </c>
      <c r="J240" s="635" t="s">
        <v>309</v>
      </c>
      <c r="K240" s="635"/>
      <c r="L240" s="635"/>
      <c r="M240" s="635" t="s">
        <v>309</v>
      </c>
      <c r="N240" s="635" t="s">
        <v>309</v>
      </c>
      <c r="O240" s="635" t="s">
        <v>309</v>
      </c>
      <c r="P240" s="635" t="s">
        <v>309</v>
      </c>
      <c r="Q240" s="635" t="s">
        <v>309</v>
      </c>
      <c r="R240" s="635"/>
      <c r="S240" s="635"/>
      <c r="T240" s="635" t="s">
        <v>309</v>
      </c>
      <c r="U240" s="635" t="s">
        <v>309</v>
      </c>
      <c r="V240" s="635" t="s">
        <v>309</v>
      </c>
      <c r="W240" s="635" t="s">
        <v>309</v>
      </c>
      <c r="X240" s="635" t="s">
        <v>309</v>
      </c>
      <c r="Y240" s="635"/>
      <c r="Z240" s="635"/>
      <c r="AA240" s="2217" t="s">
        <v>309</v>
      </c>
      <c r="AB240" s="635" t="s">
        <v>309</v>
      </c>
      <c r="AC240" s="635" t="s">
        <v>309</v>
      </c>
      <c r="AD240" s="635" t="s">
        <v>309</v>
      </c>
      <c r="AE240" s="635" t="s">
        <v>309</v>
      </c>
      <c r="AF240" s="635"/>
      <c r="AG240" s="801"/>
      <c r="AH240" s="116"/>
      <c r="AI240" s="116"/>
    </row>
    <row r="241" spans="1:35" ht="18" customHeight="1" x14ac:dyDescent="0.2">
      <c r="A241" s="69"/>
      <c r="B241" s="764"/>
      <c r="C241" s="635" t="s">
        <v>160</v>
      </c>
      <c r="D241" s="635"/>
      <c r="E241" s="635"/>
      <c r="F241" s="635" t="s">
        <v>160</v>
      </c>
      <c r="G241" s="635" t="s">
        <v>160</v>
      </c>
      <c r="H241" s="635" t="s">
        <v>160</v>
      </c>
      <c r="I241" s="635" t="s">
        <v>160</v>
      </c>
      <c r="J241" s="635" t="s">
        <v>160</v>
      </c>
      <c r="K241" s="635"/>
      <c r="L241" s="635"/>
      <c r="M241" s="635" t="s">
        <v>160</v>
      </c>
      <c r="N241" s="635" t="s">
        <v>160</v>
      </c>
      <c r="O241" s="635" t="s">
        <v>160</v>
      </c>
      <c r="P241" s="635" t="s">
        <v>160</v>
      </c>
      <c r="Q241" s="635" t="s">
        <v>160</v>
      </c>
      <c r="R241" s="635"/>
      <c r="S241" s="635"/>
      <c r="T241" s="635" t="s">
        <v>160</v>
      </c>
      <c r="U241" s="635" t="s">
        <v>160</v>
      </c>
      <c r="V241" s="635" t="s">
        <v>160</v>
      </c>
      <c r="W241" s="635" t="s">
        <v>160</v>
      </c>
      <c r="X241" s="635" t="s">
        <v>160</v>
      </c>
      <c r="Y241" s="635"/>
      <c r="Z241" s="635"/>
      <c r="AA241" s="635" t="s">
        <v>160</v>
      </c>
      <c r="AB241" s="635" t="s">
        <v>160</v>
      </c>
      <c r="AC241" s="635" t="s">
        <v>160</v>
      </c>
      <c r="AD241" s="635" t="s">
        <v>160</v>
      </c>
      <c r="AE241" s="635" t="s">
        <v>160</v>
      </c>
      <c r="AF241" s="635"/>
      <c r="AG241" s="1941"/>
      <c r="AH241" s="116"/>
      <c r="AI241" s="116"/>
    </row>
    <row r="242" spans="1:35" ht="18" customHeight="1" x14ac:dyDescent="0.2">
      <c r="A242" s="69"/>
      <c r="B242" s="1011"/>
      <c r="C242" s="635" t="s">
        <v>168</v>
      </c>
      <c r="D242" s="635"/>
      <c r="E242" s="635"/>
      <c r="F242" s="635" t="s">
        <v>168</v>
      </c>
      <c r="G242" s="635" t="s">
        <v>168</v>
      </c>
      <c r="H242" s="635" t="s">
        <v>168</v>
      </c>
      <c r="I242" s="635" t="s">
        <v>168</v>
      </c>
      <c r="J242" s="635" t="s">
        <v>168</v>
      </c>
      <c r="K242" s="635"/>
      <c r="L242" s="635"/>
      <c r="M242" s="635" t="s">
        <v>168</v>
      </c>
      <c r="N242" s="635" t="s">
        <v>168</v>
      </c>
      <c r="O242" s="635" t="s">
        <v>168</v>
      </c>
      <c r="P242" s="635" t="s">
        <v>168</v>
      </c>
      <c r="Q242" s="635" t="s">
        <v>168</v>
      </c>
      <c r="R242" s="635"/>
      <c r="S242" s="635"/>
      <c r="T242" s="635" t="s">
        <v>168</v>
      </c>
      <c r="U242" s="635" t="s">
        <v>168</v>
      </c>
      <c r="V242" s="635" t="s">
        <v>168</v>
      </c>
      <c r="W242" s="635" t="s">
        <v>168</v>
      </c>
      <c r="X242" s="635" t="s">
        <v>168</v>
      </c>
      <c r="Y242" s="635"/>
      <c r="Z242" s="635"/>
      <c r="AA242" s="635" t="s">
        <v>168</v>
      </c>
      <c r="AB242" s="635" t="s">
        <v>168</v>
      </c>
      <c r="AC242" s="635" t="s">
        <v>168</v>
      </c>
      <c r="AD242" s="635" t="s">
        <v>168</v>
      </c>
      <c r="AE242" s="635" t="s">
        <v>168</v>
      </c>
      <c r="AF242" s="635"/>
      <c r="AG242" s="801"/>
      <c r="AH242" s="116"/>
      <c r="AI242" s="116"/>
    </row>
    <row r="243" spans="1:35" ht="18" customHeight="1" x14ac:dyDescent="0.2">
      <c r="A243" s="69"/>
      <c r="B243" s="748" t="s">
        <v>336</v>
      </c>
      <c r="C243" s="635" t="s">
        <v>158</v>
      </c>
      <c r="D243" s="635"/>
      <c r="E243" s="635"/>
      <c r="F243" s="635" t="s">
        <v>158</v>
      </c>
      <c r="G243" s="635" t="s">
        <v>158</v>
      </c>
      <c r="H243" s="635" t="s">
        <v>158</v>
      </c>
      <c r="I243" s="635" t="s">
        <v>158</v>
      </c>
      <c r="J243" s="635" t="s">
        <v>158</v>
      </c>
      <c r="K243" s="635"/>
      <c r="L243" s="635"/>
      <c r="M243" s="635" t="s">
        <v>158</v>
      </c>
      <c r="N243" s="635" t="s">
        <v>158</v>
      </c>
      <c r="O243" s="635" t="s">
        <v>158</v>
      </c>
      <c r="P243" s="635" t="s">
        <v>158</v>
      </c>
      <c r="Q243" s="635" t="s">
        <v>158</v>
      </c>
      <c r="R243" s="635"/>
      <c r="S243" s="635"/>
      <c r="T243" s="635" t="s">
        <v>158</v>
      </c>
      <c r="U243" s="635" t="s">
        <v>158</v>
      </c>
      <c r="V243" s="635" t="s">
        <v>158</v>
      </c>
      <c r="W243" s="635" t="s">
        <v>158</v>
      </c>
      <c r="X243" s="635" t="s">
        <v>158</v>
      </c>
      <c r="Y243" s="635"/>
      <c r="Z243" s="635"/>
      <c r="AA243" s="635" t="s">
        <v>158</v>
      </c>
      <c r="AB243" s="635" t="s">
        <v>158</v>
      </c>
      <c r="AC243" s="635" t="s">
        <v>158</v>
      </c>
      <c r="AD243" s="635" t="s">
        <v>158</v>
      </c>
      <c r="AE243" s="635" t="s">
        <v>158</v>
      </c>
      <c r="AF243" s="635"/>
      <c r="AG243" s="801"/>
      <c r="AH243" s="116"/>
      <c r="AI243" s="116"/>
    </row>
    <row r="244" spans="1:35" ht="18" customHeight="1" x14ac:dyDescent="0.2">
      <c r="A244" s="69"/>
      <c r="B244" s="764" t="s">
        <v>337</v>
      </c>
      <c r="C244" s="968" t="s">
        <v>322</v>
      </c>
      <c r="D244" s="968"/>
      <c r="E244" s="968"/>
      <c r="F244" s="635" t="s">
        <v>322</v>
      </c>
      <c r="G244" s="635" t="s">
        <v>322</v>
      </c>
      <c r="H244" s="635" t="s">
        <v>322</v>
      </c>
      <c r="I244" s="635" t="s">
        <v>322</v>
      </c>
      <c r="J244" s="799" t="s">
        <v>322</v>
      </c>
      <c r="K244" s="799"/>
      <c r="L244" s="799"/>
      <c r="M244" s="805" t="s">
        <v>322</v>
      </c>
      <c r="N244" s="805" t="s">
        <v>322</v>
      </c>
      <c r="O244" s="805" t="s">
        <v>322</v>
      </c>
      <c r="P244" s="805" t="s">
        <v>322</v>
      </c>
      <c r="Q244" s="805" t="s">
        <v>338</v>
      </c>
      <c r="R244" s="799"/>
      <c r="S244" s="799"/>
      <c r="T244" s="635" t="s">
        <v>322</v>
      </c>
      <c r="U244" s="635" t="s">
        <v>322</v>
      </c>
      <c r="V244" s="635" t="s">
        <v>322</v>
      </c>
      <c r="W244" s="635" t="s">
        <v>322</v>
      </c>
      <c r="X244" s="799" t="s">
        <v>322</v>
      </c>
      <c r="Y244" s="799"/>
      <c r="Z244" s="799"/>
      <c r="AA244" s="635" t="s">
        <v>322</v>
      </c>
      <c r="AB244" s="635" t="s">
        <v>322</v>
      </c>
      <c r="AC244" s="635" t="s">
        <v>322</v>
      </c>
      <c r="AD244" s="635" t="s">
        <v>322</v>
      </c>
      <c r="AE244" s="799" t="s">
        <v>322</v>
      </c>
      <c r="AF244" s="799"/>
      <c r="AG244" s="801"/>
      <c r="AH244" s="67"/>
      <c r="AI244" s="67"/>
    </row>
    <row r="245" spans="1:35" ht="18" customHeight="1" x14ac:dyDescent="0.2">
      <c r="A245" s="96"/>
      <c r="B245" s="141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40"/>
      <c r="AF245" s="140"/>
      <c r="AG245" s="140"/>
      <c r="AH245" s="73"/>
    </row>
    <row r="246" spans="1:35" ht="18" customHeight="1" x14ac:dyDescent="0.2">
      <c r="B246" s="338"/>
      <c r="C246" s="106" t="s">
        <v>451</v>
      </c>
      <c r="D246" s="106" t="s">
        <v>451</v>
      </c>
      <c r="E246" s="106" t="s">
        <v>451</v>
      </c>
      <c r="F246" s="106" t="s">
        <v>451</v>
      </c>
      <c r="G246" s="106"/>
      <c r="H246" s="106"/>
      <c r="I246" s="106" t="s">
        <v>451</v>
      </c>
      <c r="J246" s="106" t="s">
        <v>451</v>
      </c>
      <c r="K246" s="106" t="s">
        <v>451</v>
      </c>
      <c r="L246" s="106" t="s">
        <v>451</v>
      </c>
      <c r="M246" s="106" t="s">
        <v>451</v>
      </c>
      <c r="N246" s="106"/>
      <c r="O246" s="106"/>
      <c r="P246" s="106" t="s">
        <v>451</v>
      </c>
      <c r="Q246" s="106" t="s">
        <v>451</v>
      </c>
      <c r="R246" s="106" t="s">
        <v>451</v>
      </c>
      <c r="S246" s="106" t="s">
        <v>451</v>
      </c>
      <c r="T246" s="106" t="s">
        <v>451</v>
      </c>
      <c r="U246" s="106"/>
      <c r="V246" s="106"/>
      <c r="W246" s="106" t="s">
        <v>451</v>
      </c>
      <c r="X246" s="106" t="s">
        <v>451</v>
      </c>
      <c r="Y246" s="106" t="s">
        <v>451</v>
      </c>
      <c r="Z246" s="106" t="s">
        <v>451</v>
      </c>
      <c r="AA246" s="106" t="s">
        <v>451</v>
      </c>
      <c r="AB246" s="106"/>
      <c r="AC246" s="106"/>
      <c r="AD246" s="106" t="s">
        <v>451</v>
      </c>
      <c r="AE246" s="106" t="s">
        <v>451</v>
      </c>
      <c r="AF246" s="106" t="s">
        <v>451</v>
      </c>
      <c r="AG246" s="106" t="s">
        <v>451</v>
      </c>
    </row>
    <row r="247" spans="1:35" ht="18" customHeight="1" x14ac:dyDescent="0.2">
      <c r="A247" s="1" t="s">
        <v>339</v>
      </c>
      <c r="B247" s="37"/>
    </row>
    <row r="248" spans="1:35" ht="18" customHeight="1" x14ac:dyDescent="0.2">
      <c r="A248" s="1"/>
      <c r="B248" s="1014" t="s">
        <v>340</v>
      </c>
      <c r="C248" s="2615" t="s">
        <v>17</v>
      </c>
      <c r="D248" s="2616"/>
      <c r="E248" s="2616"/>
      <c r="F248" s="2616"/>
      <c r="G248" s="2615" t="s">
        <v>18</v>
      </c>
      <c r="H248" s="2616"/>
      <c r="I248" s="2616"/>
      <c r="J248" s="2616"/>
      <c r="K248" s="2615" t="s">
        <v>19</v>
      </c>
      <c r="L248" s="2616"/>
      <c r="M248" s="2616"/>
      <c r="N248" s="2616"/>
      <c r="O248" s="2615" t="s">
        <v>20</v>
      </c>
      <c r="P248" s="2616"/>
      <c r="Q248" s="2616"/>
      <c r="R248" s="2616"/>
      <c r="S248" s="2615" t="s">
        <v>21</v>
      </c>
      <c r="T248" s="2616"/>
      <c r="U248" s="2616"/>
      <c r="V248" s="2616"/>
      <c r="W248" s="2615" t="s">
        <v>22</v>
      </c>
      <c r="X248" s="2415"/>
      <c r="Y248" s="2616"/>
      <c r="Z248" s="2617"/>
      <c r="AA248" s="2615" t="s">
        <v>23</v>
      </c>
      <c r="AB248" s="2415"/>
      <c r="AC248" s="2616"/>
      <c r="AD248" s="2617"/>
      <c r="AE248" s="2618" t="s">
        <v>126</v>
      </c>
      <c r="AF248" s="2616"/>
      <c r="AG248" s="2616"/>
      <c r="AH248" s="2616"/>
      <c r="AI248" s="2270"/>
    </row>
    <row r="249" spans="1:35" ht="18" customHeight="1" x14ac:dyDescent="0.2">
      <c r="A249" s="1"/>
      <c r="B249" s="2619">
        <v>3701</v>
      </c>
      <c r="C249" s="70" t="s">
        <v>341</v>
      </c>
      <c r="D249" s="70"/>
      <c r="E249" s="70"/>
      <c r="F249" s="70"/>
      <c r="G249" s="1807" t="s">
        <v>342</v>
      </c>
      <c r="H249" s="70"/>
      <c r="I249" s="70"/>
      <c r="J249" s="70"/>
      <c r="K249" s="1807" t="s">
        <v>342</v>
      </c>
      <c r="L249" s="70"/>
      <c r="M249" s="70"/>
      <c r="N249" s="70"/>
      <c r="O249" s="1807" t="s">
        <v>342</v>
      </c>
      <c r="P249" s="70"/>
      <c r="Q249" s="70"/>
      <c r="R249" s="70"/>
      <c r="S249" s="1807" t="s">
        <v>343</v>
      </c>
      <c r="T249" s="70"/>
      <c r="U249" s="70"/>
      <c r="V249" s="70"/>
      <c r="W249" s="2272"/>
      <c r="X249" s="2620"/>
      <c r="Y249" s="2116"/>
      <c r="Z249" s="2621"/>
      <c r="AA249" s="2272"/>
      <c r="AB249" s="2620"/>
      <c r="AC249" s="2116"/>
      <c r="AD249" s="2621"/>
      <c r="AE249" s="2553"/>
      <c r="AF249" s="2116"/>
      <c r="AG249" s="2116"/>
      <c r="AH249" s="2116"/>
      <c r="AI249" s="2603"/>
    </row>
    <row r="250" spans="1:35" ht="18" customHeight="1" x14ac:dyDescent="0.2">
      <c r="B250" s="1014">
        <v>3700</v>
      </c>
      <c r="C250" s="2116" t="s">
        <v>249</v>
      </c>
      <c r="D250" s="2116"/>
      <c r="E250" s="2116"/>
      <c r="F250" s="2116"/>
      <c r="G250" s="2622" t="s">
        <v>249</v>
      </c>
      <c r="H250" s="2116"/>
      <c r="I250" s="2116"/>
      <c r="J250" s="2116"/>
      <c r="K250" s="2622" t="s">
        <v>249</v>
      </c>
      <c r="L250" s="2116"/>
      <c r="M250" s="2116"/>
      <c r="N250" s="2116"/>
      <c r="O250" s="2622" t="s">
        <v>249</v>
      </c>
      <c r="P250" s="2116"/>
      <c r="Q250" s="2116"/>
      <c r="R250" s="2116"/>
      <c r="S250" s="2622" t="s">
        <v>250</v>
      </c>
      <c r="T250" s="2116"/>
      <c r="U250" s="2116"/>
      <c r="V250" s="2116"/>
      <c r="W250" s="2272"/>
      <c r="X250" s="2116"/>
      <c r="Y250" s="2116"/>
      <c r="Z250" s="2555"/>
      <c r="AA250" s="2553"/>
      <c r="AB250" s="2116"/>
      <c r="AC250" s="2116"/>
      <c r="AD250" s="2169"/>
      <c r="AE250" s="2623"/>
      <c r="AF250" s="2116"/>
      <c r="AG250" s="2116"/>
      <c r="AH250" s="2169"/>
      <c r="AI250" s="2603"/>
    </row>
    <row r="251" spans="1:35" ht="18" customHeight="1" x14ac:dyDescent="0.2">
      <c r="A251" s="1"/>
      <c r="B251" s="1014">
        <v>8514</v>
      </c>
      <c r="C251" s="2116" t="s">
        <v>342</v>
      </c>
      <c r="D251" s="2116"/>
      <c r="E251" s="2116"/>
      <c r="F251" s="2116"/>
      <c r="G251" s="2622" t="s">
        <v>342</v>
      </c>
      <c r="H251" s="2116"/>
      <c r="I251" s="2116"/>
      <c r="J251" s="2116"/>
      <c r="K251" s="2622" t="s">
        <v>342</v>
      </c>
      <c r="L251" s="2116"/>
      <c r="M251" s="2116"/>
      <c r="N251" s="2116"/>
      <c r="O251" s="2622" t="s">
        <v>342</v>
      </c>
      <c r="P251" s="2116"/>
      <c r="Q251" s="2116"/>
      <c r="R251" s="2116"/>
      <c r="S251" s="2622" t="s">
        <v>344</v>
      </c>
      <c r="T251" s="2116"/>
      <c r="U251" s="2116"/>
      <c r="V251" s="2116"/>
      <c r="W251" s="2272"/>
      <c r="X251" s="2116"/>
      <c r="Y251" s="2116"/>
      <c r="Z251" s="2555"/>
      <c r="AA251" s="2168"/>
      <c r="AB251" s="2116"/>
      <c r="AC251" s="2116"/>
      <c r="AD251" s="2169"/>
      <c r="AE251" s="2168"/>
      <c r="AF251" s="2116"/>
      <c r="AG251" s="2116"/>
      <c r="AH251" s="2169"/>
      <c r="AI251" s="2603"/>
    </row>
    <row r="252" spans="1:35" ht="18" customHeight="1" x14ac:dyDescent="0.2">
      <c r="A252" s="1"/>
      <c r="B252" s="1014">
        <v>8500</v>
      </c>
      <c r="C252" s="875" t="s">
        <v>345</v>
      </c>
      <c r="D252" s="875"/>
      <c r="E252" s="875"/>
      <c r="F252" s="875"/>
      <c r="G252" s="1022" t="s">
        <v>345</v>
      </c>
      <c r="H252" s="875"/>
      <c r="I252" s="875"/>
      <c r="J252" s="875"/>
      <c r="K252" s="1022" t="s">
        <v>345</v>
      </c>
      <c r="L252" s="875"/>
      <c r="M252" s="875"/>
      <c r="N252" s="875"/>
      <c r="O252" s="1022" t="s">
        <v>345</v>
      </c>
      <c r="P252" s="875"/>
      <c r="Q252" s="875"/>
      <c r="R252" s="875"/>
      <c r="S252" s="1022" t="s">
        <v>346</v>
      </c>
      <c r="T252" s="875"/>
      <c r="U252" s="875"/>
      <c r="V252" s="875"/>
      <c r="W252" s="2272"/>
      <c r="X252" s="875"/>
      <c r="Y252" s="875"/>
      <c r="Z252" s="1023"/>
      <c r="AA252" s="1024"/>
      <c r="AB252" s="875"/>
      <c r="AC252" s="875"/>
      <c r="AD252" s="1023"/>
      <c r="AE252" s="1024"/>
      <c r="AF252" s="875"/>
      <c r="AG252" s="875"/>
      <c r="AH252" s="1025"/>
      <c r="AI252" s="1026"/>
    </row>
    <row r="253" spans="1:35" ht="18" customHeight="1" x14ac:dyDescent="0.2">
      <c r="A253" s="1"/>
      <c r="B253" s="1014">
        <v>8514</v>
      </c>
      <c r="C253" s="1027" t="s">
        <v>342</v>
      </c>
      <c r="D253" s="1027"/>
      <c r="E253" s="1027"/>
      <c r="F253" s="1027"/>
      <c r="G253" s="1028" t="s">
        <v>342</v>
      </c>
      <c r="H253" s="1027"/>
      <c r="I253" s="1027"/>
      <c r="J253" s="1027"/>
      <c r="K253" s="1028" t="s">
        <v>342</v>
      </c>
      <c r="L253" s="1027"/>
      <c r="M253" s="1027"/>
      <c r="N253" s="1027"/>
      <c r="O253" s="1028" t="s">
        <v>342</v>
      </c>
      <c r="P253" s="1027"/>
      <c r="Q253" s="1027"/>
      <c r="R253" s="1027"/>
      <c r="S253" s="1028" t="s">
        <v>344</v>
      </c>
      <c r="T253" s="1027"/>
      <c r="U253" s="1027"/>
      <c r="V253" s="1027"/>
      <c r="W253" s="2624"/>
      <c r="X253" s="1030"/>
      <c r="Y253" s="875"/>
      <c r="Z253" s="1031"/>
      <c r="AA253" s="1032"/>
      <c r="AB253" s="1030"/>
      <c r="AC253" s="875"/>
      <c r="AD253" s="875"/>
      <c r="AE253" s="1033"/>
      <c r="AF253" s="875"/>
      <c r="AG253" s="875"/>
      <c r="AH253" s="875"/>
      <c r="AI253" s="1026"/>
    </row>
    <row r="254" spans="1:35" ht="18" customHeight="1" x14ac:dyDescent="0.2">
      <c r="A254" s="1"/>
      <c r="B254" s="1034" t="s">
        <v>347</v>
      </c>
      <c r="C254" s="2123" t="s">
        <v>10</v>
      </c>
      <c r="D254" s="2123"/>
      <c r="E254" s="2123"/>
      <c r="F254" s="2123"/>
      <c r="G254" s="2625" t="s">
        <v>10</v>
      </c>
      <c r="H254" s="2123"/>
      <c r="I254" s="2123"/>
      <c r="J254" s="2123"/>
      <c r="K254" s="2500" t="s">
        <v>10</v>
      </c>
      <c r="L254" s="2123"/>
      <c r="M254" s="2123"/>
      <c r="N254" s="2123"/>
      <c r="O254" s="2625" t="s">
        <v>10</v>
      </c>
      <c r="P254" s="2123"/>
      <c r="Q254" s="2123"/>
      <c r="R254" s="2123"/>
      <c r="S254" s="2625" t="s">
        <v>10</v>
      </c>
      <c r="T254" s="2123"/>
      <c r="U254" s="2123"/>
      <c r="V254" s="2123"/>
      <c r="W254" s="2500"/>
      <c r="X254" s="2123"/>
      <c r="Y254" s="2123"/>
      <c r="Z254" s="2595"/>
      <c r="AA254" s="2566"/>
      <c r="AB254" s="2123"/>
      <c r="AC254" s="2123"/>
      <c r="AD254" s="2573"/>
      <c r="AE254" s="2626"/>
      <c r="AF254" s="2123"/>
      <c r="AG254" s="2123"/>
      <c r="AH254" s="2573"/>
      <c r="AI254" s="2126"/>
    </row>
    <row r="255" spans="1:35" ht="18" customHeight="1" x14ac:dyDescent="0.2">
      <c r="A255" s="1"/>
      <c r="B255" s="5"/>
      <c r="C255" s="42"/>
      <c r="D255" s="70"/>
      <c r="E255" s="70"/>
      <c r="F255" s="46"/>
      <c r="G255" s="42"/>
      <c r="H255" s="70"/>
      <c r="I255" s="70"/>
      <c r="J255" s="46"/>
      <c r="K255" s="42"/>
      <c r="L255" s="70"/>
      <c r="M255" s="70"/>
      <c r="N255" s="46"/>
      <c r="O255" s="42"/>
      <c r="P255" s="70"/>
      <c r="Q255" s="70"/>
      <c r="R255" s="46"/>
      <c r="S255" s="42"/>
      <c r="T255" s="70"/>
      <c r="U255" s="70"/>
      <c r="V255" s="46"/>
      <c r="W255" s="46"/>
      <c r="Z255" s="46"/>
      <c r="AA255" s="46"/>
      <c r="AD255" s="46"/>
      <c r="AE255" s="46"/>
      <c r="AH255" s="46"/>
    </row>
    <row r="256" spans="1:35" ht="18" customHeight="1" x14ac:dyDescent="0.2">
      <c r="A256" s="1" t="s">
        <v>348</v>
      </c>
      <c r="B256" s="5"/>
      <c r="C256" s="42"/>
      <c r="D256" s="70"/>
      <c r="E256" s="70"/>
      <c r="F256" s="46"/>
      <c r="G256" s="42"/>
      <c r="H256" s="70"/>
      <c r="I256" s="70"/>
      <c r="J256" s="46"/>
      <c r="K256" s="42"/>
      <c r="L256" s="70"/>
      <c r="M256" s="70"/>
      <c r="N256" s="46"/>
      <c r="O256" s="42"/>
      <c r="P256" s="70"/>
      <c r="Q256" s="70"/>
      <c r="R256" s="46"/>
      <c r="S256" s="42"/>
      <c r="T256" s="70"/>
      <c r="U256" s="70"/>
      <c r="V256" s="46"/>
      <c r="W256" s="46"/>
      <c r="Z256" s="46"/>
      <c r="AA256" s="46"/>
      <c r="AD256" s="46"/>
      <c r="AE256" s="46"/>
      <c r="AH256" s="46"/>
    </row>
    <row r="257" spans="1:35" ht="18" customHeight="1" x14ac:dyDescent="0.2">
      <c r="A257" s="2543"/>
      <c r="B257" s="2128" t="s">
        <v>44</v>
      </c>
      <c r="C257" s="2383">
        <v>1</v>
      </c>
      <c r="D257" s="2384">
        <v>2</v>
      </c>
      <c r="E257" s="2384">
        <v>3</v>
      </c>
      <c r="F257" s="2383">
        <v>4</v>
      </c>
      <c r="G257" s="2383">
        <v>5</v>
      </c>
      <c r="H257" s="2383">
        <v>6</v>
      </c>
      <c r="I257" s="2383">
        <v>7</v>
      </c>
      <c r="J257" s="2383">
        <v>8</v>
      </c>
      <c r="K257" s="2384">
        <v>9</v>
      </c>
      <c r="L257" s="2384">
        <v>10</v>
      </c>
      <c r="M257" s="2383">
        <v>11</v>
      </c>
      <c r="N257" s="2383">
        <v>12</v>
      </c>
      <c r="O257" s="2383">
        <v>13</v>
      </c>
      <c r="P257" s="2383">
        <v>14</v>
      </c>
      <c r="Q257" s="2383">
        <v>15</v>
      </c>
      <c r="R257" s="2384">
        <v>16</v>
      </c>
      <c r="S257" s="2384">
        <v>17</v>
      </c>
      <c r="T257" s="2383">
        <v>18</v>
      </c>
      <c r="U257" s="2383">
        <v>19</v>
      </c>
      <c r="V257" s="2383">
        <v>20</v>
      </c>
      <c r="W257" s="2383">
        <v>21</v>
      </c>
      <c r="X257" s="2383">
        <v>22</v>
      </c>
      <c r="Y257" s="2384">
        <v>23</v>
      </c>
      <c r="Z257" s="2384">
        <v>24</v>
      </c>
      <c r="AA257" s="2383">
        <v>25</v>
      </c>
      <c r="AB257" s="2383">
        <v>26</v>
      </c>
      <c r="AC257" s="2383">
        <v>27</v>
      </c>
      <c r="AD257" s="2383">
        <v>28</v>
      </c>
      <c r="AE257" s="2383">
        <v>29</v>
      </c>
      <c r="AF257" s="2384">
        <v>30</v>
      </c>
      <c r="AG257" s="2026"/>
      <c r="AH257" s="110"/>
      <c r="AI257" s="111"/>
    </row>
    <row r="258" spans="1:35" ht="18" customHeight="1" x14ac:dyDescent="0.2">
      <c r="A258" s="2627"/>
      <c r="B258" s="2628" t="s">
        <v>349</v>
      </c>
      <c r="C258" s="2040" t="s">
        <v>46</v>
      </c>
      <c r="D258" s="2040"/>
      <c r="E258" s="2040"/>
      <c r="F258" s="2045" t="s">
        <v>46</v>
      </c>
      <c r="G258" s="2040" t="s">
        <v>46</v>
      </c>
      <c r="H258" s="2040" t="s">
        <v>46</v>
      </c>
      <c r="I258" s="2040" t="s">
        <v>46</v>
      </c>
      <c r="J258" s="2040" t="s">
        <v>46</v>
      </c>
      <c r="K258" s="2040"/>
      <c r="L258" s="2040"/>
      <c r="M258" s="2040" t="s">
        <v>46</v>
      </c>
      <c r="N258" s="2144" t="s">
        <v>46</v>
      </c>
      <c r="O258" s="2040" t="s">
        <v>46</v>
      </c>
      <c r="P258" s="2047" t="s">
        <v>46</v>
      </c>
      <c r="Q258" s="2047" t="s">
        <v>46</v>
      </c>
      <c r="R258" s="2047"/>
      <c r="S258" s="2047"/>
      <c r="T258" s="2040" t="s">
        <v>46</v>
      </c>
      <c r="U258" s="2040" t="s">
        <v>46</v>
      </c>
      <c r="V258" s="2045" t="s">
        <v>46</v>
      </c>
      <c r="W258" s="2040" t="s">
        <v>46</v>
      </c>
      <c r="X258" s="2040" t="s">
        <v>46</v>
      </c>
      <c r="Y258" s="2040"/>
      <c r="Z258" s="2040"/>
      <c r="AA258" s="2045" t="s">
        <v>46</v>
      </c>
      <c r="AB258" s="2040" t="s">
        <v>46</v>
      </c>
      <c r="AC258" s="2040" t="s">
        <v>46</v>
      </c>
      <c r="AD258" s="2040" t="s">
        <v>46</v>
      </c>
      <c r="AE258" s="2040" t="s">
        <v>46</v>
      </c>
      <c r="AF258" s="2040"/>
      <c r="AG258" s="2442"/>
      <c r="AH258" s="110"/>
      <c r="AI258" s="111"/>
    </row>
    <row r="259" spans="1:35" ht="18" customHeight="1" x14ac:dyDescent="0.2">
      <c r="A259" s="1039"/>
      <c r="B259" s="1040" t="s">
        <v>350</v>
      </c>
      <c r="C259" s="818"/>
      <c r="D259" s="818"/>
      <c r="E259" s="818"/>
      <c r="F259" s="818"/>
      <c r="G259" s="636"/>
      <c r="H259" s="636"/>
      <c r="I259" s="636"/>
      <c r="J259" s="818"/>
      <c r="K259" s="818"/>
      <c r="L259" s="818"/>
      <c r="M259" s="818"/>
      <c r="N259" s="636"/>
      <c r="O259" s="636"/>
      <c r="P259" s="636"/>
      <c r="Q259" s="818"/>
      <c r="R259" s="818"/>
      <c r="S259" s="818"/>
      <c r="T259" s="818"/>
      <c r="U259" s="636"/>
      <c r="V259" s="636"/>
      <c r="W259" s="636"/>
      <c r="X259" s="818"/>
      <c r="Y259" s="818"/>
      <c r="Z259" s="818"/>
      <c r="AA259" s="818"/>
      <c r="AB259" s="636"/>
      <c r="AC259" s="636"/>
      <c r="AD259" s="636"/>
      <c r="AE259" s="818"/>
      <c r="AF259" s="818"/>
      <c r="AG259" s="1041"/>
      <c r="AH259" s="110"/>
      <c r="AI259" s="111"/>
    </row>
    <row r="260" spans="1:35" ht="18" customHeight="1" x14ac:dyDescent="0.2">
      <c r="A260" s="1042">
        <v>8514</v>
      </c>
      <c r="B260" s="1043" t="s">
        <v>351</v>
      </c>
      <c r="C260" s="2040" t="s">
        <v>46</v>
      </c>
      <c r="D260" s="2040"/>
      <c r="E260" s="2040"/>
      <c r="F260" s="2045" t="s">
        <v>46</v>
      </c>
      <c r="G260" s="2040" t="s">
        <v>46</v>
      </c>
      <c r="H260" s="2040" t="s">
        <v>46</v>
      </c>
      <c r="I260" s="2040" t="s">
        <v>46</v>
      </c>
      <c r="J260" s="2040" t="s">
        <v>46</v>
      </c>
      <c r="K260" s="2040"/>
      <c r="L260" s="2040"/>
      <c r="M260" s="2040" t="s">
        <v>46</v>
      </c>
      <c r="N260" s="2144" t="s">
        <v>46</v>
      </c>
      <c r="O260" s="2040" t="s">
        <v>46</v>
      </c>
      <c r="P260" s="2047" t="s">
        <v>46</v>
      </c>
      <c r="Q260" s="2047" t="s">
        <v>46</v>
      </c>
      <c r="R260" s="2047"/>
      <c r="S260" s="2047"/>
      <c r="T260" s="2040" t="s">
        <v>46</v>
      </c>
      <c r="U260" s="2194" t="s">
        <v>46</v>
      </c>
      <c r="V260" s="2045" t="s">
        <v>46</v>
      </c>
      <c r="W260" s="2040" t="s">
        <v>46</v>
      </c>
      <c r="X260" s="2040" t="s">
        <v>46</v>
      </c>
      <c r="Y260" s="2040"/>
      <c r="Z260" s="2040"/>
      <c r="AA260" s="2045" t="s">
        <v>46</v>
      </c>
      <c r="AB260" s="2071" t="s">
        <v>46</v>
      </c>
      <c r="AC260" s="2040" t="s">
        <v>46</v>
      </c>
      <c r="AD260" s="2040" t="s">
        <v>46</v>
      </c>
      <c r="AE260" s="2040" t="s">
        <v>46</v>
      </c>
      <c r="AF260" s="2040"/>
      <c r="AG260" s="2442"/>
      <c r="AH260" s="115"/>
      <c r="AI260" s="116"/>
    </row>
    <row r="261" spans="1:35" ht="18" customHeight="1" x14ac:dyDescent="0.2">
      <c r="A261" s="1042">
        <v>3701</v>
      </c>
      <c r="B261" s="1044" t="s">
        <v>352</v>
      </c>
      <c r="C261" s="818"/>
      <c r="D261" s="818"/>
      <c r="E261" s="818"/>
      <c r="F261" s="818"/>
      <c r="G261" s="636"/>
      <c r="H261" s="636"/>
      <c r="I261" s="636"/>
      <c r="J261" s="818"/>
      <c r="K261" s="818"/>
      <c r="L261" s="818"/>
      <c r="M261" s="818"/>
      <c r="N261" s="636"/>
      <c r="O261" s="636"/>
      <c r="P261" s="636"/>
      <c r="Q261" s="818"/>
      <c r="R261" s="818"/>
      <c r="S261" s="818"/>
      <c r="T261" s="818"/>
      <c r="U261" s="636"/>
      <c r="V261" s="636"/>
      <c r="W261" s="636"/>
      <c r="X261" s="818"/>
      <c r="Y261" s="818"/>
      <c r="Z261" s="818"/>
      <c r="AA261" s="818"/>
      <c r="AB261" s="636"/>
      <c r="AC261" s="636"/>
      <c r="AD261" s="636"/>
      <c r="AE261" s="818"/>
      <c r="AF261" s="818"/>
      <c r="AG261" s="1041"/>
      <c r="AH261" s="115"/>
      <c r="AI261" s="116"/>
    </row>
    <row r="262" spans="1:35" ht="18" customHeight="1" x14ac:dyDescent="0.2">
      <c r="A262" s="1042">
        <v>3701</v>
      </c>
      <c r="B262" s="1012" t="s">
        <v>353</v>
      </c>
      <c r="C262" s="2071" t="s">
        <v>46</v>
      </c>
      <c r="D262" s="2040"/>
      <c r="E262" s="2040"/>
      <c r="F262" s="2045" t="s">
        <v>46</v>
      </c>
      <c r="G262" s="2040" t="s">
        <v>46</v>
      </c>
      <c r="H262" s="2040" t="s">
        <v>46</v>
      </c>
      <c r="I262" s="2040" t="s">
        <v>46</v>
      </c>
      <c r="J262" s="2040" t="s">
        <v>46</v>
      </c>
      <c r="K262" s="2040"/>
      <c r="L262" s="2040"/>
      <c r="M262" s="2040" t="s">
        <v>46</v>
      </c>
      <c r="N262" s="2144" t="s">
        <v>46</v>
      </c>
      <c r="O262" s="2040" t="s">
        <v>46</v>
      </c>
      <c r="P262" s="2047" t="s">
        <v>46</v>
      </c>
      <c r="Q262" s="2047" t="s">
        <v>46</v>
      </c>
      <c r="R262" s="2047"/>
      <c r="S262" s="2047"/>
      <c r="T262" s="2040" t="s">
        <v>46</v>
      </c>
      <c r="U262" s="2071" t="s">
        <v>46</v>
      </c>
      <c r="V262" s="2071" t="s">
        <v>46</v>
      </c>
      <c r="W262" s="2040" t="s">
        <v>46</v>
      </c>
      <c r="X262" s="2040" t="s">
        <v>46</v>
      </c>
      <c r="Y262" s="2040"/>
      <c r="Z262" s="2040"/>
      <c r="AA262" s="2045" t="s">
        <v>46</v>
      </c>
      <c r="AB262" s="2040" t="s">
        <v>46</v>
      </c>
      <c r="AC262" s="2040" t="s">
        <v>46</v>
      </c>
      <c r="AD262" s="2040" t="s">
        <v>46</v>
      </c>
      <c r="AE262" s="2040" t="s">
        <v>46</v>
      </c>
      <c r="AF262" s="2040"/>
      <c r="AG262" s="2442"/>
      <c r="AH262" s="115"/>
      <c r="AI262" s="116"/>
    </row>
    <row r="263" spans="1:35" ht="18" customHeight="1" x14ac:dyDescent="0.2">
      <c r="A263" s="1042">
        <v>3701</v>
      </c>
      <c r="B263" s="1012" t="s">
        <v>354</v>
      </c>
      <c r="C263" s="2040" t="s">
        <v>46</v>
      </c>
      <c r="D263" s="2040"/>
      <c r="E263" s="2040"/>
      <c r="F263" s="2045" t="s">
        <v>46</v>
      </c>
      <c r="G263" s="2040" t="s">
        <v>46</v>
      </c>
      <c r="H263" s="2040" t="s">
        <v>46</v>
      </c>
      <c r="I263" s="2040" t="s">
        <v>46</v>
      </c>
      <c r="J263" s="2040" t="s">
        <v>46</v>
      </c>
      <c r="K263" s="2040"/>
      <c r="L263" s="2040"/>
      <c r="M263" s="2071" t="s">
        <v>46</v>
      </c>
      <c r="N263" s="2144" t="s">
        <v>46</v>
      </c>
      <c r="O263" s="2040" t="s">
        <v>46</v>
      </c>
      <c r="P263" s="2047" t="s">
        <v>46</v>
      </c>
      <c r="Q263" s="2047" t="s">
        <v>46</v>
      </c>
      <c r="R263" s="2047"/>
      <c r="S263" s="2047"/>
      <c r="T263" s="2071" t="s">
        <v>46</v>
      </c>
      <c r="U263" s="2040" t="s">
        <v>46</v>
      </c>
      <c r="V263" s="2045" t="s">
        <v>46</v>
      </c>
      <c r="W263" s="2040" t="s">
        <v>46</v>
      </c>
      <c r="X263" s="2040" t="s">
        <v>46</v>
      </c>
      <c r="Y263" s="2040"/>
      <c r="Z263" s="2040"/>
      <c r="AA263" s="2071" t="s">
        <v>46</v>
      </c>
      <c r="AB263" s="2040" t="s">
        <v>46</v>
      </c>
      <c r="AC263" s="2040" t="s">
        <v>46</v>
      </c>
      <c r="AD263" s="2040" t="s">
        <v>46</v>
      </c>
      <c r="AE263" s="2040" t="s">
        <v>46</v>
      </c>
      <c r="AF263" s="2040"/>
      <c r="AG263" s="2442"/>
      <c r="AH263" s="115"/>
      <c r="AI263" s="116"/>
    </row>
    <row r="264" spans="1:35" ht="18" customHeight="1" x14ac:dyDescent="0.2">
      <c r="A264" s="1042">
        <v>3701</v>
      </c>
      <c r="B264" s="1012" t="s">
        <v>355</v>
      </c>
      <c r="C264" s="2040" t="s">
        <v>46</v>
      </c>
      <c r="D264" s="2040"/>
      <c r="E264" s="2040"/>
      <c r="F264" s="2045" t="s">
        <v>46</v>
      </c>
      <c r="G264" s="2040" t="s">
        <v>46</v>
      </c>
      <c r="H264" s="2040" t="s">
        <v>46</v>
      </c>
      <c r="I264" s="2040" t="s">
        <v>46</v>
      </c>
      <c r="J264" s="2040" t="s">
        <v>46</v>
      </c>
      <c r="K264" s="2040"/>
      <c r="L264" s="2040"/>
      <c r="M264" s="2040" t="s">
        <v>46</v>
      </c>
      <c r="N264" s="2144" t="s">
        <v>46</v>
      </c>
      <c r="O264" s="2040" t="s">
        <v>46</v>
      </c>
      <c r="P264" s="2047" t="s">
        <v>46</v>
      </c>
      <c r="Q264" s="2047" t="s">
        <v>46</v>
      </c>
      <c r="R264" s="2047"/>
      <c r="S264" s="2047"/>
      <c r="T264" s="2040" t="s">
        <v>46</v>
      </c>
      <c r="U264" s="2040" t="s">
        <v>46</v>
      </c>
      <c r="V264" s="2045" t="s">
        <v>46</v>
      </c>
      <c r="W264" s="2040" t="s">
        <v>46</v>
      </c>
      <c r="X264" s="2195" t="s">
        <v>46</v>
      </c>
      <c r="Y264" s="2040"/>
      <c r="Z264" s="2040"/>
      <c r="AA264" s="2045" t="s">
        <v>46</v>
      </c>
      <c r="AB264" s="2040" t="s">
        <v>46</v>
      </c>
      <c r="AC264" s="2040" t="s">
        <v>46</v>
      </c>
      <c r="AD264" s="2040" t="s">
        <v>46</v>
      </c>
      <c r="AE264" s="2132" t="s">
        <v>79</v>
      </c>
      <c r="AF264" s="2040"/>
      <c r="AG264" s="2442"/>
      <c r="AH264" s="115"/>
      <c r="AI264" s="116"/>
    </row>
    <row r="265" spans="1:35" ht="18" customHeight="1" x14ac:dyDescent="0.2">
      <c r="A265" s="1042">
        <v>3701</v>
      </c>
      <c r="B265" s="1044" t="s">
        <v>357</v>
      </c>
      <c r="C265" s="818"/>
      <c r="D265" s="818"/>
      <c r="E265" s="818"/>
      <c r="F265" s="818"/>
      <c r="G265" s="636"/>
      <c r="H265" s="636"/>
      <c r="I265" s="636"/>
      <c r="J265" s="818"/>
      <c r="K265" s="818"/>
      <c r="L265" s="818"/>
      <c r="M265" s="818"/>
      <c r="N265" s="636"/>
      <c r="O265" s="636"/>
      <c r="P265" s="636"/>
      <c r="Q265" s="818"/>
      <c r="R265" s="818"/>
      <c r="S265" s="818"/>
      <c r="T265" s="818"/>
      <c r="U265" s="636"/>
      <c r="V265" s="636"/>
      <c r="W265" s="636"/>
      <c r="X265" s="818"/>
      <c r="Y265" s="818"/>
      <c r="Z265" s="818"/>
      <c r="AA265" s="818"/>
      <c r="AB265" s="636"/>
      <c r="AC265" s="636"/>
      <c r="AD265" s="636"/>
      <c r="AE265" s="818"/>
      <c r="AF265" s="818"/>
      <c r="AG265" s="1041"/>
      <c r="AH265" s="115"/>
      <c r="AI265" s="116"/>
    </row>
    <row r="266" spans="1:35" ht="18" customHeight="1" x14ac:dyDescent="0.2">
      <c r="A266" s="1042">
        <v>3701</v>
      </c>
      <c r="B266" s="1012" t="s">
        <v>358</v>
      </c>
      <c r="C266" s="818" t="s">
        <v>46</v>
      </c>
      <c r="D266" s="818"/>
      <c r="E266" s="818"/>
      <c r="F266" s="818" t="s">
        <v>46</v>
      </c>
      <c r="G266" s="636" t="s">
        <v>46</v>
      </c>
      <c r="H266" s="636" t="s">
        <v>46</v>
      </c>
      <c r="I266" s="636" t="s">
        <v>46</v>
      </c>
      <c r="J266" s="818" t="s">
        <v>46</v>
      </c>
      <c r="K266" s="818"/>
      <c r="L266" s="818"/>
      <c r="M266" s="818" t="s">
        <v>46</v>
      </c>
      <c r="N266" s="636" t="s">
        <v>46</v>
      </c>
      <c r="O266" s="636" t="s">
        <v>46</v>
      </c>
      <c r="P266" s="636" t="s">
        <v>46</v>
      </c>
      <c r="Q266" s="818" t="s">
        <v>46</v>
      </c>
      <c r="R266" s="818"/>
      <c r="S266" s="818"/>
      <c r="T266" s="818" t="s">
        <v>46</v>
      </c>
      <c r="U266" s="636" t="s">
        <v>46</v>
      </c>
      <c r="V266" s="636" t="s">
        <v>46</v>
      </c>
      <c r="W266" s="636" t="s">
        <v>46</v>
      </c>
      <c r="X266" s="818" t="s">
        <v>46</v>
      </c>
      <c r="Y266" s="818"/>
      <c r="Z266" s="818"/>
      <c r="AA266" s="818" t="s">
        <v>46</v>
      </c>
      <c r="AB266" s="636" t="s">
        <v>46</v>
      </c>
      <c r="AC266" s="636" t="s">
        <v>46</v>
      </c>
      <c r="AD266" s="636" t="s">
        <v>46</v>
      </c>
      <c r="AE266" s="818" t="s">
        <v>46</v>
      </c>
      <c r="AF266" s="818"/>
      <c r="AG266" s="1041"/>
      <c r="AH266" s="115"/>
      <c r="AI266" s="116"/>
    </row>
    <row r="267" spans="1:35" ht="18" customHeight="1" x14ac:dyDescent="0.2">
      <c r="A267" s="1042">
        <v>3701</v>
      </c>
      <c r="B267" s="1012" t="s">
        <v>359</v>
      </c>
      <c r="C267" s="818" t="s">
        <v>46</v>
      </c>
      <c r="D267" s="818"/>
      <c r="E267" s="818"/>
      <c r="F267" s="818" t="s">
        <v>46</v>
      </c>
      <c r="G267" s="636" t="s">
        <v>46</v>
      </c>
      <c r="H267" s="636" t="s">
        <v>46</v>
      </c>
      <c r="I267" s="636" t="s">
        <v>46</v>
      </c>
      <c r="J267" s="818" t="s">
        <v>46</v>
      </c>
      <c r="K267" s="818"/>
      <c r="L267" s="818"/>
      <c r="M267" s="818" t="s">
        <v>46</v>
      </c>
      <c r="N267" s="635" t="s">
        <v>46</v>
      </c>
      <c r="O267" s="636" t="s">
        <v>46</v>
      </c>
      <c r="P267" s="636" t="s">
        <v>46</v>
      </c>
      <c r="Q267" s="818" t="s">
        <v>46</v>
      </c>
      <c r="R267" s="818"/>
      <c r="S267" s="818"/>
      <c r="T267" s="818" t="s">
        <v>46</v>
      </c>
      <c r="U267" s="636" t="s">
        <v>46</v>
      </c>
      <c r="V267" s="636" t="s">
        <v>46</v>
      </c>
      <c r="W267" s="636" t="s">
        <v>46</v>
      </c>
      <c r="X267" s="818" t="s">
        <v>46</v>
      </c>
      <c r="Y267" s="818"/>
      <c r="Z267" s="818"/>
      <c r="AA267" s="818" t="s">
        <v>46</v>
      </c>
      <c r="AB267" s="636" t="s">
        <v>46</v>
      </c>
      <c r="AC267" s="636" t="s">
        <v>46</v>
      </c>
      <c r="AD267" s="636" t="s">
        <v>46</v>
      </c>
      <c r="AE267" s="818" t="s">
        <v>46</v>
      </c>
      <c r="AF267" s="818"/>
      <c r="AG267" s="1041"/>
      <c r="AH267" s="115"/>
      <c r="AI267" s="116"/>
    </row>
    <row r="268" spans="1:35" ht="18" customHeight="1" x14ac:dyDescent="0.2">
      <c r="A268" s="1046">
        <v>3701</v>
      </c>
      <c r="B268" s="1012" t="s">
        <v>360</v>
      </c>
      <c r="C268" s="818" t="s">
        <v>46</v>
      </c>
      <c r="D268" s="818"/>
      <c r="E268" s="818"/>
      <c r="F268" s="968" t="s">
        <v>46</v>
      </c>
      <c r="G268" s="968" t="s">
        <v>46</v>
      </c>
      <c r="H268" s="968" t="s">
        <v>46</v>
      </c>
      <c r="I268" s="968" t="s">
        <v>46</v>
      </c>
      <c r="J268" s="968" t="s">
        <v>46</v>
      </c>
      <c r="K268" s="968"/>
      <c r="L268" s="968"/>
      <c r="M268" s="1047" t="s">
        <v>46</v>
      </c>
      <c r="N268" s="636" t="s">
        <v>46</v>
      </c>
      <c r="O268" s="799" t="s">
        <v>46</v>
      </c>
      <c r="P268" s="799" t="s">
        <v>46</v>
      </c>
      <c r="Q268" s="799" t="s">
        <v>46</v>
      </c>
      <c r="R268" s="799"/>
      <c r="S268" s="799"/>
      <c r="T268" s="799" t="s">
        <v>46</v>
      </c>
      <c r="U268" s="799" t="s">
        <v>46</v>
      </c>
      <c r="V268" s="636" t="s">
        <v>46</v>
      </c>
      <c r="W268" s="636" t="s">
        <v>46</v>
      </c>
      <c r="X268" s="818" t="s">
        <v>46</v>
      </c>
      <c r="Y268" s="818"/>
      <c r="Z268" s="818"/>
      <c r="AA268" s="818" t="s">
        <v>46</v>
      </c>
      <c r="AB268" s="636" t="s">
        <v>46</v>
      </c>
      <c r="AC268" s="636" t="s">
        <v>46</v>
      </c>
      <c r="AD268" s="636" t="s">
        <v>46</v>
      </c>
      <c r="AE268" s="818" t="s">
        <v>46</v>
      </c>
      <c r="AF268" s="818"/>
      <c r="AG268" s="1041"/>
      <c r="AH268" s="115"/>
      <c r="AI268" s="116"/>
    </row>
    <row r="269" spans="1:35" ht="18" customHeight="1" x14ac:dyDescent="0.2">
      <c r="A269" s="1042">
        <v>3701</v>
      </c>
      <c r="B269" s="1012" t="s">
        <v>361</v>
      </c>
      <c r="C269" s="818" t="s">
        <v>46</v>
      </c>
      <c r="D269" s="818"/>
      <c r="E269" s="818"/>
      <c r="F269" s="818" t="s">
        <v>46</v>
      </c>
      <c r="G269" s="636" t="s">
        <v>46</v>
      </c>
      <c r="H269" s="636" t="s">
        <v>46</v>
      </c>
      <c r="I269" s="636" t="s">
        <v>46</v>
      </c>
      <c r="J269" s="818" t="s">
        <v>46</v>
      </c>
      <c r="K269" s="818"/>
      <c r="L269" s="818"/>
      <c r="M269" s="818" t="s">
        <v>46</v>
      </c>
      <c r="N269" s="636" t="s">
        <v>46</v>
      </c>
      <c r="O269" s="636" t="s">
        <v>46</v>
      </c>
      <c r="P269" s="636" t="s">
        <v>46</v>
      </c>
      <c r="Q269" s="818" t="s">
        <v>46</v>
      </c>
      <c r="R269" s="818"/>
      <c r="S269" s="818"/>
      <c r="T269" s="818" t="s">
        <v>46</v>
      </c>
      <c r="U269" s="636" t="s">
        <v>46</v>
      </c>
      <c r="V269" s="636" t="s">
        <v>46</v>
      </c>
      <c r="W269" s="636" t="s">
        <v>46</v>
      </c>
      <c r="X269" s="818" t="s">
        <v>46</v>
      </c>
      <c r="Y269" s="818"/>
      <c r="Z269" s="818"/>
      <c r="AA269" s="818" t="s">
        <v>46</v>
      </c>
      <c r="AB269" s="636" t="s">
        <v>46</v>
      </c>
      <c r="AC269" s="636" t="s">
        <v>46</v>
      </c>
      <c r="AD269" s="636" t="s">
        <v>46</v>
      </c>
      <c r="AE269" s="818" t="s">
        <v>46</v>
      </c>
      <c r="AF269" s="818"/>
      <c r="AG269" s="1041"/>
      <c r="AH269" s="115"/>
      <c r="AI269" s="116"/>
    </row>
    <row r="270" spans="1:35" ht="18" customHeight="1" x14ac:dyDescent="0.2">
      <c r="A270" s="1042">
        <v>3701</v>
      </c>
      <c r="B270" s="1012" t="s">
        <v>362</v>
      </c>
      <c r="C270" s="805" t="s">
        <v>46</v>
      </c>
      <c r="D270" s="805"/>
      <c r="E270" s="805"/>
      <c r="F270" s="805" t="s">
        <v>46</v>
      </c>
      <c r="G270" s="805" t="s">
        <v>46</v>
      </c>
      <c r="H270" s="805" t="s">
        <v>46</v>
      </c>
      <c r="I270" s="805" t="s">
        <v>46</v>
      </c>
      <c r="J270" s="805" t="s">
        <v>46</v>
      </c>
      <c r="K270" s="818"/>
      <c r="L270" s="818"/>
      <c r="M270" s="818" t="s">
        <v>46</v>
      </c>
      <c r="N270" s="635" t="s">
        <v>46</v>
      </c>
      <c r="O270" s="636" t="s">
        <v>46</v>
      </c>
      <c r="P270" s="636" t="s">
        <v>46</v>
      </c>
      <c r="Q270" s="818" t="s">
        <v>46</v>
      </c>
      <c r="R270" s="818"/>
      <c r="S270" s="818"/>
      <c r="T270" s="818" t="s">
        <v>46</v>
      </c>
      <c r="U270" s="636" t="s">
        <v>46</v>
      </c>
      <c r="V270" s="636" t="s">
        <v>46</v>
      </c>
      <c r="W270" s="636" t="s">
        <v>46</v>
      </c>
      <c r="X270" s="818" t="s">
        <v>46</v>
      </c>
      <c r="Y270" s="818"/>
      <c r="Z270" s="818"/>
      <c r="AA270" s="818" t="s">
        <v>46</v>
      </c>
      <c r="AB270" s="636" t="s">
        <v>46</v>
      </c>
      <c r="AC270" s="636" t="s">
        <v>46</v>
      </c>
      <c r="AD270" s="636" t="s">
        <v>46</v>
      </c>
      <c r="AE270" s="818" t="s">
        <v>46</v>
      </c>
      <c r="AF270" s="818"/>
      <c r="AG270" s="1041"/>
      <c r="AH270" s="115"/>
      <c r="AI270" s="116"/>
    </row>
    <row r="271" spans="1:35" ht="18" customHeight="1" x14ac:dyDescent="0.2">
      <c r="A271" s="1042"/>
      <c r="B271" s="1012" t="s">
        <v>363</v>
      </c>
      <c r="C271" s="805" t="s">
        <v>46</v>
      </c>
      <c r="D271" s="805"/>
      <c r="E271" s="805"/>
      <c r="F271" s="805" t="s">
        <v>46</v>
      </c>
      <c r="G271" s="805" t="s">
        <v>46</v>
      </c>
      <c r="H271" s="805" t="s">
        <v>46</v>
      </c>
      <c r="I271" s="636" t="s">
        <v>46</v>
      </c>
      <c r="J271" s="818" t="s">
        <v>46</v>
      </c>
      <c r="K271" s="818"/>
      <c r="L271" s="818"/>
      <c r="M271" s="818" t="s">
        <v>46</v>
      </c>
      <c r="N271" s="635" t="s">
        <v>46</v>
      </c>
      <c r="O271" s="636" t="s">
        <v>46</v>
      </c>
      <c r="P271" s="636" t="s">
        <v>46</v>
      </c>
      <c r="Q271" s="818" t="s">
        <v>46</v>
      </c>
      <c r="R271" s="818"/>
      <c r="S271" s="818"/>
      <c r="T271" s="818" t="s">
        <v>46</v>
      </c>
      <c r="U271" s="636" t="s">
        <v>46</v>
      </c>
      <c r="V271" s="636" t="s">
        <v>46</v>
      </c>
      <c r="W271" s="636" t="s">
        <v>46</v>
      </c>
      <c r="X271" s="818" t="s">
        <v>46</v>
      </c>
      <c r="Y271" s="818"/>
      <c r="Z271" s="818"/>
      <c r="AA271" s="818" t="s">
        <v>46</v>
      </c>
      <c r="AB271" s="636" t="s">
        <v>46</v>
      </c>
      <c r="AC271" s="636" t="s">
        <v>46</v>
      </c>
      <c r="AD271" s="636" t="s">
        <v>46</v>
      </c>
      <c r="AE271" s="818" t="s">
        <v>46</v>
      </c>
      <c r="AF271" s="818"/>
      <c r="AG271" s="1041"/>
      <c r="AH271" s="115"/>
      <c r="AI271" s="116"/>
    </row>
    <row r="272" spans="1:35" ht="18" customHeight="1" x14ac:dyDescent="0.2">
      <c r="A272" s="1042"/>
      <c r="B272" s="1012" t="s">
        <v>364</v>
      </c>
      <c r="C272" s="818" t="s">
        <v>46</v>
      </c>
      <c r="D272" s="818"/>
      <c r="E272" s="818"/>
      <c r="F272" s="818" t="s">
        <v>46</v>
      </c>
      <c r="G272" s="636" t="s">
        <v>46</v>
      </c>
      <c r="H272" s="636" t="s">
        <v>46</v>
      </c>
      <c r="I272" s="636" t="s">
        <v>46</v>
      </c>
      <c r="J272" s="818" t="s">
        <v>46</v>
      </c>
      <c r="K272" s="818"/>
      <c r="L272" s="818"/>
      <c r="M272" s="805" t="s">
        <v>46</v>
      </c>
      <c r="N272" s="805" t="s">
        <v>46</v>
      </c>
      <c r="O272" s="805" t="s">
        <v>46</v>
      </c>
      <c r="P272" s="805" t="s">
        <v>46</v>
      </c>
      <c r="Q272" s="805" t="s">
        <v>46</v>
      </c>
      <c r="R272" s="799"/>
      <c r="S272" s="799"/>
      <c r="T272" s="799" t="s">
        <v>46</v>
      </c>
      <c r="U272" s="799" t="s">
        <v>46</v>
      </c>
      <c r="V272" s="636" t="s">
        <v>46</v>
      </c>
      <c r="W272" s="636" t="s">
        <v>46</v>
      </c>
      <c r="X272" s="818" t="s">
        <v>46</v>
      </c>
      <c r="Y272" s="818"/>
      <c r="Z272" s="818"/>
      <c r="AA272" s="818" t="s">
        <v>46</v>
      </c>
      <c r="AB272" s="636" t="s">
        <v>46</v>
      </c>
      <c r="AC272" s="636" t="s">
        <v>46</v>
      </c>
      <c r="AD272" s="636" t="s">
        <v>46</v>
      </c>
      <c r="AE272" s="818" t="s">
        <v>46</v>
      </c>
      <c r="AF272" s="818"/>
      <c r="AG272" s="1041"/>
      <c r="AH272" s="115"/>
      <c r="AI272" s="116"/>
    </row>
    <row r="273" spans="1:35" ht="18" customHeight="1" x14ac:dyDescent="0.2">
      <c r="A273" s="1042"/>
      <c r="B273" s="1012" t="s">
        <v>365</v>
      </c>
      <c r="C273" s="968" t="s">
        <v>46</v>
      </c>
      <c r="D273" s="818"/>
      <c r="E273" s="818"/>
      <c r="F273" s="968" t="s">
        <v>46</v>
      </c>
      <c r="G273" s="968" t="s">
        <v>46</v>
      </c>
      <c r="H273" s="968" t="s">
        <v>46</v>
      </c>
      <c r="I273" s="636" t="s">
        <v>46</v>
      </c>
      <c r="J273" s="818" t="s">
        <v>46</v>
      </c>
      <c r="K273" s="818"/>
      <c r="L273" s="818"/>
      <c r="M273" s="818" t="s">
        <v>46</v>
      </c>
      <c r="N273" s="636" t="s">
        <v>46</v>
      </c>
      <c r="O273" s="636" t="s">
        <v>46</v>
      </c>
      <c r="P273" s="636" t="s">
        <v>46</v>
      </c>
      <c r="Q273" s="818" t="s">
        <v>46</v>
      </c>
      <c r="R273" s="818"/>
      <c r="S273" s="818"/>
      <c r="T273" s="818" t="s">
        <v>46</v>
      </c>
      <c r="U273" s="636" t="s">
        <v>46</v>
      </c>
      <c r="V273" s="636" t="s">
        <v>46</v>
      </c>
      <c r="W273" s="636" t="s">
        <v>46</v>
      </c>
      <c r="X273" s="818" t="s">
        <v>46</v>
      </c>
      <c r="Y273" s="818"/>
      <c r="Z273" s="818"/>
      <c r="AA273" s="818" t="s">
        <v>46</v>
      </c>
      <c r="AB273" s="636" t="s">
        <v>46</v>
      </c>
      <c r="AC273" s="636" t="s">
        <v>46</v>
      </c>
      <c r="AD273" s="636" t="s">
        <v>46</v>
      </c>
      <c r="AE273" s="818" t="s">
        <v>46</v>
      </c>
      <c r="AF273" s="818"/>
      <c r="AG273" s="1041"/>
      <c r="AH273" s="115"/>
      <c r="AI273" s="116"/>
    </row>
    <row r="274" spans="1:35" ht="18" customHeight="1" x14ac:dyDescent="0.2">
      <c r="A274" s="1042"/>
      <c r="B274" s="1044" t="s">
        <v>366</v>
      </c>
      <c r="C274" s="818"/>
      <c r="D274" s="818"/>
      <c r="E274" s="818"/>
      <c r="F274" s="818"/>
      <c r="G274" s="636"/>
      <c r="H274" s="636"/>
      <c r="I274" s="636"/>
      <c r="J274" s="818"/>
      <c r="K274" s="818"/>
      <c r="L274" s="818"/>
      <c r="M274" s="818"/>
      <c r="N274" s="636"/>
      <c r="O274" s="636"/>
      <c r="P274" s="636"/>
      <c r="Q274" s="818"/>
      <c r="R274" s="818"/>
      <c r="S274" s="818"/>
      <c r="T274" s="818"/>
      <c r="U274" s="636"/>
      <c r="V274" s="636"/>
      <c r="W274" s="636"/>
      <c r="X274" s="818"/>
      <c r="Y274" s="818"/>
      <c r="Z274" s="818"/>
      <c r="AA274" s="818"/>
      <c r="AB274" s="636"/>
      <c r="AC274" s="636"/>
      <c r="AD274" s="636"/>
      <c r="AE274" s="818"/>
      <c r="AF274" s="818"/>
      <c r="AG274" s="1041"/>
      <c r="AH274" s="115"/>
      <c r="AI274" s="116"/>
    </row>
    <row r="275" spans="1:35" ht="18" customHeight="1" x14ac:dyDescent="0.2">
      <c r="A275" s="1042"/>
      <c r="B275" s="1012" t="s">
        <v>367</v>
      </c>
      <c r="C275" s="818" t="s">
        <v>46</v>
      </c>
      <c r="D275" s="818"/>
      <c r="E275" s="818"/>
      <c r="F275" s="818" t="s">
        <v>46</v>
      </c>
      <c r="G275" s="636" t="s">
        <v>46</v>
      </c>
      <c r="H275" s="636" t="s">
        <v>46</v>
      </c>
      <c r="I275" s="968" t="s">
        <v>46</v>
      </c>
      <c r="J275" s="968" t="s">
        <v>46</v>
      </c>
      <c r="K275" s="818"/>
      <c r="L275" s="818"/>
      <c r="M275" s="818" t="s">
        <v>46</v>
      </c>
      <c r="N275" s="636" t="s">
        <v>46</v>
      </c>
      <c r="O275" s="636" t="s">
        <v>46</v>
      </c>
      <c r="P275" s="636" t="s">
        <v>46</v>
      </c>
      <c r="Q275" s="818" t="s">
        <v>46</v>
      </c>
      <c r="R275" s="818"/>
      <c r="S275" s="818"/>
      <c r="T275" s="818" t="s">
        <v>46</v>
      </c>
      <c r="U275" s="636" t="s">
        <v>46</v>
      </c>
      <c r="V275" s="636" t="s">
        <v>46</v>
      </c>
      <c r="W275" s="636" t="s">
        <v>46</v>
      </c>
      <c r="X275" s="818" t="s">
        <v>46</v>
      </c>
      <c r="Y275" s="818"/>
      <c r="Z275" s="818"/>
      <c r="AA275" s="818" t="s">
        <v>46</v>
      </c>
      <c r="AB275" s="636" t="s">
        <v>46</v>
      </c>
      <c r="AC275" s="636" t="s">
        <v>46</v>
      </c>
      <c r="AD275" s="636" t="s">
        <v>46</v>
      </c>
      <c r="AE275" s="818" t="s">
        <v>46</v>
      </c>
      <c r="AF275" s="818"/>
      <c r="AG275" s="1041"/>
      <c r="AH275" s="115"/>
      <c r="AI275" s="116"/>
    </row>
    <row r="276" spans="1:35" ht="18" customHeight="1" x14ac:dyDescent="0.2">
      <c r="A276" s="1042"/>
      <c r="B276" s="1012" t="s">
        <v>368</v>
      </c>
      <c r="C276" s="818" t="s">
        <v>46</v>
      </c>
      <c r="D276" s="818"/>
      <c r="E276" s="818"/>
      <c r="F276" s="818" t="s">
        <v>46</v>
      </c>
      <c r="G276" s="636" t="s">
        <v>46</v>
      </c>
      <c r="H276" s="636" t="s">
        <v>46</v>
      </c>
      <c r="I276" s="636" t="s">
        <v>46</v>
      </c>
      <c r="J276" s="818" t="s">
        <v>46</v>
      </c>
      <c r="K276" s="818"/>
      <c r="L276" s="818"/>
      <c r="M276" s="968" t="s">
        <v>46</v>
      </c>
      <c r="N276" s="968" t="s">
        <v>46</v>
      </c>
      <c r="O276" s="636" t="s">
        <v>46</v>
      </c>
      <c r="P276" s="636" t="s">
        <v>46</v>
      </c>
      <c r="Q276" s="818" t="s">
        <v>46</v>
      </c>
      <c r="R276" s="818"/>
      <c r="S276" s="818"/>
      <c r="T276" s="818" t="s">
        <v>46</v>
      </c>
      <c r="U276" s="636" t="s">
        <v>46</v>
      </c>
      <c r="V276" s="636" t="s">
        <v>46</v>
      </c>
      <c r="W276" s="636" t="s">
        <v>46</v>
      </c>
      <c r="X276" s="818" t="s">
        <v>46</v>
      </c>
      <c r="Y276" s="818"/>
      <c r="Z276" s="818"/>
      <c r="AA276" s="818" t="s">
        <v>46</v>
      </c>
      <c r="AB276" s="636" t="s">
        <v>46</v>
      </c>
      <c r="AC276" s="636" t="s">
        <v>46</v>
      </c>
      <c r="AD276" s="636" t="s">
        <v>46</v>
      </c>
      <c r="AE276" s="818" t="s">
        <v>46</v>
      </c>
      <c r="AF276" s="818"/>
      <c r="AG276" s="1041"/>
      <c r="AH276" s="115"/>
      <c r="AI276" s="116"/>
    </row>
    <row r="277" spans="1:35" ht="18" customHeight="1" x14ac:dyDescent="0.2">
      <c r="A277" s="1042"/>
      <c r="B277" s="1012"/>
      <c r="C277" s="818" t="s">
        <v>46</v>
      </c>
      <c r="D277" s="818"/>
      <c r="E277" s="818"/>
      <c r="F277" s="818" t="s">
        <v>46</v>
      </c>
      <c r="G277" s="636" t="s">
        <v>46</v>
      </c>
      <c r="H277" s="636" t="s">
        <v>46</v>
      </c>
      <c r="I277" s="636" t="s">
        <v>46</v>
      </c>
      <c r="J277" s="818" t="s">
        <v>46</v>
      </c>
      <c r="K277" s="818"/>
      <c r="L277" s="818"/>
      <c r="M277" s="818" t="s">
        <v>46</v>
      </c>
      <c r="N277" s="636" t="s">
        <v>46</v>
      </c>
      <c r="O277" s="799" t="s">
        <v>46</v>
      </c>
      <c r="P277" s="799" t="s">
        <v>46</v>
      </c>
      <c r="Q277" s="799" t="s">
        <v>46</v>
      </c>
      <c r="R277" s="799"/>
      <c r="S277" s="799"/>
      <c r="T277" s="799" t="s">
        <v>46</v>
      </c>
      <c r="U277" s="799" t="s">
        <v>46</v>
      </c>
      <c r="V277" s="636" t="s">
        <v>46</v>
      </c>
      <c r="W277" s="636" t="s">
        <v>46</v>
      </c>
      <c r="X277" s="818" t="s">
        <v>46</v>
      </c>
      <c r="Y277" s="818"/>
      <c r="Z277" s="818"/>
      <c r="AA277" s="818" t="s">
        <v>46</v>
      </c>
      <c r="AB277" s="636" t="s">
        <v>46</v>
      </c>
      <c r="AC277" s="636" t="s">
        <v>46</v>
      </c>
      <c r="AD277" s="636" t="s">
        <v>46</v>
      </c>
      <c r="AE277" s="818" t="s">
        <v>46</v>
      </c>
      <c r="AF277" s="818"/>
      <c r="AG277" s="1041"/>
      <c r="AH277" s="112"/>
      <c r="AI277" s="67"/>
    </row>
    <row r="278" spans="1:35" ht="18" customHeight="1" x14ac:dyDescent="0.2">
      <c r="A278" s="1042"/>
      <c r="B278" s="1012" t="s">
        <v>369</v>
      </c>
      <c r="C278" s="805" t="s">
        <v>46</v>
      </c>
      <c r="D278" s="805"/>
      <c r="E278" s="805"/>
      <c r="F278" s="805" t="s">
        <v>46</v>
      </c>
      <c r="G278" s="805" t="s">
        <v>46</v>
      </c>
      <c r="H278" s="805" t="s">
        <v>46</v>
      </c>
      <c r="I278" s="805" t="s">
        <v>46</v>
      </c>
      <c r="J278" s="805" t="s">
        <v>46</v>
      </c>
      <c r="K278" s="805"/>
      <c r="L278" s="805"/>
      <c r="M278" s="805" t="s">
        <v>46</v>
      </c>
      <c r="N278" s="805" t="s">
        <v>46</v>
      </c>
      <c r="O278" s="805" t="s">
        <v>46</v>
      </c>
      <c r="P278" s="805" t="s">
        <v>46</v>
      </c>
      <c r="Q278" s="805" t="s">
        <v>46</v>
      </c>
      <c r="R278" s="805"/>
      <c r="S278" s="805"/>
      <c r="T278" s="805" t="s">
        <v>46</v>
      </c>
      <c r="U278" s="805" t="s">
        <v>46</v>
      </c>
      <c r="V278" s="805" t="s">
        <v>46</v>
      </c>
      <c r="W278" s="805" t="s">
        <v>46</v>
      </c>
      <c r="X278" s="805" t="s">
        <v>46</v>
      </c>
      <c r="Y278" s="805"/>
      <c r="Z278" s="805"/>
      <c r="AA278" s="805" t="s">
        <v>46</v>
      </c>
      <c r="AB278" s="805" t="s">
        <v>46</v>
      </c>
      <c r="AC278" s="805" t="s">
        <v>46</v>
      </c>
      <c r="AD278" s="805" t="s">
        <v>46</v>
      </c>
      <c r="AE278" s="805" t="s">
        <v>46</v>
      </c>
      <c r="AF278" s="818"/>
      <c r="AG278" s="1041"/>
      <c r="AH278" s="112"/>
      <c r="AI278" s="67"/>
    </row>
    <row r="279" spans="1:35" ht="18" customHeight="1" x14ac:dyDescent="0.2">
      <c r="A279" s="638"/>
      <c r="B279" s="2629"/>
      <c r="C279" s="636"/>
      <c r="D279" s="636"/>
      <c r="E279" s="636"/>
      <c r="F279" s="636"/>
      <c r="G279" s="636"/>
      <c r="H279" s="636"/>
      <c r="I279" s="636"/>
      <c r="J279" s="636"/>
      <c r="K279" s="636"/>
      <c r="L279" s="636"/>
      <c r="M279" s="636"/>
      <c r="N279" s="636"/>
      <c r="O279" s="636"/>
      <c r="P279" s="636"/>
      <c r="Q279" s="636"/>
      <c r="R279" s="636"/>
      <c r="S279" s="636"/>
      <c r="T279" s="636"/>
      <c r="U279" s="636"/>
      <c r="V279" s="636"/>
      <c r="W279" s="636"/>
      <c r="X279" s="636"/>
      <c r="Y279" s="636"/>
      <c r="Z279" s="636"/>
      <c r="AA279" s="636"/>
      <c r="AB279" s="636"/>
      <c r="AC279" s="636"/>
      <c r="AD279" s="636"/>
      <c r="AE279" s="636"/>
      <c r="AF279" s="636"/>
      <c r="AG279" s="1041"/>
      <c r="AH279" s="112"/>
      <c r="AI279" s="67"/>
    </row>
    <row r="280" spans="1:35" ht="18" customHeight="1" x14ac:dyDescent="0.2">
      <c r="A280" s="638"/>
      <c r="B280" s="1012"/>
      <c r="C280" s="636"/>
      <c r="D280" s="636"/>
      <c r="E280" s="636"/>
      <c r="F280" s="636"/>
      <c r="G280" s="636"/>
      <c r="H280" s="636"/>
      <c r="I280" s="636"/>
      <c r="J280" s="636"/>
      <c r="K280" s="636"/>
      <c r="L280" s="636"/>
      <c r="M280" s="636"/>
      <c r="N280" s="799"/>
      <c r="O280" s="799"/>
      <c r="P280" s="799"/>
      <c r="Q280" s="800"/>
      <c r="R280" s="799"/>
      <c r="S280" s="636"/>
      <c r="T280" s="636"/>
      <c r="U280" s="799"/>
      <c r="V280" s="799"/>
      <c r="W280" s="799"/>
      <c r="X280" s="636"/>
      <c r="Y280" s="799"/>
      <c r="Z280" s="636"/>
      <c r="AA280" s="636"/>
      <c r="AB280" s="636"/>
      <c r="AC280" s="636"/>
      <c r="AD280" s="636"/>
      <c r="AE280" s="636"/>
      <c r="AF280" s="799"/>
      <c r="AG280" s="1053"/>
      <c r="AH280" s="112"/>
      <c r="AI280" s="67"/>
    </row>
    <row r="281" spans="1:35" ht="18" customHeight="1" x14ac:dyDescent="0.2">
      <c r="A281" s="638"/>
      <c r="B281" s="638"/>
      <c r="C281" s="636"/>
      <c r="D281" s="636"/>
      <c r="E281" s="636"/>
      <c r="F281" s="636"/>
      <c r="G281" s="636"/>
      <c r="H281" s="636"/>
      <c r="I281" s="636"/>
      <c r="J281" s="636"/>
      <c r="K281" s="636"/>
      <c r="L281" s="636"/>
      <c r="M281" s="636"/>
      <c r="N281" s="636"/>
      <c r="O281" s="636"/>
      <c r="P281" s="636"/>
      <c r="Q281" s="636"/>
      <c r="R281" s="636"/>
      <c r="S281" s="636"/>
      <c r="T281" s="636"/>
      <c r="U281" s="636"/>
      <c r="V281" s="636"/>
      <c r="W281" s="636"/>
      <c r="X281" s="636"/>
      <c r="Y281" s="636"/>
      <c r="Z281" s="636"/>
      <c r="AA281" s="636"/>
      <c r="AB281" s="636"/>
      <c r="AC281" s="636"/>
      <c r="AD281" s="636"/>
      <c r="AE281" s="636"/>
      <c r="AF281" s="636"/>
      <c r="AG281" s="1041"/>
      <c r="AH281" s="112"/>
      <c r="AI281" s="67"/>
    </row>
    <row r="282" spans="1:35" ht="18" customHeight="1" x14ac:dyDescent="0.2">
      <c r="A282" s="638"/>
      <c r="B282" s="638"/>
      <c r="C282" s="636"/>
      <c r="D282" s="636"/>
      <c r="E282" s="636"/>
      <c r="F282" s="636"/>
      <c r="G282" s="636"/>
      <c r="H282" s="1054"/>
      <c r="I282" s="636"/>
      <c r="J282" s="636"/>
      <c r="K282" s="636"/>
      <c r="L282" s="636"/>
      <c r="M282" s="636"/>
      <c r="N282" s="636"/>
      <c r="O282" s="636"/>
      <c r="P282" s="636"/>
      <c r="Q282" s="636"/>
      <c r="R282" s="636"/>
      <c r="S282" s="636"/>
      <c r="T282" s="636"/>
      <c r="U282" s="636"/>
      <c r="V282" s="636"/>
      <c r="W282" s="636"/>
      <c r="X282" s="636"/>
      <c r="Y282" s="636"/>
      <c r="Z282" s="636"/>
      <c r="AA282" s="636"/>
      <c r="AB282" s="636"/>
      <c r="AC282" s="636"/>
      <c r="AD282" s="636"/>
      <c r="AE282" s="636"/>
      <c r="AF282" s="636"/>
      <c r="AG282" s="1055"/>
      <c r="AH282" s="112"/>
      <c r="AI282" s="67"/>
    </row>
    <row r="283" spans="1:35" ht="18" customHeight="1" x14ac:dyDescent="0.2">
      <c r="A283" s="1042"/>
      <c r="B283" s="1056"/>
      <c r="C283" s="636"/>
      <c r="D283" s="636"/>
      <c r="E283" s="636"/>
      <c r="F283" s="636"/>
      <c r="G283" s="636"/>
      <c r="H283" s="636"/>
      <c r="I283" s="636"/>
      <c r="J283" s="636"/>
      <c r="K283" s="636"/>
      <c r="L283" s="636"/>
      <c r="M283" s="636"/>
      <c r="N283" s="636"/>
      <c r="O283" s="636"/>
      <c r="P283" s="636"/>
      <c r="Q283" s="636"/>
      <c r="R283" s="636"/>
      <c r="S283" s="636"/>
      <c r="T283" s="636"/>
      <c r="U283" s="636"/>
      <c r="V283" s="636"/>
      <c r="W283" s="636"/>
      <c r="X283" s="636"/>
      <c r="Y283" s="636"/>
      <c r="Z283" s="636"/>
      <c r="AA283" s="636"/>
      <c r="AB283" s="636"/>
      <c r="AC283" s="636"/>
      <c r="AD283" s="636"/>
      <c r="AE283" s="636"/>
      <c r="AF283" s="636"/>
      <c r="AG283" s="1055"/>
      <c r="AH283" s="112"/>
      <c r="AI283" s="67"/>
    </row>
    <row r="284" spans="1:35" ht="18" customHeight="1" x14ac:dyDescent="0.2">
      <c r="A284" s="1042"/>
      <c r="B284" s="1057"/>
      <c r="C284" s="636"/>
      <c r="D284" s="636"/>
      <c r="E284" s="636"/>
      <c r="F284" s="636"/>
      <c r="G284" s="636"/>
      <c r="H284" s="636"/>
      <c r="I284" s="636"/>
      <c r="J284" s="636"/>
      <c r="K284" s="636"/>
      <c r="L284" s="636"/>
      <c r="M284" s="636"/>
      <c r="N284" s="636"/>
      <c r="O284" s="636"/>
      <c r="P284" s="636"/>
      <c r="Q284" s="636"/>
      <c r="R284" s="636"/>
      <c r="S284" s="636"/>
      <c r="T284" s="636"/>
      <c r="U284" s="636"/>
      <c r="V284" s="636"/>
      <c r="W284" s="636"/>
      <c r="X284" s="636"/>
      <c r="Y284" s="636"/>
      <c r="Z284" s="636"/>
      <c r="AA284" s="636"/>
      <c r="AB284" s="636"/>
      <c r="AC284" s="636"/>
      <c r="AD284" s="636"/>
      <c r="AE284" s="636"/>
      <c r="AF284" s="636"/>
      <c r="AG284" s="1055"/>
      <c r="AH284" s="112"/>
      <c r="AI284" s="67"/>
    </row>
    <row r="285" spans="1:35" ht="18" customHeight="1" x14ac:dyDescent="0.2">
      <c r="A285" s="68"/>
      <c r="B285" s="74"/>
      <c r="C285" s="66"/>
      <c r="D285" s="66"/>
      <c r="E285" s="66"/>
      <c r="F285" s="66"/>
      <c r="G285" s="66"/>
      <c r="H285" s="66"/>
      <c r="I285" s="66"/>
      <c r="J285" s="66"/>
      <c r="L285" s="66"/>
      <c r="M285" s="66"/>
      <c r="N285" s="66"/>
      <c r="O285" s="66"/>
      <c r="P285" s="48"/>
      <c r="Q285" s="48"/>
      <c r="R285" s="48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7"/>
      <c r="AI285" s="67"/>
    </row>
    <row r="286" spans="1:35" ht="18" customHeight="1" x14ac:dyDescent="0.2"/>
    <row r="287" spans="1:35" ht="18" customHeight="1" x14ac:dyDescent="0.2"/>
    <row r="288" spans="1:35" ht="18" customHeight="1" x14ac:dyDescent="0.2"/>
    <row r="289" spans="1:35" ht="18" customHeight="1" x14ac:dyDescent="0.2">
      <c r="A289" s="103" t="s">
        <v>370</v>
      </c>
    </row>
    <row r="290" spans="1:35" ht="18" customHeight="1" x14ac:dyDescent="0.2">
      <c r="B290" s="2630" t="s">
        <v>340</v>
      </c>
      <c r="C290" s="2522"/>
      <c r="D290" s="2547" t="s">
        <v>17</v>
      </c>
      <c r="E290" s="2415"/>
      <c r="F290" s="2526"/>
      <c r="G290" s="2522"/>
      <c r="H290" s="2547" t="s">
        <v>18</v>
      </c>
      <c r="I290" s="2415"/>
      <c r="J290" s="2526"/>
      <c r="K290" s="2522"/>
      <c r="L290" s="2547" t="s">
        <v>19</v>
      </c>
      <c r="M290" s="2415"/>
      <c r="N290" s="2526"/>
      <c r="O290" s="2522"/>
      <c r="P290" s="2547" t="s">
        <v>20</v>
      </c>
      <c r="Q290" s="2415"/>
      <c r="R290" s="2526"/>
      <c r="S290" s="2522"/>
      <c r="T290" s="2547" t="s">
        <v>21</v>
      </c>
      <c r="U290" s="2415"/>
      <c r="V290" s="2526"/>
      <c r="W290" s="2522"/>
      <c r="X290" s="2547" t="s">
        <v>22</v>
      </c>
      <c r="Y290" s="2415"/>
      <c r="Z290" s="2526"/>
      <c r="AA290" s="2522"/>
      <c r="AB290" s="2547" t="s">
        <v>23</v>
      </c>
      <c r="AC290" s="2415"/>
      <c r="AD290" s="2415"/>
      <c r="AE290" s="2550" t="s">
        <v>126</v>
      </c>
      <c r="AF290" s="2415"/>
      <c r="AG290" s="2415"/>
      <c r="AH290" s="2415"/>
      <c r="AI290" s="2270"/>
    </row>
    <row r="291" spans="1:35" ht="18" customHeight="1" x14ac:dyDescent="0.2">
      <c r="B291" s="452"/>
      <c r="C291" s="1059" t="s">
        <v>371</v>
      </c>
      <c r="D291" s="1030"/>
      <c r="E291" s="1060"/>
      <c r="F291" s="1061"/>
      <c r="G291" s="1059" t="s">
        <v>371</v>
      </c>
      <c r="H291" s="1030"/>
      <c r="I291" s="1060"/>
      <c r="J291" s="1061"/>
      <c r="K291" s="1059" t="s">
        <v>371</v>
      </c>
      <c r="L291" s="1030"/>
      <c r="M291" s="1060"/>
      <c r="N291" s="1061"/>
      <c r="O291" s="1059" t="s">
        <v>371</v>
      </c>
      <c r="P291" s="1062"/>
      <c r="Q291" s="1060"/>
      <c r="R291" s="1061"/>
      <c r="S291" s="1063" t="s">
        <v>372</v>
      </c>
      <c r="T291" s="1030"/>
      <c r="U291" s="1060"/>
      <c r="V291" s="1061"/>
      <c r="W291" s="1032"/>
      <c r="X291" s="1030"/>
      <c r="Y291" s="875"/>
      <c r="Z291" s="1031"/>
      <c r="AA291" s="1032"/>
      <c r="AB291" s="1030"/>
      <c r="AC291" s="875"/>
      <c r="AD291" s="875"/>
      <c r="AE291" s="1033"/>
      <c r="AF291" s="875"/>
      <c r="AG291" s="467"/>
      <c r="AH291" s="467"/>
      <c r="AI291" s="1026"/>
    </row>
    <row r="292" spans="1:35" ht="18" customHeight="1" x14ac:dyDescent="0.2">
      <c r="A292" s="70"/>
      <c r="B292" s="2631"/>
      <c r="C292" s="2601" t="s">
        <v>258</v>
      </c>
      <c r="D292" s="2632"/>
      <c r="E292" s="1060"/>
      <c r="F292" s="1061"/>
      <c r="G292" s="2601" t="s">
        <v>258</v>
      </c>
      <c r="H292" s="1030"/>
      <c r="I292" s="1060"/>
      <c r="J292" s="1061"/>
      <c r="K292" s="2601" t="s">
        <v>258</v>
      </c>
      <c r="L292" s="1030"/>
      <c r="M292" s="1060"/>
      <c r="N292" s="1061"/>
      <c r="O292" s="2601" t="s">
        <v>258</v>
      </c>
      <c r="P292" s="1030"/>
      <c r="Q292" s="1060"/>
      <c r="R292" s="1061"/>
      <c r="S292" s="1059" t="s">
        <v>373</v>
      </c>
      <c r="T292" s="1030"/>
      <c r="U292" s="1060"/>
      <c r="V292" s="1061"/>
      <c r="W292" s="1032"/>
      <c r="X292" s="1030"/>
      <c r="Y292" s="875"/>
      <c r="Z292" s="1031"/>
      <c r="AA292" s="1032"/>
      <c r="AB292" s="1030"/>
      <c r="AC292" s="875"/>
      <c r="AD292" s="875"/>
      <c r="AE292" s="1033"/>
      <c r="AF292" s="875"/>
      <c r="AG292" s="467"/>
      <c r="AH292" s="467"/>
      <c r="AI292" s="1026"/>
    </row>
    <row r="293" spans="1:35" ht="18" customHeight="1" x14ac:dyDescent="0.2">
      <c r="B293" s="2631"/>
      <c r="C293" s="2601" t="s">
        <v>261</v>
      </c>
      <c r="D293" s="2632"/>
      <c r="E293" s="1060"/>
      <c r="F293" s="1061"/>
      <c r="G293" s="2601" t="s">
        <v>261</v>
      </c>
      <c r="H293" s="1030"/>
      <c r="I293" s="1060"/>
      <c r="J293" s="1061"/>
      <c r="K293" s="2601" t="s">
        <v>261</v>
      </c>
      <c r="L293" s="1030"/>
      <c r="M293" s="1060"/>
      <c r="N293" s="1061"/>
      <c r="O293" s="2601" t="s">
        <v>261</v>
      </c>
      <c r="P293" s="1030"/>
      <c r="Q293" s="1060"/>
      <c r="R293" s="1061"/>
      <c r="S293" s="2601" t="s">
        <v>256</v>
      </c>
      <c r="T293" s="1030"/>
      <c r="U293" s="1060"/>
      <c r="V293" s="1061"/>
      <c r="W293" s="1032"/>
      <c r="X293" s="1030"/>
      <c r="Y293" s="875"/>
      <c r="Z293" s="1031"/>
      <c r="AA293" s="1032"/>
      <c r="AB293" s="1030"/>
      <c r="AC293" s="875"/>
      <c r="AD293" s="875"/>
      <c r="AE293" s="1033"/>
      <c r="AF293" s="875"/>
      <c r="AG293" s="467"/>
      <c r="AH293" s="467"/>
      <c r="AI293" s="1026"/>
    </row>
    <row r="294" spans="1:35" ht="18" customHeight="1" x14ac:dyDescent="0.2">
      <c r="B294" s="2631"/>
      <c r="C294" s="2168"/>
      <c r="D294" s="2169"/>
      <c r="E294" s="875"/>
      <c r="F294" s="1031"/>
      <c r="G294" s="2168"/>
      <c r="H294" s="2169"/>
      <c r="I294" s="875"/>
      <c r="J294" s="1031"/>
      <c r="K294" s="2168"/>
      <c r="L294" s="2169"/>
      <c r="M294" s="875"/>
      <c r="N294" s="1031"/>
      <c r="O294" s="2168"/>
      <c r="P294" s="2169"/>
      <c r="Q294" s="875"/>
      <c r="R294" s="1031"/>
      <c r="S294" s="2168"/>
      <c r="T294" s="2169"/>
      <c r="U294" s="875"/>
      <c r="V294" s="1031"/>
      <c r="W294" s="1032"/>
      <c r="X294" s="1030"/>
      <c r="Y294" s="875"/>
      <c r="Z294" s="1031"/>
      <c r="AA294" s="1032"/>
      <c r="AB294" s="1030"/>
      <c r="AC294" s="875"/>
      <c r="AD294" s="875"/>
      <c r="AE294" s="1033"/>
      <c r="AF294" s="875"/>
      <c r="AG294" s="467"/>
      <c r="AH294" s="467"/>
      <c r="AI294" s="1026"/>
    </row>
    <row r="295" spans="1:35" ht="18" customHeight="1" x14ac:dyDescent="0.2">
      <c r="B295" s="2631"/>
      <c r="C295" s="2553"/>
      <c r="D295" s="2169"/>
      <c r="E295" s="875"/>
      <c r="F295" s="1031"/>
      <c r="G295" s="1030"/>
      <c r="H295" s="1030"/>
      <c r="I295" s="875"/>
      <c r="J295" s="1031"/>
      <c r="K295" s="1030"/>
      <c r="L295" s="1030"/>
      <c r="M295" s="875"/>
      <c r="N295" s="1031"/>
      <c r="O295" s="1030"/>
      <c r="P295" s="1030"/>
      <c r="Q295" s="875"/>
      <c r="R295" s="1031"/>
      <c r="S295" s="1030"/>
      <c r="T295" s="1030"/>
      <c r="U295" s="875"/>
      <c r="V295" s="1031"/>
      <c r="W295" s="1032"/>
      <c r="X295" s="1030"/>
      <c r="Y295" s="875"/>
      <c r="Z295" s="1031"/>
      <c r="AA295" s="1032"/>
      <c r="AB295" s="1030"/>
      <c r="AC295" s="875"/>
      <c r="AD295" s="875"/>
      <c r="AE295" s="1033"/>
      <c r="AF295" s="875"/>
      <c r="AG295" s="467"/>
      <c r="AH295" s="467"/>
      <c r="AI295" s="1026"/>
    </row>
    <row r="296" spans="1:35" ht="18" customHeight="1" x14ac:dyDescent="0.2">
      <c r="B296" s="2631" t="s">
        <v>235</v>
      </c>
      <c r="C296" s="2553" t="s">
        <v>10</v>
      </c>
      <c r="D296" s="2632"/>
      <c r="E296" s="1060"/>
      <c r="F296" s="1061"/>
      <c r="G296" s="2553" t="s">
        <v>10</v>
      </c>
      <c r="H296" s="2632"/>
      <c r="I296" s="1060"/>
      <c r="J296" s="1061"/>
      <c r="K296" s="2553" t="s">
        <v>10</v>
      </c>
      <c r="L296" s="2632"/>
      <c r="M296" s="1060"/>
      <c r="N296" s="1061"/>
      <c r="O296" s="2553" t="s">
        <v>10</v>
      </c>
      <c r="P296" s="2632"/>
      <c r="Q296" s="1060"/>
      <c r="R296" s="1061"/>
      <c r="S296" s="1030" t="s">
        <v>10</v>
      </c>
      <c r="T296" s="1030"/>
      <c r="U296" s="1060"/>
      <c r="V296" s="1061"/>
      <c r="W296" s="1032"/>
      <c r="X296" s="1030"/>
      <c r="Y296" s="875"/>
      <c r="Z296" s="1031"/>
      <c r="AA296" s="1032"/>
      <c r="AB296" s="1030"/>
      <c r="AC296" s="875"/>
      <c r="AD296" s="875"/>
      <c r="AE296" s="1033"/>
      <c r="AF296" s="875"/>
      <c r="AG296" s="467"/>
      <c r="AH296" s="467"/>
      <c r="AI296" s="1026"/>
    </row>
    <row r="297" spans="1:35" ht="18" customHeight="1" x14ac:dyDescent="0.2">
      <c r="B297" s="2631" t="s">
        <v>236</v>
      </c>
      <c r="C297" s="2553" t="s">
        <v>10</v>
      </c>
      <c r="D297" s="2632"/>
      <c r="E297" s="1060"/>
      <c r="F297" s="1061"/>
      <c r="G297" s="2553" t="s">
        <v>10</v>
      </c>
      <c r="H297" s="2632"/>
      <c r="I297" s="1060"/>
      <c r="J297" s="1061"/>
      <c r="K297" s="2553" t="s">
        <v>10</v>
      </c>
      <c r="L297" s="2632"/>
      <c r="M297" s="1060"/>
      <c r="N297" s="1061"/>
      <c r="O297" s="2553" t="s">
        <v>10</v>
      </c>
      <c r="P297" s="2632"/>
      <c r="Q297" s="1060"/>
      <c r="R297" s="1061"/>
      <c r="S297" s="1030" t="s">
        <v>10</v>
      </c>
      <c r="T297" s="1030"/>
      <c r="U297" s="1060"/>
      <c r="V297" s="1061"/>
      <c r="W297" s="1032"/>
      <c r="X297" s="1030"/>
      <c r="Y297" s="875"/>
      <c r="Z297" s="1031"/>
      <c r="AA297" s="1032"/>
      <c r="AB297" s="1030"/>
      <c r="AC297" s="875"/>
      <c r="AD297" s="875"/>
      <c r="AE297" s="1033"/>
      <c r="AF297" s="875"/>
      <c r="AG297" s="467"/>
      <c r="AH297" s="467"/>
      <c r="AI297" s="1026"/>
    </row>
    <row r="298" spans="1:35" ht="18" customHeight="1" x14ac:dyDescent="0.2">
      <c r="B298" s="2633" t="s">
        <v>243</v>
      </c>
      <c r="C298" s="2566" t="s">
        <v>10</v>
      </c>
      <c r="D298" s="2634"/>
      <c r="E298" s="205"/>
      <c r="F298" s="206"/>
      <c r="G298" s="2566" t="s">
        <v>10</v>
      </c>
      <c r="H298" s="2634"/>
      <c r="I298" s="205"/>
      <c r="J298" s="206"/>
      <c r="K298" s="2566" t="s">
        <v>10</v>
      </c>
      <c r="L298" s="2634"/>
      <c r="M298" s="205"/>
      <c r="N298" s="206"/>
      <c r="O298" s="2566" t="s">
        <v>10</v>
      </c>
      <c r="P298" s="2634"/>
      <c r="Q298" s="205"/>
      <c r="R298" s="206"/>
      <c r="S298" s="149" t="s">
        <v>10</v>
      </c>
      <c r="T298" s="149"/>
      <c r="U298" s="205"/>
      <c r="V298" s="206"/>
      <c r="W298" s="200"/>
      <c r="X298" s="149"/>
      <c r="Y298" s="201"/>
      <c r="Z298" s="202"/>
      <c r="AA298" s="203"/>
      <c r="AB298" s="149"/>
      <c r="AC298" s="201"/>
      <c r="AD298" s="201"/>
      <c r="AE298" s="204"/>
      <c r="AF298" s="201"/>
      <c r="AG298" s="199"/>
      <c r="AH298" s="199"/>
      <c r="AI298" s="146"/>
    </row>
    <row r="299" spans="1:35" ht="18" customHeight="1" x14ac:dyDescent="0.2">
      <c r="B299" s="37"/>
      <c r="C299" s="42"/>
      <c r="D299" s="5"/>
      <c r="G299" s="42"/>
      <c r="H299" s="5"/>
      <c r="K299" s="42"/>
      <c r="L299" s="5"/>
      <c r="O299" s="42"/>
      <c r="P299" s="5"/>
      <c r="S299" s="42"/>
      <c r="T299" s="42"/>
      <c r="X299" s="42"/>
      <c r="AB299" s="42"/>
      <c r="AE299" s="42"/>
    </row>
    <row r="300" spans="1:35" ht="18" customHeight="1" x14ac:dyDescent="0.2">
      <c r="A300" s="1068" t="s">
        <v>374</v>
      </c>
    </row>
    <row r="301" spans="1:35" ht="18" customHeight="1" x14ac:dyDescent="0.2">
      <c r="A301" s="2543"/>
      <c r="B301" s="2128" t="s">
        <v>44</v>
      </c>
      <c r="C301" s="2383">
        <v>1</v>
      </c>
      <c r="D301" s="2384">
        <v>2</v>
      </c>
      <c r="E301" s="2384">
        <v>3</v>
      </c>
      <c r="F301" s="2383">
        <v>4</v>
      </c>
      <c r="G301" s="2383">
        <v>5</v>
      </c>
      <c r="H301" s="2383">
        <v>6</v>
      </c>
      <c r="I301" s="2383">
        <v>7</v>
      </c>
      <c r="J301" s="2383">
        <v>8</v>
      </c>
      <c r="K301" s="2384">
        <v>9</v>
      </c>
      <c r="L301" s="2384">
        <v>10</v>
      </c>
      <c r="M301" s="2383">
        <v>11</v>
      </c>
      <c r="N301" s="2383">
        <v>12</v>
      </c>
      <c r="O301" s="2383">
        <v>13</v>
      </c>
      <c r="P301" s="2383">
        <v>14</v>
      </c>
      <c r="Q301" s="2383">
        <v>15</v>
      </c>
      <c r="R301" s="2384">
        <v>16</v>
      </c>
      <c r="S301" s="2384">
        <v>17</v>
      </c>
      <c r="T301" s="2383">
        <v>18</v>
      </c>
      <c r="U301" s="2383">
        <v>19</v>
      </c>
      <c r="V301" s="2383">
        <v>20</v>
      </c>
      <c r="W301" s="2383">
        <v>21</v>
      </c>
      <c r="X301" s="2383">
        <v>22</v>
      </c>
      <c r="Y301" s="2384">
        <v>23</v>
      </c>
      <c r="Z301" s="2384">
        <v>24</v>
      </c>
      <c r="AA301" s="2383">
        <v>25</v>
      </c>
      <c r="AB301" s="2383">
        <v>26</v>
      </c>
      <c r="AC301" s="2383">
        <v>27</v>
      </c>
      <c r="AD301" s="2383">
        <v>28</v>
      </c>
      <c r="AE301" s="2383">
        <v>29</v>
      </c>
      <c r="AF301" s="2384">
        <v>30</v>
      </c>
      <c r="AG301" s="2026"/>
      <c r="AH301" s="110"/>
      <c r="AI301" s="111"/>
    </row>
    <row r="302" spans="1:35" ht="18" customHeight="1" x14ac:dyDescent="0.2">
      <c r="A302" s="2635">
        <v>3702</v>
      </c>
      <c r="B302" s="2636" t="s">
        <v>375</v>
      </c>
      <c r="C302" s="2283" t="s">
        <v>46</v>
      </c>
      <c r="D302" s="2283"/>
      <c r="E302" s="2283"/>
      <c r="F302" s="2283" t="s">
        <v>46</v>
      </c>
      <c r="G302" s="2283" t="s">
        <v>46</v>
      </c>
      <c r="H302" s="2283" t="s">
        <v>46</v>
      </c>
      <c r="I302" s="2283" t="s">
        <v>46</v>
      </c>
      <c r="J302" s="2283" t="s">
        <v>46</v>
      </c>
      <c r="K302" s="2283"/>
      <c r="L302" s="2283"/>
      <c r="M302" s="2283" t="s">
        <v>46</v>
      </c>
      <c r="N302" s="2283" t="s">
        <v>46</v>
      </c>
      <c r="O302" s="2285" t="s">
        <v>46</v>
      </c>
      <c r="P302" s="2285" t="s">
        <v>46</v>
      </c>
      <c r="Q302" s="2285" t="s">
        <v>46</v>
      </c>
      <c r="R302" s="2285"/>
      <c r="S302" s="2285"/>
      <c r="T302" s="2283" t="s">
        <v>46</v>
      </c>
      <c r="U302" s="2283" t="s">
        <v>46</v>
      </c>
      <c r="V302" s="2283" t="s">
        <v>46</v>
      </c>
      <c r="W302" s="2283" t="s">
        <v>46</v>
      </c>
      <c r="X302" s="2283" t="s">
        <v>46</v>
      </c>
      <c r="Y302" s="2283"/>
      <c r="Z302" s="2283"/>
      <c r="AA302" s="2283" t="s">
        <v>46</v>
      </c>
      <c r="AB302" s="2283" t="s">
        <v>46</v>
      </c>
      <c r="AC302" s="2283" t="s">
        <v>46</v>
      </c>
      <c r="AD302" s="2283" t="s">
        <v>46</v>
      </c>
      <c r="AE302" s="2283" t="s">
        <v>46</v>
      </c>
      <c r="AF302" s="2283"/>
      <c r="AG302" s="2286"/>
      <c r="AH302" s="115"/>
      <c r="AI302" s="116"/>
    </row>
    <row r="303" spans="1:35" ht="18" customHeight="1" x14ac:dyDescent="0.2">
      <c r="A303" s="2037"/>
      <c r="B303" s="2019"/>
      <c r="C303" s="2040" t="s">
        <v>46</v>
      </c>
      <c r="D303" s="2040"/>
      <c r="E303" s="2040"/>
      <c r="F303" s="2040" t="s">
        <v>46</v>
      </c>
      <c r="G303" s="2040" t="s">
        <v>46</v>
      </c>
      <c r="H303" s="2040" t="s">
        <v>46</v>
      </c>
      <c r="I303" s="2040" t="s">
        <v>46</v>
      </c>
      <c r="J303" s="2040" t="s">
        <v>46</v>
      </c>
      <c r="K303" s="2040"/>
      <c r="L303" s="2040"/>
      <c r="M303" s="2040" t="s">
        <v>46</v>
      </c>
      <c r="N303" s="2040" t="s">
        <v>46</v>
      </c>
      <c r="O303" s="2040" t="s">
        <v>46</v>
      </c>
      <c r="P303" s="2040" t="s">
        <v>46</v>
      </c>
      <c r="Q303" s="2040" t="s">
        <v>46</v>
      </c>
      <c r="R303" s="2040"/>
      <c r="S303" s="2040"/>
      <c r="T303" s="2040" t="s">
        <v>46</v>
      </c>
      <c r="U303" s="2040" t="s">
        <v>46</v>
      </c>
      <c r="V303" s="2040" t="s">
        <v>46</v>
      </c>
      <c r="W303" s="2040" t="s">
        <v>46</v>
      </c>
      <c r="X303" s="2040" t="s">
        <v>46</v>
      </c>
      <c r="Y303" s="2040"/>
      <c r="Z303" s="2040"/>
      <c r="AA303" s="2040" t="s">
        <v>46</v>
      </c>
      <c r="AB303" s="2040" t="s">
        <v>46</v>
      </c>
      <c r="AC303" s="2040" t="s">
        <v>46</v>
      </c>
      <c r="AD303" s="2040" t="s">
        <v>46</v>
      </c>
      <c r="AE303" s="2040" t="s">
        <v>46</v>
      </c>
      <c r="AF303" s="2040"/>
      <c r="AG303" s="2043"/>
      <c r="AH303" s="115"/>
      <c r="AI303" s="116"/>
    </row>
    <row r="304" spans="1:35" ht="18" customHeight="1" x14ac:dyDescent="0.2">
      <c r="A304" s="2637"/>
      <c r="B304" s="2638"/>
      <c r="C304" s="2040" t="s">
        <v>46</v>
      </c>
      <c r="D304" s="2040"/>
      <c r="E304" s="2040"/>
      <c r="F304" s="2040" t="s">
        <v>46</v>
      </c>
      <c r="G304" s="2040" t="s">
        <v>46</v>
      </c>
      <c r="H304" s="2040" t="s">
        <v>46</v>
      </c>
      <c r="I304" s="2040" t="s">
        <v>46</v>
      </c>
      <c r="J304" s="2040" t="s">
        <v>46</v>
      </c>
      <c r="K304" s="2040"/>
      <c r="L304" s="2040"/>
      <c r="M304" s="2040" t="s">
        <v>46</v>
      </c>
      <c r="N304" s="2040" t="s">
        <v>46</v>
      </c>
      <c r="O304" s="2040" t="s">
        <v>46</v>
      </c>
      <c r="P304" s="2040" t="s">
        <v>46</v>
      </c>
      <c r="Q304" s="2040" t="s">
        <v>46</v>
      </c>
      <c r="R304" s="2040"/>
      <c r="S304" s="2040"/>
      <c r="T304" s="2040" t="s">
        <v>46</v>
      </c>
      <c r="U304" s="2040" t="s">
        <v>46</v>
      </c>
      <c r="V304" s="2040" t="s">
        <v>46</v>
      </c>
      <c r="W304" s="2040" t="s">
        <v>46</v>
      </c>
      <c r="X304" s="2040" t="s">
        <v>46</v>
      </c>
      <c r="Y304" s="2040"/>
      <c r="Z304" s="2040"/>
      <c r="AA304" s="2040" t="s">
        <v>46</v>
      </c>
      <c r="AB304" s="2040" t="s">
        <v>46</v>
      </c>
      <c r="AC304" s="2040" t="s">
        <v>46</v>
      </c>
      <c r="AD304" s="2040" t="s">
        <v>46</v>
      </c>
      <c r="AE304" s="2040" t="s">
        <v>46</v>
      </c>
      <c r="AF304" s="2040"/>
      <c r="AG304" s="2043"/>
      <c r="AH304" s="115"/>
      <c r="AI304" s="116"/>
    </row>
    <row r="305" spans="1:36" ht="18" customHeight="1" x14ac:dyDescent="0.2">
      <c r="A305" s="2639"/>
      <c r="B305" s="2640"/>
      <c r="C305" s="2040"/>
      <c r="D305" s="2040"/>
      <c r="E305" s="2040"/>
      <c r="F305" s="2040"/>
      <c r="G305" s="2040"/>
      <c r="H305" s="2040"/>
      <c r="I305" s="2040"/>
      <c r="J305" s="2040"/>
      <c r="K305" s="2040"/>
      <c r="L305" s="2040"/>
      <c r="M305" s="2040"/>
      <c r="N305" s="2040"/>
      <c r="O305" s="2040"/>
      <c r="P305" s="2040"/>
      <c r="Q305" s="2040"/>
      <c r="R305" s="2040"/>
      <c r="S305" s="2040"/>
      <c r="T305" s="2040"/>
      <c r="U305" s="2040"/>
      <c r="V305" s="2040"/>
      <c r="W305" s="2040"/>
      <c r="X305" s="2040"/>
      <c r="Y305" s="2040"/>
      <c r="Z305" s="2040"/>
      <c r="AA305" s="2040"/>
      <c r="AB305" s="2040"/>
      <c r="AC305" s="2040"/>
      <c r="AD305" s="2040"/>
      <c r="AE305" s="2040"/>
      <c r="AF305" s="2040"/>
      <c r="AG305" s="2043"/>
      <c r="AH305" s="115"/>
      <c r="AI305" s="116"/>
    </row>
    <row r="306" spans="1:36" ht="18" customHeight="1" x14ac:dyDescent="0.2">
      <c r="A306" s="2641"/>
      <c r="B306" s="2642" t="s">
        <v>376</v>
      </c>
      <c r="C306" s="2035"/>
      <c r="D306" s="2035"/>
      <c r="E306" s="2035"/>
      <c r="F306" s="2035"/>
      <c r="G306" s="2035"/>
      <c r="H306" s="2035"/>
      <c r="I306" s="2035"/>
      <c r="J306" s="2035"/>
      <c r="K306" s="2035"/>
      <c r="L306" s="2035"/>
      <c r="M306" s="2035"/>
      <c r="N306" s="2035"/>
      <c r="O306" s="2035"/>
      <c r="P306" s="2035"/>
      <c r="Q306" s="2035"/>
      <c r="R306" s="2035"/>
      <c r="S306" s="2035"/>
      <c r="T306" s="2035"/>
      <c r="U306" s="2035"/>
      <c r="V306" s="2035"/>
      <c r="W306" s="2035"/>
      <c r="X306" s="2035"/>
      <c r="Y306" s="2035"/>
      <c r="Z306" s="2035"/>
      <c r="AA306" s="2035"/>
      <c r="AB306" s="2035"/>
      <c r="AC306" s="2035"/>
      <c r="AD306" s="2035"/>
      <c r="AE306" s="2035"/>
      <c r="AF306" s="2035"/>
      <c r="AG306" s="2643"/>
      <c r="AH306" s="113"/>
      <c r="AI306" s="114"/>
    </row>
    <row r="307" spans="1:36" ht="18" customHeight="1" x14ac:dyDescent="0.2">
      <c r="A307" s="2637">
        <v>3702</v>
      </c>
      <c r="B307" s="2044" t="s">
        <v>377</v>
      </c>
      <c r="C307" s="2144" t="s">
        <v>378</v>
      </c>
      <c r="D307" s="2144"/>
      <c r="E307" s="2055"/>
      <c r="F307" s="2055" t="s">
        <v>378</v>
      </c>
      <c r="G307" s="2144" t="s">
        <v>378</v>
      </c>
      <c r="H307" s="2144" t="s">
        <v>378</v>
      </c>
      <c r="I307" s="2144" t="s">
        <v>378</v>
      </c>
      <c r="J307" s="2144" t="s">
        <v>378</v>
      </c>
      <c r="K307" s="2144"/>
      <c r="L307" s="2055"/>
      <c r="M307" s="2144" t="s">
        <v>378</v>
      </c>
      <c r="N307" s="2055" t="s">
        <v>378</v>
      </c>
      <c r="O307" s="2055" t="s">
        <v>378</v>
      </c>
      <c r="P307" s="2144" t="s">
        <v>378</v>
      </c>
      <c r="Q307" s="2144" t="s">
        <v>378</v>
      </c>
      <c r="R307" s="2144"/>
      <c r="S307" s="2144"/>
      <c r="T307" s="2144" t="s">
        <v>378</v>
      </c>
      <c r="U307" s="2055" t="s">
        <v>378</v>
      </c>
      <c r="V307" s="2055" t="s">
        <v>378</v>
      </c>
      <c r="W307" s="2144" t="s">
        <v>378</v>
      </c>
      <c r="X307" s="2144" t="s">
        <v>378</v>
      </c>
      <c r="Y307" s="2144"/>
      <c r="Z307" s="2144"/>
      <c r="AA307" s="2144" t="s">
        <v>378</v>
      </c>
      <c r="AB307" s="2055" t="s">
        <v>378</v>
      </c>
      <c r="AC307" s="2055" t="s">
        <v>378</v>
      </c>
      <c r="AD307" s="2144" t="s">
        <v>378</v>
      </c>
      <c r="AE307" s="2144" t="s">
        <v>378</v>
      </c>
      <c r="AF307" s="2144"/>
      <c r="AG307" s="2442"/>
      <c r="AH307" s="115"/>
      <c r="AI307" s="116"/>
    </row>
    <row r="308" spans="1:36" ht="18" customHeight="1" x14ac:dyDescent="0.2">
      <c r="A308" s="2637"/>
      <c r="B308" s="2044" t="s">
        <v>379</v>
      </c>
      <c r="C308" s="2144" t="s">
        <v>380</v>
      </c>
      <c r="D308" s="2144"/>
      <c r="E308" s="2144"/>
      <c r="F308" s="2144" t="s">
        <v>380</v>
      </c>
      <c r="G308" s="2144" t="s">
        <v>380</v>
      </c>
      <c r="H308" s="2144" t="s">
        <v>380</v>
      </c>
      <c r="I308" s="2144" t="s">
        <v>380</v>
      </c>
      <c r="J308" s="2144" t="s">
        <v>380</v>
      </c>
      <c r="K308" s="2144"/>
      <c r="L308" s="2144"/>
      <c r="M308" s="2144" t="s">
        <v>380</v>
      </c>
      <c r="N308" s="2144" t="s">
        <v>380</v>
      </c>
      <c r="O308" s="2144" t="s">
        <v>380</v>
      </c>
      <c r="P308" s="2144" t="s">
        <v>380</v>
      </c>
      <c r="Q308" s="2144" t="s">
        <v>380</v>
      </c>
      <c r="R308" s="2144"/>
      <c r="S308" s="2144"/>
      <c r="T308" s="2071" t="s">
        <v>380</v>
      </c>
      <c r="U308" s="2144" t="s">
        <v>380</v>
      </c>
      <c r="V308" s="2055" t="s">
        <v>380</v>
      </c>
      <c r="W308" s="2144" t="s">
        <v>380</v>
      </c>
      <c r="X308" s="2144" t="s">
        <v>380</v>
      </c>
      <c r="Y308" s="2144"/>
      <c r="Z308" s="2144"/>
      <c r="AA308" s="2144" t="s">
        <v>380</v>
      </c>
      <c r="AB308" s="2144" t="s">
        <v>380</v>
      </c>
      <c r="AC308" s="2055" t="s">
        <v>380</v>
      </c>
      <c r="AD308" s="2144" t="s">
        <v>380</v>
      </c>
      <c r="AE308" s="2144" t="s">
        <v>380</v>
      </c>
      <c r="AF308" s="2144"/>
      <c r="AG308" s="2644"/>
      <c r="AH308" s="115"/>
      <c r="AI308" s="116"/>
    </row>
    <row r="309" spans="1:36" ht="18" customHeight="1" x14ac:dyDescent="0.2">
      <c r="A309" s="2645"/>
      <c r="B309" s="2059" t="s">
        <v>381</v>
      </c>
      <c r="C309" s="2135" t="s">
        <v>382</v>
      </c>
      <c r="D309" s="2135"/>
      <c r="E309" s="2141"/>
      <c r="F309" s="2141" t="s">
        <v>382</v>
      </c>
      <c r="G309" s="2135" t="s">
        <v>382</v>
      </c>
      <c r="H309" s="2135" t="s">
        <v>382</v>
      </c>
      <c r="I309" s="2135" t="s">
        <v>382</v>
      </c>
      <c r="J309" s="2135" t="s">
        <v>382</v>
      </c>
      <c r="K309" s="2135"/>
      <c r="L309" s="2135"/>
      <c r="M309" s="2135" t="s">
        <v>382</v>
      </c>
      <c r="N309" s="2141" t="s">
        <v>382</v>
      </c>
      <c r="O309" s="2141" t="s">
        <v>382</v>
      </c>
      <c r="P309" s="2135" t="s">
        <v>382</v>
      </c>
      <c r="Q309" s="2135" t="s">
        <v>382</v>
      </c>
      <c r="R309" s="2135"/>
      <c r="S309" s="2135"/>
      <c r="T309" s="2135" t="s">
        <v>382</v>
      </c>
      <c r="U309" s="2646" t="s">
        <v>382</v>
      </c>
      <c r="V309" s="2141" t="s">
        <v>382</v>
      </c>
      <c r="W309" s="2135" t="s">
        <v>382</v>
      </c>
      <c r="X309" s="2135" t="s">
        <v>382</v>
      </c>
      <c r="Y309" s="2135"/>
      <c r="Z309" s="2135"/>
      <c r="AA309" s="2135" t="s">
        <v>382</v>
      </c>
      <c r="AB309" s="2141" t="s">
        <v>382</v>
      </c>
      <c r="AC309" s="2141" t="s">
        <v>382</v>
      </c>
      <c r="AD309" s="2135" t="s">
        <v>382</v>
      </c>
      <c r="AE309" s="2135" t="s">
        <v>382</v>
      </c>
      <c r="AF309" s="2135"/>
      <c r="AG309" s="2163"/>
      <c r="AH309" s="115"/>
      <c r="AI309" s="116"/>
    </row>
    <row r="310" spans="1:36" ht="18" customHeight="1" x14ac:dyDescent="0.2"/>
    <row r="311" spans="1:36" ht="18" customHeight="1" x14ac:dyDescent="0.2"/>
    <row r="312" spans="1:36" ht="18" customHeight="1" x14ac:dyDescent="0.2">
      <c r="A312" s="103" t="s">
        <v>383</v>
      </c>
    </row>
    <row r="313" spans="1:36" ht="18" customHeight="1" x14ac:dyDescent="0.2">
      <c r="A313" s="1"/>
      <c r="B313" s="2630" t="s">
        <v>340</v>
      </c>
      <c r="C313" s="2522"/>
      <c r="D313" s="2547" t="s">
        <v>17</v>
      </c>
      <c r="E313" s="2415"/>
      <c r="F313" s="2526"/>
      <c r="G313" s="2522"/>
      <c r="H313" s="2547" t="s">
        <v>18</v>
      </c>
      <c r="I313" s="2415"/>
      <c r="J313" s="2526"/>
      <c r="K313" s="2522"/>
      <c r="L313" s="2547" t="s">
        <v>19</v>
      </c>
      <c r="M313" s="2415"/>
      <c r="N313" s="2526"/>
      <c r="O313" s="2522"/>
      <c r="P313" s="2547" t="s">
        <v>20</v>
      </c>
      <c r="Q313" s="2415"/>
      <c r="R313" s="2526"/>
      <c r="S313" s="2522"/>
      <c r="T313" s="2547" t="s">
        <v>21</v>
      </c>
      <c r="U313" s="2415"/>
      <c r="V313" s="2526"/>
      <c r="W313" s="2522"/>
      <c r="X313" s="2547" t="s">
        <v>22</v>
      </c>
      <c r="Y313" s="2415"/>
      <c r="Z313" s="2526"/>
      <c r="AA313" s="2522"/>
      <c r="AB313" s="2547" t="s">
        <v>23</v>
      </c>
      <c r="AC313" s="2415"/>
      <c r="AD313" s="2415"/>
      <c r="AE313" s="2550" t="s">
        <v>126</v>
      </c>
      <c r="AF313" s="2415"/>
      <c r="AG313" s="2415"/>
      <c r="AH313" s="2415"/>
      <c r="AI313" s="2270"/>
    </row>
    <row r="314" spans="1:36" ht="18" customHeight="1" x14ac:dyDescent="0.2">
      <c r="A314" s="1"/>
      <c r="B314" s="452"/>
      <c r="C314" s="457"/>
      <c r="D314" s="1030"/>
      <c r="E314" s="467"/>
      <c r="F314" s="1077"/>
      <c r="G314" s="457"/>
      <c r="H314" s="1030"/>
      <c r="I314" s="467"/>
      <c r="J314" s="1077"/>
      <c r="K314" s="457"/>
      <c r="L314" s="1030"/>
      <c r="M314" s="467"/>
      <c r="N314" s="1077"/>
      <c r="O314" s="457"/>
      <c r="P314" s="1030"/>
      <c r="Q314" s="467"/>
      <c r="R314" s="1077"/>
      <c r="S314" s="457"/>
      <c r="T314" s="1030"/>
      <c r="U314" s="467"/>
      <c r="V314" s="1077"/>
      <c r="W314" s="457"/>
      <c r="X314" s="1030"/>
      <c r="Y314" s="467"/>
      <c r="Z314" s="1077"/>
      <c r="AA314" s="457"/>
      <c r="AB314" s="1030"/>
      <c r="AC314" s="467"/>
      <c r="AD314" s="467"/>
      <c r="AE314" s="1033"/>
      <c r="AF314" s="467"/>
      <c r="AG314" s="467"/>
      <c r="AH314" s="467"/>
      <c r="AI314" s="1026"/>
    </row>
    <row r="315" spans="1:36" ht="18" customHeight="1" x14ac:dyDescent="0.2">
      <c r="A315" s="70"/>
      <c r="B315" s="2631"/>
      <c r="C315" s="2168"/>
      <c r="D315" s="2007"/>
      <c r="E315" s="2007"/>
      <c r="F315" s="2555"/>
      <c r="G315" s="2168"/>
      <c r="H315" s="2007"/>
      <c r="I315" s="2007"/>
      <c r="J315" s="2555"/>
      <c r="K315" s="2168"/>
      <c r="L315" s="2007"/>
      <c r="M315" s="2007"/>
      <c r="N315" s="2555"/>
      <c r="O315" s="2168"/>
      <c r="P315" s="2007"/>
      <c r="Q315" s="2007"/>
      <c r="R315" s="2555"/>
      <c r="S315" s="2168"/>
      <c r="T315" s="2007"/>
      <c r="U315" s="2007"/>
      <c r="V315" s="2555"/>
      <c r="W315" s="2168"/>
      <c r="X315" s="2007"/>
      <c r="Y315" s="2007"/>
      <c r="Z315" s="2555"/>
      <c r="AA315" s="2553"/>
      <c r="AB315" s="2007"/>
      <c r="AC315" s="2007"/>
      <c r="AD315" s="2169"/>
      <c r="AE315" s="2647"/>
      <c r="AF315" s="2007"/>
      <c r="AG315" s="2007"/>
      <c r="AH315" s="2169"/>
      <c r="AI315" s="2603"/>
    </row>
    <row r="316" spans="1:36" ht="18" customHeight="1" x14ac:dyDescent="0.2">
      <c r="A316" s="1"/>
      <c r="B316" s="2565"/>
      <c r="C316" s="2566"/>
      <c r="D316" s="2119"/>
      <c r="E316" s="2119"/>
      <c r="F316" s="2595"/>
      <c r="G316" s="2566"/>
      <c r="H316" s="2119"/>
      <c r="I316" s="2119"/>
      <c r="J316" s="2595"/>
      <c r="K316" s="2566"/>
      <c r="L316" s="2119"/>
      <c r="M316" s="2119"/>
      <c r="N316" s="2595"/>
      <c r="O316" s="2566"/>
      <c r="P316" s="2119"/>
      <c r="Q316" s="2119"/>
      <c r="R316" s="2595"/>
      <c r="S316" s="2566"/>
      <c r="T316" s="2119"/>
      <c r="U316" s="2119"/>
      <c r="V316" s="2595"/>
      <c r="W316" s="2593"/>
      <c r="X316" s="2119"/>
      <c r="Y316" s="2119"/>
      <c r="Z316" s="2595"/>
      <c r="AA316" s="2593"/>
      <c r="AB316" s="2119"/>
      <c r="AC316" s="2119"/>
      <c r="AD316" s="2573"/>
      <c r="AE316" s="2593"/>
      <c r="AF316" s="2119"/>
      <c r="AG316" s="2119"/>
      <c r="AH316" s="2573"/>
      <c r="AI316" s="2126"/>
    </row>
    <row r="317" spans="1:36" ht="18" customHeight="1" x14ac:dyDescent="0.2">
      <c r="A317" s="1"/>
      <c r="B317" s="5"/>
      <c r="C317" s="42"/>
      <c r="F317" s="46"/>
      <c r="G317" s="42"/>
      <c r="J317" s="46"/>
      <c r="K317" s="42"/>
      <c r="N317" s="46"/>
      <c r="O317" s="42"/>
      <c r="R317" s="46"/>
      <c r="S317" s="42"/>
      <c r="V317" s="46"/>
      <c r="W317" s="46"/>
      <c r="Z317" s="46"/>
      <c r="AA317" s="46"/>
      <c r="AD317" s="46"/>
      <c r="AE317" s="46"/>
      <c r="AH317" s="46"/>
    </row>
    <row r="318" spans="1:36" ht="18" customHeight="1" x14ac:dyDescent="0.2">
      <c r="A318" s="103" t="s">
        <v>384</v>
      </c>
      <c r="B318" s="5"/>
      <c r="C318" s="42"/>
      <c r="F318" s="46"/>
      <c r="G318" s="42"/>
      <c r="J318" s="46"/>
      <c r="K318" s="42"/>
      <c r="N318" s="46"/>
      <c r="O318" s="42"/>
      <c r="R318" s="46"/>
      <c r="S318" s="42"/>
      <c r="V318" s="46"/>
      <c r="W318" s="46"/>
      <c r="Z318" s="46"/>
      <c r="AA318" s="46"/>
      <c r="AD318" s="46"/>
      <c r="AE318" s="46"/>
      <c r="AH318" s="208"/>
      <c r="AI318" s="123"/>
      <c r="AJ318" s="123"/>
    </row>
    <row r="319" spans="1:36" ht="18" customHeight="1" x14ac:dyDescent="0.2">
      <c r="A319" s="2543" t="s">
        <v>43</v>
      </c>
      <c r="B319" s="2128" t="s">
        <v>44</v>
      </c>
      <c r="C319" s="2383">
        <v>1</v>
      </c>
      <c r="D319" s="2384">
        <v>2</v>
      </c>
      <c r="E319" s="2384">
        <v>3</v>
      </c>
      <c r="F319" s="2383">
        <v>4</v>
      </c>
      <c r="G319" s="2383">
        <v>5</v>
      </c>
      <c r="H319" s="2383">
        <v>6</v>
      </c>
      <c r="I319" s="2383">
        <v>7</v>
      </c>
      <c r="J319" s="2383">
        <v>8</v>
      </c>
      <c r="K319" s="2384">
        <v>9</v>
      </c>
      <c r="L319" s="2384">
        <v>10</v>
      </c>
      <c r="M319" s="2383">
        <v>11</v>
      </c>
      <c r="N319" s="2383">
        <v>12</v>
      </c>
      <c r="O319" s="2383">
        <v>13</v>
      </c>
      <c r="P319" s="2383">
        <v>14</v>
      </c>
      <c r="Q319" s="2383">
        <v>15</v>
      </c>
      <c r="R319" s="2384">
        <v>16</v>
      </c>
      <c r="S319" s="2384">
        <v>17</v>
      </c>
      <c r="T319" s="2383">
        <v>18</v>
      </c>
      <c r="U319" s="2383">
        <v>19</v>
      </c>
      <c r="V319" s="2383">
        <v>20</v>
      </c>
      <c r="W319" s="2383">
        <v>21</v>
      </c>
      <c r="X319" s="2383">
        <v>22</v>
      </c>
      <c r="Y319" s="2384">
        <v>23</v>
      </c>
      <c r="Z319" s="2384">
        <v>24</v>
      </c>
      <c r="AA319" s="2383">
        <v>25</v>
      </c>
      <c r="AB319" s="2383">
        <v>26</v>
      </c>
      <c r="AC319" s="2383">
        <v>27</v>
      </c>
      <c r="AD319" s="2383">
        <v>28</v>
      </c>
      <c r="AE319" s="2383">
        <v>29</v>
      </c>
      <c r="AF319" s="2384">
        <v>30</v>
      </c>
      <c r="AG319" s="2026"/>
      <c r="AH319" s="209"/>
      <c r="AI319" s="210"/>
      <c r="AJ319" s="123"/>
    </row>
    <row r="320" spans="1:36" ht="18" customHeight="1" x14ac:dyDescent="0.2">
      <c r="A320" s="2648"/>
      <c r="B320" s="2649"/>
      <c r="C320" s="2040" t="s">
        <v>46</v>
      </c>
      <c r="D320" s="2040"/>
      <c r="E320" s="2040"/>
      <c r="F320" s="2040" t="s">
        <v>46</v>
      </c>
      <c r="G320" s="2040" t="s">
        <v>46</v>
      </c>
      <c r="H320" s="2040" t="s">
        <v>46</v>
      </c>
      <c r="I320" s="2040" t="s">
        <v>46</v>
      </c>
      <c r="J320" s="2040" t="s">
        <v>46</v>
      </c>
      <c r="K320" s="2040"/>
      <c r="L320" s="2040"/>
      <c r="M320" s="2040" t="s">
        <v>46</v>
      </c>
      <c r="N320" s="2040" t="s">
        <v>46</v>
      </c>
      <c r="O320" s="2040" t="s">
        <v>46</v>
      </c>
      <c r="P320" s="2040" t="s">
        <v>46</v>
      </c>
      <c r="Q320" s="2040" t="s">
        <v>46</v>
      </c>
      <c r="R320" s="2040"/>
      <c r="S320" s="2040"/>
      <c r="T320" s="2040" t="s">
        <v>46</v>
      </c>
      <c r="U320" s="2040" t="s">
        <v>46</v>
      </c>
      <c r="V320" s="2040" t="s">
        <v>46</v>
      </c>
      <c r="W320" s="2040" t="s">
        <v>46</v>
      </c>
      <c r="X320" s="2040" t="s">
        <v>46</v>
      </c>
      <c r="Y320" s="2040"/>
      <c r="Z320" s="2040"/>
      <c r="AA320" s="2040" t="s">
        <v>46</v>
      </c>
      <c r="AB320" s="2040" t="s">
        <v>46</v>
      </c>
      <c r="AC320" s="2040" t="s">
        <v>46</v>
      </c>
      <c r="AD320" s="2040" t="s">
        <v>46</v>
      </c>
      <c r="AE320" s="2040" t="s">
        <v>46</v>
      </c>
      <c r="AF320" s="2040"/>
      <c r="AG320" s="2043"/>
      <c r="AH320" s="211"/>
      <c r="AI320" s="212"/>
      <c r="AJ320" s="123"/>
    </row>
    <row r="321" spans="1:36" ht="18" customHeight="1" x14ac:dyDescent="0.2">
      <c r="A321" s="1081"/>
      <c r="B321" s="748" t="s">
        <v>385</v>
      </c>
      <c r="C321" s="2040" t="s">
        <v>46</v>
      </c>
      <c r="D321" s="2040"/>
      <c r="E321" s="2040"/>
      <c r="F321" s="2040" t="s">
        <v>46</v>
      </c>
      <c r="G321" s="2040" t="s">
        <v>46</v>
      </c>
      <c r="H321" s="2040" t="s">
        <v>46</v>
      </c>
      <c r="I321" s="2040" t="s">
        <v>46</v>
      </c>
      <c r="J321" s="2040" t="s">
        <v>46</v>
      </c>
      <c r="K321" s="2040"/>
      <c r="L321" s="2040"/>
      <c r="M321" s="2040" t="s">
        <v>46</v>
      </c>
      <c r="N321" s="2040" t="s">
        <v>46</v>
      </c>
      <c r="O321" s="2040" t="s">
        <v>46</v>
      </c>
      <c r="P321" s="2040" t="s">
        <v>46</v>
      </c>
      <c r="Q321" s="2040" t="s">
        <v>46</v>
      </c>
      <c r="R321" s="2040"/>
      <c r="S321" s="2040"/>
      <c r="T321" s="2040" t="s">
        <v>46</v>
      </c>
      <c r="U321" s="2040" t="s">
        <v>46</v>
      </c>
      <c r="V321" s="2040" t="s">
        <v>46</v>
      </c>
      <c r="W321" s="2040" t="s">
        <v>46</v>
      </c>
      <c r="X321" s="2040" t="s">
        <v>46</v>
      </c>
      <c r="Y321" s="2040"/>
      <c r="Z321" s="2040"/>
      <c r="AA321" s="2040" t="s">
        <v>46</v>
      </c>
      <c r="AB321" s="2040" t="s">
        <v>46</v>
      </c>
      <c r="AC321" s="2040" t="s">
        <v>46</v>
      </c>
      <c r="AD321" s="2040" t="s">
        <v>46</v>
      </c>
      <c r="AE321" s="2040" t="s">
        <v>46</v>
      </c>
      <c r="AF321" s="2040"/>
      <c r="AG321" s="2043"/>
      <c r="AH321" s="211"/>
      <c r="AI321" s="212"/>
      <c r="AJ321" s="123"/>
    </row>
    <row r="322" spans="1:36" ht="18" customHeight="1" x14ac:dyDescent="0.2">
      <c r="A322" s="1042"/>
      <c r="B322" s="748" t="s">
        <v>386</v>
      </c>
      <c r="C322" s="2040" t="s">
        <v>46</v>
      </c>
      <c r="D322" s="2040"/>
      <c r="E322" s="2040"/>
      <c r="F322" s="2040" t="s">
        <v>46</v>
      </c>
      <c r="G322" s="2040" t="s">
        <v>46</v>
      </c>
      <c r="H322" s="2040" t="s">
        <v>46</v>
      </c>
      <c r="I322" s="2040" t="s">
        <v>46</v>
      </c>
      <c r="J322" s="2040" t="s">
        <v>46</v>
      </c>
      <c r="K322" s="2040"/>
      <c r="L322" s="2040"/>
      <c r="M322" s="2040" t="s">
        <v>46</v>
      </c>
      <c r="N322" s="2040" t="s">
        <v>46</v>
      </c>
      <c r="O322" s="2040" t="s">
        <v>46</v>
      </c>
      <c r="P322" s="2040" t="s">
        <v>46</v>
      </c>
      <c r="Q322" s="2040" t="s">
        <v>46</v>
      </c>
      <c r="R322" s="2040"/>
      <c r="S322" s="2040"/>
      <c r="T322" s="2040" t="s">
        <v>46</v>
      </c>
      <c r="U322" s="2040" t="s">
        <v>46</v>
      </c>
      <c r="V322" s="2040" t="s">
        <v>46</v>
      </c>
      <c r="W322" s="2040" t="s">
        <v>46</v>
      </c>
      <c r="X322" s="2040" t="s">
        <v>46</v>
      </c>
      <c r="Y322" s="2040"/>
      <c r="Z322" s="2040"/>
      <c r="AA322" s="2040" t="s">
        <v>46</v>
      </c>
      <c r="AB322" s="2040" t="s">
        <v>46</v>
      </c>
      <c r="AC322" s="2040" t="s">
        <v>46</v>
      </c>
      <c r="AD322" s="2040" t="s">
        <v>46</v>
      </c>
      <c r="AE322" s="2040" t="s">
        <v>46</v>
      </c>
      <c r="AF322" s="2040"/>
      <c r="AG322" s="2043"/>
      <c r="AH322" s="211"/>
      <c r="AI322" s="212"/>
      <c r="AJ322" s="123"/>
    </row>
    <row r="323" spans="1:36" ht="18" customHeight="1" x14ac:dyDescent="0.2">
      <c r="A323" s="1042"/>
      <c r="B323" s="748" t="s">
        <v>387</v>
      </c>
      <c r="C323" s="2040" t="s">
        <v>46</v>
      </c>
      <c r="D323" s="2040"/>
      <c r="E323" s="2040"/>
      <c r="F323" s="2040" t="s">
        <v>46</v>
      </c>
      <c r="G323" s="2040" t="s">
        <v>46</v>
      </c>
      <c r="H323" s="2040" t="s">
        <v>46</v>
      </c>
      <c r="I323" s="2040" t="s">
        <v>46</v>
      </c>
      <c r="J323" s="2040" t="s">
        <v>46</v>
      </c>
      <c r="K323" s="2040"/>
      <c r="L323" s="2040"/>
      <c r="M323" s="2040" t="s">
        <v>46</v>
      </c>
      <c r="N323" s="2040" t="s">
        <v>46</v>
      </c>
      <c r="O323" s="2040" t="s">
        <v>46</v>
      </c>
      <c r="P323" s="2040" t="s">
        <v>46</v>
      </c>
      <c r="Q323" s="2040" t="s">
        <v>46</v>
      </c>
      <c r="R323" s="2040"/>
      <c r="S323" s="2040"/>
      <c r="T323" s="2040" t="s">
        <v>46</v>
      </c>
      <c r="U323" s="2040" t="s">
        <v>46</v>
      </c>
      <c r="V323" s="2040" t="s">
        <v>46</v>
      </c>
      <c r="W323" s="2040" t="s">
        <v>46</v>
      </c>
      <c r="X323" s="2040" t="s">
        <v>46</v>
      </c>
      <c r="Y323" s="2040"/>
      <c r="Z323" s="2040"/>
      <c r="AA323" s="2040" t="s">
        <v>46</v>
      </c>
      <c r="AB323" s="2040" t="s">
        <v>46</v>
      </c>
      <c r="AC323" s="2040" t="s">
        <v>46</v>
      </c>
      <c r="AD323" s="2040" t="s">
        <v>46</v>
      </c>
      <c r="AE323" s="2040" t="s">
        <v>46</v>
      </c>
      <c r="AF323" s="2040"/>
      <c r="AG323" s="2043"/>
      <c r="AH323" s="211"/>
      <c r="AI323" s="212"/>
      <c r="AJ323" s="123"/>
    </row>
    <row r="324" spans="1:36" ht="18" customHeight="1" x14ac:dyDescent="0.2">
      <c r="A324" s="1042"/>
      <c r="B324" s="748" t="s">
        <v>388</v>
      </c>
      <c r="C324" s="2040" t="s">
        <v>46</v>
      </c>
      <c r="D324" s="2040"/>
      <c r="E324" s="2040"/>
      <c r="F324" s="2040" t="s">
        <v>46</v>
      </c>
      <c r="G324" s="2040" t="s">
        <v>46</v>
      </c>
      <c r="H324" s="2040" t="s">
        <v>46</v>
      </c>
      <c r="I324" s="2040" t="s">
        <v>46</v>
      </c>
      <c r="J324" s="2040" t="s">
        <v>46</v>
      </c>
      <c r="K324" s="2040"/>
      <c r="L324" s="2040"/>
      <c r="M324" s="2040" t="s">
        <v>46</v>
      </c>
      <c r="N324" s="2040" t="s">
        <v>46</v>
      </c>
      <c r="O324" s="2040" t="s">
        <v>46</v>
      </c>
      <c r="P324" s="2040" t="s">
        <v>46</v>
      </c>
      <c r="Q324" s="2040" t="s">
        <v>46</v>
      </c>
      <c r="R324" s="2040"/>
      <c r="S324" s="2040"/>
      <c r="T324" s="2040" t="s">
        <v>46</v>
      </c>
      <c r="U324" s="2040" t="s">
        <v>46</v>
      </c>
      <c r="V324" s="2040" t="s">
        <v>46</v>
      </c>
      <c r="W324" s="2040" t="s">
        <v>46</v>
      </c>
      <c r="X324" s="2040" t="s">
        <v>46</v>
      </c>
      <c r="Y324" s="2040"/>
      <c r="Z324" s="2040"/>
      <c r="AA324" s="2040" t="s">
        <v>46</v>
      </c>
      <c r="AB324" s="2040" t="s">
        <v>46</v>
      </c>
      <c r="AC324" s="2040" t="s">
        <v>46</v>
      </c>
      <c r="AD324" s="2040" t="s">
        <v>46</v>
      </c>
      <c r="AE324" s="2040" t="s">
        <v>46</v>
      </c>
      <c r="AF324" s="2040"/>
      <c r="AG324" s="2043"/>
      <c r="AH324" s="211"/>
      <c r="AI324" s="212"/>
      <c r="AJ324" s="123"/>
    </row>
    <row r="325" spans="1:36" ht="18" customHeight="1" x14ac:dyDescent="0.2">
      <c r="A325" s="1042"/>
      <c r="B325" s="748" t="s">
        <v>389</v>
      </c>
      <c r="C325" s="2040" t="s">
        <v>46</v>
      </c>
      <c r="D325" s="2040"/>
      <c r="E325" s="2040"/>
      <c r="F325" s="2040" t="s">
        <v>46</v>
      </c>
      <c r="G325" s="2040" t="s">
        <v>46</v>
      </c>
      <c r="H325" s="2040" t="s">
        <v>46</v>
      </c>
      <c r="I325" s="2040" t="s">
        <v>46</v>
      </c>
      <c r="J325" s="2040" t="s">
        <v>46</v>
      </c>
      <c r="K325" s="2040"/>
      <c r="L325" s="2040"/>
      <c r="M325" s="2040" t="s">
        <v>46</v>
      </c>
      <c r="N325" s="2040" t="s">
        <v>46</v>
      </c>
      <c r="O325" s="2040" t="s">
        <v>46</v>
      </c>
      <c r="P325" s="2040" t="s">
        <v>46</v>
      </c>
      <c r="Q325" s="2040" t="s">
        <v>46</v>
      </c>
      <c r="R325" s="2040"/>
      <c r="S325" s="2040"/>
      <c r="T325" s="2040" t="s">
        <v>46</v>
      </c>
      <c r="U325" s="2040" t="s">
        <v>46</v>
      </c>
      <c r="V325" s="2040" t="s">
        <v>46</v>
      </c>
      <c r="W325" s="2040" t="s">
        <v>46</v>
      </c>
      <c r="X325" s="2040" t="s">
        <v>46</v>
      </c>
      <c r="Y325" s="2040"/>
      <c r="Z325" s="2040"/>
      <c r="AA325" s="2040" t="s">
        <v>46</v>
      </c>
      <c r="AB325" s="2040" t="s">
        <v>46</v>
      </c>
      <c r="AC325" s="2040" t="s">
        <v>46</v>
      </c>
      <c r="AD325" s="2040" t="s">
        <v>46</v>
      </c>
      <c r="AE325" s="2040" t="s">
        <v>46</v>
      </c>
      <c r="AF325" s="2040"/>
      <c r="AG325" s="2043"/>
      <c r="AH325" s="211"/>
      <c r="AI325" s="212"/>
      <c r="AJ325" s="123"/>
    </row>
    <row r="326" spans="1:36" ht="18" customHeight="1" x14ac:dyDescent="0.2">
      <c r="A326" s="1042"/>
      <c r="B326" s="748" t="s">
        <v>390</v>
      </c>
      <c r="C326" s="2040" t="s">
        <v>46</v>
      </c>
      <c r="D326" s="2040"/>
      <c r="E326" s="2040"/>
      <c r="F326" s="2040" t="s">
        <v>46</v>
      </c>
      <c r="G326" s="2040" t="s">
        <v>46</v>
      </c>
      <c r="H326" s="2040" t="s">
        <v>46</v>
      </c>
      <c r="I326" s="2040" t="s">
        <v>46</v>
      </c>
      <c r="J326" s="2040" t="s">
        <v>46</v>
      </c>
      <c r="K326" s="2040"/>
      <c r="L326" s="2040"/>
      <c r="M326" s="2040" t="s">
        <v>46</v>
      </c>
      <c r="N326" s="2040" t="s">
        <v>46</v>
      </c>
      <c r="O326" s="2040" t="s">
        <v>46</v>
      </c>
      <c r="P326" s="2040" t="s">
        <v>46</v>
      </c>
      <c r="Q326" s="2040" t="s">
        <v>46</v>
      </c>
      <c r="R326" s="2040"/>
      <c r="S326" s="2040"/>
      <c r="T326" s="2040" t="s">
        <v>46</v>
      </c>
      <c r="U326" s="2040" t="s">
        <v>46</v>
      </c>
      <c r="V326" s="2040" t="s">
        <v>46</v>
      </c>
      <c r="W326" s="2040" t="s">
        <v>46</v>
      </c>
      <c r="X326" s="2040" t="s">
        <v>46</v>
      </c>
      <c r="Y326" s="2040"/>
      <c r="Z326" s="2040"/>
      <c r="AA326" s="2040" t="s">
        <v>46</v>
      </c>
      <c r="AB326" s="2040" t="s">
        <v>46</v>
      </c>
      <c r="AC326" s="2040" t="s">
        <v>46</v>
      </c>
      <c r="AD326" s="2040" t="s">
        <v>46</v>
      </c>
      <c r="AE326" s="2040" t="s">
        <v>46</v>
      </c>
      <c r="AF326" s="2040"/>
      <c r="AG326" s="2043"/>
      <c r="AH326" s="211"/>
      <c r="AI326" s="212"/>
      <c r="AJ326" s="123"/>
    </row>
    <row r="327" spans="1:36" ht="18" customHeight="1" x14ac:dyDescent="0.2">
      <c r="A327" s="1042"/>
      <c r="B327" s="748" t="s">
        <v>391</v>
      </c>
      <c r="C327" s="2040" t="s">
        <v>46</v>
      </c>
      <c r="D327" s="2040"/>
      <c r="E327" s="2040"/>
      <c r="F327" s="2040" t="s">
        <v>46</v>
      </c>
      <c r="G327" s="2040" t="s">
        <v>46</v>
      </c>
      <c r="H327" s="2040" t="s">
        <v>46</v>
      </c>
      <c r="I327" s="2040" t="s">
        <v>46</v>
      </c>
      <c r="J327" s="2040" t="s">
        <v>46</v>
      </c>
      <c r="K327" s="2040"/>
      <c r="L327" s="2040"/>
      <c r="M327" s="2040" t="s">
        <v>46</v>
      </c>
      <c r="N327" s="2040" t="s">
        <v>46</v>
      </c>
      <c r="O327" s="2040" t="s">
        <v>46</v>
      </c>
      <c r="P327" s="2040" t="s">
        <v>46</v>
      </c>
      <c r="Q327" s="2040" t="s">
        <v>46</v>
      </c>
      <c r="R327" s="2040"/>
      <c r="S327" s="2040"/>
      <c r="T327" s="2040" t="s">
        <v>46</v>
      </c>
      <c r="U327" s="2040" t="s">
        <v>46</v>
      </c>
      <c r="V327" s="2040" t="s">
        <v>46</v>
      </c>
      <c r="W327" s="2040" t="s">
        <v>46</v>
      </c>
      <c r="X327" s="2040" t="s">
        <v>46</v>
      </c>
      <c r="Y327" s="2040"/>
      <c r="Z327" s="2040"/>
      <c r="AA327" s="2040" t="s">
        <v>46</v>
      </c>
      <c r="AB327" s="2040" t="s">
        <v>46</v>
      </c>
      <c r="AC327" s="2040" t="s">
        <v>46</v>
      </c>
      <c r="AD327" s="2040" t="s">
        <v>46</v>
      </c>
      <c r="AE327" s="2040" t="s">
        <v>46</v>
      </c>
      <c r="AF327" s="2040"/>
      <c r="AG327" s="2043"/>
      <c r="AH327" s="211"/>
      <c r="AI327" s="212"/>
      <c r="AJ327" s="123"/>
    </row>
    <row r="328" spans="1:36" ht="18" customHeight="1" x14ac:dyDescent="0.2">
      <c r="A328" s="1042"/>
      <c r="B328" s="748" t="s">
        <v>392</v>
      </c>
      <c r="C328" s="2040" t="s">
        <v>46</v>
      </c>
      <c r="D328" s="2040"/>
      <c r="E328" s="2040"/>
      <c r="F328" s="2040" t="s">
        <v>46</v>
      </c>
      <c r="G328" s="2040" t="s">
        <v>46</v>
      </c>
      <c r="H328" s="2040" t="s">
        <v>46</v>
      </c>
      <c r="I328" s="2040" t="s">
        <v>46</v>
      </c>
      <c r="J328" s="2040" t="s">
        <v>46</v>
      </c>
      <c r="K328" s="2040"/>
      <c r="L328" s="2040"/>
      <c r="M328" s="2040" t="s">
        <v>46</v>
      </c>
      <c r="N328" s="2040" t="s">
        <v>46</v>
      </c>
      <c r="O328" s="2040" t="s">
        <v>46</v>
      </c>
      <c r="P328" s="2040" t="s">
        <v>46</v>
      </c>
      <c r="Q328" s="2040" t="s">
        <v>46</v>
      </c>
      <c r="R328" s="2040"/>
      <c r="S328" s="2040"/>
      <c r="T328" s="2040" t="s">
        <v>46</v>
      </c>
      <c r="U328" s="2040" t="s">
        <v>46</v>
      </c>
      <c r="V328" s="2040" t="s">
        <v>46</v>
      </c>
      <c r="W328" s="2040" t="s">
        <v>46</v>
      </c>
      <c r="X328" s="2040" t="s">
        <v>46</v>
      </c>
      <c r="Y328" s="2040"/>
      <c r="Z328" s="2040"/>
      <c r="AA328" s="2040" t="s">
        <v>46</v>
      </c>
      <c r="AB328" s="2040" t="s">
        <v>46</v>
      </c>
      <c r="AC328" s="2040" t="s">
        <v>46</v>
      </c>
      <c r="AD328" s="2040" t="s">
        <v>46</v>
      </c>
      <c r="AE328" s="2040" t="s">
        <v>46</v>
      </c>
      <c r="AF328" s="2040"/>
      <c r="AG328" s="2043"/>
      <c r="AH328" s="211"/>
      <c r="AI328" s="212"/>
      <c r="AJ328" s="123"/>
    </row>
    <row r="329" spans="1:36" ht="18" customHeight="1" x14ac:dyDescent="0.2">
      <c r="A329" s="1042"/>
      <c r="B329" s="748" t="s">
        <v>393</v>
      </c>
      <c r="C329" s="2040" t="s">
        <v>46</v>
      </c>
      <c r="D329" s="2040"/>
      <c r="E329" s="2040"/>
      <c r="F329" s="2040" t="s">
        <v>46</v>
      </c>
      <c r="G329" s="2040" t="s">
        <v>46</v>
      </c>
      <c r="H329" s="2040" t="s">
        <v>46</v>
      </c>
      <c r="I329" s="2040" t="s">
        <v>46</v>
      </c>
      <c r="J329" s="2040" t="s">
        <v>46</v>
      </c>
      <c r="K329" s="2040"/>
      <c r="L329" s="2040"/>
      <c r="M329" s="2040" t="s">
        <v>46</v>
      </c>
      <c r="N329" s="2040" t="s">
        <v>46</v>
      </c>
      <c r="O329" s="2040" t="s">
        <v>46</v>
      </c>
      <c r="P329" s="2040" t="s">
        <v>46</v>
      </c>
      <c r="Q329" s="2040" t="s">
        <v>46</v>
      </c>
      <c r="R329" s="2040"/>
      <c r="S329" s="2040"/>
      <c r="T329" s="2040" t="s">
        <v>46</v>
      </c>
      <c r="U329" s="2040" t="s">
        <v>46</v>
      </c>
      <c r="V329" s="2040" t="s">
        <v>46</v>
      </c>
      <c r="W329" s="2040" t="s">
        <v>46</v>
      </c>
      <c r="X329" s="2040" t="s">
        <v>46</v>
      </c>
      <c r="Y329" s="2040"/>
      <c r="Z329" s="2040"/>
      <c r="AA329" s="2040" t="s">
        <v>46</v>
      </c>
      <c r="AB329" s="2040" t="s">
        <v>46</v>
      </c>
      <c r="AC329" s="2040" t="s">
        <v>46</v>
      </c>
      <c r="AD329" s="2040" t="s">
        <v>46</v>
      </c>
      <c r="AE329" s="2040" t="s">
        <v>46</v>
      </c>
      <c r="AF329" s="2040"/>
      <c r="AG329" s="2043"/>
      <c r="AH329" s="211"/>
      <c r="AI329" s="212"/>
      <c r="AJ329" s="123"/>
    </row>
    <row r="330" spans="1:36" ht="18" customHeight="1" x14ac:dyDescent="0.2">
      <c r="A330" s="1544"/>
      <c r="B330" s="1545" t="s">
        <v>394</v>
      </c>
      <c r="C330" s="2040" t="s">
        <v>46</v>
      </c>
      <c r="D330" s="2040"/>
      <c r="E330" s="2040"/>
      <c r="F330" s="2040" t="s">
        <v>46</v>
      </c>
      <c r="G330" s="2040" t="s">
        <v>46</v>
      </c>
      <c r="H330" s="2040" t="s">
        <v>46</v>
      </c>
      <c r="I330" s="2040" t="s">
        <v>46</v>
      </c>
      <c r="J330" s="2040" t="s">
        <v>46</v>
      </c>
      <c r="K330" s="2040"/>
      <c r="L330" s="2040"/>
      <c r="M330" s="2040" t="s">
        <v>46</v>
      </c>
      <c r="N330" s="2040" t="s">
        <v>46</v>
      </c>
      <c r="O330" s="2040" t="s">
        <v>46</v>
      </c>
      <c r="P330" s="2040" t="s">
        <v>46</v>
      </c>
      <c r="Q330" s="2040" t="s">
        <v>46</v>
      </c>
      <c r="R330" s="2040"/>
      <c r="S330" s="2040"/>
      <c r="T330" s="2040" t="s">
        <v>46</v>
      </c>
      <c r="U330" s="2040" t="s">
        <v>46</v>
      </c>
      <c r="V330" s="2040" t="s">
        <v>46</v>
      </c>
      <c r="W330" s="2040" t="s">
        <v>46</v>
      </c>
      <c r="X330" s="2040" t="s">
        <v>46</v>
      </c>
      <c r="Y330" s="2040"/>
      <c r="Z330" s="2040"/>
      <c r="AA330" s="2040" t="s">
        <v>46</v>
      </c>
      <c r="AB330" s="2040" t="s">
        <v>46</v>
      </c>
      <c r="AC330" s="2040" t="s">
        <v>46</v>
      </c>
      <c r="AD330" s="2040" t="s">
        <v>46</v>
      </c>
      <c r="AE330" s="2040" t="s">
        <v>46</v>
      </c>
      <c r="AF330" s="2040"/>
      <c r="AG330" s="2043"/>
      <c r="AH330" s="211"/>
      <c r="AI330" s="212"/>
      <c r="AJ330" s="123"/>
    </row>
    <row r="331" spans="1:36" ht="18" customHeight="1" x14ac:dyDescent="0.2">
      <c r="A331" s="1042"/>
      <c r="B331" s="748"/>
      <c r="C331" s="636"/>
      <c r="D331" s="813"/>
      <c r="E331" s="636"/>
      <c r="F331" s="636"/>
      <c r="G331" s="636"/>
      <c r="H331" s="636"/>
      <c r="I331" s="636"/>
      <c r="J331" s="636"/>
      <c r="K331" s="636"/>
      <c r="L331" s="636"/>
      <c r="M331" s="636"/>
      <c r="N331" s="636"/>
      <c r="O331" s="636"/>
      <c r="P331" s="636"/>
      <c r="Q331" s="636"/>
      <c r="R331" s="636"/>
      <c r="S331" s="636"/>
      <c r="T331" s="636"/>
      <c r="U331" s="636"/>
      <c r="V331" s="636"/>
      <c r="W331" s="636"/>
      <c r="X331" s="636"/>
      <c r="Y331" s="636"/>
      <c r="Z331" s="636"/>
      <c r="AA331" s="636"/>
      <c r="AB331" s="636"/>
      <c r="AC331" s="636"/>
      <c r="AD331" s="636"/>
      <c r="AE331" s="636"/>
      <c r="AF331" s="636"/>
      <c r="AG331" s="801"/>
      <c r="AH331" s="211"/>
      <c r="AI331" s="212"/>
      <c r="AJ331" s="123"/>
    </row>
    <row r="332" spans="1:36" ht="18" customHeight="1" x14ac:dyDescent="0.2">
      <c r="A332" s="372"/>
      <c r="B332" s="1085"/>
      <c r="C332" s="712"/>
      <c r="D332" s="712"/>
      <c r="E332" s="712"/>
      <c r="F332" s="712"/>
      <c r="G332" s="712"/>
      <c r="H332" s="712"/>
      <c r="I332" s="712"/>
      <c r="J332" s="712"/>
      <c r="K332" s="712"/>
      <c r="L332" s="712"/>
      <c r="M332" s="712"/>
      <c r="N332" s="711"/>
      <c r="O332" s="711"/>
      <c r="P332" s="712"/>
      <c r="Q332" s="712"/>
      <c r="R332" s="712"/>
      <c r="S332" s="712"/>
      <c r="T332" s="712"/>
      <c r="U332" s="712"/>
      <c r="V332" s="712"/>
      <c r="W332" s="712"/>
      <c r="X332" s="712"/>
      <c r="Y332" s="712"/>
      <c r="Z332" s="712"/>
      <c r="AA332" s="712"/>
      <c r="AB332" s="711"/>
      <c r="AC332" s="711"/>
      <c r="AD332" s="712"/>
      <c r="AE332" s="712"/>
      <c r="AF332" s="712"/>
      <c r="AG332" s="1086"/>
      <c r="AH332" s="211"/>
      <c r="AI332" s="213"/>
      <c r="AJ332" s="123"/>
    </row>
    <row r="333" spans="1:36" ht="18" customHeight="1" x14ac:dyDescent="0.2">
      <c r="A333" s="1087"/>
      <c r="B333" s="1088"/>
      <c r="C333" s="2650"/>
      <c r="D333" s="2651"/>
      <c r="E333" s="2651"/>
      <c r="F333" s="2651"/>
      <c r="G333" s="2651"/>
      <c r="H333" s="2651"/>
      <c r="I333" s="2651"/>
      <c r="J333" s="2651"/>
      <c r="K333" s="2651"/>
      <c r="L333" s="2651"/>
      <c r="M333" s="2651"/>
      <c r="N333" s="2652"/>
      <c r="O333" s="2652"/>
      <c r="P333" s="2651"/>
      <c r="Q333" s="2651"/>
      <c r="R333" s="2651"/>
      <c r="S333" s="2651"/>
      <c r="T333" s="2651"/>
      <c r="U333" s="2651"/>
      <c r="V333" s="2651"/>
      <c r="W333" s="2651"/>
      <c r="X333" s="2651"/>
      <c r="Y333" s="2651"/>
      <c r="Z333" s="2651"/>
      <c r="AA333" s="2651"/>
      <c r="AB333" s="2652"/>
      <c r="AC333" s="2652"/>
      <c r="AD333" s="2651"/>
      <c r="AE333" s="2651"/>
      <c r="AF333" s="2651"/>
      <c r="AG333" s="2653"/>
      <c r="AH333" s="211"/>
      <c r="AI333" s="213"/>
      <c r="AJ333" s="123"/>
    </row>
    <row r="334" spans="1:36" ht="18" customHeight="1" x14ac:dyDescent="0.2">
      <c r="AH334" s="123"/>
      <c r="AI334" s="123"/>
      <c r="AJ334" s="123"/>
    </row>
    <row r="335" spans="1:36" x14ac:dyDescent="0.2">
      <c r="AH335" s="123"/>
      <c r="AI335" s="123"/>
      <c r="AJ335" s="123"/>
    </row>
    <row r="336" spans="1:36" x14ac:dyDescent="0.2">
      <c r="AH336" s="123"/>
      <c r="AI336" s="123"/>
      <c r="AJ336" s="123"/>
    </row>
    <row r="337" spans="34:36" x14ac:dyDescent="0.2">
      <c r="AH337" s="123"/>
      <c r="AI337" s="123"/>
      <c r="AJ337" s="123"/>
    </row>
  </sheetData>
  <sheetProtection algorithmName="SHA-512" hashValue="E9Y05ubQeZGEE6av3A7WrACG2iQUtprqhldWVCEB6r2W9dpwcVp7CdXLVnLca7PlLg29eVSXWJl7KbxUNp6piw==" saltValue="Ke/nBjLrELwoUnTs/2Ho4w==" spinCount="100000" sheet="1" objects="1" scenarios="1"/>
  <mergeCells count="1">
    <mergeCell ref="T36:Z36"/>
  </mergeCells>
  <pageMargins left="0.7" right="0.7" top="0.75" bottom="0.75" header="0.3" footer="0.3"/>
  <pageSetup paperSize="9" scale="1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23">
    <pageSetUpPr fitToPage="1"/>
  </sheetPr>
  <dimension ref="A1:AN326"/>
  <sheetViews>
    <sheetView topLeftCell="B7" workbookViewId="0">
      <pane xSplit="1" topLeftCell="C1" activePane="topRight" state="frozen"/>
      <selection activeCell="B26" sqref="B26"/>
      <selection pane="topRight" activeCell="B92" sqref="B92"/>
    </sheetView>
  </sheetViews>
  <sheetFormatPr defaultRowHeight="12" x14ac:dyDescent="0.2"/>
  <cols>
    <col min="1" max="1" width="0" hidden="1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9" max="40" width="11.85546875" customWidth="1"/>
  </cols>
  <sheetData>
    <row r="1" spans="1:38" ht="18" customHeight="1" x14ac:dyDescent="0.2">
      <c r="A1" t="s">
        <v>0</v>
      </c>
      <c r="B1" s="1" t="s">
        <v>1</v>
      </c>
      <c r="U1" t="s">
        <v>433</v>
      </c>
      <c r="AJ1" t="s">
        <v>509</v>
      </c>
    </row>
    <row r="2" spans="1:38" ht="18" customHeight="1" x14ac:dyDescent="0.2">
      <c r="B2" s="2654" t="s">
        <v>2</v>
      </c>
      <c r="C2" s="2655" t="s">
        <v>3</v>
      </c>
      <c r="D2" s="2656"/>
      <c r="E2" s="2657" t="s">
        <v>4</v>
      </c>
      <c r="F2" s="2658"/>
      <c r="G2" s="2659"/>
      <c r="H2" s="2659"/>
      <c r="I2" s="2659"/>
      <c r="J2" s="2659"/>
      <c r="K2" s="2660"/>
      <c r="L2" s="2661" t="s">
        <v>5</v>
      </c>
      <c r="M2" s="2662"/>
      <c r="N2" s="2663"/>
      <c r="O2" s="2664" t="s">
        <v>6</v>
      </c>
      <c r="P2" s="2665"/>
      <c r="Q2" s="2666"/>
      <c r="R2" s="2667"/>
      <c r="S2" s="2668" t="s">
        <v>7</v>
      </c>
      <c r="T2" s="2669"/>
      <c r="U2" s="2670"/>
      <c r="V2" s="2669"/>
      <c r="W2" s="2671" t="s">
        <v>8</v>
      </c>
      <c r="X2" s="2672"/>
      <c r="Y2" s="2673"/>
      <c r="Z2" s="105" t="s">
        <v>9</v>
      </c>
      <c r="AA2" s="2674"/>
      <c r="AB2" s="2675"/>
      <c r="AC2" s="2676"/>
      <c r="AD2" s="2677" t="s">
        <v>10</v>
      </c>
      <c r="AE2" s="2678"/>
      <c r="AF2" s="2678"/>
      <c r="AG2" s="2679"/>
    </row>
    <row r="3" spans="1:38" ht="18" customHeight="1" x14ac:dyDescent="0.2">
      <c r="A3" s="1"/>
      <c r="B3" s="2680" t="s">
        <v>10</v>
      </c>
      <c r="C3" s="2681" t="s">
        <v>10</v>
      </c>
      <c r="D3" s="2682"/>
      <c r="E3" s="543"/>
      <c r="F3" s="544"/>
      <c r="G3" s="544"/>
      <c r="H3" s="545" t="s">
        <v>10</v>
      </c>
      <c r="I3" s="546"/>
      <c r="J3" s="546"/>
      <c r="K3" s="547"/>
      <c r="L3" s="2683" t="s">
        <v>11</v>
      </c>
      <c r="M3" s="2684"/>
      <c r="N3" s="2685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2684"/>
      <c r="AA3" s="2684"/>
      <c r="AB3" s="2686"/>
      <c r="AC3" s="2687"/>
      <c r="AD3" s="2688" t="s">
        <v>13</v>
      </c>
      <c r="AE3" s="2689"/>
      <c r="AF3" s="2689"/>
      <c r="AG3" s="3007"/>
      <c r="AH3" s="3008" t="s">
        <v>14</v>
      </c>
      <c r="AI3" s="1129"/>
      <c r="AJ3" s="3009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2691"/>
      <c r="D5" s="2692" t="s">
        <v>17</v>
      </c>
      <c r="E5" s="2693"/>
      <c r="F5" s="2691"/>
      <c r="G5" s="2692" t="s">
        <v>18</v>
      </c>
      <c r="H5" s="2693"/>
      <c r="I5" s="2691"/>
      <c r="J5" s="2692" t="s">
        <v>19</v>
      </c>
      <c r="K5" s="2693"/>
      <c r="L5" s="2691"/>
      <c r="M5" s="2692" t="s">
        <v>20</v>
      </c>
      <c r="N5" s="2693"/>
      <c r="O5" s="2691"/>
      <c r="P5" s="2692" t="s">
        <v>21</v>
      </c>
      <c r="Q5" s="2693"/>
      <c r="R5" s="2691"/>
      <c r="S5" s="2692" t="s">
        <v>22</v>
      </c>
      <c r="T5" s="2694"/>
      <c r="U5" s="2695"/>
      <c r="V5" s="2696" t="s">
        <v>23</v>
      </c>
      <c r="W5" s="2694"/>
    </row>
    <row r="6" spans="1:38" ht="18" customHeight="1" x14ac:dyDescent="0.2">
      <c r="A6" s="2697"/>
      <c r="B6" s="2698" t="s">
        <v>24</v>
      </c>
      <c r="C6" s="2699" t="s">
        <v>25</v>
      </c>
      <c r="D6" s="1139"/>
      <c r="E6" s="2433"/>
      <c r="F6" s="2700" t="s">
        <v>25</v>
      </c>
      <c r="G6" s="1142"/>
      <c r="H6" s="1142"/>
      <c r="I6" s="2699" t="s">
        <v>26</v>
      </c>
      <c r="J6" s="1142"/>
      <c r="K6" s="2433"/>
      <c r="L6" s="2700" t="s">
        <v>26</v>
      </c>
      <c r="M6" s="1142"/>
      <c r="N6" s="2433"/>
      <c r="O6" s="2700" t="s">
        <v>27</v>
      </c>
      <c r="P6" s="1142"/>
      <c r="Q6" s="2433"/>
      <c r="R6" s="1142"/>
      <c r="S6" s="1142"/>
      <c r="T6" s="1142"/>
      <c r="U6" s="2698"/>
      <c r="V6" s="1142"/>
      <c r="W6" s="2433"/>
      <c r="X6" s="1142"/>
      <c r="Y6" s="1142"/>
      <c r="Z6" s="1142"/>
      <c r="AA6" s="1142"/>
      <c r="AB6" s="1143"/>
      <c r="AC6" s="2433"/>
      <c r="AD6" s="123"/>
      <c r="AE6" s="123"/>
      <c r="AF6" s="123"/>
      <c r="AG6" s="123"/>
    </row>
    <row r="7" spans="1:38" ht="18" customHeight="1" x14ac:dyDescent="0.2">
      <c r="A7" s="2697"/>
      <c r="B7" s="2698" t="s">
        <v>28</v>
      </c>
      <c r="C7" s="2699" t="s">
        <v>29</v>
      </c>
      <c r="D7" s="1142"/>
      <c r="E7" s="2433"/>
      <c r="F7" s="2700" t="s">
        <v>29</v>
      </c>
      <c r="G7" s="1142"/>
      <c r="H7" s="1142"/>
      <c r="I7" s="2699" t="s">
        <v>29</v>
      </c>
      <c r="J7" s="1142"/>
      <c r="K7" s="2433"/>
      <c r="L7" s="2700" t="s">
        <v>29</v>
      </c>
      <c r="M7" s="1142"/>
      <c r="N7" s="2433"/>
      <c r="O7" s="2700" t="s">
        <v>30</v>
      </c>
      <c r="P7" s="1142"/>
      <c r="Q7" s="2433"/>
      <c r="R7" s="1142"/>
      <c r="S7" s="1142"/>
      <c r="T7" s="1142"/>
      <c r="U7" s="2698"/>
      <c r="V7" s="1142"/>
      <c r="W7" s="2433"/>
      <c r="X7" s="1142"/>
      <c r="Y7" s="1142"/>
      <c r="Z7" s="1142"/>
      <c r="AA7" s="1142"/>
      <c r="AB7" s="1144"/>
      <c r="AC7" s="2433"/>
      <c r="AD7" s="123"/>
      <c r="AE7" s="123"/>
      <c r="AF7" s="123"/>
      <c r="AG7" s="123"/>
    </row>
    <row r="8" spans="1:38" ht="18" customHeight="1" x14ac:dyDescent="0.2">
      <c r="A8" s="2698"/>
      <c r="B8" s="2698" t="s">
        <v>31</v>
      </c>
      <c r="C8" s="2701" t="s">
        <v>32</v>
      </c>
      <c r="D8" s="1146"/>
      <c r="E8" s="2702"/>
      <c r="F8" s="2700" t="s">
        <v>33</v>
      </c>
      <c r="G8" s="1146"/>
      <c r="H8" s="1146"/>
      <c r="I8" s="2701" t="s">
        <v>33</v>
      </c>
      <c r="J8" s="1146"/>
      <c r="K8" s="2702"/>
      <c r="L8" s="2700" t="s">
        <v>33</v>
      </c>
      <c r="M8" s="1146"/>
      <c r="N8" s="1146"/>
      <c r="O8" s="2701" t="s">
        <v>34</v>
      </c>
      <c r="P8" s="1146"/>
      <c r="Q8" s="2702"/>
      <c r="R8" s="1148" t="s">
        <v>35</v>
      </c>
      <c r="S8" s="367"/>
      <c r="T8" s="367"/>
      <c r="U8" s="1149" t="s">
        <v>35</v>
      </c>
      <c r="V8" s="367"/>
      <c r="W8" s="1150"/>
      <c r="X8" s="1142"/>
      <c r="Y8" s="1142"/>
      <c r="Z8" s="1142"/>
      <c r="AA8" s="1142"/>
      <c r="AB8" s="1144"/>
      <c r="AC8" s="2433"/>
      <c r="AD8" s="123"/>
      <c r="AE8" s="123"/>
      <c r="AF8" s="123"/>
      <c r="AG8" s="123"/>
    </row>
    <row r="9" spans="1:38" ht="18" customHeight="1" x14ac:dyDescent="0.2">
      <c r="A9" s="2698"/>
      <c r="B9" s="2698" t="s">
        <v>36</v>
      </c>
      <c r="C9" s="2699" t="s">
        <v>37</v>
      </c>
      <c r="D9" s="1146"/>
      <c r="E9" s="2702"/>
      <c r="F9" s="2700" t="s">
        <v>37</v>
      </c>
      <c r="G9" s="1142"/>
      <c r="H9" s="1142"/>
      <c r="I9" s="2699" t="s">
        <v>37</v>
      </c>
      <c r="J9" s="1142"/>
      <c r="K9" s="2433"/>
      <c r="L9" s="2700" t="s">
        <v>37</v>
      </c>
      <c r="M9" s="1142"/>
      <c r="N9" s="2433"/>
      <c r="O9" s="2700" t="s">
        <v>38</v>
      </c>
      <c r="P9" s="1142"/>
      <c r="Q9" s="2433"/>
      <c r="R9" s="2700" t="s">
        <v>39</v>
      </c>
      <c r="S9" s="1142"/>
      <c r="T9" s="1142"/>
      <c r="U9" s="2699" t="s">
        <v>40</v>
      </c>
      <c r="V9" s="1142"/>
      <c r="W9" s="2433"/>
      <c r="X9" s="1142"/>
      <c r="Y9" s="1142"/>
      <c r="Z9" s="1142"/>
      <c r="AA9" s="1142"/>
      <c r="AB9" s="1144"/>
      <c r="AC9" s="2433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H11" s="244"/>
      <c r="AI11" s="111"/>
      <c r="AJ11" s="2703" t="s">
        <v>41</v>
      </c>
    </row>
    <row r="12" spans="1:38" ht="18" customHeight="1" x14ac:dyDescent="0.2">
      <c r="AH12" s="116"/>
      <c r="AI12" s="116"/>
      <c r="AJ12" s="2703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114"/>
    </row>
    <row r="14" spans="1:38" ht="18" customHeight="1" x14ac:dyDescent="0.2">
      <c r="A14" s="2704" t="s">
        <v>43</v>
      </c>
      <c r="B14" s="2705" t="s">
        <v>44</v>
      </c>
      <c r="C14" s="2707">
        <v>1</v>
      </c>
      <c r="D14" s="2706">
        <v>2</v>
      </c>
      <c r="E14" s="2706">
        <v>3</v>
      </c>
      <c r="F14" s="2706">
        <v>4</v>
      </c>
      <c r="G14" s="2706">
        <v>5</v>
      </c>
      <c r="H14" s="2706">
        <v>6</v>
      </c>
      <c r="I14" s="2707">
        <v>7</v>
      </c>
      <c r="J14" s="2707">
        <v>8</v>
      </c>
      <c r="K14" s="2706">
        <v>9</v>
      </c>
      <c r="L14" s="2706">
        <v>10</v>
      </c>
      <c r="M14" s="2706">
        <v>11</v>
      </c>
      <c r="N14" s="2706">
        <v>12</v>
      </c>
      <c r="O14" s="2706">
        <v>13</v>
      </c>
      <c r="P14" s="2707">
        <v>14</v>
      </c>
      <c r="Q14" s="2707">
        <v>15</v>
      </c>
      <c r="R14" s="2706">
        <v>16</v>
      </c>
      <c r="S14" s="2706">
        <v>17</v>
      </c>
      <c r="T14" s="2706">
        <v>18</v>
      </c>
      <c r="U14" s="2706">
        <v>19</v>
      </c>
      <c r="V14" s="2706">
        <v>20</v>
      </c>
      <c r="W14" s="2707">
        <v>21</v>
      </c>
      <c r="X14" s="2707">
        <v>22</v>
      </c>
      <c r="Y14" s="2706">
        <v>23</v>
      </c>
      <c r="Z14" s="2706">
        <v>24</v>
      </c>
      <c r="AA14" s="2707">
        <v>25</v>
      </c>
      <c r="AB14" s="2707">
        <v>26</v>
      </c>
      <c r="AC14" s="2706">
        <v>27</v>
      </c>
      <c r="AD14" s="2707">
        <v>28</v>
      </c>
      <c r="AE14" s="2707">
        <v>29</v>
      </c>
      <c r="AF14" s="2706">
        <v>30</v>
      </c>
      <c r="AG14" s="2706">
        <v>31</v>
      </c>
      <c r="AH14" s="116"/>
      <c r="AI14" s="116"/>
    </row>
    <row r="15" spans="1:38" ht="18" customHeight="1" x14ac:dyDescent="0.2">
      <c r="A15" s="2708">
        <v>8500</v>
      </c>
      <c r="B15" s="2709" t="s">
        <v>45</v>
      </c>
      <c r="C15" s="2710"/>
      <c r="D15" s="1160" t="s">
        <v>46</v>
      </c>
      <c r="E15" s="2711" t="s">
        <v>46</v>
      </c>
      <c r="F15" s="2711" t="s">
        <v>46</v>
      </c>
      <c r="G15" s="2711" t="s">
        <v>46</v>
      </c>
      <c r="H15" s="2711" t="s">
        <v>46</v>
      </c>
      <c r="I15" s="2711"/>
      <c r="J15" s="2711"/>
      <c r="K15" s="2711" t="s">
        <v>46</v>
      </c>
      <c r="L15" s="2711" t="s">
        <v>46</v>
      </c>
      <c r="M15" s="2711" t="s">
        <v>46</v>
      </c>
      <c r="N15" s="2711" t="s">
        <v>46</v>
      </c>
      <c r="O15" s="2711" t="s">
        <v>46</v>
      </c>
      <c r="P15" s="2711"/>
      <c r="Q15" s="2711"/>
      <c r="R15" s="2711" t="s">
        <v>46</v>
      </c>
      <c r="S15" s="3010" t="s">
        <v>46</v>
      </c>
      <c r="T15" s="2711" t="s">
        <v>46</v>
      </c>
      <c r="U15" s="2711" t="s">
        <v>46</v>
      </c>
      <c r="V15" s="2711" t="s">
        <v>46</v>
      </c>
      <c r="W15" s="2711"/>
      <c r="X15" s="2711"/>
      <c r="Y15" s="3010" t="s">
        <v>46</v>
      </c>
      <c r="Z15" s="2711"/>
      <c r="AA15" s="2711"/>
      <c r="AB15" s="2711"/>
      <c r="AC15" s="3011" t="s">
        <v>46</v>
      </c>
      <c r="AD15" s="2711"/>
      <c r="AE15" s="2710"/>
      <c r="AF15" s="3012" t="s">
        <v>46</v>
      </c>
      <c r="AG15" s="3011" t="s">
        <v>46</v>
      </c>
      <c r="AH15" s="116"/>
      <c r="AI15" s="116"/>
      <c r="AL15" t="s">
        <v>0</v>
      </c>
    </row>
    <row r="16" spans="1:38" ht="18" customHeight="1" x14ac:dyDescent="0.2">
      <c r="A16" s="2713" t="s">
        <v>47</v>
      </c>
      <c r="B16" s="2714"/>
      <c r="C16" s="2714"/>
      <c r="D16" s="2714"/>
      <c r="E16" s="2714"/>
      <c r="F16" s="2714"/>
      <c r="G16" s="2714"/>
      <c r="H16" s="2714"/>
      <c r="I16" s="2714"/>
      <c r="J16" s="2714"/>
      <c r="K16" s="2714"/>
      <c r="L16" s="2714"/>
      <c r="M16" s="2714"/>
      <c r="N16" s="2714"/>
      <c r="O16" s="2714"/>
      <c r="P16" s="2714"/>
      <c r="Q16" s="2714"/>
      <c r="R16" s="2714"/>
      <c r="S16" s="2714"/>
      <c r="T16" s="2714"/>
      <c r="U16" s="2714"/>
      <c r="V16" s="2714"/>
      <c r="W16" s="2714"/>
      <c r="X16" s="2714"/>
      <c r="Y16" s="2714"/>
      <c r="Z16" s="2714"/>
      <c r="AA16" s="2714"/>
      <c r="AB16" s="2714"/>
      <c r="AC16" s="2714"/>
      <c r="AD16" s="2714"/>
      <c r="AE16" s="2714"/>
      <c r="AF16" s="2714"/>
      <c r="AG16" s="2714"/>
      <c r="AH16" s="116"/>
      <c r="AI16" s="116"/>
    </row>
    <row r="17" spans="1:40" ht="18" customHeight="1" x14ac:dyDescent="0.2">
      <c r="A17" s="2715">
        <v>8546</v>
      </c>
      <c r="B17" s="594" t="s">
        <v>48</v>
      </c>
      <c r="C17" s="596" t="s">
        <v>52</v>
      </c>
      <c r="D17" s="595" t="s">
        <v>50</v>
      </c>
      <c r="E17" s="595" t="s">
        <v>50</v>
      </c>
      <c r="F17" s="597" t="s">
        <v>50</v>
      </c>
      <c r="G17" s="597" t="s">
        <v>50</v>
      </c>
      <c r="H17" s="597" t="s">
        <v>50</v>
      </c>
      <c r="I17" s="595" t="s">
        <v>53</v>
      </c>
      <c r="J17" s="596" t="s">
        <v>53</v>
      </c>
      <c r="K17" s="597" t="s">
        <v>49</v>
      </c>
      <c r="L17" s="595" t="s">
        <v>49</v>
      </c>
      <c r="M17" s="595" t="s">
        <v>49</v>
      </c>
      <c r="N17" s="1741" t="s">
        <v>49</v>
      </c>
      <c r="O17" s="595" t="s">
        <v>49</v>
      </c>
      <c r="P17" s="595"/>
      <c r="Q17" s="595"/>
      <c r="R17" s="595" t="s">
        <v>50</v>
      </c>
      <c r="S17" s="595" t="s">
        <v>50</v>
      </c>
      <c r="T17" s="595" t="s">
        <v>50</v>
      </c>
      <c r="U17" s="595" t="s">
        <v>50</v>
      </c>
      <c r="V17" s="595" t="s">
        <v>50</v>
      </c>
      <c r="W17" s="595" t="s">
        <v>0</v>
      </c>
      <c r="X17" s="595"/>
      <c r="Y17" s="595" t="s">
        <v>51</v>
      </c>
      <c r="Z17" s="595" t="s">
        <v>51</v>
      </c>
      <c r="AA17" s="595" t="s">
        <v>51</v>
      </c>
      <c r="AB17" s="595" t="s">
        <v>51</v>
      </c>
      <c r="AC17" s="595" t="s">
        <v>51</v>
      </c>
      <c r="AD17" s="595" t="s">
        <v>52</v>
      </c>
      <c r="AE17" s="596" t="s">
        <v>52</v>
      </c>
      <c r="AF17" s="595" t="s">
        <v>50</v>
      </c>
      <c r="AG17" s="595" t="s">
        <v>50</v>
      </c>
      <c r="AH17" s="116"/>
      <c r="AI17" s="116"/>
    </row>
    <row r="18" spans="1:40" ht="18" customHeight="1" x14ac:dyDescent="0.2">
      <c r="A18" s="2716">
        <v>8500</v>
      </c>
      <c r="B18" s="2717" t="s">
        <v>54</v>
      </c>
      <c r="C18" s="2718" t="s">
        <v>53</v>
      </c>
      <c r="D18" s="2718" t="s">
        <v>49</v>
      </c>
      <c r="E18" s="2718" t="s">
        <v>49</v>
      </c>
      <c r="F18" s="2718" t="s">
        <v>49</v>
      </c>
      <c r="G18" s="2718" t="s">
        <v>49</v>
      </c>
      <c r="H18" s="2718" t="s">
        <v>49</v>
      </c>
      <c r="I18" s="2718"/>
      <c r="J18" s="2718"/>
      <c r="K18" s="2718" t="s">
        <v>50</v>
      </c>
      <c r="L18" s="2718" t="s">
        <v>50</v>
      </c>
      <c r="M18" s="2869">
        <v>89</v>
      </c>
      <c r="N18" s="2869" t="s">
        <v>51</v>
      </c>
      <c r="O18" s="2719" t="s">
        <v>50</v>
      </c>
      <c r="P18" s="2718"/>
      <c r="Q18" s="2718"/>
      <c r="R18" s="2718" t="s">
        <v>51</v>
      </c>
      <c r="S18" s="2718" t="s">
        <v>51</v>
      </c>
      <c r="T18" s="2718" t="s">
        <v>51</v>
      </c>
      <c r="U18" s="2718" t="s">
        <v>51</v>
      </c>
      <c r="V18" s="2718" t="s">
        <v>51</v>
      </c>
      <c r="W18" s="2739" t="s">
        <v>52</v>
      </c>
      <c r="X18" s="2739" t="s">
        <v>52</v>
      </c>
      <c r="Y18" s="2718" t="s">
        <v>50</v>
      </c>
      <c r="Z18" s="2718" t="s">
        <v>50</v>
      </c>
      <c r="AA18" s="2718" t="s">
        <v>50</v>
      </c>
      <c r="AB18" s="2718" t="s">
        <v>50</v>
      </c>
      <c r="AC18" s="2695" t="s">
        <v>50</v>
      </c>
      <c r="AD18" s="2718" t="s">
        <v>53</v>
      </c>
      <c r="AE18" s="2718" t="s">
        <v>53</v>
      </c>
      <c r="AF18" s="2718" t="s">
        <v>49</v>
      </c>
      <c r="AG18" s="2718" t="s">
        <v>49</v>
      </c>
      <c r="AH18" s="116"/>
      <c r="AI18" s="116"/>
    </row>
    <row r="19" spans="1:40" ht="18" customHeight="1" x14ac:dyDescent="0.2">
      <c r="A19" s="2716">
        <v>8500</v>
      </c>
      <c r="B19" s="2722" t="s">
        <v>55</v>
      </c>
      <c r="C19" s="2723"/>
      <c r="D19" s="2724" t="s">
        <v>50</v>
      </c>
      <c r="E19" s="2724" t="s">
        <v>50</v>
      </c>
      <c r="F19" s="2724" t="s">
        <v>50</v>
      </c>
      <c r="G19" s="2724" t="s">
        <v>50</v>
      </c>
      <c r="H19" s="2724" t="s">
        <v>50</v>
      </c>
      <c r="I19" s="2725"/>
      <c r="J19" s="2724"/>
      <c r="K19" s="2739" t="s">
        <v>51</v>
      </c>
      <c r="L19" s="2739" t="s">
        <v>51</v>
      </c>
      <c r="M19" s="2739" t="s">
        <v>51</v>
      </c>
      <c r="N19" s="2739" t="s">
        <v>51</v>
      </c>
      <c r="O19" s="2718" t="s">
        <v>51</v>
      </c>
      <c r="P19" s="2723" t="s">
        <v>52</v>
      </c>
      <c r="Q19" s="2723" t="s">
        <v>52</v>
      </c>
      <c r="R19" s="2723" t="s">
        <v>50</v>
      </c>
      <c r="S19" s="2724" t="s">
        <v>50</v>
      </c>
      <c r="T19" s="2724" t="s">
        <v>50</v>
      </c>
      <c r="U19" s="2724" t="s">
        <v>50</v>
      </c>
      <c r="V19" s="2724" t="s">
        <v>50</v>
      </c>
      <c r="W19" s="2726" t="s">
        <v>53</v>
      </c>
      <c r="X19" s="2727" t="s">
        <v>53</v>
      </c>
      <c r="Y19" s="2767" t="s">
        <v>49</v>
      </c>
      <c r="Z19" s="2767" t="s">
        <v>49</v>
      </c>
      <c r="AA19" s="2723" t="s">
        <v>49</v>
      </c>
      <c r="AB19" s="2723" t="s">
        <v>49</v>
      </c>
      <c r="AC19" s="2723" t="s">
        <v>49</v>
      </c>
      <c r="AD19" s="2724"/>
      <c r="AE19" s="2723"/>
      <c r="AF19" s="2724" t="s">
        <v>50</v>
      </c>
      <c r="AG19" s="2724" t="s">
        <v>50</v>
      </c>
      <c r="AH19" s="114"/>
      <c r="AI19" s="114"/>
      <c r="AJ19" s="241"/>
      <c r="AK19" s="241"/>
      <c r="AL19" s="241"/>
      <c r="AM19" s="241"/>
      <c r="AN19" s="241"/>
    </row>
    <row r="20" spans="1:40" ht="18" customHeight="1" x14ac:dyDescent="0.2">
      <c r="A20" s="2716">
        <v>8546</v>
      </c>
      <c r="B20" s="2733" t="s">
        <v>10</v>
      </c>
      <c r="C20" s="2726"/>
      <c r="D20" s="2734" t="s">
        <v>51</v>
      </c>
      <c r="E20" s="2734" t="s">
        <v>51</v>
      </c>
      <c r="F20" s="2724" t="s">
        <v>51</v>
      </c>
      <c r="G20" s="2724" t="s">
        <v>51</v>
      </c>
      <c r="H20" s="2724" t="s">
        <v>51</v>
      </c>
      <c r="I20" s="2724" t="s">
        <v>52</v>
      </c>
      <c r="J20" s="2723" t="s">
        <v>52</v>
      </c>
      <c r="K20" s="2723" t="s">
        <v>50</v>
      </c>
      <c r="L20" s="2724" t="s">
        <v>50</v>
      </c>
      <c r="M20" s="2723" t="s">
        <v>50</v>
      </c>
      <c r="N20" s="2723" t="s">
        <v>50</v>
      </c>
      <c r="O20" s="2724" t="s">
        <v>50</v>
      </c>
      <c r="P20" s="2723" t="s">
        <v>53</v>
      </c>
      <c r="Q20" s="2723" t="s">
        <v>53</v>
      </c>
      <c r="R20" s="2723" t="s">
        <v>49</v>
      </c>
      <c r="S20" s="2723" t="s">
        <v>49</v>
      </c>
      <c r="T20" s="2723" t="s">
        <v>49</v>
      </c>
      <c r="U20" s="2718" t="s">
        <v>49</v>
      </c>
      <c r="V20" s="2718" t="s">
        <v>49</v>
      </c>
      <c r="W20" s="2724"/>
      <c r="X20" s="2724"/>
      <c r="Y20" s="2724" t="s">
        <v>50</v>
      </c>
      <c r="Z20" s="2724" t="s">
        <v>50</v>
      </c>
      <c r="AA20" s="2724" t="s">
        <v>50</v>
      </c>
      <c r="AB20" s="2724" t="s">
        <v>50</v>
      </c>
      <c r="AC20" s="2736" t="s">
        <v>50</v>
      </c>
      <c r="AD20" s="2724"/>
      <c r="AE20" s="2726"/>
      <c r="AF20" s="2734" t="s">
        <v>51</v>
      </c>
      <c r="AG20" s="2734" t="s">
        <v>51</v>
      </c>
      <c r="AH20" s="116"/>
      <c r="AI20" s="116"/>
      <c r="AJ20" s="123"/>
      <c r="AK20" s="123"/>
      <c r="AL20" s="123"/>
      <c r="AM20" s="215"/>
      <c r="AN20" s="215"/>
    </row>
    <row r="21" spans="1:40" ht="18" customHeight="1" thickBot="1" x14ac:dyDescent="0.25">
      <c r="A21" s="2716">
        <v>8546</v>
      </c>
      <c r="B21" s="2722" t="s">
        <v>58</v>
      </c>
      <c r="C21" s="2724"/>
      <c r="D21" s="3013" t="s">
        <v>28</v>
      </c>
      <c r="E21" s="3014" t="s">
        <v>28</v>
      </c>
      <c r="F21" s="2723" t="s">
        <v>28</v>
      </c>
      <c r="G21" s="2724" t="s">
        <v>28</v>
      </c>
      <c r="H21" s="2783" t="s">
        <v>28</v>
      </c>
      <c r="I21" s="2726"/>
      <c r="J21" s="2724"/>
      <c r="K21" s="2724" t="s">
        <v>24</v>
      </c>
      <c r="L21" s="2724" t="s">
        <v>24</v>
      </c>
      <c r="M21" s="2725" t="s">
        <v>24</v>
      </c>
      <c r="N21" s="2984" t="s">
        <v>24</v>
      </c>
      <c r="O21" s="2719" t="s">
        <v>24</v>
      </c>
      <c r="P21" s="2725"/>
      <c r="Q21" s="2725"/>
      <c r="R21" s="2725" t="s">
        <v>28</v>
      </c>
      <c r="S21" s="2725" t="s">
        <v>28</v>
      </c>
      <c r="T21" s="2724" t="s">
        <v>28</v>
      </c>
      <c r="U21" s="3015" t="s">
        <v>28</v>
      </c>
      <c r="V21" s="3015" t="s">
        <v>28</v>
      </c>
      <c r="W21" s="2719" t="s">
        <v>52</v>
      </c>
      <c r="X21" s="2726"/>
      <c r="Y21" s="2724" t="s">
        <v>24</v>
      </c>
      <c r="Z21" s="2724" t="s">
        <v>24</v>
      </c>
      <c r="AA21" s="2741" t="s">
        <v>24</v>
      </c>
      <c r="AB21" s="2741" t="s">
        <v>24</v>
      </c>
      <c r="AC21" s="2741" t="s">
        <v>24</v>
      </c>
      <c r="AD21" s="2741"/>
      <c r="AE21" s="2724"/>
      <c r="AF21" s="2726" t="s">
        <v>28</v>
      </c>
      <c r="AG21" s="2724" t="s">
        <v>28</v>
      </c>
      <c r="AH21" s="116"/>
      <c r="AI21" s="116"/>
      <c r="AJ21" s="123"/>
      <c r="AK21" s="123"/>
      <c r="AL21" s="123"/>
      <c r="AM21" s="215"/>
      <c r="AN21" s="215"/>
    </row>
    <row r="22" spans="1:40" ht="18" customHeight="1" thickBot="1" x14ac:dyDescent="0.25">
      <c r="A22" s="2742">
        <v>8546</v>
      </c>
      <c r="B22" s="2743" t="s">
        <v>470</v>
      </c>
      <c r="C22" s="2744"/>
      <c r="D22" s="2744" t="s">
        <v>24</v>
      </c>
      <c r="E22" s="2746" t="s">
        <v>24</v>
      </c>
      <c r="F22" s="2745" t="s">
        <v>24</v>
      </c>
      <c r="G22" s="2745" t="s">
        <v>24</v>
      </c>
      <c r="H22" s="2747" t="s">
        <v>24</v>
      </c>
      <c r="I22" s="2869"/>
      <c r="J22" s="2747" t="s">
        <v>0</v>
      </c>
      <c r="K22" s="2747" t="s">
        <v>28</v>
      </c>
      <c r="L22" s="2747" t="s">
        <v>28</v>
      </c>
      <c r="M22" s="2747" t="s">
        <v>28</v>
      </c>
      <c r="N22" s="2841" t="s">
        <v>28</v>
      </c>
      <c r="O22" s="2841" t="s">
        <v>50</v>
      </c>
      <c r="P22" s="2849"/>
      <c r="Q22" s="3016"/>
      <c r="R22" s="3017" t="s">
        <v>510</v>
      </c>
      <c r="S22" s="276" t="s">
        <v>24</v>
      </c>
      <c r="T22" s="2751" t="s">
        <v>24</v>
      </c>
      <c r="U22" s="2751" t="s">
        <v>24</v>
      </c>
      <c r="V22" s="2755" t="s">
        <v>24</v>
      </c>
      <c r="W22" s="2755"/>
      <c r="X22" s="2749" t="s">
        <v>52</v>
      </c>
      <c r="Y22" s="2750" t="s">
        <v>28</v>
      </c>
      <c r="Z22" s="2755" t="s">
        <v>28</v>
      </c>
      <c r="AA22" s="2755" t="s">
        <v>28</v>
      </c>
      <c r="AB22" s="2755" t="s">
        <v>28</v>
      </c>
      <c r="AC22" s="2754" t="s">
        <v>28</v>
      </c>
      <c r="AD22" s="2747"/>
      <c r="AE22" s="2744"/>
      <c r="AF22" s="2744" t="s">
        <v>24</v>
      </c>
      <c r="AG22" s="2746" t="s">
        <v>24</v>
      </c>
      <c r="AH22" s="116"/>
      <c r="AI22" s="116"/>
      <c r="AJ22" s="123"/>
      <c r="AK22" s="123"/>
      <c r="AL22" s="123"/>
      <c r="AM22" s="215"/>
      <c r="AN22" s="215"/>
    </row>
    <row r="23" spans="1:40" ht="18" customHeight="1" thickBot="1" x14ac:dyDescent="0.25">
      <c r="A23" s="2758" t="s">
        <v>60</v>
      </c>
      <c r="B23" s="2759"/>
      <c r="C23" s="2759"/>
      <c r="D23" s="2759"/>
      <c r="E23" s="2759"/>
      <c r="F23" s="2759"/>
      <c r="G23" s="2759"/>
      <c r="H23" s="2759"/>
      <c r="I23" s="2759"/>
      <c r="J23" s="2759"/>
      <c r="K23" s="2759"/>
      <c r="L23" s="2759"/>
      <c r="M23" s="2759"/>
      <c r="N23" s="2759"/>
      <c r="O23" s="2759"/>
      <c r="P23" s="2759"/>
      <c r="Q23" s="2759"/>
      <c r="R23" s="2759"/>
      <c r="S23" s="2759"/>
      <c r="T23" s="2759"/>
      <c r="U23" s="2759"/>
      <c r="V23" s="2759"/>
      <c r="W23" s="2759"/>
      <c r="X23" s="2759"/>
      <c r="Y23" s="2759"/>
      <c r="Z23" s="2759"/>
      <c r="AA23" s="2759"/>
      <c r="AB23" s="2759"/>
      <c r="AC23" s="2759"/>
      <c r="AD23" s="2759"/>
      <c r="AE23" s="2759"/>
      <c r="AF23" s="2759"/>
      <c r="AG23" s="2759"/>
      <c r="AJ23" s="123"/>
      <c r="AK23" s="123"/>
      <c r="AL23" s="123"/>
      <c r="AM23" s="215"/>
      <c r="AN23" s="215"/>
    </row>
    <row r="24" spans="1:40" ht="18" customHeight="1" x14ac:dyDescent="0.2">
      <c r="A24" s="626">
        <v>8500</v>
      </c>
      <c r="B24" s="2760" t="s">
        <v>61</v>
      </c>
      <c r="C24" s="2761"/>
      <c r="D24" s="2762" t="s">
        <v>46</v>
      </c>
      <c r="E24" s="2762" t="s">
        <v>46</v>
      </c>
      <c r="F24" s="2762" t="s">
        <v>46</v>
      </c>
      <c r="G24" s="2764" t="s">
        <v>46</v>
      </c>
      <c r="H24" s="2982" t="s">
        <v>46</v>
      </c>
      <c r="I24" s="2765"/>
      <c r="J24" s="2761"/>
      <c r="K24" s="2762" t="s">
        <v>46</v>
      </c>
      <c r="L24" s="2768" t="s">
        <v>46</v>
      </c>
      <c r="M24" s="3018" t="s">
        <v>46</v>
      </c>
      <c r="N24" s="2766" t="s">
        <v>46</v>
      </c>
      <c r="O24" s="2712" t="s">
        <v>46</v>
      </c>
      <c r="P24" s="2762"/>
      <c r="Q24" s="2761"/>
      <c r="R24" s="2762" t="s">
        <v>46</v>
      </c>
      <c r="S24" s="2762" t="s">
        <v>46</v>
      </c>
      <c r="T24" s="2768" t="s">
        <v>46</v>
      </c>
      <c r="U24" s="2764" t="s">
        <v>46</v>
      </c>
      <c r="V24" s="2764" t="s">
        <v>46</v>
      </c>
      <c r="W24" s="2762"/>
      <c r="X24" s="2761"/>
      <c r="Y24" s="2762" t="s">
        <v>46</v>
      </c>
      <c r="Z24" s="2762"/>
      <c r="AA24" s="2762"/>
      <c r="AB24" s="2764"/>
      <c r="AC24" s="2764" t="s">
        <v>46</v>
      </c>
      <c r="AD24" s="2762"/>
      <c r="AE24" s="2761"/>
      <c r="AF24" s="3019" t="s">
        <v>46</v>
      </c>
      <c r="AG24" s="3018" t="s">
        <v>46</v>
      </c>
      <c r="AJ24" s="2703" t="s">
        <v>41</v>
      </c>
      <c r="AK24" s="2703" t="s">
        <v>62</v>
      </c>
      <c r="AL24" s="2703" t="s">
        <v>63</v>
      </c>
      <c r="AM24" s="2703" t="s">
        <v>64</v>
      </c>
      <c r="AN24" s="2703" t="s">
        <v>65</v>
      </c>
    </row>
    <row r="25" spans="1:40" ht="18" customHeight="1" thickBot="1" x14ac:dyDescent="0.25">
      <c r="A25" s="626">
        <v>8500</v>
      </c>
      <c r="B25" s="2722" t="s">
        <v>67</v>
      </c>
      <c r="C25" s="2724"/>
      <c r="D25" s="2734" t="s">
        <v>51</v>
      </c>
      <c r="E25" s="2734" t="s">
        <v>51</v>
      </c>
      <c r="F25" s="2724" t="s">
        <v>51</v>
      </c>
      <c r="G25" s="2724" t="s">
        <v>51</v>
      </c>
      <c r="H25" s="2724" t="s">
        <v>51</v>
      </c>
      <c r="I25" s="2724" t="s">
        <v>52</v>
      </c>
      <c r="J25" s="2723" t="s">
        <v>52</v>
      </c>
      <c r="K25" s="2723" t="s">
        <v>50</v>
      </c>
      <c r="L25" s="2724" t="s">
        <v>50</v>
      </c>
      <c r="M25" s="2471" t="s">
        <v>46</v>
      </c>
      <c r="N25" s="2723" t="s">
        <v>50</v>
      </c>
      <c r="O25" s="2724" t="s">
        <v>50</v>
      </c>
      <c r="P25" s="2723" t="s">
        <v>53</v>
      </c>
      <c r="Q25" s="2723" t="s">
        <v>53</v>
      </c>
      <c r="R25" s="2723" t="s">
        <v>49</v>
      </c>
      <c r="S25" s="2471" t="s">
        <v>49</v>
      </c>
      <c r="T25" s="2723" t="s">
        <v>49</v>
      </c>
      <c r="U25" s="2718" t="s">
        <v>49</v>
      </c>
      <c r="V25" s="2718" t="s">
        <v>49</v>
      </c>
      <c r="W25" s="2724"/>
      <c r="X25" s="2724"/>
      <c r="Y25" s="2724" t="s">
        <v>50</v>
      </c>
      <c r="Z25" s="2724" t="s">
        <v>50</v>
      </c>
      <c r="AA25" s="2724" t="s">
        <v>50</v>
      </c>
      <c r="AB25" s="2724" t="s">
        <v>50</v>
      </c>
      <c r="AC25" s="2736" t="s">
        <v>50</v>
      </c>
      <c r="AD25" s="2724"/>
      <c r="AE25" s="2726"/>
      <c r="AF25" s="2734" t="s">
        <v>51</v>
      </c>
      <c r="AG25" s="2734" t="s">
        <v>51</v>
      </c>
      <c r="AH25" s="123"/>
      <c r="AJ25" s="2776">
        <v>159.25</v>
      </c>
      <c r="AK25" s="2776">
        <v>10.5</v>
      </c>
      <c r="AL25" s="2776">
        <f>IF(AJ25="","",SUM(AJ25:AK25))</f>
        <v>169.75</v>
      </c>
      <c r="AM25" s="2777">
        <f>IF(AJ25="","",AL25-_xlfn.SINGLE(NormTid))</f>
        <v>9.4199999999999875</v>
      </c>
      <c r="AN25" s="3020">
        <f>IF(AM25="","",AM25+'November 2024'!AN25)</f>
        <v>13.939999999999905</v>
      </c>
    </row>
    <row r="26" spans="1:40" ht="18" customHeight="1" x14ac:dyDescent="0.2">
      <c r="A26" s="2778"/>
      <c r="B26" s="2695" t="s">
        <v>75</v>
      </c>
      <c r="C26" s="2767"/>
      <c r="D26" s="2767" t="s">
        <v>46</v>
      </c>
      <c r="E26" s="2767" t="s">
        <v>46</v>
      </c>
      <c r="F26" s="2734" t="s">
        <v>46</v>
      </c>
      <c r="G26" s="2734" t="s">
        <v>46</v>
      </c>
      <c r="H26" s="2982" t="s">
        <v>46</v>
      </c>
      <c r="I26" s="2718"/>
      <c r="J26" s="2734"/>
      <c r="K26" s="2734" t="s">
        <v>309</v>
      </c>
      <c r="L26" s="2734">
        <v>89</v>
      </c>
      <c r="M26" s="2734" t="s">
        <v>46</v>
      </c>
      <c r="N26" s="2734" t="s">
        <v>46</v>
      </c>
      <c r="O26" s="2764" t="s">
        <v>46</v>
      </c>
      <c r="P26" s="2718"/>
      <c r="Q26" s="2734"/>
      <c r="R26" s="2734">
        <v>99</v>
      </c>
      <c r="S26" s="2723">
        <v>99</v>
      </c>
      <c r="T26" s="2738" t="s">
        <v>498</v>
      </c>
      <c r="U26" s="2718">
        <v>99</v>
      </c>
      <c r="V26" s="2718" t="s">
        <v>46</v>
      </c>
      <c r="W26" s="2718"/>
      <c r="X26" s="2718"/>
      <c r="Y26" s="2734" t="s">
        <v>252</v>
      </c>
      <c r="Z26" s="2734"/>
      <c r="AA26" s="2734"/>
      <c r="AB26" s="2734"/>
      <c r="AC26" s="2718" t="s">
        <v>46</v>
      </c>
      <c r="AD26" s="2718"/>
      <c r="AE26" s="2767"/>
      <c r="AF26" s="2780" t="s">
        <v>252</v>
      </c>
      <c r="AG26" s="2767" t="s">
        <v>46</v>
      </c>
      <c r="AH26" s="123"/>
    </row>
    <row r="27" spans="1:40" ht="18" customHeight="1" thickBot="1" x14ac:dyDescent="0.25">
      <c r="A27" s="646"/>
      <c r="B27" s="2781" t="s">
        <v>78</v>
      </c>
      <c r="C27" s="2782"/>
      <c r="D27" s="2745" t="s">
        <v>46</v>
      </c>
      <c r="E27" s="2745" t="s">
        <v>46</v>
      </c>
      <c r="F27" s="2745" t="s">
        <v>46</v>
      </c>
      <c r="G27" s="2783" t="s">
        <v>46</v>
      </c>
      <c r="H27" s="2783" t="s">
        <v>46</v>
      </c>
      <c r="I27" s="2869"/>
      <c r="J27" s="2782"/>
      <c r="K27" s="2745" t="s">
        <v>46</v>
      </c>
      <c r="L27" s="2745">
        <v>4</v>
      </c>
      <c r="M27" s="2745" t="s">
        <v>46</v>
      </c>
      <c r="N27" s="2748" t="s">
        <v>46</v>
      </c>
      <c r="O27" s="3021" t="s">
        <v>46</v>
      </c>
      <c r="P27" s="2745"/>
      <c r="Q27" s="2782"/>
      <c r="R27" s="3022" t="s">
        <v>46</v>
      </c>
      <c r="S27" s="2745" t="s">
        <v>46</v>
      </c>
      <c r="T27" s="2745" t="s">
        <v>46</v>
      </c>
      <c r="U27" s="2783" t="s">
        <v>46</v>
      </c>
      <c r="V27" s="2783" t="s">
        <v>46</v>
      </c>
      <c r="W27" s="2745"/>
      <c r="X27" s="2782"/>
      <c r="Y27" s="3023" t="s">
        <v>46</v>
      </c>
      <c r="Z27" s="2745"/>
      <c r="AA27" s="2745"/>
      <c r="AB27" s="2783"/>
      <c r="AC27" s="3024" t="s">
        <v>46</v>
      </c>
      <c r="AD27" s="2745"/>
      <c r="AE27" s="2782"/>
      <c r="AF27" s="3025" t="s">
        <v>46</v>
      </c>
      <c r="AG27" s="3025" t="s">
        <v>46</v>
      </c>
      <c r="AH27" s="123"/>
    </row>
    <row r="28" spans="1:40" ht="18" customHeight="1" thickBot="1" x14ac:dyDescent="0.25">
      <c r="A28" s="245"/>
      <c r="B28" s="246"/>
      <c r="C28" s="853" t="s">
        <v>0</v>
      </c>
      <c r="D28" s="248"/>
      <c r="E28" s="248"/>
      <c r="F28" s="248"/>
      <c r="G28" s="246"/>
      <c r="H28" s="246"/>
      <c r="I28" s="2766"/>
      <c r="J28" s="2764"/>
      <c r="K28" s="248"/>
      <c r="L28" s="246"/>
      <c r="M28" s="246"/>
      <c r="N28" s="246"/>
      <c r="O28" s="246"/>
      <c r="P28" s="248"/>
      <c r="Q28" s="247"/>
      <c r="R28" s="248"/>
      <c r="S28" s="248"/>
      <c r="T28" s="248"/>
      <c r="U28" s="246"/>
      <c r="V28" s="246"/>
      <c r="W28" s="248"/>
      <c r="X28" s="247"/>
      <c r="Y28" s="248"/>
      <c r="Z28" s="248"/>
      <c r="AA28" s="248"/>
      <c r="AB28" s="246"/>
      <c r="AC28" s="246"/>
      <c r="AD28" s="248"/>
      <c r="AE28" s="247"/>
      <c r="AF28" s="248"/>
      <c r="AG28" s="246"/>
      <c r="AH28" s="123"/>
    </row>
    <row r="29" spans="1:40" ht="18" customHeight="1" thickBot="1" x14ac:dyDescent="0.25">
      <c r="A29" s="249"/>
      <c r="B29" s="250"/>
      <c r="C29" s="251"/>
      <c r="D29" s="252"/>
      <c r="E29" s="252"/>
      <c r="F29" s="252"/>
      <c r="G29" s="250"/>
      <c r="H29" s="250"/>
      <c r="I29" s="252"/>
      <c r="J29" s="251"/>
      <c r="K29" s="252">
        <v>89</v>
      </c>
      <c r="L29" s="250"/>
      <c r="M29" s="250" t="s">
        <v>0</v>
      </c>
      <c r="N29" s="250">
        <v>89</v>
      </c>
      <c r="O29" s="250">
        <v>89</v>
      </c>
      <c r="P29" s="252" t="s">
        <v>0</v>
      </c>
      <c r="Q29" s="251"/>
      <c r="R29" s="252" t="s">
        <v>0</v>
      </c>
      <c r="S29" s="252" t="s">
        <v>0</v>
      </c>
      <c r="T29" s="252" t="s">
        <v>0</v>
      </c>
      <c r="U29" s="250" t="s">
        <v>0</v>
      </c>
      <c r="V29" s="250" t="s">
        <v>0</v>
      </c>
      <c r="W29" s="252"/>
      <c r="X29" s="251"/>
      <c r="Y29" s="252">
        <v>3</v>
      </c>
      <c r="Z29" s="252">
        <v>3</v>
      </c>
      <c r="AA29" s="252">
        <v>3</v>
      </c>
      <c r="AB29" s="250">
        <v>4</v>
      </c>
      <c r="AC29" s="250">
        <v>4</v>
      </c>
      <c r="AD29" s="252"/>
      <c r="AE29" s="251"/>
      <c r="AF29" s="252"/>
      <c r="AG29" s="250"/>
      <c r="AH29" s="123"/>
    </row>
    <row r="30" spans="1:40" ht="18" customHeight="1" thickBot="1" x14ac:dyDescent="0.25">
      <c r="A30" s="249"/>
      <c r="B30" s="250"/>
      <c r="C30" s="251"/>
      <c r="D30" s="2764">
        <v>3</v>
      </c>
      <c r="E30" s="2766" t="s">
        <v>456</v>
      </c>
      <c r="F30" s="2766"/>
      <c r="G30" s="2766"/>
      <c r="H30" s="2766" t="s">
        <v>456</v>
      </c>
      <c r="I30" s="2766" t="s">
        <v>70</v>
      </c>
      <c r="J30" s="2828" t="s">
        <v>70</v>
      </c>
      <c r="K30" s="252" t="s">
        <v>0</v>
      </c>
      <c r="L30" s="250"/>
      <c r="M30" s="250"/>
      <c r="N30" s="250">
        <v>69</v>
      </c>
      <c r="O30" s="2518"/>
      <c r="P30" s="2518"/>
      <c r="Q30" s="2518"/>
      <c r="R30" s="799">
        <v>99</v>
      </c>
      <c r="S30" s="799">
        <v>99</v>
      </c>
      <c r="T30" s="799">
        <v>89</v>
      </c>
      <c r="U30" s="799">
        <v>89</v>
      </c>
      <c r="V30" s="636">
        <v>89</v>
      </c>
      <c r="W30" s="2518"/>
      <c r="X30" s="2518"/>
      <c r="Y30" s="252"/>
      <c r="Z30" s="252"/>
      <c r="AA30" s="252"/>
      <c r="AB30" s="250"/>
      <c r="AC30" s="2518"/>
      <c r="AD30" s="2518"/>
      <c r="AE30" s="2518"/>
      <c r="AF30" s="252"/>
      <c r="AG30" s="250"/>
      <c r="AH30" s="123"/>
    </row>
    <row r="31" spans="1:40" ht="18" customHeight="1" thickBot="1" x14ac:dyDescent="0.25">
      <c r="A31" s="249"/>
      <c r="B31" s="250"/>
      <c r="C31" s="251"/>
      <c r="D31" s="252"/>
      <c r="E31" s="252"/>
      <c r="F31" s="252"/>
      <c r="G31" s="250"/>
      <c r="H31" s="1363"/>
      <c r="I31" s="1363"/>
      <c r="J31" s="1363"/>
      <c r="K31" s="252"/>
      <c r="L31" s="250"/>
      <c r="M31" s="250"/>
      <c r="N31" s="250">
        <v>25</v>
      </c>
      <c r="O31" s="250"/>
      <c r="P31" s="252"/>
      <c r="Q31" s="251"/>
      <c r="R31" s="252"/>
      <c r="S31" s="252"/>
      <c r="T31" s="252"/>
      <c r="U31" s="250"/>
      <c r="V31" s="250" t="s">
        <v>0</v>
      </c>
      <c r="W31" s="252" t="s">
        <v>0</v>
      </c>
      <c r="X31" s="251" t="s">
        <v>0</v>
      </c>
      <c r="Y31" s="252"/>
      <c r="Z31" s="252"/>
      <c r="AA31" s="252"/>
      <c r="AB31" s="250"/>
      <c r="AC31" s="250"/>
      <c r="AD31" s="252"/>
      <c r="AE31" s="251"/>
      <c r="AF31" s="252"/>
      <c r="AG31" s="250"/>
      <c r="AH31" s="123"/>
    </row>
    <row r="32" spans="1:40" ht="18" customHeight="1" x14ac:dyDescent="0.2">
      <c r="A32" s="249"/>
      <c r="B32" s="250"/>
      <c r="C32" s="251"/>
      <c r="D32" s="252"/>
      <c r="E32" s="252"/>
      <c r="F32" s="252"/>
      <c r="G32" s="250"/>
      <c r="H32" s="250"/>
      <c r="I32" s="2734"/>
      <c r="J32" s="2734"/>
      <c r="K32" s="252">
        <v>4</v>
      </c>
      <c r="L32" s="250" t="s">
        <v>0</v>
      </c>
      <c r="M32" s="250" t="s">
        <v>0</v>
      </c>
      <c r="N32" s="250" t="s">
        <v>0</v>
      </c>
      <c r="O32" s="250" t="s">
        <v>0</v>
      </c>
      <c r="P32" s="252"/>
      <c r="Q32" s="251"/>
      <c r="R32" s="252"/>
      <c r="S32" s="252"/>
      <c r="T32" s="252"/>
      <c r="U32" s="250"/>
      <c r="V32" s="250"/>
      <c r="W32" s="252"/>
      <c r="X32" s="251"/>
      <c r="Y32" s="252"/>
      <c r="Z32" s="252" t="s">
        <v>0</v>
      </c>
      <c r="AA32" s="252"/>
      <c r="AB32" s="250"/>
      <c r="AC32" s="250"/>
      <c r="AD32" s="252"/>
      <c r="AE32" s="251"/>
      <c r="AF32" s="252"/>
      <c r="AG32" s="250"/>
      <c r="AH32" s="123"/>
    </row>
    <row r="33" spans="1:38" ht="18" customHeight="1" x14ac:dyDescent="0.2">
      <c r="A33" s="249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 t="s">
        <v>0</v>
      </c>
      <c r="M33" s="250" t="s">
        <v>0</v>
      </c>
      <c r="N33" s="250" t="s">
        <v>0</v>
      </c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  <c r="AB33" s="250"/>
      <c r="AC33" s="250"/>
      <c r="AD33" s="250"/>
      <c r="AE33" s="250"/>
      <c r="AF33" s="250"/>
      <c r="AG33" s="250"/>
      <c r="AJ33" t="s">
        <v>0</v>
      </c>
    </row>
    <row r="34" spans="1:38" ht="18" customHeight="1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</row>
    <row r="35" spans="1:38" ht="12.75" x14ac:dyDescent="0.2">
      <c r="A35" s="103" t="s">
        <v>82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83</v>
      </c>
      <c r="R35" s="48" t="s">
        <v>0</v>
      </c>
      <c r="S35" s="48" t="s">
        <v>84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K35" s="1"/>
    </row>
    <row r="36" spans="1:38" ht="18" customHeight="1" x14ac:dyDescent="0.2">
      <c r="A36" s="2785" t="s">
        <v>85</v>
      </c>
      <c r="B36" s="2786"/>
      <c r="C36" s="2786"/>
      <c r="D36" s="2787" t="s">
        <v>86</v>
      </c>
      <c r="E36" s="2788"/>
      <c r="F36" s="2788"/>
      <c r="G36" s="2788"/>
      <c r="H36" s="2788"/>
      <c r="I36" s="2788"/>
      <c r="J36" s="2788"/>
      <c r="K36" s="2788"/>
      <c r="L36" s="2788"/>
      <c r="M36" s="2789" t="s">
        <v>87</v>
      </c>
      <c r="N36" s="2788"/>
      <c r="O36" s="2788"/>
      <c r="P36" s="2788"/>
      <c r="Q36" s="2788"/>
      <c r="R36" s="2788"/>
      <c r="S36" s="2790"/>
      <c r="T36" s="4982" t="s">
        <v>88</v>
      </c>
      <c r="U36" s="4982"/>
      <c r="V36" s="4982"/>
      <c r="W36" s="4982"/>
      <c r="X36" s="4982"/>
      <c r="Y36" s="4982"/>
      <c r="Z36" s="4982"/>
      <c r="AA36" s="2791" t="s">
        <v>89</v>
      </c>
      <c r="AB36" s="2792"/>
      <c r="AC36" s="2792"/>
      <c r="AD36" s="2792"/>
      <c r="AE36" s="2792"/>
      <c r="AF36" s="2792"/>
      <c r="AG36" s="2793"/>
      <c r="AK36" s="1"/>
    </row>
    <row r="37" spans="1:38" ht="18" customHeight="1" x14ac:dyDescent="0.2">
      <c r="A37" s="2794" t="s">
        <v>90</v>
      </c>
      <c r="B37" s="2795"/>
      <c r="C37" s="2795"/>
      <c r="D37" s="2796" t="s">
        <v>91</v>
      </c>
      <c r="E37" s="2797"/>
      <c r="F37" s="2684"/>
      <c r="G37" s="2684"/>
      <c r="H37" s="2684"/>
      <c r="I37" s="2684"/>
      <c r="J37" s="2684"/>
      <c r="K37" s="2684"/>
      <c r="L37" s="2798"/>
      <c r="M37" s="2799" t="s">
        <v>92</v>
      </c>
      <c r="N37" s="2795"/>
      <c r="O37" s="2800"/>
      <c r="P37" s="2795"/>
      <c r="Q37" s="2795"/>
      <c r="R37" s="2795"/>
      <c r="S37" s="2801"/>
      <c r="T37" s="2796" t="s">
        <v>93</v>
      </c>
      <c r="U37" s="2684"/>
      <c r="V37" s="2797"/>
      <c r="W37" s="2684"/>
      <c r="X37" s="2684"/>
      <c r="Y37" s="2684"/>
      <c r="Z37" s="2798"/>
      <c r="AA37" s="104" t="s">
        <v>94</v>
      </c>
      <c r="AD37" s="60"/>
      <c r="AG37" s="63"/>
      <c r="AK37" s="1"/>
    </row>
    <row r="38" spans="1:38" ht="18" customHeight="1" x14ac:dyDescent="0.2">
      <c r="A38" s="2802" t="s">
        <v>95</v>
      </c>
      <c r="B38" s="2684"/>
      <c r="C38" s="2684"/>
      <c r="D38" s="2803"/>
      <c r="E38" s="2684"/>
      <c r="F38" s="2684"/>
      <c r="G38" s="2798"/>
      <c r="H38" s="2804" t="s">
        <v>96</v>
      </c>
      <c r="I38" s="2684"/>
      <c r="J38" s="2684"/>
      <c r="K38" s="2684"/>
      <c r="L38" s="2684"/>
      <c r="M38" s="2805"/>
      <c r="N38" s="2684"/>
      <c r="O38" s="2684"/>
      <c r="P38" s="2684"/>
      <c r="Q38" s="2684"/>
      <c r="R38" s="2684"/>
      <c r="S38" s="2684"/>
      <c r="T38" s="2803"/>
      <c r="U38" s="103" t="s">
        <v>97</v>
      </c>
      <c r="AA38" s="2800"/>
      <c r="AB38" s="2795"/>
      <c r="AC38" s="2795"/>
      <c r="AD38" s="2795"/>
      <c r="AE38" s="2795"/>
      <c r="AF38" s="2795"/>
      <c r="AG38" s="2806"/>
      <c r="AK38" s="42"/>
    </row>
    <row r="39" spans="1:38" ht="18" customHeight="1" thickBot="1" x14ac:dyDescent="0.25">
      <c r="A39" s="2807" t="s">
        <v>98</v>
      </c>
      <c r="B39" s="2808"/>
      <c r="C39" s="2808"/>
      <c r="D39" s="2809"/>
      <c r="E39" s="2808"/>
      <c r="F39" s="2808"/>
      <c r="G39" s="2810"/>
      <c r="H39" s="2811" t="s">
        <v>99</v>
      </c>
      <c r="I39" s="2810"/>
      <c r="J39" s="2808"/>
      <c r="K39" s="2808"/>
      <c r="L39" s="2808"/>
      <c r="M39" s="2812"/>
      <c r="N39" s="2808"/>
      <c r="O39" s="2808"/>
      <c r="P39" s="2808"/>
      <c r="Q39" s="2813"/>
      <c r="R39" s="2813"/>
      <c r="S39" s="2813"/>
      <c r="T39" s="2809"/>
      <c r="U39" s="2814" t="s">
        <v>100</v>
      </c>
      <c r="V39" s="2808"/>
      <c r="W39" s="2808"/>
      <c r="X39" s="2808"/>
      <c r="Y39" s="2808"/>
      <c r="Z39" s="2808"/>
      <c r="AA39" s="2808"/>
      <c r="AB39" s="2808"/>
      <c r="AC39" s="2808"/>
      <c r="AD39" s="2808"/>
      <c r="AE39" s="2808"/>
      <c r="AF39" s="2808"/>
      <c r="AG39" s="2815"/>
      <c r="AK39" s="1"/>
    </row>
    <row r="40" spans="1:38" ht="18" customHeight="1" thickBot="1" x14ac:dyDescent="0.25">
      <c r="B40" s="64" t="s">
        <v>42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  <c r="AI40" s="111"/>
    </row>
    <row r="41" spans="1:38" ht="18" customHeight="1" thickBot="1" x14ac:dyDescent="0.25">
      <c r="A41" s="2816" t="s">
        <v>43</v>
      </c>
      <c r="B41" s="2817" t="s">
        <v>44</v>
      </c>
      <c r="C41" s="2707">
        <v>1</v>
      </c>
      <c r="D41" s="2706">
        <v>2</v>
      </c>
      <c r="E41" s="2706">
        <v>3</v>
      </c>
      <c r="F41" s="2706">
        <v>4</v>
      </c>
      <c r="G41" s="2706">
        <v>5</v>
      </c>
      <c r="H41" s="2706">
        <v>6</v>
      </c>
      <c r="I41" s="2707">
        <v>7</v>
      </c>
      <c r="J41" s="2707">
        <v>8</v>
      </c>
      <c r="K41" s="2706">
        <v>9</v>
      </c>
      <c r="L41" s="2706">
        <v>10</v>
      </c>
      <c r="M41" s="2706">
        <v>11</v>
      </c>
      <c r="N41" s="2706">
        <v>12</v>
      </c>
      <c r="O41" s="2706">
        <v>13</v>
      </c>
      <c r="P41" s="2707">
        <v>14</v>
      </c>
      <c r="Q41" s="2707">
        <v>15</v>
      </c>
      <c r="R41" s="2706">
        <v>16</v>
      </c>
      <c r="S41" s="2706">
        <v>17</v>
      </c>
      <c r="T41" s="2706">
        <v>18</v>
      </c>
      <c r="U41" s="2706">
        <v>19</v>
      </c>
      <c r="V41" s="2706">
        <v>20</v>
      </c>
      <c r="W41" s="2707">
        <v>21</v>
      </c>
      <c r="X41" s="2707">
        <v>22</v>
      </c>
      <c r="Y41" s="2706">
        <v>23</v>
      </c>
      <c r="Z41" s="2706">
        <v>24</v>
      </c>
      <c r="AA41" s="2707">
        <v>25</v>
      </c>
      <c r="AB41" s="2707">
        <v>26</v>
      </c>
      <c r="AC41" s="2706">
        <v>27</v>
      </c>
      <c r="AD41" s="2707">
        <v>28</v>
      </c>
      <c r="AE41" s="2707">
        <v>29</v>
      </c>
      <c r="AF41" s="2706">
        <v>30</v>
      </c>
      <c r="AG41" s="2706">
        <v>31</v>
      </c>
      <c r="AH41" s="110"/>
      <c r="AI41" s="116"/>
      <c r="AL41" t="s">
        <v>0</v>
      </c>
    </row>
    <row r="42" spans="1:38" ht="18" customHeight="1" thickBot="1" x14ac:dyDescent="0.25">
      <c r="A42" s="2818">
        <v>1</v>
      </c>
      <c r="B42" s="2760"/>
      <c r="C42" s="2766"/>
      <c r="D42" s="2764">
        <v>9</v>
      </c>
      <c r="E42" s="2766">
        <v>9</v>
      </c>
      <c r="F42" s="2766">
        <v>9</v>
      </c>
      <c r="G42" s="2766">
        <v>9</v>
      </c>
      <c r="H42" s="2766">
        <v>9</v>
      </c>
      <c r="I42" s="2766" t="s">
        <v>70</v>
      </c>
      <c r="J42" s="2828" t="s">
        <v>70</v>
      </c>
      <c r="K42" s="2766" t="s">
        <v>50</v>
      </c>
      <c r="L42" s="2766" t="s">
        <v>50</v>
      </c>
      <c r="M42" s="2766" t="s">
        <v>50</v>
      </c>
      <c r="N42" s="2766" t="s">
        <v>50</v>
      </c>
      <c r="O42" s="2764" t="s">
        <v>50</v>
      </c>
      <c r="P42" s="2766" t="s">
        <v>103</v>
      </c>
      <c r="Q42" s="2765" t="s">
        <v>104</v>
      </c>
      <c r="R42" s="2764">
        <v>6</v>
      </c>
      <c r="S42" s="2766">
        <v>6</v>
      </c>
      <c r="T42" s="2766">
        <v>6</v>
      </c>
      <c r="U42" s="2766">
        <v>6</v>
      </c>
      <c r="V42" s="2766">
        <v>6</v>
      </c>
      <c r="W42" s="2766"/>
      <c r="X42" s="2765"/>
      <c r="Y42" s="2765" t="s">
        <v>50</v>
      </c>
      <c r="Z42" s="2766" t="s">
        <v>50</v>
      </c>
      <c r="AA42" s="2766" t="s">
        <v>50</v>
      </c>
      <c r="AB42" s="2765" t="s">
        <v>50</v>
      </c>
      <c r="AC42" s="2765" t="s">
        <v>50</v>
      </c>
      <c r="AD42" s="2765"/>
      <c r="AE42" s="2766"/>
      <c r="AF42" s="2766">
        <v>5</v>
      </c>
      <c r="AG42" s="2819">
        <v>5</v>
      </c>
      <c r="AH42" s="115"/>
      <c r="AI42" s="116"/>
    </row>
    <row r="43" spans="1:38" ht="18" customHeight="1" x14ac:dyDescent="0.2">
      <c r="A43" s="2820">
        <v>6</v>
      </c>
      <c r="B43" s="2722" t="s">
        <v>105</v>
      </c>
      <c r="C43" s="2767"/>
      <c r="D43" s="2767">
        <v>10</v>
      </c>
      <c r="E43" s="2767">
        <v>10</v>
      </c>
      <c r="F43" s="2767">
        <v>10</v>
      </c>
      <c r="G43" s="2767">
        <v>10</v>
      </c>
      <c r="H43" s="2767">
        <v>10</v>
      </c>
      <c r="I43" s="2767" t="s">
        <v>106</v>
      </c>
      <c r="J43" s="2767" t="s">
        <v>106</v>
      </c>
      <c r="K43" s="2767" t="s">
        <v>50</v>
      </c>
      <c r="L43" s="2767" t="s">
        <v>50</v>
      </c>
      <c r="M43" s="2767" t="s">
        <v>50</v>
      </c>
      <c r="N43" s="2767" t="s">
        <v>50</v>
      </c>
      <c r="O43" s="2767" t="s">
        <v>50</v>
      </c>
      <c r="P43" s="2767" t="s">
        <v>107</v>
      </c>
      <c r="Q43" s="2767" t="s">
        <v>107</v>
      </c>
      <c r="R43" s="2767">
        <v>7</v>
      </c>
      <c r="S43" s="2767">
        <v>7</v>
      </c>
      <c r="T43" s="2767">
        <v>7</v>
      </c>
      <c r="U43" s="2767">
        <v>7</v>
      </c>
      <c r="V43" s="2767">
        <v>7</v>
      </c>
      <c r="W43" s="2767"/>
      <c r="X43" s="2767"/>
      <c r="Y43" s="2767">
        <v>4</v>
      </c>
      <c r="Z43" s="2767">
        <v>4</v>
      </c>
      <c r="AA43" s="2767">
        <v>4</v>
      </c>
      <c r="AB43" s="2731">
        <v>4</v>
      </c>
      <c r="AC43" s="2731">
        <v>4</v>
      </c>
      <c r="AD43" s="2731"/>
      <c r="AE43" s="2731"/>
      <c r="AF43" s="2731">
        <v>3</v>
      </c>
      <c r="AG43" s="2469" t="s">
        <v>395</v>
      </c>
      <c r="AH43" s="115"/>
      <c r="AI43" s="116"/>
    </row>
    <row r="44" spans="1:38" ht="18" customHeight="1" thickBot="1" x14ac:dyDescent="0.25">
      <c r="A44" s="2823">
        <v>11</v>
      </c>
      <c r="B44" s="2743" t="s">
        <v>108</v>
      </c>
      <c r="C44" s="2748"/>
      <c r="D44" s="2748">
        <v>11</v>
      </c>
      <c r="E44" s="2824">
        <v>11</v>
      </c>
      <c r="F44" s="2748">
        <v>11</v>
      </c>
      <c r="G44" s="2748">
        <v>11</v>
      </c>
      <c r="H44" s="2748">
        <v>11</v>
      </c>
      <c r="I44" s="2748" t="s">
        <v>109</v>
      </c>
      <c r="J44" s="2748" t="s">
        <v>109</v>
      </c>
      <c r="K44" s="2748" t="s">
        <v>50</v>
      </c>
      <c r="L44" s="2748" t="s">
        <v>50</v>
      </c>
      <c r="M44" s="2828" t="s">
        <v>50</v>
      </c>
      <c r="N44" s="2748" t="s">
        <v>50</v>
      </c>
      <c r="O44" s="2748" t="s">
        <v>50</v>
      </c>
      <c r="P44" s="2748" t="s">
        <v>104</v>
      </c>
      <c r="Q44" s="2748" t="s">
        <v>104</v>
      </c>
      <c r="R44" s="2748">
        <v>8</v>
      </c>
      <c r="S44" s="2748">
        <v>8</v>
      </c>
      <c r="T44" s="2745">
        <v>8</v>
      </c>
      <c r="U44" s="2748">
        <v>8</v>
      </c>
      <c r="V44" s="2748">
        <v>8</v>
      </c>
      <c r="W44" s="2748"/>
      <c r="X44" s="2748"/>
      <c r="Y44" s="2748" t="s">
        <v>50</v>
      </c>
      <c r="Z44" s="2749" t="s">
        <v>50</v>
      </c>
      <c r="AA44" s="2748" t="s">
        <v>50</v>
      </c>
      <c r="AB44" s="2748" t="s">
        <v>50</v>
      </c>
      <c r="AC44" s="2748" t="s">
        <v>50</v>
      </c>
      <c r="AD44" s="2748"/>
      <c r="AE44" s="2748"/>
      <c r="AF44" s="2748">
        <v>1</v>
      </c>
      <c r="AG44" s="2825">
        <v>1</v>
      </c>
      <c r="AH44" s="115"/>
      <c r="AI44" s="116"/>
    </row>
    <row r="45" spans="1:38" ht="18" customHeight="1" thickBot="1" x14ac:dyDescent="0.25">
      <c r="A45" s="2818">
        <v>2</v>
      </c>
      <c r="B45" s="2760"/>
      <c r="C45" s="2828" t="s">
        <v>70</v>
      </c>
      <c r="D45" s="2762" t="s">
        <v>50</v>
      </c>
      <c r="E45" s="2762" t="s">
        <v>50</v>
      </c>
      <c r="F45" s="2826" t="s">
        <v>50</v>
      </c>
      <c r="G45" s="2826" t="s">
        <v>50</v>
      </c>
      <c r="H45" s="2766" t="s">
        <v>50</v>
      </c>
      <c r="I45" s="2766" t="s">
        <v>103</v>
      </c>
      <c r="J45" s="2764" t="s">
        <v>104</v>
      </c>
      <c r="K45" s="2764">
        <v>6</v>
      </c>
      <c r="L45" s="2766">
        <v>6</v>
      </c>
      <c r="M45" s="2766">
        <v>6</v>
      </c>
      <c r="N45" s="2766">
        <v>6</v>
      </c>
      <c r="O45" s="2765">
        <v>6</v>
      </c>
      <c r="P45" s="2766"/>
      <c r="Q45" s="2765"/>
      <c r="R45" s="2765" t="s">
        <v>50</v>
      </c>
      <c r="S45" s="2764" t="s">
        <v>50</v>
      </c>
      <c r="T45" s="2765" t="s">
        <v>50</v>
      </c>
      <c r="U45" s="2765" t="s">
        <v>50</v>
      </c>
      <c r="V45" s="2765" t="s">
        <v>50</v>
      </c>
      <c r="W45" s="2765"/>
      <c r="X45" s="2765"/>
      <c r="Y45" s="2766">
        <v>5</v>
      </c>
      <c r="Z45" s="2766">
        <v>5</v>
      </c>
      <c r="AA45" s="2766"/>
      <c r="AB45" s="2766"/>
      <c r="AC45" s="2765">
        <v>5</v>
      </c>
      <c r="AD45" s="2765"/>
      <c r="AE45" s="2766"/>
      <c r="AF45" s="2766">
        <v>10</v>
      </c>
      <c r="AG45" s="2819">
        <v>10</v>
      </c>
      <c r="AH45" s="115"/>
      <c r="AI45" s="116"/>
    </row>
    <row r="46" spans="1:38" ht="18" customHeight="1" x14ac:dyDescent="0.2">
      <c r="A46" s="2820">
        <v>7</v>
      </c>
      <c r="B46" s="2722" t="s">
        <v>114</v>
      </c>
      <c r="C46" s="2827" t="s">
        <v>106</v>
      </c>
      <c r="D46" s="2723" t="s">
        <v>50</v>
      </c>
      <c r="E46" s="2723" t="s">
        <v>50</v>
      </c>
      <c r="F46" s="2723" t="s">
        <v>50</v>
      </c>
      <c r="G46" s="2738" t="s">
        <v>50</v>
      </c>
      <c r="H46" s="2738" t="s">
        <v>50</v>
      </c>
      <c r="I46" s="2718" t="s">
        <v>107</v>
      </c>
      <c r="J46" s="2734" t="s">
        <v>107</v>
      </c>
      <c r="K46" s="2734">
        <v>7</v>
      </c>
      <c r="L46" s="2734">
        <v>7</v>
      </c>
      <c r="M46" s="2734">
        <v>7</v>
      </c>
      <c r="N46" s="2827">
        <v>7</v>
      </c>
      <c r="O46" s="2827">
        <v>7</v>
      </c>
      <c r="P46" s="2734"/>
      <c r="Q46" s="2734"/>
      <c r="R46" s="2739">
        <v>4</v>
      </c>
      <c r="S46" s="2739">
        <v>4</v>
      </c>
      <c r="T46" s="3004">
        <v>4</v>
      </c>
      <c r="U46" s="3004">
        <v>4</v>
      </c>
      <c r="V46" s="3004">
        <v>4</v>
      </c>
      <c r="W46" s="2731"/>
      <c r="X46" s="2731"/>
      <c r="Y46" s="2731">
        <v>3</v>
      </c>
      <c r="Z46" s="2731">
        <v>3</v>
      </c>
      <c r="AA46" s="2731">
        <v>3</v>
      </c>
      <c r="AB46" s="2731">
        <v>3</v>
      </c>
      <c r="AC46" s="2731">
        <v>3</v>
      </c>
      <c r="AD46" s="2445"/>
      <c r="AE46" s="2445"/>
      <c r="AF46" s="2445">
        <v>11</v>
      </c>
      <c r="AG46" s="3026">
        <v>11</v>
      </c>
      <c r="AH46" s="115"/>
    </row>
    <row r="47" spans="1:38" ht="18" customHeight="1" thickBot="1" x14ac:dyDescent="0.25">
      <c r="A47" s="2823">
        <v>12</v>
      </c>
      <c r="B47" s="2830" t="s">
        <v>115</v>
      </c>
      <c r="C47" s="2828" t="s">
        <v>109</v>
      </c>
      <c r="D47" s="2828" t="s">
        <v>50</v>
      </c>
      <c r="E47" s="2828" t="s">
        <v>50</v>
      </c>
      <c r="F47" s="2828" t="s">
        <v>50</v>
      </c>
      <c r="G47" s="2828" t="s">
        <v>50</v>
      </c>
      <c r="H47" s="2828" t="s">
        <v>50</v>
      </c>
      <c r="I47" s="2828" t="s">
        <v>104</v>
      </c>
      <c r="J47" s="2831" t="s">
        <v>104</v>
      </c>
      <c r="K47" s="2828">
        <v>8</v>
      </c>
      <c r="L47" s="2828">
        <v>8</v>
      </c>
      <c r="M47" s="3027">
        <v>8</v>
      </c>
      <c r="N47" s="3027">
        <v>8</v>
      </c>
      <c r="O47" s="2752">
        <v>8</v>
      </c>
      <c r="P47" s="2752" t="s">
        <v>109</v>
      </c>
      <c r="Q47" s="2752" t="s">
        <v>109</v>
      </c>
      <c r="R47" s="2828" t="s">
        <v>50</v>
      </c>
      <c r="S47" s="2828" t="s">
        <v>50</v>
      </c>
      <c r="T47" s="2828" t="s">
        <v>50</v>
      </c>
      <c r="U47" s="2828" t="s">
        <v>50</v>
      </c>
      <c r="V47" s="2828" t="s">
        <v>50</v>
      </c>
      <c r="W47" s="2831" t="s">
        <v>0</v>
      </c>
      <c r="X47" s="2828"/>
      <c r="Y47" s="2828">
        <v>1</v>
      </c>
      <c r="Z47" s="2828">
        <v>1</v>
      </c>
      <c r="AA47" s="2749">
        <v>1</v>
      </c>
      <c r="AB47" s="2749">
        <v>1</v>
      </c>
      <c r="AC47" s="2828">
        <v>1</v>
      </c>
      <c r="AD47" s="2828"/>
      <c r="AE47" s="2828"/>
      <c r="AF47" s="2828">
        <v>9</v>
      </c>
      <c r="AG47" s="3028">
        <v>9</v>
      </c>
      <c r="AH47" s="115"/>
      <c r="AI47" s="116"/>
    </row>
    <row r="48" spans="1:38" ht="18" customHeight="1" x14ac:dyDescent="0.2">
      <c r="A48" s="2818">
        <v>3</v>
      </c>
      <c r="B48" s="2833" t="s">
        <v>116</v>
      </c>
      <c r="C48" s="711" t="s">
        <v>104</v>
      </c>
      <c r="D48" s="597">
        <v>6</v>
      </c>
      <c r="E48" s="712">
        <v>6</v>
      </c>
      <c r="F48" s="712">
        <v>6</v>
      </c>
      <c r="G48" s="712">
        <v>6</v>
      </c>
      <c r="H48" s="712">
        <v>6</v>
      </c>
      <c r="I48" s="712"/>
      <c r="J48" s="597"/>
      <c r="K48" s="597" t="s">
        <v>50</v>
      </c>
      <c r="L48" s="597" t="s">
        <v>50</v>
      </c>
      <c r="M48" s="597" t="s">
        <v>50</v>
      </c>
      <c r="N48" s="597" t="s">
        <v>50</v>
      </c>
      <c r="O48" s="597" t="s">
        <v>50</v>
      </c>
      <c r="P48" s="597"/>
      <c r="Q48" s="597"/>
      <c r="R48" s="712">
        <v>5</v>
      </c>
      <c r="S48" s="712">
        <v>5</v>
      </c>
      <c r="T48" s="712">
        <v>5</v>
      </c>
      <c r="U48" s="712">
        <v>5</v>
      </c>
      <c r="V48" s="597">
        <v>5</v>
      </c>
      <c r="W48" s="597"/>
      <c r="X48" s="711"/>
      <c r="Y48" s="712">
        <v>10</v>
      </c>
      <c r="Z48" s="712">
        <v>10</v>
      </c>
      <c r="AA48" s="712">
        <v>10</v>
      </c>
      <c r="AB48" s="712">
        <v>10</v>
      </c>
      <c r="AC48" s="596">
        <v>10</v>
      </c>
      <c r="AD48" s="712" t="s">
        <v>106</v>
      </c>
      <c r="AE48" s="712" t="s">
        <v>106</v>
      </c>
      <c r="AF48" s="712" t="s">
        <v>50</v>
      </c>
      <c r="AG48" s="1086" t="s">
        <v>50</v>
      </c>
      <c r="AH48" s="115"/>
      <c r="AI48" s="116"/>
    </row>
    <row r="49" spans="1:40" ht="18" customHeight="1" x14ac:dyDescent="0.2">
      <c r="A49" s="2820">
        <v>8</v>
      </c>
      <c r="B49" s="2722" t="s">
        <v>117</v>
      </c>
      <c r="C49" s="2734" t="s">
        <v>107</v>
      </c>
      <c r="D49" s="2739">
        <v>7</v>
      </c>
      <c r="E49" s="2739">
        <v>7</v>
      </c>
      <c r="F49" s="2739">
        <v>7</v>
      </c>
      <c r="G49" s="2739">
        <v>7</v>
      </c>
      <c r="H49" s="2739">
        <v>7</v>
      </c>
      <c r="I49" s="2739"/>
      <c r="J49" s="2739"/>
      <c r="K49" s="2739">
        <v>4</v>
      </c>
      <c r="L49" s="2739">
        <v>4</v>
      </c>
      <c r="M49" s="2739">
        <v>4</v>
      </c>
      <c r="N49" s="2739">
        <v>4</v>
      </c>
      <c r="O49" s="2739">
        <v>4</v>
      </c>
      <c r="P49" s="2739"/>
      <c r="Q49" s="2739"/>
      <c r="R49" s="2739">
        <v>3</v>
      </c>
      <c r="S49" s="2739">
        <v>3</v>
      </c>
      <c r="T49" s="2739">
        <v>3</v>
      </c>
      <c r="U49" s="2739">
        <v>3</v>
      </c>
      <c r="V49" s="2739">
        <v>3</v>
      </c>
      <c r="W49" s="2739"/>
      <c r="X49" s="2739"/>
      <c r="Y49" s="3029">
        <v>11</v>
      </c>
      <c r="Z49" s="3029">
        <v>11</v>
      </c>
      <c r="AA49" s="3029">
        <v>11</v>
      </c>
      <c r="AB49" s="3029">
        <v>11</v>
      </c>
      <c r="AC49" s="3029">
        <v>11</v>
      </c>
      <c r="AD49" s="2471" t="s">
        <v>109</v>
      </c>
      <c r="AE49" s="2471" t="s">
        <v>109</v>
      </c>
      <c r="AF49" s="2827" t="s">
        <v>50</v>
      </c>
      <c r="AG49" s="2829" t="s">
        <v>50</v>
      </c>
      <c r="AH49" s="115"/>
      <c r="AI49" s="116"/>
    </row>
    <row r="50" spans="1:40" ht="18" customHeight="1" x14ac:dyDescent="0.2">
      <c r="A50" s="2823">
        <v>13</v>
      </c>
      <c r="B50" s="2743" t="s">
        <v>118</v>
      </c>
      <c r="C50" s="2783" t="s">
        <v>104</v>
      </c>
      <c r="D50" s="2783">
        <v>8</v>
      </c>
      <c r="E50" s="2841">
        <v>8</v>
      </c>
      <c r="F50" s="2841">
        <v>8</v>
      </c>
      <c r="G50" s="2841">
        <v>8</v>
      </c>
      <c r="H50" s="2841" t="s">
        <v>418</v>
      </c>
      <c r="I50" s="2748"/>
      <c r="J50" s="2783"/>
      <c r="K50" s="2748" t="s">
        <v>50</v>
      </c>
      <c r="L50" s="2751" t="s">
        <v>50</v>
      </c>
      <c r="M50" s="2748" t="s">
        <v>50</v>
      </c>
      <c r="N50" s="2751" t="s">
        <v>50</v>
      </c>
      <c r="O50" s="2751" t="s">
        <v>50</v>
      </c>
      <c r="P50" s="2751"/>
      <c r="Q50" s="2748"/>
      <c r="R50" s="2748">
        <v>1</v>
      </c>
      <c r="S50" s="2748">
        <v>1</v>
      </c>
      <c r="T50" s="2748">
        <v>1</v>
      </c>
      <c r="U50" s="2748">
        <v>1</v>
      </c>
      <c r="V50" s="2748">
        <v>1</v>
      </c>
      <c r="W50" s="2748"/>
      <c r="X50" s="2748"/>
      <c r="Y50" s="2783">
        <v>9</v>
      </c>
      <c r="Z50" s="2748">
        <v>9</v>
      </c>
      <c r="AA50" s="2748">
        <v>9</v>
      </c>
      <c r="AB50" s="2748">
        <v>9</v>
      </c>
      <c r="AC50" s="2748">
        <v>9</v>
      </c>
      <c r="AD50" s="2748" t="s">
        <v>70</v>
      </c>
      <c r="AE50" s="2828" t="s">
        <v>70</v>
      </c>
      <c r="AF50" s="2748" t="s">
        <v>50</v>
      </c>
      <c r="AG50" s="2825" t="s">
        <v>50</v>
      </c>
      <c r="AH50" s="115"/>
      <c r="AI50" s="116"/>
      <c r="AN50" s="352">
        <v>11.42</v>
      </c>
    </row>
    <row r="51" spans="1:40" ht="18" customHeight="1" x14ac:dyDescent="0.2">
      <c r="A51" s="2818">
        <v>4</v>
      </c>
      <c r="B51" s="2760" t="s">
        <v>119</v>
      </c>
      <c r="C51" s="711"/>
      <c r="D51" s="597" t="s">
        <v>50</v>
      </c>
      <c r="E51" s="712" t="s">
        <v>50</v>
      </c>
      <c r="F51" s="712" t="s">
        <v>50</v>
      </c>
      <c r="G51" s="712" t="s">
        <v>50</v>
      </c>
      <c r="H51" s="712" t="s">
        <v>50</v>
      </c>
      <c r="I51" s="712"/>
      <c r="J51" s="597"/>
      <c r="K51" s="1283">
        <v>5</v>
      </c>
      <c r="L51" s="1283">
        <v>5</v>
      </c>
      <c r="M51" s="1283">
        <v>5</v>
      </c>
      <c r="N51" s="1283">
        <v>5</v>
      </c>
      <c r="O51" s="1283" t="s">
        <v>113</v>
      </c>
      <c r="P51" s="597"/>
      <c r="Q51" s="597"/>
      <c r="R51" s="712">
        <v>10</v>
      </c>
      <c r="S51" s="712">
        <v>10</v>
      </c>
      <c r="T51" s="712">
        <v>10</v>
      </c>
      <c r="U51" s="712">
        <v>10</v>
      </c>
      <c r="V51" s="597">
        <v>10</v>
      </c>
      <c r="W51" s="597" t="s">
        <v>106</v>
      </c>
      <c r="X51" s="711" t="s">
        <v>106</v>
      </c>
      <c r="Y51" s="712" t="s">
        <v>50</v>
      </c>
      <c r="Z51" s="712" t="s">
        <v>50</v>
      </c>
      <c r="AA51" s="712" t="s">
        <v>50</v>
      </c>
      <c r="AB51" s="712" t="s">
        <v>50</v>
      </c>
      <c r="AC51" s="596" t="s">
        <v>50</v>
      </c>
      <c r="AD51" s="712" t="s">
        <v>107</v>
      </c>
      <c r="AE51" s="712" t="s">
        <v>107</v>
      </c>
      <c r="AF51" s="712">
        <v>7</v>
      </c>
      <c r="AG51" s="1086">
        <v>7</v>
      </c>
      <c r="AH51" s="115"/>
      <c r="AI51" s="116"/>
    </row>
    <row r="52" spans="1:40" ht="18" customHeight="1" x14ac:dyDescent="0.2">
      <c r="A52" s="2820">
        <v>9</v>
      </c>
      <c r="B52" s="2722" t="s">
        <v>120</v>
      </c>
      <c r="C52" s="2734"/>
      <c r="D52" s="3030">
        <v>4</v>
      </c>
      <c r="E52" s="3030">
        <v>4</v>
      </c>
      <c r="F52" s="3030">
        <v>4</v>
      </c>
      <c r="G52" s="3030">
        <v>4</v>
      </c>
      <c r="H52" s="3030">
        <v>4</v>
      </c>
      <c r="I52" s="2725"/>
      <c r="J52" s="2734"/>
      <c r="K52" s="2734">
        <v>3</v>
      </c>
      <c r="L52" s="2734">
        <v>3</v>
      </c>
      <c r="M52" s="2734">
        <v>3</v>
      </c>
      <c r="N52" s="2723">
        <v>3</v>
      </c>
      <c r="O52" s="2734">
        <v>3</v>
      </c>
      <c r="P52" s="2734"/>
      <c r="Q52" s="2734"/>
      <c r="R52" s="2734">
        <v>11</v>
      </c>
      <c r="S52" s="2734">
        <v>11</v>
      </c>
      <c r="T52" s="2734">
        <v>11</v>
      </c>
      <c r="U52" s="2734">
        <v>11</v>
      </c>
      <c r="V52" s="2738">
        <v>11</v>
      </c>
      <c r="W52" s="2738" t="s">
        <v>109</v>
      </c>
      <c r="X52" s="2718" t="s">
        <v>109</v>
      </c>
      <c r="Y52" s="2738" t="s">
        <v>50</v>
      </c>
      <c r="Z52" s="2738" t="s">
        <v>50</v>
      </c>
      <c r="AA52" s="2738" t="s">
        <v>50</v>
      </c>
      <c r="AB52" s="2738" t="s">
        <v>50</v>
      </c>
      <c r="AC52" s="2738" t="s">
        <v>50</v>
      </c>
      <c r="AD52" s="2723" t="s">
        <v>104</v>
      </c>
      <c r="AE52" s="2723" t="s">
        <v>104</v>
      </c>
      <c r="AF52" s="2827">
        <v>8</v>
      </c>
      <c r="AG52" s="2829">
        <v>8</v>
      </c>
      <c r="AH52" s="115"/>
      <c r="AI52" s="116"/>
    </row>
    <row r="53" spans="1:40" ht="18" customHeight="1" x14ac:dyDescent="0.2">
      <c r="A53" s="2823">
        <v>14</v>
      </c>
      <c r="B53" s="2743" t="s">
        <v>121</v>
      </c>
      <c r="C53" s="2783"/>
      <c r="D53" s="2783" t="s">
        <v>50</v>
      </c>
      <c r="E53" s="2748" t="s">
        <v>50</v>
      </c>
      <c r="F53" s="2748" t="s">
        <v>50</v>
      </c>
      <c r="G53" s="2749" t="s">
        <v>50</v>
      </c>
      <c r="H53" s="2749" t="s">
        <v>50</v>
      </c>
      <c r="I53" s="2748"/>
      <c r="J53" s="2783"/>
      <c r="K53" s="2748">
        <v>1</v>
      </c>
      <c r="L53" s="2751">
        <v>1</v>
      </c>
      <c r="M53" s="2748">
        <v>1</v>
      </c>
      <c r="N53" s="3031">
        <v>1</v>
      </c>
      <c r="O53" s="3031">
        <v>1</v>
      </c>
      <c r="P53" s="2751"/>
      <c r="Q53" s="2748"/>
      <c r="R53" s="2748">
        <v>9</v>
      </c>
      <c r="S53" s="2748">
        <v>9</v>
      </c>
      <c r="T53" s="2748">
        <v>9</v>
      </c>
      <c r="U53" s="2748">
        <v>9</v>
      </c>
      <c r="V53" s="2748">
        <v>9</v>
      </c>
      <c r="W53" s="2748" t="s">
        <v>70</v>
      </c>
      <c r="X53" s="2828" t="s">
        <v>70</v>
      </c>
      <c r="Y53" s="2783" t="s">
        <v>50</v>
      </c>
      <c r="Z53" s="2748" t="s">
        <v>50</v>
      </c>
      <c r="AA53" s="2748" t="s">
        <v>50</v>
      </c>
      <c r="AB53" s="3032" t="s">
        <v>456</v>
      </c>
      <c r="AC53" s="3032" t="s">
        <v>456</v>
      </c>
      <c r="AD53" s="2748" t="s">
        <v>103</v>
      </c>
      <c r="AE53" s="2783" t="s">
        <v>104</v>
      </c>
      <c r="AF53" s="3032">
        <v>6</v>
      </c>
      <c r="AG53" s="3033">
        <v>6</v>
      </c>
      <c r="AH53" s="115"/>
      <c r="AI53" s="116"/>
      <c r="AK53" t="s">
        <v>0</v>
      </c>
    </row>
    <row r="54" spans="1:40" ht="18" customHeight="1" x14ac:dyDescent="0.2">
      <c r="A54" s="2818">
        <v>5</v>
      </c>
      <c r="B54" s="2722" t="s">
        <v>122</v>
      </c>
      <c r="C54" s="2764"/>
      <c r="D54" s="3034">
        <v>5</v>
      </c>
      <c r="E54" s="3034">
        <v>5</v>
      </c>
      <c r="F54" s="3034">
        <v>5</v>
      </c>
      <c r="G54" s="3034">
        <v>5</v>
      </c>
      <c r="H54" s="3034">
        <v>5</v>
      </c>
      <c r="I54" s="3034"/>
      <c r="J54" s="3034"/>
      <c r="K54" s="2766">
        <v>10</v>
      </c>
      <c r="L54" s="2766">
        <v>10</v>
      </c>
      <c r="M54" s="2766">
        <v>10</v>
      </c>
      <c r="N54" s="2844">
        <v>10</v>
      </c>
      <c r="O54" s="2764">
        <v>10</v>
      </c>
      <c r="P54" s="2766" t="s">
        <v>106</v>
      </c>
      <c r="Q54" s="2766" t="s">
        <v>106</v>
      </c>
      <c r="R54" s="2764" t="s">
        <v>50</v>
      </c>
      <c r="S54" s="2766" t="s">
        <v>50</v>
      </c>
      <c r="T54" s="2929" t="s">
        <v>50</v>
      </c>
      <c r="U54" s="2929" t="s">
        <v>50</v>
      </c>
      <c r="V54" s="2929" t="s">
        <v>50</v>
      </c>
      <c r="W54" s="2929" t="s">
        <v>107</v>
      </c>
      <c r="X54" s="2929" t="s">
        <v>511</v>
      </c>
      <c r="Y54" s="2844">
        <v>7</v>
      </c>
      <c r="Z54" s="2765">
        <v>7</v>
      </c>
      <c r="AA54" s="2765">
        <v>7</v>
      </c>
      <c r="AB54" s="2765">
        <v>7</v>
      </c>
      <c r="AC54" s="2765">
        <v>7</v>
      </c>
      <c r="AD54" s="2766"/>
      <c r="AE54" s="2766"/>
      <c r="AF54" s="2764">
        <v>4</v>
      </c>
      <c r="AG54" s="2771">
        <v>4</v>
      </c>
      <c r="AH54" s="115"/>
      <c r="AI54" s="116"/>
    </row>
    <row r="55" spans="1:40" ht="18" customHeight="1" x14ac:dyDescent="0.2">
      <c r="A55" s="2820">
        <v>10</v>
      </c>
      <c r="B55" s="2722" t="s">
        <v>123</v>
      </c>
      <c r="C55" s="2723"/>
      <c r="D55" s="2723">
        <v>3</v>
      </c>
      <c r="E55" s="2723">
        <v>3</v>
      </c>
      <c r="F55" s="2723">
        <v>3</v>
      </c>
      <c r="G55" s="2723">
        <v>3</v>
      </c>
      <c r="H55" s="2723">
        <v>3</v>
      </c>
      <c r="I55" s="2725"/>
      <c r="J55" s="2725"/>
      <c r="K55" s="2725">
        <v>11</v>
      </c>
      <c r="L55" s="2725">
        <v>11</v>
      </c>
      <c r="M55" s="2725">
        <v>11</v>
      </c>
      <c r="N55" s="2725">
        <v>11</v>
      </c>
      <c r="O55" s="2723">
        <v>11</v>
      </c>
      <c r="P55" s="2723" t="s">
        <v>109</v>
      </c>
      <c r="Q55" s="2723" t="s">
        <v>109</v>
      </c>
      <c r="R55" s="2723" t="s">
        <v>50</v>
      </c>
      <c r="S55" s="2723" t="s">
        <v>50</v>
      </c>
      <c r="T55" s="2725" t="s">
        <v>50</v>
      </c>
      <c r="U55" s="2725" t="s">
        <v>50</v>
      </c>
      <c r="V55" s="2734" t="s">
        <v>50</v>
      </c>
      <c r="W55" s="2734" t="s">
        <v>104</v>
      </c>
      <c r="X55" s="2734" t="s">
        <v>104</v>
      </c>
      <c r="Y55" s="2734">
        <v>8</v>
      </c>
      <c r="Z55" s="2734">
        <v>8</v>
      </c>
      <c r="AA55" s="2734">
        <v>8</v>
      </c>
      <c r="AB55" s="2734">
        <v>8</v>
      </c>
      <c r="AC55" s="2738">
        <v>8</v>
      </c>
      <c r="AD55" s="2738"/>
      <c r="AE55" s="2738"/>
      <c r="AF55" s="2738" t="s">
        <v>50</v>
      </c>
      <c r="AG55" s="2829" t="s">
        <v>50</v>
      </c>
      <c r="AH55" s="115"/>
      <c r="AI55" s="116"/>
    </row>
    <row r="56" spans="1:40" ht="18" customHeight="1" x14ac:dyDescent="0.2">
      <c r="A56" s="2823">
        <v>15</v>
      </c>
      <c r="B56" s="2743" t="s">
        <v>124</v>
      </c>
      <c r="C56" s="2748"/>
      <c r="D56" s="2748">
        <v>1</v>
      </c>
      <c r="E56" s="2748">
        <v>1</v>
      </c>
      <c r="F56" s="2751">
        <v>1</v>
      </c>
      <c r="G56" s="2751">
        <v>1</v>
      </c>
      <c r="H56" s="2751">
        <v>1</v>
      </c>
      <c r="I56" s="2751"/>
      <c r="J56" s="2751"/>
      <c r="K56" s="2783">
        <v>9</v>
      </c>
      <c r="L56" s="2748">
        <v>9</v>
      </c>
      <c r="M56" s="2748">
        <v>9</v>
      </c>
      <c r="N56" s="2748">
        <v>9</v>
      </c>
      <c r="O56" s="2828">
        <v>9</v>
      </c>
      <c r="P56" s="2828" t="s">
        <v>70</v>
      </c>
      <c r="Q56" s="2828" t="s">
        <v>70</v>
      </c>
      <c r="R56" s="2828" t="s">
        <v>50</v>
      </c>
      <c r="S56" s="2828" t="s">
        <v>50</v>
      </c>
      <c r="T56" s="2828" t="s">
        <v>50</v>
      </c>
      <c r="U56" s="2828" t="s">
        <v>50</v>
      </c>
      <c r="V56" s="2748" t="s">
        <v>50</v>
      </c>
      <c r="W56" s="2748" t="s">
        <v>103</v>
      </c>
      <c r="X56" s="2748" t="s">
        <v>104</v>
      </c>
      <c r="Y56" s="2783">
        <v>6</v>
      </c>
      <c r="Z56" s="2748">
        <v>6</v>
      </c>
      <c r="AA56" s="2748">
        <v>6</v>
      </c>
      <c r="AB56" s="2748">
        <v>6</v>
      </c>
      <c r="AC56" s="2748">
        <v>6</v>
      </c>
      <c r="AD56" s="2748"/>
      <c r="AE56" s="2783"/>
      <c r="AF56" s="2783" t="s">
        <v>50</v>
      </c>
      <c r="AG56" s="3005" t="s">
        <v>50</v>
      </c>
      <c r="AH56" s="115"/>
      <c r="AI56" s="116"/>
    </row>
    <row r="57" spans="1:40" ht="18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40" ht="18" customHeight="1" x14ac:dyDescent="0.2">
      <c r="A58" s="69"/>
      <c r="B58" s="42" t="s">
        <v>125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40" ht="18" customHeight="1" x14ac:dyDescent="0.2">
      <c r="A59" s="2696" t="s">
        <v>43</v>
      </c>
      <c r="B59" s="2696"/>
      <c r="C59" s="2695"/>
      <c r="D59" s="2696" t="s">
        <v>17</v>
      </c>
      <c r="E59" s="2694"/>
      <c r="F59" s="2695"/>
      <c r="G59" s="2696" t="s">
        <v>18</v>
      </c>
      <c r="H59" s="2694"/>
      <c r="I59" s="2695"/>
      <c r="J59" s="2696" t="s">
        <v>19</v>
      </c>
      <c r="K59" s="2694"/>
      <c r="L59" s="2695"/>
      <c r="M59" s="2696" t="s">
        <v>20</v>
      </c>
      <c r="N59" s="2694"/>
      <c r="O59" s="2695"/>
      <c r="P59" s="2696" t="s">
        <v>21</v>
      </c>
      <c r="Q59" s="2694"/>
      <c r="R59" s="2691"/>
      <c r="S59" s="2692" t="s">
        <v>22</v>
      </c>
      <c r="T59" s="2694"/>
      <c r="U59" s="2695"/>
      <c r="V59" s="2696" t="s">
        <v>23</v>
      </c>
      <c r="W59" s="2694"/>
      <c r="X59" s="2851" t="s">
        <v>126</v>
      </c>
      <c r="Y59" s="2694"/>
      <c r="Z59" s="2694"/>
      <c r="AA59" s="2852"/>
      <c r="AB59" s="2686"/>
      <c r="AC59" s="2686"/>
      <c r="AD59" s="2686"/>
      <c r="AE59" s="2686"/>
      <c r="AF59" s="2686"/>
      <c r="AG59" s="2687"/>
      <c r="AH59" s="1"/>
      <c r="AN59" t="s">
        <v>0</v>
      </c>
    </row>
    <row r="60" spans="1:40" ht="18" customHeight="1" x14ac:dyDescent="0.2">
      <c r="A60" s="2853">
        <v>8517</v>
      </c>
      <c r="B60" s="2854" t="s">
        <v>127</v>
      </c>
      <c r="C60" s="2855" t="s">
        <v>128</v>
      </c>
      <c r="D60" s="2856"/>
      <c r="E60" s="2685"/>
      <c r="F60" s="2855" t="s">
        <v>128</v>
      </c>
      <c r="G60" s="2856"/>
      <c r="H60" s="2685"/>
      <c r="I60" s="2855" t="s">
        <v>128</v>
      </c>
      <c r="J60" s="2856"/>
      <c r="K60" s="2685"/>
      <c r="L60" s="2855" t="s">
        <v>128</v>
      </c>
      <c r="M60" s="2856"/>
      <c r="N60" s="2685"/>
      <c r="O60" s="2855" t="s">
        <v>129</v>
      </c>
      <c r="P60" s="2856"/>
      <c r="Q60" s="2685"/>
      <c r="R60" s="2855"/>
      <c r="S60" s="2856"/>
      <c r="T60" s="2685"/>
      <c r="U60" s="2855" t="s">
        <v>130</v>
      </c>
      <c r="V60" s="2856"/>
      <c r="W60" s="2685"/>
      <c r="X60" s="2683"/>
      <c r="Y60" s="2686"/>
      <c r="Z60" s="2686"/>
      <c r="AA60" s="2686"/>
      <c r="AB60" s="2686"/>
      <c r="AC60" s="2686"/>
      <c r="AD60" s="2686"/>
      <c r="AE60" s="2686"/>
      <c r="AF60" s="2686"/>
      <c r="AG60" s="2687"/>
      <c r="AH60" s="1"/>
    </row>
    <row r="61" spans="1:40" ht="18" customHeight="1" x14ac:dyDescent="0.2">
      <c r="B61" s="2716" t="s">
        <v>131</v>
      </c>
      <c r="C61" s="2857" t="s">
        <v>132</v>
      </c>
      <c r="D61" s="2858"/>
      <c r="E61" s="2859"/>
      <c r="F61" s="2857" t="s">
        <v>132</v>
      </c>
      <c r="G61" s="2860"/>
      <c r="H61" s="2859"/>
      <c r="I61" s="2855" t="s">
        <v>132</v>
      </c>
      <c r="J61" s="2856"/>
      <c r="K61" s="2861"/>
      <c r="L61" s="2855" t="s">
        <v>132</v>
      </c>
      <c r="M61" s="2856"/>
      <c r="N61" s="2861"/>
      <c r="O61" s="2855" t="s">
        <v>133</v>
      </c>
      <c r="P61" s="2856"/>
      <c r="Q61" s="2685"/>
      <c r="R61" s="2862" t="s">
        <v>0</v>
      </c>
      <c r="S61" s="2856"/>
      <c r="T61" s="2861"/>
      <c r="U61" s="2856" t="s">
        <v>0</v>
      </c>
      <c r="V61" s="2856"/>
      <c r="W61" s="2685"/>
      <c r="X61" s="2176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40" ht="18" customHeight="1" x14ac:dyDescent="0.2">
      <c r="A62" s="2863"/>
      <c r="B62" s="2854" t="s">
        <v>134</v>
      </c>
      <c r="C62" s="2857" t="s">
        <v>135</v>
      </c>
      <c r="D62" s="2858"/>
      <c r="E62" s="2860"/>
      <c r="F62" s="2857" t="s">
        <v>135</v>
      </c>
      <c r="G62" s="2858"/>
      <c r="H62" s="2860"/>
      <c r="I62" s="2857" t="s">
        <v>135</v>
      </c>
      <c r="J62" s="2858"/>
      <c r="K62" s="2860"/>
      <c r="L62" s="2857" t="s">
        <v>135</v>
      </c>
      <c r="M62" s="2858"/>
      <c r="N62" s="2860"/>
      <c r="O62" s="2857" t="s">
        <v>136</v>
      </c>
      <c r="P62" s="2858"/>
      <c r="Q62" s="2860"/>
      <c r="R62" s="2178"/>
      <c r="S62" s="208"/>
      <c r="T62" s="2859"/>
      <c r="U62" s="2858"/>
      <c r="V62" s="2858"/>
      <c r="W62" s="2860"/>
      <c r="X62" s="2683"/>
      <c r="Y62" s="2686"/>
      <c r="Z62" s="2686"/>
      <c r="AA62" s="2686"/>
      <c r="AB62" s="2686"/>
      <c r="AC62" s="2686"/>
      <c r="AD62" s="2686"/>
      <c r="AE62" s="2686"/>
      <c r="AF62" s="2686"/>
      <c r="AG62" s="2687"/>
      <c r="AH62" s="1"/>
    </row>
    <row r="63" spans="1:40" ht="18" customHeight="1" x14ac:dyDescent="0.2">
      <c r="A63" s="2696"/>
      <c r="B63" s="2854" t="s">
        <v>472</v>
      </c>
      <c r="C63" s="2864" t="s">
        <v>240</v>
      </c>
      <c r="D63" s="2684"/>
      <c r="E63" s="2684"/>
      <c r="F63" s="2864" t="s">
        <v>473</v>
      </c>
      <c r="G63" s="2805"/>
      <c r="H63" s="2684"/>
      <c r="I63" s="749" t="s">
        <v>240</v>
      </c>
      <c r="J63" s="1142"/>
      <c r="K63" s="2431"/>
      <c r="L63" s="749" t="s">
        <v>240</v>
      </c>
      <c r="M63" s="1142"/>
      <c r="N63" s="2432"/>
      <c r="O63" s="2864" t="s">
        <v>474</v>
      </c>
      <c r="P63" s="2684"/>
      <c r="Q63" s="2684"/>
      <c r="R63" s="749" t="s">
        <v>242</v>
      </c>
      <c r="S63" s="1142"/>
      <c r="T63" s="2433"/>
      <c r="U63" s="749" t="s">
        <v>242</v>
      </c>
      <c r="V63" s="1142"/>
      <c r="W63" s="2433"/>
      <c r="Y63" s="467"/>
      <c r="Z63" s="467"/>
      <c r="AC63" s="2434"/>
      <c r="AD63" s="2434"/>
      <c r="AE63" s="2434"/>
      <c r="AF63" s="2686"/>
      <c r="AG63" s="2687"/>
      <c r="AH63" s="1"/>
      <c r="AJ63" t="s">
        <v>137</v>
      </c>
    </row>
    <row r="64" spans="1:40" ht="18" customHeight="1" thickBot="1" x14ac:dyDescent="0.25">
      <c r="A64" s="37"/>
      <c r="B64" s="62"/>
      <c r="C64" s="46"/>
      <c r="D64" s="46"/>
      <c r="E64" s="6"/>
      <c r="F64" s="46"/>
      <c r="G64" s="46"/>
      <c r="H64" s="6"/>
      <c r="I64" s="46"/>
      <c r="J64" s="46"/>
      <c r="K64" s="6"/>
      <c r="L64" s="46"/>
      <c r="M64" s="46"/>
      <c r="N64" s="6"/>
      <c r="O64" s="46"/>
      <c r="P64" s="46"/>
      <c r="Q64" s="6"/>
      <c r="R64" s="46"/>
      <c r="S64" s="46"/>
      <c r="T64" s="6"/>
      <c r="U64" s="46"/>
      <c r="V64" s="46"/>
      <c r="W64" s="6"/>
      <c r="X64" s="6"/>
      <c r="Y64" s="48"/>
      <c r="Z64" s="48"/>
      <c r="AA64" s="48"/>
      <c r="AB64" s="48"/>
      <c r="AC64" s="48"/>
      <c r="AD64" s="48"/>
      <c r="AE64" s="48"/>
      <c r="AF64" s="48"/>
      <c r="AG64" s="48"/>
      <c r="AH64" s="1"/>
    </row>
    <row r="65" spans="1:40" ht="18" customHeight="1" thickBot="1" x14ac:dyDescent="0.25">
      <c r="A65" s="2435"/>
      <c r="B65" s="2436" t="s">
        <v>44</v>
      </c>
      <c r="C65" s="2707">
        <v>1</v>
      </c>
      <c r="D65" s="2706">
        <v>2</v>
      </c>
      <c r="E65" s="2706">
        <v>3</v>
      </c>
      <c r="F65" s="2706">
        <v>4</v>
      </c>
      <c r="G65" s="2706">
        <v>5</v>
      </c>
      <c r="H65" s="2706">
        <v>6</v>
      </c>
      <c r="I65" s="2707">
        <v>7</v>
      </c>
      <c r="J65" s="2707">
        <v>8</v>
      </c>
      <c r="K65" s="2706">
        <v>9</v>
      </c>
      <c r="L65" s="2706">
        <v>10</v>
      </c>
      <c r="M65" s="2706">
        <v>11</v>
      </c>
      <c r="N65" s="2706">
        <v>12</v>
      </c>
      <c r="O65" s="2706">
        <v>13</v>
      </c>
      <c r="P65" s="2707">
        <v>14</v>
      </c>
      <c r="Q65" s="2707">
        <v>15</v>
      </c>
      <c r="R65" s="2706">
        <v>16</v>
      </c>
      <c r="S65" s="2706">
        <v>17</v>
      </c>
      <c r="T65" s="2706">
        <v>18</v>
      </c>
      <c r="U65" s="2706">
        <v>19</v>
      </c>
      <c r="V65" s="2706">
        <v>20</v>
      </c>
      <c r="W65" s="2707">
        <v>21</v>
      </c>
      <c r="X65" s="2707">
        <v>22</v>
      </c>
      <c r="Y65" s="2706">
        <v>23</v>
      </c>
      <c r="Z65" s="2706">
        <v>24</v>
      </c>
      <c r="AA65" s="2707">
        <v>25</v>
      </c>
      <c r="AB65" s="2707">
        <v>26</v>
      </c>
      <c r="AC65" s="2706">
        <v>27</v>
      </c>
      <c r="AD65" s="2707">
        <v>28</v>
      </c>
      <c r="AE65" s="2707">
        <v>29</v>
      </c>
      <c r="AF65" s="2706">
        <v>30</v>
      </c>
      <c r="AG65" s="2706">
        <v>31</v>
      </c>
      <c r="AH65" s="1"/>
      <c r="AJ65" s="2703" t="s">
        <v>41</v>
      </c>
      <c r="AK65" s="2703" t="s">
        <v>62</v>
      </c>
      <c r="AL65" s="2703" t="s">
        <v>63</v>
      </c>
      <c r="AM65" s="2703" t="s">
        <v>64</v>
      </c>
      <c r="AN65" s="2703" t="s">
        <v>65</v>
      </c>
    </row>
    <row r="66" spans="1:40" ht="18" customHeight="1" x14ac:dyDescent="0.2">
      <c r="A66" s="2865"/>
      <c r="B66" s="2866" t="s">
        <v>138</v>
      </c>
      <c r="C66" s="2764"/>
      <c r="D66" s="2725" t="s">
        <v>50</v>
      </c>
      <c r="E66" s="2725">
        <v>5</v>
      </c>
      <c r="F66" s="3035" t="s">
        <v>50</v>
      </c>
      <c r="G66" s="2725">
        <v>5</v>
      </c>
      <c r="H66" s="3035">
        <v>5</v>
      </c>
      <c r="I66" s="2764"/>
      <c r="J66" s="2734">
        <v>26</v>
      </c>
      <c r="K66" s="2695">
        <v>26</v>
      </c>
      <c r="L66" s="2695">
        <v>26</v>
      </c>
      <c r="M66" s="2695">
        <v>26</v>
      </c>
      <c r="N66" s="2695">
        <v>26</v>
      </c>
      <c r="O66" s="2695">
        <v>26</v>
      </c>
      <c r="P66" s="2764"/>
      <c r="Q66" s="2764"/>
      <c r="R66" s="3034" t="s">
        <v>46</v>
      </c>
      <c r="S66" s="3034" t="s">
        <v>46</v>
      </c>
      <c r="T66" s="3034" t="s">
        <v>46</v>
      </c>
      <c r="U66" s="3034" t="s">
        <v>46</v>
      </c>
      <c r="V66" s="3034" t="s">
        <v>46</v>
      </c>
      <c r="W66" s="3034"/>
      <c r="X66" s="3034"/>
      <c r="Y66" s="2764" t="s">
        <v>50</v>
      </c>
      <c r="Z66" s="2826"/>
      <c r="AA66" s="2764"/>
      <c r="AB66" s="2764"/>
      <c r="AC66" s="2764" t="s">
        <v>50</v>
      </c>
      <c r="AD66" s="2764"/>
      <c r="AE66" s="2764"/>
      <c r="AF66" s="2764" t="s">
        <v>142</v>
      </c>
      <c r="AG66" s="3036" t="s">
        <v>143</v>
      </c>
      <c r="AH66" s="1"/>
      <c r="AJ66" s="638">
        <v>143.75</v>
      </c>
      <c r="AK66" s="638">
        <v>6.5</v>
      </c>
      <c r="AL66" s="638">
        <f>IF(AJ66="","",SUM(AJ66:AK66))</f>
        <v>150.25</v>
      </c>
      <c r="AM66" s="639">
        <f t="shared" ref="AM66:AM96" si="0">IF(AJ66="","",AL66-_xlfn.SINGLE(NormTid))</f>
        <v>-10.080000000000013</v>
      </c>
      <c r="AN66" s="3037">
        <f>IF(AM66="","",AM66+'November 2024'!AN66)</f>
        <v>125.68999999999991</v>
      </c>
    </row>
    <row r="67" spans="1:40" ht="18" customHeight="1" thickBot="1" x14ac:dyDescent="0.25">
      <c r="A67" s="748"/>
      <c r="B67" s="749" t="s">
        <v>144</v>
      </c>
      <c r="C67" s="3038">
        <v>26</v>
      </c>
      <c r="D67" s="2444">
        <v>5</v>
      </c>
      <c r="E67" s="2444" t="s">
        <v>113</v>
      </c>
      <c r="F67" s="3039">
        <v>5</v>
      </c>
      <c r="G67" s="2725" t="s">
        <v>50</v>
      </c>
      <c r="H67" s="3040" t="s">
        <v>145</v>
      </c>
      <c r="I67" s="1363" t="s">
        <v>147</v>
      </c>
      <c r="J67" s="862" t="s">
        <v>148</v>
      </c>
      <c r="K67" s="2725" t="s">
        <v>50</v>
      </c>
      <c r="L67" s="2725" t="s">
        <v>50</v>
      </c>
      <c r="M67" s="2718" t="s">
        <v>50</v>
      </c>
      <c r="N67" s="2719" t="s">
        <v>50</v>
      </c>
      <c r="O67" s="2720" t="s">
        <v>46</v>
      </c>
      <c r="P67" s="2718" t="s">
        <v>68</v>
      </c>
      <c r="Q67" s="2718" t="s">
        <v>68</v>
      </c>
      <c r="R67" s="2718" t="s">
        <v>142</v>
      </c>
      <c r="S67" s="2718" t="s">
        <v>142</v>
      </c>
      <c r="T67" s="2734" t="s">
        <v>142</v>
      </c>
      <c r="U67" s="2734" t="s">
        <v>142</v>
      </c>
      <c r="V67" s="2738" t="s">
        <v>142</v>
      </c>
      <c r="W67" s="2738" t="s">
        <v>143</v>
      </c>
      <c r="X67" s="2738" t="s">
        <v>143</v>
      </c>
      <c r="Y67" s="2738" t="s">
        <v>50</v>
      </c>
      <c r="Z67" s="2984"/>
      <c r="AA67" s="2984"/>
      <c r="AB67" s="2984"/>
      <c r="AC67" s="2984" t="s">
        <v>50</v>
      </c>
      <c r="AD67" s="2984"/>
      <c r="AE67" s="2984"/>
      <c r="AF67" s="2753" t="s">
        <v>46</v>
      </c>
      <c r="AG67" s="2753" t="s">
        <v>46</v>
      </c>
      <c r="AH67" s="1"/>
      <c r="AJ67" s="638">
        <v>150.5</v>
      </c>
      <c r="AK67" s="638">
        <v>9.75</v>
      </c>
      <c r="AL67" s="638">
        <f t="shared" ref="AL67:AL96" si="1">IF(AJ67="","",SUM(AJ67:AK67))</f>
        <v>160.25</v>
      </c>
      <c r="AM67" s="639">
        <f t="shared" si="0"/>
        <v>-8.0000000000012506E-2</v>
      </c>
      <c r="AN67" s="639">
        <f>IF(AM67="","",AM67+'November 2024'!AN67)</f>
        <v>-21.110000000000106</v>
      </c>
    </row>
    <row r="68" spans="1:40" ht="18" customHeight="1" x14ac:dyDescent="0.2">
      <c r="A68" s="748"/>
      <c r="B68" s="754" t="s">
        <v>146</v>
      </c>
      <c r="C68" s="2695"/>
      <c r="D68" s="2695"/>
      <c r="E68" s="2695" t="s">
        <v>46</v>
      </c>
      <c r="F68" s="2695" t="s">
        <v>46</v>
      </c>
      <c r="G68" s="3035" t="s">
        <v>46</v>
      </c>
      <c r="H68" s="2695" t="s">
        <v>46</v>
      </c>
      <c r="I68" s="2869"/>
      <c r="J68" s="2695"/>
      <c r="K68" s="2695" t="s">
        <v>46</v>
      </c>
      <c r="L68" s="2695" t="s">
        <v>46</v>
      </c>
      <c r="M68" s="2695" t="s">
        <v>46</v>
      </c>
      <c r="N68" s="2695" t="s">
        <v>46</v>
      </c>
      <c r="O68" s="2695" t="s">
        <v>46</v>
      </c>
      <c r="P68" s="2695"/>
      <c r="Q68" s="2695"/>
      <c r="R68" s="2695" t="s">
        <v>46</v>
      </c>
      <c r="S68" s="2695" t="s">
        <v>46</v>
      </c>
      <c r="T68" s="2695" t="s">
        <v>46</v>
      </c>
      <c r="U68" s="2695" t="s">
        <v>46</v>
      </c>
      <c r="V68" s="2695" t="s">
        <v>46</v>
      </c>
      <c r="W68" s="2695"/>
      <c r="X68" s="2695"/>
      <c r="Y68" s="2695" t="s">
        <v>46</v>
      </c>
      <c r="Z68" s="2695"/>
      <c r="AA68" s="2695"/>
      <c r="AB68" s="2695"/>
      <c r="AC68" s="2695" t="s">
        <v>46</v>
      </c>
      <c r="AD68" s="2695"/>
      <c r="AE68" s="2695"/>
      <c r="AF68" s="2695" t="s">
        <v>46</v>
      </c>
      <c r="AG68" s="3018" t="s">
        <v>46</v>
      </c>
      <c r="AH68" s="1"/>
      <c r="AJ68" s="638">
        <v>155.75</v>
      </c>
      <c r="AK68" s="638">
        <v>0</v>
      </c>
      <c r="AL68" s="638">
        <f t="shared" si="1"/>
        <v>155.75</v>
      </c>
      <c r="AM68" s="639">
        <f t="shared" si="0"/>
        <v>-4.5800000000000125</v>
      </c>
      <c r="AN68" s="3037">
        <f>IF(AM68="","",AM68+'November 2024'!AN68)</f>
        <v>19.569999999999901</v>
      </c>
    </row>
    <row r="69" spans="1:40" ht="18" customHeight="1" x14ac:dyDescent="0.2">
      <c r="A69" s="748"/>
      <c r="B69" s="754" t="s">
        <v>151</v>
      </c>
      <c r="C69" s="2718"/>
      <c r="D69" s="2718" t="s">
        <v>142</v>
      </c>
      <c r="E69" s="2718" t="s">
        <v>142</v>
      </c>
      <c r="F69" s="2718" t="s">
        <v>142</v>
      </c>
      <c r="G69" s="2718" t="s">
        <v>142</v>
      </c>
      <c r="H69" s="2718" t="s">
        <v>142</v>
      </c>
      <c r="I69" s="2738" t="s">
        <v>143</v>
      </c>
      <c r="J69" s="2738" t="s">
        <v>143</v>
      </c>
      <c r="K69" s="2725" t="s">
        <v>50</v>
      </c>
      <c r="L69" s="2725" t="s">
        <v>50</v>
      </c>
      <c r="M69" s="2725" t="s">
        <v>50</v>
      </c>
      <c r="N69" s="2725" t="s">
        <v>50</v>
      </c>
      <c r="O69" s="2725" t="s">
        <v>50</v>
      </c>
      <c r="P69" s="2723"/>
      <c r="Q69" s="2738"/>
      <c r="R69" s="2739" t="s">
        <v>46</v>
      </c>
      <c r="S69" s="2739" t="s">
        <v>46</v>
      </c>
      <c r="T69" s="2739" t="s">
        <v>46</v>
      </c>
      <c r="U69" s="2739" t="s">
        <v>46</v>
      </c>
      <c r="V69" s="2739" t="s">
        <v>46</v>
      </c>
      <c r="W69" s="2739"/>
      <c r="X69" s="2739"/>
      <c r="Y69" s="3004" t="s">
        <v>46</v>
      </c>
      <c r="Z69" s="2738"/>
      <c r="AA69" s="2738"/>
      <c r="AB69" s="2738"/>
      <c r="AC69" s="2738" t="s">
        <v>475</v>
      </c>
      <c r="AD69" s="2738" t="s">
        <v>475</v>
      </c>
      <c r="AE69" s="2718" t="s">
        <v>475</v>
      </c>
      <c r="AF69" s="2738" t="s">
        <v>475</v>
      </c>
      <c r="AG69" s="2442" t="s">
        <v>475</v>
      </c>
      <c r="AH69" s="1"/>
      <c r="AJ69" s="638">
        <v>177.75</v>
      </c>
      <c r="AK69" s="638">
        <v>8.5</v>
      </c>
      <c r="AL69" s="638">
        <f t="shared" si="1"/>
        <v>186.25</v>
      </c>
      <c r="AM69" s="639">
        <f t="shared" si="0"/>
        <v>25.919999999999987</v>
      </c>
      <c r="AN69" s="3037">
        <f>IF(AM69="","",AM69+'November 2024'!AN69)</f>
        <v>76.089999999999918</v>
      </c>
    </row>
    <row r="70" spans="1:40" ht="18" customHeight="1" thickBot="1" x14ac:dyDescent="0.25">
      <c r="A70" s="748"/>
      <c r="B70" s="1145" t="s">
        <v>155</v>
      </c>
      <c r="C70" s="2739">
        <v>26</v>
      </c>
      <c r="D70" s="2718">
        <v>26</v>
      </c>
      <c r="E70" s="2719" t="s">
        <v>50</v>
      </c>
      <c r="F70" s="2719" t="s">
        <v>50</v>
      </c>
      <c r="G70" s="2834" t="s">
        <v>50</v>
      </c>
      <c r="H70" s="2734" t="s">
        <v>475</v>
      </c>
      <c r="I70" s="2734" t="s">
        <v>475</v>
      </c>
      <c r="J70" s="2734" t="s">
        <v>475</v>
      </c>
      <c r="K70" s="636" t="s">
        <v>50</v>
      </c>
      <c r="L70" s="636" t="s">
        <v>50</v>
      </c>
      <c r="M70" s="636" t="s">
        <v>50</v>
      </c>
      <c r="N70" s="636" t="s">
        <v>50</v>
      </c>
      <c r="O70" s="2518" t="s">
        <v>145</v>
      </c>
      <c r="P70" s="2518" t="s">
        <v>147</v>
      </c>
      <c r="Q70" s="2518" t="s">
        <v>148</v>
      </c>
      <c r="R70" s="2734" t="s">
        <v>50</v>
      </c>
      <c r="S70" s="2734" t="s">
        <v>50</v>
      </c>
      <c r="T70" s="2734" t="s">
        <v>50</v>
      </c>
      <c r="U70" s="2734">
        <v>26</v>
      </c>
      <c r="V70" s="2869">
        <v>26</v>
      </c>
      <c r="W70" s="344" t="s">
        <v>147</v>
      </c>
      <c r="X70" s="350" t="s">
        <v>148</v>
      </c>
      <c r="Y70" s="2738" t="s">
        <v>420</v>
      </c>
      <c r="Z70" s="2738" t="s">
        <v>420</v>
      </c>
      <c r="AA70" s="2734">
        <v>11</v>
      </c>
      <c r="AB70" s="2734">
        <v>11</v>
      </c>
      <c r="AC70" s="2718">
        <v>11</v>
      </c>
      <c r="AD70" s="2718" t="s">
        <v>109</v>
      </c>
      <c r="AE70" s="2718" t="s">
        <v>109</v>
      </c>
      <c r="AF70" s="2734" t="s">
        <v>50</v>
      </c>
      <c r="AG70" s="2442" t="s">
        <v>50</v>
      </c>
      <c r="AH70" s="1"/>
      <c r="AJ70" s="638">
        <v>162.25</v>
      </c>
      <c r="AK70" s="638">
        <v>10.25</v>
      </c>
      <c r="AL70" s="638">
        <f t="shared" si="1"/>
        <v>172.5</v>
      </c>
      <c r="AM70" s="639">
        <f t="shared" si="0"/>
        <v>12.169999999999987</v>
      </c>
      <c r="AN70" s="3037">
        <f>IF(AM70="","",AM70+'November 2024'!AN70)</f>
        <v>5.3399999999999039</v>
      </c>
    </row>
    <row r="71" spans="1:40" ht="18" customHeight="1" x14ac:dyDescent="0.2">
      <c r="A71" s="3041"/>
      <c r="B71" s="749" t="s">
        <v>156</v>
      </c>
      <c r="C71" s="2734" t="s">
        <v>70</v>
      </c>
      <c r="D71" s="2734" t="s">
        <v>50</v>
      </c>
      <c r="E71" s="2734" t="s">
        <v>50</v>
      </c>
      <c r="F71" s="2734" t="s">
        <v>50</v>
      </c>
      <c r="G71" s="2734" t="s">
        <v>50</v>
      </c>
      <c r="H71" s="2718" t="s">
        <v>50</v>
      </c>
      <c r="I71" s="2766" t="s">
        <v>103</v>
      </c>
      <c r="J71" s="2982" t="s">
        <v>104</v>
      </c>
      <c r="K71" s="2867">
        <v>25</v>
      </c>
      <c r="L71" s="2867" t="s">
        <v>153</v>
      </c>
      <c r="M71" s="2867" t="s">
        <v>153</v>
      </c>
      <c r="N71" s="2867" t="s">
        <v>153</v>
      </c>
      <c r="O71" s="2867">
        <v>25</v>
      </c>
      <c r="P71" s="2718"/>
      <c r="Q71" s="2734"/>
      <c r="R71" s="2739" t="s">
        <v>46</v>
      </c>
      <c r="S71" s="2739" t="s">
        <v>46</v>
      </c>
      <c r="T71" s="2739" t="s">
        <v>46</v>
      </c>
      <c r="U71" s="2739" t="s">
        <v>46</v>
      </c>
      <c r="V71" s="2718" t="s">
        <v>50</v>
      </c>
      <c r="W71" s="2718"/>
      <c r="X71" s="2718"/>
      <c r="Y71" s="2734">
        <v>5</v>
      </c>
      <c r="Z71" s="2734"/>
      <c r="AA71" s="2734"/>
      <c r="AB71" s="2734"/>
      <c r="AC71" s="2718">
        <v>5</v>
      </c>
      <c r="AD71" s="2718"/>
      <c r="AE71" s="2734"/>
      <c r="AF71" s="2734">
        <v>10</v>
      </c>
      <c r="AG71" s="2721">
        <v>10</v>
      </c>
      <c r="AJ71" s="638">
        <v>148</v>
      </c>
      <c r="AK71" s="638">
        <v>7.5</v>
      </c>
      <c r="AL71" s="638">
        <f t="shared" si="1"/>
        <v>155.5</v>
      </c>
      <c r="AM71" s="639">
        <f t="shared" si="0"/>
        <v>-4.8300000000000125</v>
      </c>
      <c r="AN71" s="3037">
        <f>IF(AM71="","",AM71+'November 2024'!AN71)</f>
        <v>55.339999999999911</v>
      </c>
    </row>
    <row r="72" spans="1:40" ht="18" customHeight="1" x14ac:dyDescent="0.2">
      <c r="A72" s="368"/>
      <c r="B72" s="749" t="s">
        <v>159</v>
      </c>
      <c r="C72" s="2718"/>
      <c r="D72" s="638" t="s">
        <v>209</v>
      </c>
      <c r="E72" s="638" t="s">
        <v>209</v>
      </c>
      <c r="F72" s="636" t="s">
        <v>209</v>
      </c>
      <c r="G72" s="636" t="s">
        <v>209</v>
      </c>
      <c r="H72" s="635" t="s">
        <v>209</v>
      </c>
      <c r="I72" s="638" t="s">
        <v>210</v>
      </c>
      <c r="J72" s="805" t="s">
        <v>211</v>
      </c>
      <c r="K72" s="2731" t="s">
        <v>102</v>
      </c>
      <c r="L72" s="2725" t="s">
        <v>50</v>
      </c>
      <c r="M72" s="2725" t="s">
        <v>50</v>
      </c>
      <c r="N72" s="2725" t="s">
        <v>50</v>
      </c>
      <c r="O72" s="2725" t="s">
        <v>50</v>
      </c>
      <c r="P72" s="2718"/>
      <c r="Q72" s="2718"/>
      <c r="R72" s="2718" t="s">
        <v>475</v>
      </c>
      <c r="S72" s="2718" t="s">
        <v>475</v>
      </c>
      <c r="T72" s="2734" t="s">
        <v>475</v>
      </c>
      <c r="U72" s="2734" t="s">
        <v>50</v>
      </c>
      <c r="V72" s="2718" t="s">
        <v>50</v>
      </c>
      <c r="W72" s="2451" t="s">
        <v>68</v>
      </c>
      <c r="X72" s="2451" t="s">
        <v>68</v>
      </c>
      <c r="Y72" s="3004" t="s">
        <v>46</v>
      </c>
      <c r="Z72" s="2695"/>
      <c r="AA72" s="2695"/>
      <c r="AB72" s="2695"/>
      <c r="AC72" s="3004" t="s">
        <v>77</v>
      </c>
      <c r="AD72" s="2695"/>
      <c r="AE72" s="2695"/>
      <c r="AF72" s="3042" t="s">
        <v>46</v>
      </c>
      <c r="AG72" s="3043" t="s">
        <v>46</v>
      </c>
      <c r="AH72" s="1"/>
      <c r="AJ72" s="638">
        <v>147.75</v>
      </c>
      <c r="AK72" s="638">
        <v>8.5</v>
      </c>
      <c r="AL72" s="638">
        <f t="shared" si="1"/>
        <v>156.25</v>
      </c>
      <c r="AM72" s="639">
        <f t="shared" si="0"/>
        <v>-4.0800000000000125</v>
      </c>
      <c r="AN72" s="3037">
        <f>IF(AM72="","",AM72+'November 2024'!AN72)</f>
        <v>56.189999999999912</v>
      </c>
    </row>
    <row r="73" spans="1:40" ht="18" customHeight="1" thickBot="1" x14ac:dyDescent="0.25">
      <c r="A73" s="764"/>
      <c r="B73" s="1145" t="s">
        <v>161</v>
      </c>
      <c r="C73" s="2725" t="s">
        <v>164</v>
      </c>
      <c r="D73" s="2725" t="s">
        <v>50</v>
      </c>
      <c r="E73" s="2725" t="s">
        <v>50</v>
      </c>
      <c r="F73" s="2882" t="s">
        <v>46</v>
      </c>
      <c r="G73" s="2882" t="s">
        <v>46</v>
      </c>
      <c r="H73" s="2882" t="s">
        <v>46</v>
      </c>
      <c r="I73" s="2718"/>
      <c r="J73" s="2718"/>
      <c r="K73" s="636" t="s">
        <v>162</v>
      </c>
      <c r="L73" s="636" t="s">
        <v>162</v>
      </c>
      <c r="M73" s="802" t="s">
        <v>162</v>
      </c>
      <c r="N73" s="802" t="s">
        <v>162</v>
      </c>
      <c r="O73" s="635" t="s">
        <v>162</v>
      </c>
      <c r="P73" s="635" t="s">
        <v>163</v>
      </c>
      <c r="Q73" s="635" t="s">
        <v>164</v>
      </c>
      <c r="R73" s="2725" t="s">
        <v>50</v>
      </c>
      <c r="S73" s="2725" t="s">
        <v>50</v>
      </c>
      <c r="T73" s="2882" t="s">
        <v>46</v>
      </c>
      <c r="U73" s="2882" t="s">
        <v>46</v>
      </c>
      <c r="V73" s="2882" t="s">
        <v>46</v>
      </c>
      <c r="W73" s="2718"/>
      <c r="X73" s="2734"/>
      <c r="Y73" s="636" t="s">
        <v>162</v>
      </c>
      <c r="Z73" s="636" t="s">
        <v>162</v>
      </c>
      <c r="AA73" s="635" t="s">
        <v>162</v>
      </c>
      <c r="AB73" s="635" t="s">
        <v>162</v>
      </c>
      <c r="AC73" s="635" t="s">
        <v>162</v>
      </c>
      <c r="AD73" s="635" t="s">
        <v>163</v>
      </c>
      <c r="AE73" s="635" t="s">
        <v>164</v>
      </c>
      <c r="AF73" s="2725" t="s">
        <v>50</v>
      </c>
      <c r="AG73" s="2725" t="s">
        <v>50</v>
      </c>
      <c r="AH73" s="1"/>
      <c r="AJ73" s="638">
        <v>186</v>
      </c>
      <c r="AK73" s="638">
        <v>11.75</v>
      </c>
      <c r="AL73" s="638">
        <f t="shared" si="1"/>
        <v>197.75</v>
      </c>
      <c r="AM73" s="639">
        <f t="shared" si="0"/>
        <v>37.419999999999987</v>
      </c>
      <c r="AN73" s="3037">
        <f>IF(AM73="","",AM73+'November 2024'!AN73)</f>
        <v>31.2899999999999</v>
      </c>
    </row>
    <row r="74" spans="1:40" ht="18" customHeight="1" thickBot="1" x14ac:dyDescent="0.25">
      <c r="A74" s="764"/>
      <c r="B74" s="1145" t="s">
        <v>165</v>
      </c>
      <c r="C74" s="853" t="s">
        <v>148</v>
      </c>
      <c r="D74" s="2725" t="s">
        <v>50</v>
      </c>
      <c r="E74" s="2725" t="s">
        <v>50</v>
      </c>
      <c r="F74" s="2725" t="s">
        <v>50</v>
      </c>
      <c r="G74" s="3044" t="s">
        <v>154</v>
      </c>
      <c r="H74" s="2695" t="s">
        <v>139</v>
      </c>
      <c r="I74" s="2766" t="s">
        <v>140</v>
      </c>
      <c r="J74" s="2764" t="s">
        <v>141</v>
      </c>
      <c r="K74" s="2764" t="s">
        <v>50</v>
      </c>
      <c r="L74" s="2766" t="s">
        <v>50</v>
      </c>
      <c r="M74" s="2766" t="s">
        <v>50</v>
      </c>
      <c r="N74" s="2766" t="s">
        <v>50</v>
      </c>
      <c r="O74" s="2765">
        <v>79</v>
      </c>
      <c r="P74" s="2718"/>
      <c r="Q74" s="2718"/>
      <c r="R74" s="2718">
        <v>25</v>
      </c>
      <c r="S74" s="2718">
        <v>25</v>
      </c>
      <c r="T74" s="2734">
        <v>25</v>
      </c>
      <c r="U74" s="2695">
        <v>25</v>
      </c>
      <c r="V74" s="2695">
        <v>25</v>
      </c>
      <c r="W74" s="2718" t="s">
        <v>475</v>
      </c>
      <c r="X74" s="2734" t="s">
        <v>475</v>
      </c>
      <c r="Y74" s="2734" t="s">
        <v>50</v>
      </c>
      <c r="Z74" s="2718"/>
      <c r="AA74" s="2718"/>
      <c r="AB74" s="2718"/>
      <c r="AC74" s="2718">
        <v>89</v>
      </c>
      <c r="AD74" s="2718">
        <v>89</v>
      </c>
      <c r="AE74" s="2718"/>
      <c r="AF74" s="2718">
        <v>99</v>
      </c>
      <c r="AG74" s="2718" t="s">
        <v>50</v>
      </c>
      <c r="AH74" s="1"/>
      <c r="AJ74" s="638">
        <v>156</v>
      </c>
      <c r="AK74" s="638">
        <v>9</v>
      </c>
      <c r="AL74" s="638">
        <f t="shared" si="1"/>
        <v>165</v>
      </c>
      <c r="AM74" s="639">
        <f t="shared" si="0"/>
        <v>4.6699999999999875</v>
      </c>
      <c r="AN74" s="3037">
        <f>IF(AM74="","",AM74+'November 2024'!AN74)</f>
        <v>41.489999999999895</v>
      </c>
    </row>
    <row r="75" spans="1:40" ht="18" customHeight="1" x14ac:dyDescent="0.2">
      <c r="A75" s="768"/>
      <c r="B75" s="1145" t="s">
        <v>166</v>
      </c>
      <c r="C75" s="2734"/>
      <c r="D75" s="2734" t="s">
        <v>160</v>
      </c>
      <c r="E75" s="2734" t="s">
        <v>160</v>
      </c>
      <c r="F75" s="2734" t="s">
        <v>160</v>
      </c>
      <c r="G75" s="2734" t="s">
        <v>160</v>
      </c>
      <c r="H75" s="2734" t="s">
        <v>160</v>
      </c>
      <c r="I75" s="2734"/>
      <c r="J75" s="2734"/>
      <c r="K75" s="2734" t="s">
        <v>160</v>
      </c>
      <c r="L75" s="2734" t="s">
        <v>160</v>
      </c>
      <c r="M75" s="2734" t="s">
        <v>160</v>
      </c>
      <c r="N75" s="2734" t="s">
        <v>160</v>
      </c>
      <c r="O75" s="2734" t="s">
        <v>160</v>
      </c>
      <c r="P75" s="2734"/>
      <c r="Q75" s="2734"/>
      <c r="R75" s="2734" t="s">
        <v>160</v>
      </c>
      <c r="S75" s="2734" t="s">
        <v>160</v>
      </c>
      <c r="T75" s="2734" t="s">
        <v>160</v>
      </c>
      <c r="U75" s="2734" t="s">
        <v>160</v>
      </c>
      <c r="V75" s="2734" t="s">
        <v>160</v>
      </c>
      <c r="W75" s="2734">
        <v>89</v>
      </c>
      <c r="X75" s="2734"/>
      <c r="Y75" s="2734" t="s">
        <v>160</v>
      </c>
      <c r="Z75" s="2734"/>
      <c r="AA75" s="2734"/>
      <c r="AB75" s="2734"/>
      <c r="AC75" s="2451" t="s">
        <v>46</v>
      </c>
      <c r="AD75" s="2718"/>
      <c r="AE75" s="2718"/>
      <c r="AF75" s="2451" t="s">
        <v>46</v>
      </c>
      <c r="AG75" s="3045" t="s">
        <v>46</v>
      </c>
      <c r="AH75" s="1"/>
      <c r="AJ75" s="638">
        <v>144.5</v>
      </c>
      <c r="AK75" s="638">
        <v>0</v>
      </c>
      <c r="AL75" s="638">
        <f t="shared" si="1"/>
        <v>144.5</v>
      </c>
      <c r="AM75" s="639">
        <f t="shared" si="0"/>
        <v>-15.830000000000013</v>
      </c>
      <c r="AN75" s="639">
        <f>IF(AM75="","",AM75+'November 2024'!AN75)</f>
        <v>-61.010000000000112</v>
      </c>
    </row>
    <row r="76" spans="1:40" ht="18" customHeight="1" x14ac:dyDescent="0.2">
      <c r="A76" s="768"/>
      <c r="B76" s="769" t="s">
        <v>167</v>
      </c>
      <c r="C76" s="2718"/>
      <c r="D76" s="2718" t="s">
        <v>168</v>
      </c>
      <c r="E76" s="2718" t="s">
        <v>168</v>
      </c>
      <c r="F76" s="2718" t="s">
        <v>168</v>
      </c>
      <c r="G76" s="2718" t="s">
        <v>168</v>
      </c>
      <c r="H76" s="2718" t="s">
        <v>168</v>
      </c>
      <c r="I76" s="2718"/>
      <c r="J76" s="2718"/>
      <c r="K76" s="2718" t="s">
        <v>168</v>
      </c>
      <c r="L76" s="2718" t="s">
        <v>168</v>
      </c>
      <c r="M76" s="2718" t="s">
        <v>168</v>
      </c>
      <c r="N76" s="2718" t="s">
        <v>168</v>
      </c>
      <c r="O76" s="2718" t="s">
        <v>168</v>
      </c>
      <c r="P76" s="2734"/>
      <c r="Q76" s="2734">
        <v>26</v>
      </c>
      <c r="R76" s="2718" t="s">
        <v>168</v>
      </c>
      <c r="S76" s="2718" t="s">
        <v>168</v>
      </c>
      <c r="T76" s="2718" t="s">
        <v>168</v>
      </c>
      <c r="U76" s="2718" t="s">
        <v>168</v>
      </c>
      <c r="V76" s="2718" t="s">
        <v>168</v>
      </c>
      <c r="W76" s="2723"/>
      <c r="X76" s="2718"/>
      <c r="Y76" s="2739" t="s">
        <v>168</v>
      </c>
      <c r="Z76" s="2718"/>
      <c r="AA76" s="2734"/>
      <c r="AB76" s="2734"/>
      <c r="AC76" s="2739" t="s">
        <v>168</v>
      </c>
      <c r="AD76" s="2718"/>
      <c r="AE76" s="2718"/>
      <c r="AF76" s="2739" t="s">
        <v>168</v>
      </c>
      <c r="AG76" s="2822" t="s">
        <v>168</v>
      </c>
      <c r="AH76" s="1"/>
      <c r="AJ76" s="638">
        <v>154.5</v>
      </c>
      <c r="AK76" s="638">
        <v>0</v>
      </c>
      <c r="AL76" s="638">
        <f t="shared" si="1"/>
        <v>154.5</v>
      </c>
      <c r="AM76" s="639">
        <f t="shared" si="0"/>
        <v>-5.8300000000000125</v>
      </c>
      <c r="AN76" s="639">
        <f>IF(AM76="","",AM76+'November 2024'!AN76)</f>
        <v>-14.2100000000001</v>
      </c>
    </row>
    <row r="77" spans="1:40" ht="18" customHeight="1" x14ac:dyDescent="0.2">
      <c r="A77" s="768"/>
      <c r="B77" s="769" t="s">
        <v>170</v>
      </c>
      <c r="C77" s="2734" t="s">
        <v>71</v>
      </c>
      <c r="D77" s="2725" t="s">
        <v>50</v>
      </c>
      <c r="E77" s="2734" t="s">
        <v>50</v>
      </c>
      <c r="F77" s="2720">
        <v>26</v>
      </c>
      <c r="G77" s="2720">
        <v>26</v>
      </c>
      <c r="H77" s="2720">
        <v>26</v>
      </c>
      <c r="I77" s="2718"/>
      <c r="J77" s="2734"/>
      <c r="K77" s="2739" t="s">
        <v>46</v>
      </c>
      <c r="L77" s="2739" t="s">
        <v>46</v>
      </c>
      <c r="M77" s="2739" t="s">
        <v>46</v>
      </c>
      <c r="N77" s="2739" t="s">
        <v>46</v>
      </c>
      <c r="O77" s="2739" t="s">
        <v>46</v>
      </c>
      <c r="P77" s="2739"/>
      <c r="Q77" s="2739"/>
      <c r="R77" s="2739" t="s">
        <v>46</v>
      </c>
      <c r="S77" s="2739" t="s">
        <v>46</v>
      </c>
      <c r="T77" s="2739" t="s">
        <v>46</v>
      </c>
      <c r="U77" s="2739" t="s">
        <v>46</v>
      </c>
      <c r="V77" s="2739" t="s">
        <v>46</v>
      </c>
      <c r="W77" s="2719" t="s">
        <v>107</v>
      </c>
      <c r="X77" s="2719" t="s">
        <v>107</v>
      </c>
      <c r="Y77" s="2738" t="s">
        <v>142</v>
      </c>
      <c r="Z77" s="2738" t="s">
        <v>143</v>
      </c>
      <c r="AA77" s="2734" t="s">
        <v>143</v>
      </c>
      <c r="AB77" s="2734" t="s">
        <v>143</v>
      </c>
      <c r="AC77" s="2718" t="s">
        <v>142</v>
      </c>
      <c r="AD77" s="2718" t="s">
        <v>143</v>
      </c>
      <c r="AE77" s="2718" t="s">
        <v>143</v>
      </c>
      <c r="AF77" s="2718" t="s">
        <v>50</v>
      </c>
      <c r="AG77" s="2829" t="s">
        <v>50</v>
      </c>
      <c r="AH77" s="1"/>
      <c r="AJ77" s="638">
        <v>182.75</v>
      </c>
      <c r="AK77" s="638">
        <v>4</v>
      </c>
      <c r="AL77" s="638">
        <f t="shared" si="1"/>
        <v>186.75</v>
      </c>
      <c r="AM77" s="639">
        <f t="shared" si="0"/>
        <v>26.419999999999987</v>
      </c>
      <c r="AN77" s="3037">
        <f>IF(AM77="","",AM77+'November 2024'!AN77)</f>
        <v>75.289999999999907</v>
      </c>
    </row>
    <row r="78" spans="1:40" ht="18" customHeight="1" thickBot="1" x14ac:dyDescent="0.25">
      <c r="A78" s="768"/>
      <c r="B78" s="772" t="s">
        <v>176</v>
      </c>
      <c r="C78" s="2734" t="s">
        <v>475</v>
      </c>
      <c r="D78" s="2882" t="s">
        <v>46</v>
      </c>
      <c r="E78" s="2882" t="s">
        <v>46</v>
      </c>
      <c r="F78" s="2882" t="s">
        <v>46</v>
      </c>
      <c r="G78" s="2882" t="s">
        <v>46</v>
      </c>
      <c r="H78" s="2882" t="s">
        <v>46</v>
      </c>
      <c r="I78" s="2739"/>
      <c r="J78" s="2739"/>
      <c r="K78" s="2882" t="s">
        <v>46</v>
      </c>
      <c r="L78" s="2882" t="s">
        <v>46</v>
      </c>
      <c r="M78" s="2882" t="s">
        <v>46</v>
      </c>
      <c r="N78" s="2882" t="s">
        <v>46</v>
      </c>
      <c r="O78" s="2882" t="s">
        <v>46</v>
      </c>
      <c r="P78" s="2739"/>
      <c r="Q78" s="2739"/>
      <c r="R78" s="2734" t="s">
        <v>50</v>
      </c>
      <c r="S78" s="2734" t="s">
        <v>50</v>
      </c>
      <c r="T78" s="2734" t="s">
        <v>50</v>
      </c>
      <c r="U78" s="2734" t="s">
        <v>50</v>
      </c>
      <c r="V78" s="2834" t="s">
        <v>50</v>
      </c>
      <c r="W78" s="2869" t="s">
        <v>210</v>
      </c>
      <c r="X78" s="2834" t="s">
        <v>211</v>
      </c>
      <c r="Y78" s="2734" t="s">
        <v>475</v>
      </c>
      <c r="Z78" s="2734" t="s">
        <v>475</v>
      </c>
      <c r="AA78" s="2719" t="s">
        <v>475</v>
      </c>
      <c r="AB78" s="2719" t="s">
        <v>475</v>
      </c>
      <c r="AC78" s="3004" t="s">
        <v>475</v>
      </c>
      <c r="AD78" s="3004" t="s">
        <v>475</v>
      </c>
      <c r="AE78" s="3004" t="s">
        <v>475</v>
      </c>
      <c r="AF78" s="2734" t="s">
        <v>50</v>
      </c>
      <c r="AG78" s="2829" t="s">
        <v>50</v>
      </c>
      <c r="AH78" s="1"/>
      <c r="AJ78" s="638">
        <v>145.75</v>
      </c>
      <c r="AK78" s="638">
        <v>6</v>
      </c>
      <c r="AL78" s="638">
        <f t="shared" si="1"/>
        <v>151.75</v>
      </c>
      <c r="AM78" s="639">
        <f t="shared" si="0"/>
        <v>-8.5800000000000125</v>
      </c>
      <c r="AN78" s="3037">
        <f>IF(AM78="","",AM78+'November 2024'!AN78)</f>
        <v>21.539999999999907</v>
      </c>
    </row>
    <row r="79" spans="1:40" ht="18" customHeight="1" thickBot="1" x14ac:dyDescent="0.25">
      <c r="A79" s="768"/>
      <c r="B79" s="1145" t="s">
        <v>178</v>
      </c>
      <c r="C79" s="2882"/>
      <c r="D79" s="2882" t="s">
        <v>46</v>
      </c>
      <c r="E79" s="2882" t="s">
        <v>46</v>
      </c>
      <c r="F79" s="2882" t="s">
        <v>46</v>
      </c>
      <c r="G79" s="2882" t="s">
        <v>46</v>
      </c>
      <c r="H79" s="2882" t="s">
        <v>46</v>
      </c>
      <c r="I79" s="2882"/>
      <c r="J79" s="2882"/>
      <c r="K79" s="2770" t="s">
        <v>50</v>
      </c>
      <c r="L79" s="2867" t="s">
        <v>50</v>
      </c>
      <c r="M79" s="2867" t="s">
        <v>50</v>
      </c>
      <c r="N79" s="2867" t="s">
        <v>50</v>
      </c>
      <c r="O79" s="2764" t="s">
        <v>50</v>
      </c>
      <c r="P79" s="2766" t="s">
        <v>103</v>
      </c>
      <c r="Q79" s="3046" t="s">
        <v>104</v>
      </c>
      <c r="R79" s="2764">
        <v>6</v>
      </c>
      <c r="S79" s="2766">
        <v>6</v>
      </c>
      <c r="T79" s="2766">
        <v>6</v>
      </c>
      <c r="U79" s="2766">
        <v>6</v>
      </c>
      <c r="V79" s="2766">
        <v>6</v>
      </c>
      <c r="W79" s="2766"/>
      <c r="X79" s="2765"/>
      <c r="Y79" s="2765" t="s">
        <v>50</v>
      </c>
      <c r="Z79" s="2766" t="s">
        <v>50</v>
      </c>
      <c r="AA79" s="2766" t="s">
        <v>50</v>
      </c>
      <c r="AB79" s="2765" t="s">
        <v>50</v>
      </c>
      <c r="AC79" s="2765" t="s">
        <v>50</v>
      </c>
      <c r="AD79" s="2765"/>
      <c r="AE79" s="2766"/>
      <c r="AF79" s="2766">
        <v>5</v>
      </c>
      <c r="AG79" s="2819" t="s">
        <v>50</v>
      </c>
      <c r="AH79" s="1"/>
      <c r="AJ79" s="638">
        <v>115.5</v>
      </c>
      <c r="AK79" s="638">
        <v>3.5</v>
      </c>
      <c r="AL79" s="638">
        <f t="shared" si="1"/>
        <v>119</v>
      </c>
      <c r="AM79" s="639">
        <f t="shared" si="0"/>
        <v>-41.330000000000013</v>
      </c>
      <c r="AN79" s="639">
        <f>IF(AM79="","",AM79+'November 2024'!AN79)</f>
        <v>-86.080000000000098</v>
      </c>
    </row>
    <row r="80" spans="1:40" ht="18" customHeight="1" x14ac:dyDescent="0.2">
      <c r="A80" s="768"/>
      <c r="B80" s="749" t="s">
        <v>180</v>
      </c>
      <c r="C80" s="2718"/>
      <c r="D80" s="3047" t="s">
        <v>209</v>
      </c>
      <c r="E80" s="3048" t="s">
        <v>209</v>
      </c>
      <c r="F80" s="3047" t="s">
        <v>209</v>
      </c>
      <c r="G80" s="3047" t="s">
        <v>209</v>
      </c>
      <c r="H80" s="3049" t="s">
        <v>209</v>
      </c>
      <c r="I80" s="3050" t="s">
        <v>210</v>
      </c>
      <c r="J80" s="3050" t="s">
        <v>211</v>
      </c>
      <c r="K80" s="2718" t="s">
        <v>50</v>
      </c>
      <c r="L80" s="2718" t="s">
        <v>50</v>
      </c>
      <c r="M80" s="2718" t="s">
        <v>50</v>
      </c>
      <c r="N80" s="2718" t="s">
        <v>50</v>
      </c>
      <c r="O80" s="2718" t="s">
        <v>50</v>
      </c>
      <c r="P80" s="2718"/>
      <c r="Q80" s="2718"/>
      <c r="R80" s="2877" t="s">
        <v>209</v>
      </c>
      <c r="S80" s="3051" t="s">
        <v>209</v>
      </c>
      <c r="T80" s="2877" t="s">
        <v>209</v>
      </c>
      <c r="U80" s="3052" t="s">
        <v>209</v>
      </c>
      <c r="V80" s="3052" t="s">
        <v>209</v>
      </c>
      <c r="W80" s="3052" t="s">
        <v>210</v>
      </c>
      <c r="X80" s="3052" t="s">
        <v>211</v>
      </c>
      <c r="Y80" s="2731" t="s">
        <v>50</v>
      </c>
      <c r="Z80" s="2731"/>
      <c r="AA80" s="2731" t="s">
        <v>405</v>
      </c>
      <c r="AB80" s="2718"/>
      <c r="AC80" s="2718" t="s">
        <v>50</v>
      </c>
      <c r="AD80" s="2718"/>
      <c r="AE80" s="2734"/>
      <c r="AF80" s="2877" t="s">
        <v>209</v>
      </c>
      <c r="AG80" s="2889" t="s">
        <v>209</v>
      </c>
      <c r="AH80" s="1"/>
      <c r="AJ80" s="638">
        <v>166</v>
      </c>
      <c r="AK80" s="638">
        <v>13</v>
      </c>
      <c r="AL80" s="638">
        <f t="shared" si="1"/>
        <v>179</v>
      </c>
      <c r="AM80" s="639">
        <f t="shared" si="0"/>
        <v>18.669999999999987</v>
      </c>
      <c r="AN80" s="3037">
        <f>IF(AM80="","",AM80+'November 2024'!AN80)</f>
        <v>5.4399999999999125</v>
      </c>
    </row>
    <row r="81" spans="1:40" ht="18" customHeight="1" x14ac:dyDescent="0.2">
      <c r="A81" s="768"/>
      <c r="B81" s="748" t="s">
        <v>181</v>
      </c>
      <c r="C81" s="2738"/>
      <c r="D81" s="2734" t="s">
        <v>475</v>
      </c>
      <c r="E81" s="2734" t="s">
        <v>475</v>
      </c>
      <c r="F81" s="2734" t="s">
        <v>475</v>
      </c>
      <c r="G81" s="2734" t="s">
        <v>475</v>
      </c>
      <c r="H81" s="2734" t="s">
        <v>50</v>
      </c>
      <c r="I81" s="2718"/>
      <c r="J81" s="2718"/>
      <c r="K81" s="2734" t="s">
        <v>475</v>
      </c>
      <c r="L81" s="2734" t="s">
        <v>475</v>
      </c>
      <c r="M81" s="2779" t="s">
        <v>475</v>
      </c>
      <c r="N81" s="2779" t="s">
        <v>475</v>
      </c>
      <c r="O81" s="2695" t="s">
        <v>475</v>
      </c>
      <c r="P81" s="2718"/>
      <c r="Q81" s="2718"/>
      <c r="R81" s="2734" t="s">
        <v>50</v>
      </c>
      <c r="S81" s="2734" t="s">
        <v>50</v>
      </c>
      <c r="T81" s="2734" t="s">
        <v>50</v>
      </c>
      <c r="U81" s="2734" t="s">
        <v>475</v>
      </c>
      <c r="V81" s="2734" t="s">
        <v>475</v>
      </c>
      <c r="W81" s="2734"/>
      <c r="X81" s="2734"/>
      <c r="Y81" s="2734" t="s">
        <v>50</v>
      </c>
      <c r="Z81" s="2734"/>
      <c r="AA81" s="2734" t="s">
        <v>0</v>
      </c>
      <c r="AB81" s="2734" t="s">
        <v>0</v>
      </c>
      <c r="AC81" s="2734" t="s">
        <v>149</v>
      </c>
      <c r="AD81" s="2734" t="s">
        <v>150</v>
      </c>
      <c r="AE81" s="2734" t="s">
        <v>71</v>
      </c>
      <c r="AF81" s="2734" t="s">
        <v>50</v>
      </c>
      <c r="AG81" s="2734" t="s">
        <v>50</v>
      </c>
      <c r="AH81" s="1"/>
      <c r="AJ81" s="638">
        <v>161.5</v>
      </c>
      <c r="AK81" s="638">
        <v>13.25</v>
      </c>
      <c r="AL81" s="638">
        <f t="shared" si="1"/>
        <v>174.75</v>
      </c>
      <c r="AM81" s="639">
        <f t="shared" si="0"/>
        <v>14.419999999999987</v>
      </c>
      <c r="AN81" s="639">
        <f>IF(AM81="","",AM81+'November 2024'!AN81)</f>
        <v>-42.230000000000075</v>
      </c>
    </row>
    <row r="82" spans="1:40" ht="18" customHeight="1" x14ac:dyDescent="0.2">
      <c r="A82" s="768"/>
      <c r="B82" s="748" t="s">
        <v>101</v>
      </c>
      <c r="C82" s="2731"/>
      <c r="D82" s="2731" t="s">
        <v>46</v>
      </c>
      <c r="E82" s="2731" t="s">
        <v>46</v>
      </c>
      <c r="F82" s="2731" t="s">
        <v>46</v>
      </c>
      <c r="G82" s="2731" t="s">
        <v>46</v>
      </c>
      <c r="H82" s="2731" t="s">
        <v>46</v>
      </c>
      <c r="I82" s="2731"/>
      <c r="J82" s="2731"/>
      <c r="K82" s="2731" t="s">
        <v>46</v>
      </c>
      <c r="L82" s="2731" t="s">
        <v>46</v>
      </c>
      <c r="M82" s="2731" t="s">
        <v>46</v>
      </c>
      <c r="N82" s="2731" t="s">
        <v>46</v>
      </c>
      <c r="O82" s="2731" t="s">
        <v>46</v>
      </c>
      <c r="P82" s="2731"/>
      <c r="Q82" s="2731"/>
      <c r="R82" s="2731" t="s">
        <v>46</v>
      </c>
      <c r="S82" s="2731" t="s">
        <v>46</v>
      </c>
      <c r="T82" s="2731" t="s">
        <v>46</v>
      </c>
      <c r="U82" s="2731" t="s">
        <v>46</v>
      </c>
      <c r="V82" s="2731" t="s">
        <v>46</v>
      </c>
      <c r="W82" s="2731"/>
      <c r="X82" s="2731"/>
      <c r="Y82" s="2731" t="s">
        <v>46</v>
      </c>
      <c r="Z82" s="2731"/>
      <c r="AA82" s="2731"/>
      <c r="AB82" s="2731"/>
      <c r="AC82" s="2731" t="s">
        <v>46</v>
      </c>
      <c r="AD82" s="2731"/>
      <c r="AE82" s="2731"/>
      <c r="AF82" s="2731" t="s">
        <v>46</v>
      </c>
      <c r="AG82" s="2469" t="s">
        <v>46</v>
      </c>
      <c r="AH82" s="1"/>
      <c r="AJ82" s="638">
        <f t="shared" ref="AJ82" si="2">$AJ$12</f>
        <v>160.33000000000001</v>
      </c>
      <c r="AK82" s="638"/>
      <c r="AL82" s="638">
        <f t="shared" ref="AL82:AL92" si="3">IF(AJ82="","",SUM(AJ82:AK82))</f>
        <v>160.33000000000001</v>
      </c>
      <c r="AM82" s="639">
        <f t="shared" ref="AM82:AM92" si="4">IF(AJ82="","",AL82-_xlfn.SINGLE(NormTid))</f>
        <v>0</v>
      </c>
      <c r="AN82" s="639">
        <f>IF(AM82="","",AM82+'November 2024'!AN82)</f>
        <v>-4.5800000000000125</v>
      </c>
    </row>
    <row r="83" spans="1:40" ht="18" customHeight="1" x14ac:dyDescent="0.2">
      <c r="A83" s="768"/>
      <c r="B83" s="1813" t="s">
        <v>183</v>
      </c>
      <c r="C83" s="2734" t="s">
        <v>0</v>
      </c>
      <c r="D83" s="2734">
        <v>25</v>
      </c>
      <c r="E83" s="2734">
        <v>25</v>
      </c>
      <c r="F83" s="2734">
        <v>25</v>
      </c>
      <c r="G83" s="2734">
        <v>25</v>
      </c>
      <c r="H83" s="3053">
        <v>25</v>
      </c>
      <c r="I83" s="2718"/>
      <c r="J83" s="2718"/>
      <c r="K83" s="2739" t="s">
        <v>46</v>
      </c>
      <c r="L83" s="2739" t="s">
        <v>46</v>
      </c>
      <c r="M83" s="2739" t="s">
        <v>46</v>
      </c>
      <c r="N83" s="2739" t="s">
        <v>46</v>
      </c>
      <c r="O83" s="2739" t="s">
        <v>46</v>
      </c>
      <c r="P83" s="2739"/>
      <c r="Q83" s="2739"/>
      <c r="R83" s="2739" t="s">
        <v>46</v>
      </c>
      <c r="S83" s="2739" t="s">
        <v>46</v>
      </c>
      <c r="T83" s="2739" t="s">
        <v>46</v>
      </c>
      <c r="U83" s="2739" t="s">
        <v>46</v>
      </c>
      <c r="V83" s="2739" t="s">
        <v>46</v>
      </c>
      <c r="W83" s="2739"/>
      <c r="X83" s="2739"/>
      <c r="Y83" s="2734" t="s">
        <v>168</v>
      </c>
      <c r="Z83" s="2734"/>
      <c r="AA83" s="2734"/>
      <c r="AB83" s="2734"/>
      <c r="AC83" s="2726">
        <v>26</v>
      </c>
      <c r="AD83" s="2738"/>
      <c r="AE83" s="2738"/>
      <c r="AF83" s="2738" t="s">
        <v>427</v>
      </c>
      <c r="AG83" s="2466" t="s">
        <v>50</v>
      </c>
      <c r="AH83" s="1"/>
      <c r="AJ83" s="638">
        <v>158.5</v>
      </c>
      <c r="AK83" s="638">
        <v>4.5</v>
      </c>
      <c r="AL83" s="638">
        <f t="shared" si="3"/>
        <v>163</v>
      </c>
      <c r="AM83" s="639">
        <f t="shared" si="4"/>
        <v>2.6699999999999875</v>
      </c>
      <c r="AN83" s="3037">
        <f>IF(AM83="","",AM83+'November 2024'!AN83)</f>
        <v>76.499999999999915</v>
      </c>
    </row>
    <row r="84" spans="1:40" ht="18" customHeight="1" x14ac:dyDescent="0.2">
      <c r="A84" s="768"/>
      <c r="B84" s="764" t="s">
        <v>426</v>
      </c>
      <c r="C84" s="2738"/>
      <c r="D84" s="2738" t="s">
        <v>451</v>
      </c>
      <c r="E84" s="2738" t="s">
        <v>451</v>
      </c>
      <c r="F84" s="2738" t="s">
        <v>451</v>
      </c>
      <c r="G84" s="2738" t="s">
        <v>451</v>
      </c>
      <c r="H84" s="2738" t="s">
        <v>451</v>
      </c>
      <c r="I84" s="2718"/>
      <c r="J84" s="2718"/>
      <c r="K84" s="2738" t="s">
        <v>451</v>
      </c>
      <c r="L84" s="2738" t="s">
        <v>451</v>
      </c>
      <c r="M84" s="2738" t="s">
        <v>451</v>
      </c>
      <c r="N84" s="2738" t="s">
        <v>451</v>
      </c>
      <c r="O84" s="2738" t="s">
        <v>451</v>
      </c>
      <c r="P84" s="2718"/>
      <c r="Q84" s="2718"/>
      <c r="R84" s="2738" t="s">
        <v>451</v>
      </c>
      <c r="S84" s="2738" t="s">
        <v>451</v>
      </c>
      <c r="T84" s="2738" t="s">
        <v>451</v>
      </c>
      <c r="U84" s="2738" t="s">
        <v>451</v>
      </c>
      <c r="V84" s="2738" t="s">
        <v>451</v>
      </c>
      <c r="W84" s="2734"/>
      <c r="X84" s="2734"/>
      <c r="Y84" s="2738" t="s">
        <v>498</v>
      </c>
      <c r="Z84" s="2734"/>
      <c r="AA84" s="2734"/>
      <c r="AB84" s="2734"/>
      <c r="AC84" s="2726" t="s">
        <v>46</v>
      </c>
      <c r="AD84" s="2738"/>
      <c r="AE84" s="2738"/>
      <c r="AF84" s="248">
        <v>69</v>
      </c>
      <c r="AG84" s="246" t="s">
        <v>50</v>
      </c>
      <c r="AH84" s="1"/>
      <c r="AJ84" s="638">
        <v>147</v>
      </c>
      <c r="AK84" s="638">
        <v>0</v>
      </c>
      <c r="AL84" s="638">
        <f t="shared" si="3"/>
        <v>147</v>
      </c>
      <c r="AM84" s="639">
        <f t="shared" si="4"/>
        <v>-13.330000000000013</v>
      </c>
      <c r="AN84" s="3037">
        <f>IF(AM84="","",AM84+'November 2024'!AN84)</f>
        <v>24.649999999999949</v>
      </c>
    </row>
    <row r="85" spans="1:40" ht="18" customHeight="1" x14ac:dyDescent="0.2">
      <c r="A85" s="768"/>
      <c r="B85" s="748" t="s">
        <v>391</v>
      </c>
      <c r="C85" s="2738"/>
      <c r="D85" s="2879" t="s">
        <v>110</v>
      </c>
      <c r="E85" s="2879" t="s">
        <v>110</v>
      </c>
      <c r="F85" s="2879" t="s">
        <v>110</v>
      </c>
      <c r="G85" s="2879" t="s">
        <v>110</v>
      </c>
      <c r="H85" s="2879" t="s">
        <v>110</v>
      </c>
      <c r="I85" s="2879" t="s">
        <v>110</v>
      </c>
      <c r="J85" s="2879" t="s">
        <v>110</v>
      </c>
      <c r="K85" s="2767" t="s">
        <v>50</v>
      </c>
      <c r="L85" s="2767" t="s">
        <v>50</v>
      </c>
      <c r="M85" s="2718" t="s">
        <v>50</v>
      </c>
      <c r="N85" s="2718" t="s">
        <v>50</v>
      </c>
      <c r="O85" s="2718" t="s">
        <v>50</v>
      </c>
      <c r="P85" s="2718"/>
      <c r="Q85" s="2718"/>
      <c r="R85" s="2718">
        <v>22</v>
      </c>
      <c r="S85" s="2718">
        <v>22</v>
      </c>
      <c r="T85" s="2767">
        <v>22</v>
      </c>
      <c r="U85" s="2718">
        <v>22</v>
      </c>
      <c r="V85" s="2734">
        <v>22</v>
      </c>
      <c r="W85" s="2734">
        <v>22</v>
      </c>
      <c r="X85" s="2734">
        <v>22</v>
      </c>
      <c r="Y85" s="2734" t="s">
        <v>50</v>
      </c>
      <c r="Z85" s="2734"/>
      <c r="AA85" s="2734"/>
      <c r="AB85" s="2734"/>
      <c r="AC85" s="2726" t="s">
        <v>50</v>
      </c>
      <c r="AD85" s="2738"/>
      <c r="AE85" s="2738"/>
      <c r="AF85" s="2738" t="s">
        <v>179</v>
      </c>
      <c r="AG85" s="2466">
        <v>23</v>
      </c>
      <c r="AH85" s="1"/>
      <c r="AJ85" s="638">
        <v>159.5</v>
      </c>
      <c r="AK85" s="638">
        <v>12.75</v>
      </c>
      <c r="AL85" s="638">
        <f t="shared" si="3"/>
        <v>172.25</v>
      </c>
      <c r="AM85" s="639">
        <f t="shared" si="4"/>
        <v>11.919999999999987</v>
      </c>
      <c r="AN85" s="3037">
        <f>IF(AM85="","",AM85+'November 2024'!AN85)</f>
        <v>11.399999999999949</v>
      </c>
    </row>
    <row r="86" spans="1:40" ht="18" customHeight="1" x14ac:dyDescent="0.2">
      <c r="A86" s="768"/>
      <c r="B86" s="748" t="s">
        <v>452</v>
      </c>
      <c r="C86" s="2738" t="s">
        <v>110</v>
      </c>
      <c r="D86" s="2725" t="s">
        <v>50</v>
      </c>
      <c r="E86" s="2725" t="s">
        <v>50</v>
      </c>
      <c r="F86" s="2725" t="s">
        <v>50</v>
      </c>
      <c r="G86" s="2725" t="s">
        <v>50</v>
      </c>
      <c r="H86" s="2725" t="s">
        <v>50</v>
      </c>
      <c r="I86" s="2718"/>
      <c r="J86" s="2718"/>
      <c r="K86" s="2729">
        <v>4</v>
      </c>
      <c r="L86" s="2729" t="s">
        <v>512</v>
      </c>
      <c r="M86" s="2695">
        <v>4</v>
      </c>
      <c r="N86" s="2695">
        <v>4</v>
      </c>
      <c r="O86" s="2719">
        <v>4</v>
      </c>
      <c r="P86" s="2718"/>
      <c r="Q86" s="2718"/>
      <c r="R86" s="2718">
        <v>23</v>
      </c>
      <c r="S86" s="2878" t="s">
        <v>209</v>
      </c>
      <c r="T86" s="2767">
        <v>23</v>
      </c>
      <c r="U86" s="2718">
        <v>23</v>
      </c>
      <c r="V86" s="2734">
        <v>23</v>
      </c>
      <c r="W86" s="2834">
        <v>23</v>
      </c>
      <c r="X86" s="2834">
        <v>23</v>
      </c>
      <c r="Y86" s="2734" t="s">
        <v>50</v>
      </c>
      <c r="Z86" s="2734"/>
      <c r="AA86" s="2734"/>
      <c r="AB86" s="2734"/>
      <c r="AC86" s="2726" t="s">
        <v>50</v>
      </c>
      <c r="AD86" s="2738"/>
      <c r="AE86" s="2738"/>
      <c r="AF86" s="2738" t="s">
        <v>110</v>
      </c>
      <c r="AG86" s="2466">
        <v>21</v>
      </c>
      <c r="AH86" s="1"/>
      <c r="AJ86" s="638">
        <v>145.5</v>
      </c>
      <c r="AK86" s="638">
        <v>8</v>
      </c>
      <c r="AL86" s="638">
        <f t="shared" si="3"/>
        <v>153.5</v>
      </c>
      <c r="AM86" s="639">
        <f t="shared" si="4"/>
        <v>-6.8300000000000125</v>
      </c>
      <c r="AN86" s="3037">
        <f>IF(AM86="","",AM86+'November 2024'!AN86)</f>
        <v>27.509999999999962</v>
      </c>
    </row>
    <row r="87" spans="1:40" ht="18" customHeight="1" x14ac:dyDescent="0.2">
      <c r="A87" s="768"/>
      <c r="B87" s="748" t="s">
        <v>453</v>
      </c>
      <c r="C87" s="2738"/>
      <c r="D87" s="2738" t="s">
        <v>297</v>
      </c>
      <c r="E87" s="2738" t="s">
        <v>297</v>
      </c>
      <c r="F87" s="2738" t="s">
        <v>297</v>
      </c>
      <c r="G87" s="2738" t="s">
        <v>297</v>
      </c>
      <c r="H87" s="2738" t="s">
        <v>297</v>
      </c>
      <c r="I87" s="2718"/>
      <c r="J87" s="2718"/>
      <c r="K87" s="2738" t="s">
        <v>297</v>
      </c>
      <c r="L87" s="2738" t="s">
        <v>297</v>
      </c>
      <c r="M87" s="2738" t="s">
        <v>297</v>
      </c>
      <c r="N87" s="2738" t="s">
        <v>297</v>
      </c>
      <c r="O87" s="2738" t="s">
        <v>297</v>
      </c>
      <c r="P87" s="2718"/>
      <c r="Q87" s="2718"/>
      <c r="R87" s="2738" t="s">
        <v>297</v>
      </c>
      <c r="S87" s="2738" t="s">
        <v>297</v>
      </c>
      <c r="T87" s="2738" t="s">
        <v>297</v>
      </c>
      <c r="U87" s="2738" t="s">
        <v>297</v>
      </c>
      <c r="V87" s="2738" t="s">
        <v>297</v>
      </c>
      <c r="W87" s="2734"/>
      <c r="X87" s="2734"/>
      <c r="Y87" s="2738" t="s">
        <v>297</v>
      </c>
      <c r="Z87" s="2734"/>
      <c r="AA87" s="2734"/>
      <c r="AB87" s="2734"/>
      <c r="AC87" s="2726">
        <v>69</v>
      </c>
      <c r="AD87" s="2738"/>
      <c r="AE87" s="2738"/>
      <c r="AF87" s="2738" t="s">
        <v>77</v>
      </c>
      <c r="AG87" s="2466" t="s">
        <v>50</v>
      </c>
      <c r="AH87" s="1"/>
      <c r="AJ87" s="638">
        <v>157.5</v>
      </c>
      <c r="AK87" s="638">
        <v>0</v>
      </c>
      <c r="AL87" s="638">
        <f t="shared" si="3"/>
        <v>157.5</v>
      </c>
      <c r="AM87" s="639">
        <f t="shared" si="4"/>
        <v>-2.8300000000000125</v>
      </c>
      <c r="AN87" s="639">
        <f>IF(AM87="","",AM87+'November 2024'!AN87)</f>
        <v>-32.07000000000005</v>
      </c>
    </row>
    <row r="88" spans="1:40" ht="18" customHeight="1" x14ac:dyDescent="0.2">
      <c r="A88" s="768"/>
      <c r="B88" s="748" t="s">
        <v>477</v>
      </c>
      <c r="C88" s="2738"/>
      <c r="D88" s="2738" t="s">
        <v>429</v>
      </c>
      <c r="E88" s="2738" t="s">
        <v>429</v>
      </c>
      <c r="F88" s="2734">
        <v>7</v>
      </c>
      <c r="G88" s="3054">
        <v>7</v>
      </c>
      <c r="H88" s="3055">
        <v>7</v>
      </c>
      <c r="I88" s="2731"/>
      <c r="J88" s="2731"/>
      <c r="K88" s="2731" t="s">
        <v>112</v>
      </c>
      <c r="L88" s="2879">
        <v>6</v>
      </c>
      <c r="M88" s="2879">
        <v>6</v>
      </c>
      <c r="N88" s="2879">
        <v>6</v>
      </c>
      <c r="O88" s="2879">
        <v>6</v>
      </c>
      <c r="P88" s="2718"/>
      <c r="Q88" s="2718"/>
      <c r="R88" s="2718">
        <v>4</v>
      </c>
      <c r="S88" s="2718">
        <v>4</v>
      </c>
      <c r="T88" s="2767">
        <v>4</v>
      </c>
      <c r="U88" s="2718">
        <v>4</v>
      </c>
      <c r="V88" s="2734">
        <v>4</v>
      </c>
      <c r="W88" s="2734"/>
      <c r="X88" s="2734"/>
      <c r="Y88" s="2734">
        <v>69</v>
      </c>
      <c r="Z88" s="2734"/>
      <c r="AA88" s="2734"/>
      <c r="AB88" s="2734"/>
      <c r="AC88" s="2739" t="s">
        <v>252</v>
      </c>
      <c r="AD88" s="2738"/>
      <c r="AE88" s="2738"/>
      <c r="AF88" s="3029" t="s">
        <v>46</v>
      </c>
      <c r="AG88" s="3056" t="s">
        <v>46</v>
      </c>
      <c r="AH88" s="1"/>
      <c r="AJ88" s="638">
        <v>159</v>
      </c>
      <c r="AK88" s="638">
        <v>6.25</v>
      </c>
      <c r="AL88" s="638">
        <f t="shared" si="3"/>
        <v>165.25</v>
      </c>
      <c r="AM88" s="639">
        <f t="shared" si="4"/>
        <v>4.9199999999999875</v>
      </c>
      <c r="AN88" s="639">
        <f>IF(AM88="","",AM88+'November 2024'!AN88)</f>
        <v>-22.740000000000038</v>
      </c>
    </row>
    <row r="89" spans="1:40" ht="18" customHeight="1" x14ac:dyDescent="0.2">
      <c r="A89" s="768"/>
      <c r="B89" s="2478" t="s">
        <v>513</v>
      </c>
      <c r="C89" s="2738" t="s">
        <v>143</v>
      </c>
      <c r="D89" s="2984" t="s">
        <v>50</v>
      </c>
      <c r="E89" s="2984" t="s">
        <v>50</v>
      </c>
      <c r="F89" s="2984" t="s">
        <v>50</v>
      </c>
      <c r="G89" s="2984" t="s">
        <v>50</v>
      </c>
      <c r="H89" s="2718">
        <v>25</v>
      </c>
      <c r="I89" s="2718"/>
      <c r="J89" s="2718"/>
      <c r="K89" s="2718" t="s">
        <v>142</v>
      </c>
      <c r="L89" s="2718" t="s">
        <v>142</v>
      </c>
      <c r="M89" s="2718" t="s">
        <v>142</v>
      </c>
      <c r="N89" s="2718" t="s">
        <v>142</v>
      </c>
      <c r="O89" s="2718" t="s">
        <v>142</v>
      </c>
      <c r="P89" s="2738" t="s">
        <v>143</v>
      </c>
      <c r="Q89" s="2738" t="s">
        <v>143</v>
      </c>
      <c r="R89" s="2719" t="s">
        <v>50</v>
      </c>
      <c r="S89" s="2712" t="s">
        <v>50</v>
      </c>
      <c r="T89" s="2712" t="s">
        <v>50</v>
      </c>
      <c r="U89" s="2718" t="s">
        <v>50</v>
      </c>
      <c r="V89" s="2734" t="s">
        <v>50</v>
      </c>
      <c r="W89" s="2734"/>
      <c r="X89" s="2834">
        <v>26</v>
      </c>
      <c r="Y89" s="2734">
        <v>25</v>
      </c>
      <c r="Z89" s="2734"/>
      <c r="AA89" s="2734"/>
      <c r="AB89" s="2734"/>
      <c r="AC89" s="2726">
        <v>25</v>
      </c>
      <c r="AD89" s="2738"/>
      <c r="AE89" s="2738" t="s">
        <v>186</v>
      </c>
      <c r="AF89" s="2984" t="s">
        <v>186</v>
      </c>
      <c r="AG89" s="3057">
        <v>3</v>
      </c>
      <c r="AH89" s="1"/>
      <c r="AJ89" s="638">
        <v>155.5</v>
      </c>
      <c r="AK89" s="638">
        <v>9.5</v>
      </c>
      <c r="AL89" s="638">
        <f t="shared" si="3"/>
        <v>165</v>
      </c>
      <c r="AM89" s="639">
        <f t="shared" si="4"/>
        <v>4.6699999999999875</v>
      </c>
      <c r="AN89" s="3037">
        <f>IF(AM89="","",AM89+'November 2024'!AN89)</f>
        <v>41.339999999999975</v>
      </c>
    </row>
    <row r="90" spans="1:40" ht="18" customHeight="1" thickBot="1" x14ac:dyDescent="0.25">
      <c r="A90" s="768"/>
      <c r="B90" s="749" t="s">
        <v>479</v>
      </c>
      <c r="C90" s="3058"/>
      <c r="D90" s="3059">
        <v>26</v>
      </c>
      <c r="E90" s="3059">
        <v>26</v>
      </c>
      <c r="F90" s="3060">
        <v>26</v>
      </c>
      <c r="G90" s="3060">
        <v>26</v>
      </c>
      <c r="H90" s="1087">
        <v>5</v>
      </c>
      <c r="I90" s="1087"/>
      <c r="J90" s="1087"/>
      <c r="K90" s="3059" t="s">
        <v>209</v>
      </c>
      <c r="L90" s="3059" t="s">
        <v>209</v>
      </c>
      <c r="M90" s="3059" t="s">
        <v>162</v>
      </c>
      <c r="N90" s="3059" t="s">
        <v>162</v>
      </c>
      <c r="O90" s="3061" t="s">
        <v>149</v>
      </c>
      <c r="P90" s="3061" t="s">
        <v>150</v>
      </c>
      <c r="Q90" s="3061" t="s">
        <v>71</v>
      </c>
      <c r="R90" s="3062" t="s">
        <v>50</v>
      </c>
      <c r="S90" s="3062" t="s">
        <v>50</v>
      </c>
      <c r="T90" s="3062" t="s">
        <v>50</v>
      </c>
      <c r="U90" s="3062" t="s">
        <v>50</v>
      </c>
      <c r="V90" s="3062" t="s">
        <v>50</v>
      </c>
      <c r="W90" s="3058"/>
      <c r="X90" s="3058"/>
      <c r="Y90" s="3060">
        <v>26</v>
      </c>
      <c r="Z90" s="3058"/>
      <c r="AA90" s="3058"/>
      <c r="AB90" s="3058"/>
      <c r="AC90" s="3062" t="s">
        <v>145</v>
      </c>
      <c r="AD90" s="3058" t="s">
        <v>147</v>
      </c>
      <c r="AE90" s="3062" t="s">
        <v>148</v>
      </c>
      <c r="AF90" s="3062" t="s">
        <v>50</v>
      </c>
      <c r="AG90" s="3062" t="s">
        <v>50</v>
      </c>
      <c r="AH90" s="1"/>
      <c r="AJ90" s="638">
        <v>188</v>
      </c>
      <c r="AK90" s="638">
        <v>12.5</v>
      </c>
      <c r="AL90" s="638">
        <f t="shared" si="3"/>
        <v>200.5</v>
      </c>
      <c r="AM90" s="639">
        <f t="shared" si="4"/>
        <v>40.169999999999987</v>
      </c>
      <c r="AN90" s="3037">
        <f>IF(AM90="","",AM90+'November 2024'!AN90)</f>
        <v>33.489999999999981</v>
      </c>
    </row>
    <row r="91" spans="1:40" ht="18" customHeight="1" x14ac:dyDescent="0.2">
      <c r="A91" s="768"/>
      <c r="B91" s="1807" t="s">
        <v>514</v>
      </c>
      <c r="C91" s="711"/>
      <c r="D91" s="2927">
        <v>99</v>
      </c>
      <c r="E91" s="2927" t="s">
        <v>427</v>
      </c>
      <c r="F91" s="712" t="s">
        <v>427</v>
      </c>
      <c r="G91" s="712" t="s">
        <v>456</v>
      </c>
      <c r="H91" s="712" t="s">
        <v>427</v>
      </c>
      <c r="I91" s="712"/>
      <c r="J91" s="597"/>
      <c r="K91" s="780" t="s">
        <v>50</v>
      </c>
      <c r="L91" s="780" t="s">
        <v>50</v>
      </c>
      <c r="M91" s="2927" t="s">
        <v>475</v>
      </c>
      <c r="N91" s="2927" t="s">
        <v>475</v>
      </c>
      <c r="O91" s="780" t="s">
        <v>46</v>
      </c>
      <c r="P91" s="780" t="s">
        <v>475</v>
      </c>
      <c r="Q91" s="780" t="s">
        <v>475</v>
      </c>
      <c r="R91" s="712" t="s">
        <v>50</v>
      </c>
      <c r="S91" s="712" t="s">
        <v>50</v>
      </c>
      <c r="T91" s="712" t="s">
        <v>50</v>
      </c>
      <c r="U91" s="780" t="s">
        <v>50</v>
      </c>
      <c r="V91" s="780" t="s">
        <v>50</v>
      </c>
      <c r="W91" s="780"/>
      <c r="X91" s="780"/>
      <c r="Y91" s="780">
        <v>79</v>
      </c>
      <c r="Z91" s="780"/>
      <c r="AA91" s="780"/>
      <c r="AB91" s="780"/>
      <c r="AC91" s="712" t="s">
        <v>427</v>
      </c>
      <c r="AD91" s="780"/>
      <c r="AE91" s="780"/>
      <c r="AF91" s="712" t="s">
        <v>69</v>
      </c>
      <c r="AG91" s="712" t="s">
        <v>50</v>
      </c>
      <c r="AH91" s="1"/>
      <c r="AJ91" s="638">
        <v>134.25</v>
      </c>
      <c r="AK91" s="638">
        <v>4.5</v>
      </c>
      <c r="AL91" s="638">
        <f t="shared" si="3"/>
        <v>138.75</v>
      </c>
      <c r="AM91" s="639">
        <f t="shared" si="4"/>
        <v>-21.580000000000013</v>
      </c>
      <c r="AN91" s="639">
        <f>IF(AM91="","",AM91+'November 2024'!AN91)</f>
        <v>-21.580000000000013</v>
      </c>
    </row>
    <row r="92" spans="1:40" ht="18" customHeight="1" thickBot="1" x14ac:dyDescent="0.25">
      <c r="A92" s="2902"/>
      <c r="B92" s="3063" t="s">
        <v>515</v>
      </c>
      <c r="C92" s="2651"/>
      <c r="D92" s="2927">
        <v>79</v>
      </c>
      <c r="E92" s="2927" t="s">
        <v>498</v>
      </c>
      <c r="F92" s="2927" t="s">
        <v>174</v>
      </c>
      <c r="G92" s="2927" t="s">
        <v>174</v>
      </c>
      <c r="H92" s="712" t="s">
        <v>174</v>
      </c>
      <c r="I92" s="712"/>
      <c r="J92" s="597"/>
      <c r="K92" s="780" t="s">
        <v>174</v>
      </c>
      <c r="L92" s="780" t="s">
        <v>174</v>
      </c>
      <c r="M92" s="780" t="s">
        <v>174</v>
      </c>
      <c r="N92" s="780" t="s">
        <v>174</v>
      </c>
      <c r="O92" s="780" t="s">
        <v>174</v>
      </c>
      <c r="P92" s="780"/>
      <c r="Q92" s="780"/>
      <c r="R92" s="3064" t="s">
        <v>174</v>
      </c>
      <c r="S92" s="3064" t="s">
        <v>174</v>
      </c>
      <c r="T92" s="3064" t="s">
        <v>174</v>
      </c>
      <c r="U92" s="3064" t="s">
        <v>174</v>
      </c>
      <c r="V92" s="3064" t="s">
        <v>174</v>
      </c>
      <c r="W92" s="780"/>
      <c r="X92" s="780"/>
      <c r="Y92" s="780" t="s">
        <v>174</v>
      </c>
      <c r="Z92" s="2651"/>
      <c r="AA92" s="2651"/>
      <c r="AB92" s="2651"/>
      <c r="AC92" s="2651" t="s">
        <v>152</v>
      </c>
      <c r="AD92" s="2651"/>
      <c r="AE92" s="3065"/>
      <c r="AF92" s="712" t="s">
        <v>46</v>
      </c>
      <c r="AG92" s="712" t="s">
        <v>50</v>
      </c>
      <c r="AH92" s="1"/>
      <c r="AJ92" s="638">
        <v>125</v>
      </c>
      <c r="AK92" s="638">
        <v>0</v>
      </c>
      <c r="AL92" s="638">
        <f t="shared" si="3"/>
        <v>125</v>
      </c>
      <c r="AM92" s="639">
        <f t="shared" si="4"/>
        <v>-35.330000000000013</v>
      </c>
      <c r="AN92" s="639">
        <f>IF(AM92="","",AM92+'November 2024'!AN92)</f>
        <v>-35.330000000000013</v>
      </c>
    </row>
    <row r="93" spans="1:40" ht="18" customHeight="1" thickBot="1" x14ac:dyDescent="0.25">
      <c r="A93" s="242"/>
      <c r="B93" s="243" t="s">
        <v>182</v>
      </c>
      <c r="C93" s="2910">
        <v>1</v>
      </c>
      <c r="D93" s="2909">
        <v>2</v>
      </c>
      <c r="E93" s="2909">
        <v>3</v>
      </c>
      <c r="F93" s="2909">
        <v>4</v>
      </c>
      <c r="G93" s="2909">
        <v>5</v>
      </c>
      <c r="H93" s="2909">
        <v>6</v>
      </c>
      <c r="I93" s="2910">
        <v>7</v>
      </c>
      <c r="J93" s="2910">
        <v>8</v>
      </c>
      <c r="K93" s="2909">
        <v>9</v>
      </c>
      <c r="L93" s="2909">
        <v>10</v>
      </c>
      <c r="M93" s="2909">
        <v>11</v>
      </c>
      <c r="N93" s="2909">
        <v>12</v>
      </c>
      <c r="O93" s="2909">
        <v>13</v>
      </c>
      <c r="P93" s="2910">
        <v>14</v>
      </c>
      <c r="Q93" s="2910">
        <v>15</v>
      </c>
      <c r="R93" s="2909">
        <v>16</v>
      </c>
      <c r="S93" s="2909">
        <v>17</v>
      </c>
      <c r="T93" s="2909">
        <v>18</v>
      </c>
      <c r="U93" s="2909">
        <v>19</v>
      </c>
      <c r="V93" s="2909">
        <v>20</v>
      </c>
      <c r="W93" s="2910">
        <v>21</v>
      </c>
      <c r="X93" s="2910">
        <v>22</v>
      </c>
      <c r="Y93" s="2909">
        <v>23</v>
      </c>
      <c r="Z93" s="2909">
        <v>24</v>
      </c>
      <c r="AA93" s="2910">
        <v>25</v>
      </c>
      <c r="AB93" s="2910">
        <v>26</v>
      </c>
      <c r="AC93" s="2909">
        <v>27</v>
      </c>
      <c r="AD93" s="2910">
        <v>28</v>
      </c>
      <c r="AE93" s="2910">
        <v>29</v>
      </c>
      <c r="AF93" s="2909">
        <v>30</v>
      </c>
      <c r="AG93" s="2909">
        <v>31</v>
      </c>
      <c r="AH93" s="1"/>
      <c r="AJ93" s="638"/>
      <c r="AK93" s="638"/>
      <c r="AL93" s="638"/>
      <c r="AM93" s="639"/>
      <c r="AN93" s="639"/>
    </row>
    <row r="94" spans="1:40" ht="18" customHeight="1" x14ac:dyDescent="0.2">
      <c r="A94" s="369"/>
      <c r="B94" s="2489" t="s">
        <v>409</v>
      </c>
      <c r="C94" s="251" t="s">
        <v>141</v>
      </c>
      <c r="D94" s="2912" t="s">
        <v>50</v>
      </c>
      <c r="E94" s="2912" t="s">
        <v>50</v>
      </c>
      <c r="F94" s="2912" t="s">
        <v>50</v>
      </c>
      <c r="G94" s="2912" t="s">
        <v>50</v>
      </c>
      <c r="H94" s="2518" t="s">
        <v>50</v>
      </c>
      <c r="I94" s="2518"/>
      <c r="J94" s="2518"/>
      <c r="K94" s="636" t="s">
        <v>72</v>
      </c>
      <c r="L94" s="636" t="s">
        <v>72</v>
      </c>
      <c r="M94" s="636" t="s">
        <v>72</v>
      </c>
      <c r="N94" s="636" t="s">
        <v>72</v>
      </c>
      <c r="O94" s="1634" t="s">
        <v>72</v>
      </c>
      <c r="P94" s="1634" t="s">
        <v>73</v>
      </c>
      <c r="Q94" s="1634" t="s">
        <v>74</v>
      </c>
      <c r="R94" s="2912" t="s">
        <v>50</v>
      </c>
      <c r="S94" s="2912" t="s">
        <v>50</v>
      </c>
      <c r="T94" s="2912" t="s">
        <v>50</v>
      </c>
      <c r="U94" s="2912" t="s">
        <v>50</v>
      </c>
      <c r="V94" s="2518" t="s">
        <v>139</v>
      </c>
      <c r="W94" s="2518" t="s">
        <v>140</v>
      </c>
      <c r="X94" s="2518" t="s">
        <v>141</v>
      </c>
      <c r="Y94" s="2912" t="s">
        <v>50</v>
      </c>
      <c r="Z94" s="2912"/>
      <c r="AA94" s="2912"/>
      <c r="AB94" s="2912"/>
      <c r="AC94" s="2518" t="s">
        <v>139</v>
      </c>
      <c r="AD94" s="2518" t="s">
        <v>140</v>
      </c>
      <c r="AE94" s="2518" t="s">
        <v>141</v>
      </c>
      <c r="AF94" s="2890" t="s">
        <v>50</v>
      </c>
      <c r="AG94" s="2891" t="s">
        <v>50</v>
      </c>
      <c r="AH94" s="1"/>
      <c r="AJ94" s="638">
        <v>161.5</v>
      </c>
      <c r="AK94" s="638">
        <v>11</v>
      </c>
      <c r="AL94" s="638">
        <f t="shared" si="1"/>
        <v>172.5</v>
      </c>
      <c r="AM94" s="639">
        <f t="shared" si="0"/>
        <v>12.169999999999987</v>
      </c>
      <c r="AN94" s="639">
        <f>IF(AM94="","",AM94+'November 2024'!AN94)</f>
        <v>-23.850000000000051</v>
      </c>
    </row>
    <row r="95" spans="1:40" ht="18" customHeight="1" x14ac:dyDescent="0.2">
      <c r="A95" s="768"/>
      <c r="B95" s="749" t="s">
        <v>480</v>
      </c>
      <c r="C95" s="799"/>
      <c r="D95" s="799">
        <v>22</v>
      </c>
      <c r="E95" s="799">
        <v>22</v>
      </c>
      <c r="F95" s="799">
        <v>22</v>
      </c>
      <c r="G95" s="799">
        <v>22</v>
      </c>
      <c r="H95" s="799">
        <v>22</v>
      </c>
      <c r="I95" s="799">
        <v>22</v>
      </c>
      <c r="J95" s="799">
        <v>22</v>
      </c>
      <c r="K95" s="2738" t="s">
        <v>50</v>
      </c>
      <c r="L95" s="2738" t="s">
        <v>50</v>
      </c>
      <c r="M95" s="2738" t="s">
        <v>50</v>
      </c>
      <c r="N95" s="2738" t="s">
        <v>50</v>
      </c>
      <c r="O95" s="2738" t="s">
        <v>50</v>
      </c>
      <c r="P95" s="636"/>
      <c r="Q95" s="799"/>
      <c r="R95" s="799">
        <v>21</v>
      </c>
      <c r="S95" s="799">
        <v>21</v>
      </c>
      <c r="T95" s="799">
        <v>21</v>
      </c>
      <c r="U95" s="799">
        <v>21</v>
      </c>
      <c r="V95" s="636">
        <v>21</v>
      </c>
      <c r="W95" s="636">
        <v>21</v>
      </c>
      <c r="X95" s="799">
        <v>21</v>
      </c>
      <c r="Y95" s="799" t="s">
        <v>50</v>
      </c>
      <c r="Z95" s="799"/>
      <c r="AA95" s="799"/>
      <c r="AB95" s="799"/>
      <c r="AC95" s="636" t="s">
        <v>50</v>
      </c>
      <c r="AD95" s="636"/>
      <c r="AE95" s="799"/>
      <c r="AF95" s="799">
        <v>22</v>
      </c>
      <c r="AG95" s="801" t="s">
        <v>0</v>
      </c>
      <c r="AH95" s="1"/>
      <c r="AJ95" s="638">
        <v>167.5</v>
      </c>
      <c r="AK95" s="638">
        <v>12.5</v>
      </c>
      <c r="AL95" s="638">
        <f t="shared" si="1"/>
        <v>180</v>
      </c>
      <c r="AM95" s="639">
        <f t="shared" si="0"/>
        <v>19.669999999999987</v>
      </c>
      <c r="AN95" s="639">
        <f>IF(AM95="","",AM95+'November 2024'!AN95)</f>
        <v>-24.600000000000051</v>
      </c>
    </row>
    <row r="96" spans="1:40" ht="18" customHeight="1" x14ac:dyDescent="0.2">
      <c r="A96" s="768"/>
      <c r="B96" s="2491"/>
      <c r="C96" s="799"/>
      <c r="D96" s="799" t="s">
        <v>46</v>
      </c>
      <c r="E96" s="799" t="s">
        <v>46</v>
      </c>
      <c r="F96" s="799" t="s">
        <v>46</v>
      </c>
      <c r="G96" s="799" t="s">
        <v>46</v>
      </c>
      <c r="H96" s="636" t="s">
        <v>46</v>
      </c>
      <c r="I96" s="636"/>
      <c r="J96" s="799"/>
      <c r="K96" s="799" t="s">
        <v>46</v>
      </c>
      <c r="L96" s="799" t="s">
        <v>46</v>
      </c>
      <c r="M96" s="799" t="s">
        <v>46</v>
      </c>
      <c r="N96" s="799" t="s">
        <v>46</v>
      </c>
      <c r="O96" s="636" t="s">
        <v>46</v>
      </c>
      <c r="P96" s="636"/>
      <c r="Q96" s="799"/>
      <c r="R96" s="799" t="s">
        <v>46</v>
      </c>
      <c r="S96" s="799" t="s">
        <v>46</v>
      </c>
      <c r="T96" s="799" t="s">
        <v>46</v>
      </c>
      <c r="U96" s="799" t="s">
        <v>46</v>
      </c>
      <c r="V96" s="636" t="s">
        <v>46</v>
      </c>
      <c r="W96" s="636"/>
      <c r="X96" s="799"/>
      <c r="Y96" s="799" t="s">
        <v>46</v>
      </c>
      <c r="Z96" s="799"/>
      <c r="AA96" s="799"/>
      <c r="AB96" s="799"/>
      <c r="AC96" s="636" t="s">
        <v>46</v>
      </c>
      <c r="AD96" s="636"/>
      <c r="AE96" s="799"/>
      <c r="AF96" s="799" t="s">
        <v>46</v>
      </c>
      <c r="AG96" s="801" t="s">
        <v>46</v>
      </c>
      <c r="AH96" s="1"/>
      <c r="AJ96" s="638">
        <f t="shared" ref="AJ96" si="5">$AJ$12</f>
        <v>160.33000000000001</v>
      </c>
      <c r="AK96" s="638"/>
      <c r="AL96" s="638">
        <f t="shared" si="1"/>
        <v>160.33000000000001</v>
      </c>
      <c r="AM96" s="639">
        <f t="shared" si="0"/>
        <v>0</v>
      </c>
      <c r="AN96" s="639">
        <f>IF(AM96="","",AM96+'November 2024'!AN96)</f>
        <v>0</v>
      </c>
    </row>
    <row r="97" spans="1:40" ht="18" customHeight="1" x14ac:dyDescent="0.2">
      <c r="A97" s="768"/>
      <c r="B97" s="2698"/>
      <c r="C97" s="636"/>
      <c r="D97" s="636"/>
      <c r="E97" s="635"/>
      <c r="F97" s="636"/>
      <c r="G97" s="636"/>
      <c r="H97" s="636"/>
      <c r="I97" s="636"/>
      <c r="J97" s="636"/>
      <c r="K97" s="636"/>
      <c r="L97" s="636"/>
      <c r="M97" s="636"/>
      <c r="N97" s="636"/>
      <c r="O97" s="799"/>
      <c r="P97" s="799"/>
      <c r="Q97" s="799"/>
      <c r="R97" s="799"/>
      <c r="S97" s="799"/>
      <c r="T97" s="799"/>
      <c r="U97" s="799"/>
      <c r="V97" s="799"/>
      <c r="W97" s="636"/>
      <c r="X97" s="636"/>
      <c r="Y97" s="636"/>
      <c r="Z97" s="636"/>
      <c r="AA97" s="636"/>
      <c r="AB97" s="636"/>
      <c r="AC97" s="636"/>
      <c r="AD97" s="635"/>
      <c r="AE97" s="636"/>
      <c r="AF97" s="636"/>
      <c r="AG97" s="801"/>
      <c r="AH97" s="1"/>
      <c r="AJ97" s="638">
        <f>$AJ$12</f>
        <v>160.33000000000001</v>
      </c>
      <c r="AK97" s="638"/>
      <c r="AL97" s="638">
        <f>IF(AJ97="","",SUM(AJ97:AK97))</f>
        <v>160.33000000000001</v>
      </c>
      <c r="AM97" s="639">
        <f>IF(AJ97="","",AL97-_xlfn.SINGLE(NormTid))</f>
        <v>0</v>
      </c>
      <c r="AN97" s="639">
        <f>IF(AM97="","",AM97+'November 2024'!AN97)</f>
        <v>0</v>
      </c>
    </row>
    <row r="98" spans="1:40" ht="18" customHeight="1" thickBot="1" x14ac:dyDescent="0.25">
      <c r="A98" s="2474"/>
      <c r="B98" s="2478" t="s">
        <v>0</v>
      </c>
      <c r="C98" s="2492"/>
      <c r="D98" s="1363"/>
      <c r="E98" s="1363"/>
      <c r="F98" s="820"/>
      <c r="G98" s="820"/>
      <c r="H98" s="655"/>
      <c r="I98" s="655"/>
      <c r="J98" s="655"/>
      <c r="K98" s="655"/>
      <c r="L98" s="655"/>
      <c r="M98" s="655"/>
      <c r="N98" s="655"/>
      <c r="O98" s="655"/>
      <c r="P98" s="655"/>
      <c r="Q98" s="655"/>
      <c r="R98" s="655"/>
      <c r="S98" s="655"/>
      <c r="T98" s="655"/>
      <c r="U98" s="655"/>
      <c r="V98" s="655"/>
      <c r="W98" s="655"/>
      <c r="X98" s="655"/>
      <c r="Y98" s="655"/>
      <c r="Z98" s="655"/>
      <c r="AA98" s="655"/>
      <c r="AB98" s="655"/>
      <c r="AC98" s="655"/>
      <c r="AD98" s="655"/>
      <c r="AE98" s="655"/>
      <c r="AF98" s="655"/>
      <c r="AG98" s="821"/>
      <c r="AH98" s="1"/>
      <c r="AJ98" s="638">
        <f>$AJ$12</f>
        <v>160.33000000000001</v>
      </c>
      <c r="AK98" s="638"/>
      <c r="AL98" s="638">
        <f>IF(AJ98="","",SUM(AJ98:AK98))</f>
        <v>160.33000000000001</v>
      </c>
      <c r="AM98" s="639">
        <f>IF(AJ98="","",AL98-_xlfn.SINGLE(NormTid))</f>
        <v>0</v>
      </c>
      <c r="AN98" s="639">
        <f>IF(AM98="","",AM98+'November 2024'!AN98)</f>
        <v>0</v>
      </c>
    </row>
    <row r="99" spans="1:40" ht="18" customHeight="1" thickBot="1" x14ac:dyDescent="0.25">
      <c r="A99" s="339"/>
      <c r="B99" s="2908" t="s">
        <v>191</v>
      </c>
      <c r="C99" s="334">
        <v>1</v>
      </c>
      <c r="D99" s="1810">
        <v>2</v>
      </c>
      <c r="E99" s="1810">
        <v>3</v>
      </c>
      <c r="F99" s="1810">
        <v>4</v>
      </c>
      <c r="G99" s="1810">
        <v>5</v>
      </c>
      <c r="H99" s="1810">
        <v>6</v>
      </c>
      <c r="I99" s="2486">
        <v>7</v>
      </c>
      <c r="J99" s="2486">
        <v>8</v>
      </c>
      <c r="K99" s="1810">
        <v>9</v>
      </c>
      <c r="L99" s="1810">
        <v>10</v>
      </c>
      <c r="M99" s="1810">
        <v>11</v>
      </c>
      <c r="N99" s="1810">
        <v>12</v>
      </c>
      <c r="O99" s="1810">
        <v>13</v>
      </c>
      <c r="P99" s="2486">
        <v>14</v>
      </c>
      <c r="Q99" s="2486">
        <v>15</v>
      </c>
      <c r="R99" s="1810">
        <v>16</v>
      </c>
      <c r="S99" s="1810">
        <v>17</v>
      </c>
      <c r="T99" s="1810">
        <v>18</v>
      </c>
      <c r="U99" s="1810">
        <v>19</v>
      </c>
      <c r="V99" s="1810">
        <v>20</v>
      </c>
      <c r="W99" s="2486">
        <v>21</v>
      </c>
      <c r="X99" s="2486">
        <v>22</v>
      </c>
      <c r="Y99" s="1810">
        <v>23</v>
      </c>
      <c r="Z99" s="1810">
        <v>24</v>
      </c>
      <c r="AA99" s="2486">
        <v>25</v>
      </c>
      <c r="AB99" s="2486">
        <v>26</v>
      </c>
      <c r="AC99" s="1810">
        <v>27</v>
      </c>
      <c r="AD99" s="2486">
        <v>28</v>
      </c>
      <c r="AE99" s="2486">
        <v>29</v>
      </c>
      <c r="AF99" s="1810">
        <v>30</v>
      </c>
      <c r="AG99" s="1810">
        <v>31</v>
      </c>
      <c r="AH99" s="1"/>
      <c r="AJ99" s="1638"/>
      <c r="AK99" s="1638"/>
      <c r="AL99" s="1638"/>
      <c r="AM99" s="1639"/>
      <c r="AN99" s="1639"/>
    </row>
    <row r="100" spans="1:40" ht="18" customHeight="1" thickBot="1" x14ac:dyDescent="0.25">
      <c r="A100" s="3066"/>
      <c r="B100" s="2649" t="s">
        <v>194</v>
      </c>
      <c r="C100" s="2920"/>
      <c r="D100" s="2921" t="s">
        <v>46</v>
      </c>
      <c r="E100" s="2921" t="s">
        <v>46</v>
      </c>
      <c r="F100" s="2921" t="s">
        <v>46</v>
      </c>
      <c r="G100" s="2921" t="s">
        <v>46</v>
      </c>
      <c r="H100" s="2921" t="s">
        <v>46</v>
      </c>
      <c r="I100" s="2922"/>
      <c r="J100" s="2922"/>
      <c r="K100" s="2921" t="s">
        <v>46</v>
      </c>
      <c r="L100" s="2921" t="s">
        <v>46</v>
      </c>
      <c r="M100" s="2921" t="s">
        <v>46</v>
      </c>
      <c r="N100" s="2921" t="s">
        <v>46</v>
      </c>
      <c r="O100" s="2921" t="s">
        <v>46</v>
      </c>
      <c r="P100" s="2921"/>
      <c r="Q100" s="2921"/>
      <c r="R100" s="2921" t="s">
        <v>46</v>
      </c>
      <c r="S100" s="2921" t="s">
        <v>46</v>
      </c>
      <c r="T100" s="2921" t="s">
        <v>46</v>
      </c>
      <c r="U100" s="2921" t="s">
        <v>46</v>
      </c>
      <c r="V100" s="2921" t="s">
        <v>46</v>
      </c>
      <c r="W100" s="2912"/>
      <c r="X100" s="2912"/>
      <c r="Y100" s="2912" t="s">
        <v>46</v>
      </c>
      <c r="Z100" s="2912"/>
      <c r="AA100" s="2912"/>
      <c r="AB100" s="2912"/>
      <c r="AC100" s="2877" t="s">
        <v>252</v>
      </c>
      <c r="AD100" s="2877"/>
      <c r="AE100" s="2877"/>
      <c r="AF100" s="2877" t="s">
        <v>153</v>
      </c>
      <c r="AG100" s="2891" t="s">
        <v>50</v>
      </c>
      <c r="AH100" s="1"/>
      <c r="AJ100" s="123"/>
      <c r="AK100" s="123"/>
      <c r="AL100" s="123"/>
      <c r="AM100" s="215"/>
      <c r="AN100" s="215"/>
    </row>
    <row r="101" spans="1:40" ht="18" customHeight="1" thickBot="1" x14ac:dyDescent="0.25">
      <c r="A101" s="2925"/>
      <c r="B101" s="3067" t="s">
        <v>430</v>
      </c>
      <c r="C101" s="2900"/>
      <c r="D101" s="2929">
        <v>3</v>
      </c>
      <c r="E101" s="2929" t="s">
        <v>456</v>
      </c>
      <c r="F101" s="2929" t="s">
        <v>456</v>
      </c>
      <c r="G101" s="2929" t="s">
        <v>456</v>
      </c>
      <c r="H101" s="2929" t="s">
        <v>456</v>
      </c>
      <c r="I101" s="2929"/>
      <c r="J101" s="2841"/>
      <c r="K101" s="2731" t="s">
        <v>46</v>
      </c>
      <c r="L101" s="2731" t="s">
        <v>46</v>
      </c>
      <c r="M101" s="2731" t="s">
        <v>46</v>
      </c>
      <c r="N101" s="2731" t="s">
        <v>421</v>
      </c>
      <c r="O101" s="2731" t="s">
        <v>399</v>
      </c>
      <c r="P101" s="805"/>
      <c r="Q101" s="805"/>
      <c r="R101" s="805">
        <v>99</v>
      </c>
      <c r="S101" s="805">
        <v>99</v>
      </c>
      <c r="T101" s="805">
        <v>89</v>
      </c>
      <c r="U101" s="805">
        <v>89</v>
      </c>
      <c r="V101" s="805">
        <v>89</v>
      </c>
      <c r="W101" s="805"/>
      <c r="X101" s="805"/>
      <c r="Y101" s="805">
        <v>99</v>
      </c>
      <c r="Z101" s="714"/>
      <c r="AA101" s="714" t="s">
        <v>0</v>
      </c>
      <c r="AB101" s="714" t="s">
        <v>0</v>
      </c>
      <c r="AC101" s="714" t="s">
        <v>50</v>
      </c>
      <c r="AD101" s="714" t="s">
        <v>0</v>
      </c>
      <c r="AE101" s="714" t="s">
        <v>0</v>
      </c>
      <c r="AF101" s="714" t="s">
        <v>50</v>
      </c>
      <c r="AG101" s="715" t="s">
        <v>50</v>
      </c>
      <c r="AH101" s="1"/>
      <c r="AJ101" s="123"/>
      <c r="AK101" s="123"/>
      <c r="AL101" s="123"/>
      <c r="AM101" s="123"/>
      <c r="AN101" s="123"/>
    </row>
    <row r="102" spans="1:40" ht="18" customHeight="1" x14ac:dyDescent="0.2">
      <c r="A102" s="2925"/>
      <c r="B102" s="2702" t="s">
        <v>431</v>
      </c>
      <c r="C102" s="2903"/>
      <c r="D102" s="799">
        <v>4</v>
      </c>
      <c r="E102" s="799">
        <v>4</v>
      </c>
      <c r="F102" s="799">
        <v>4</v>
      </c>
      <c r="G102" s="799">
        <v>4</v>
      </c>
      <c r="H102" s="805" t="s">
        <v>512</v>
      </c>
      <c r="I102" s="833"/>
      <c r="J102" s="833"/>
      <c r="K102" s="3068">
        <v>5</v>
      </c>
      <c r="L102" s="3068">
        <v>5</v>
      </c>
      <c r="M102" s="3068">
        <v>5</v>
      </c>
      <c r="N102" s="3068">
        <v>5</v>
      </c>
      <c r="O102" s="3068">
        <v>5</v>
      </c>
      <c r="P102" s="636"/>
      <c r="Q102" s="799"/>
      <c r="R102" s="799">
        <v>3</v>
      </c>
      <c r="S102" s="799">
        <v>3</v>
      </c>
      <c r="T102" s="799">
        <v>3</v>
      </c>
      <c r="U102" s="799">
        <v>3</v>
      </c>
      <c r="V102" s="636">
        <v>3</v>
      </c>
      <c r="W102" s="636"/>
      <c r="X102" s="799"/>
      <c r="Y102" s="799" t="s">
        <v>152</v>
      </c>
      <c r="Z102" s="712"/>
      <c r="AA102" s="712" t="s">
        <v>0</v>
      </c>
      <c r="AB102" s="712" t="s">
        <v>0</v>
      </c>
      <c r="AC102" s="712" t="s">
        <v>50</v>
      </c>
      <c r="AD102" s="712" t="s">
        <v>0</v>
      </c>
      <c r="AE102" s="712" t="s">
        <v>0</v>
      </c>
      <c r="AF102" s="2927" t="s">
        <v>401</v>
      </c>
      <c r="AG102" s="3069" t="s">
        <v>401</v>
      </c>
      <c r="AH102" s="1"/>
      <c r="AJ102" s="123"/>
      <c r="AK102" s="123"/>
      <c r="AL102" s="123"/>
      <c r="AM102" s="123"/>
      <c r="AN102" s="123"/>
    </row>
    <row r="103" spans="1:40" ht="18" customHeight="1" thickBot="1" x14ac:dyDescent="0.25">
      <c r="A103" s="2934"/>
      <c r="B103" s="3070" t="s">
        <v>433</v>
      </c>
      <c r="C103" s="711" t="s">
        <v>50</v>
      </c>
      <c r="D103" s="597">
        <v>6</v>
      </c>
      <c r="E103" s="712">
        <v>6</v>
      </c>
      <c r="F103" s="712">
        <v>6</v>
      </c>
      <c r="G103" s="712">
        <v>6</v>
      </c>
      <c r="H103" s="712">
        <v>6</v>
      </c>
      <c r="I103" s="712"/>
      <c r="J103" s="597"/>
      <c r="K103" s="2738" t="s">
        <v>50</v>
      </c>
      <c r="L103" s="2738" t="s">
        <v>50</v>
      </c>
      <c r="M103" s="2738" t="s">
        <v>50</v>
      </c>
      <c r="N103" s="2738" t="s">
        <v>50</v>
      </c>
      <c r="O103" s="2738" t="s">
        <v>50</v>
      </c>
      <c r="P103" s="597"/>
      <c r="Q103" s="597"/>
      <c r="R103" s="711">
        <v>5</v>
      </c>
      <c r="S103" s="712">
        <v>5</v>
      </c>
      <c r="T103" s="712" t="s">
        <v>458</v>
      </c>
      <c r="U103" s="712">
        <v>5</v>
      </c>
      <c r="V103" s="597">
        <v>5</v>
      </c>
      <c r="W103" s="597"/>
      <c r="X103" s="711"/>
      <c r="Y103" s="799" t="s">
        <v>46</v>
      </c>
      <c r="Z103" s="712"/>
      <c r="AA103" s="712" t="s">
        <v>0</v>
      </c>
      <c r="AB103" s="712" t="s">
        <v>0</v>
      </c>
      <c r="AC103" s="712" t="s">
        <v>50</v>
      </c>
      <c r="AD103" s="712" t="s">
        <v>0</v>
      </c>
      <c r="AE103" s="712" t="s">
        <v>0</v>
      </c>
      <c r="AF103" s="712" t="s">
        <v>50</v>
      </c>
      <c r="AG103" s="1086" t="s">
        <v>50</v>
      </c>
      <c r="AH103" s="1"/>
      <c r="AJ103" s="123"/>
      <c r="AK103" s="123"/>
      <c r="AL103" s="123"/>
      <c r="AM103" s="123"/>
      <c r="AN103" s="123"/>
    </row>
    <row r="104" spans="1:40" ht="18" customHeight="1" thickBot="1" x14ac:dyDescent="0.25">
      <c r="A104" s="841"/>
      <c r="B104" s="2941" t="s">
        <v>44</v>
      </c>
      <c r="C104" s="272">
        <v>1</v>
      </c>
      <c r="D104" s="273">
        <v>2</v>
      </c>
      <c r="E104" s="273">
        <v>3</v>
      </c>
      <c r="F104" s="273">
        <v>4</v>
      </c>
      <c r="G104" s="273">
        <v>5</v>
      </c>
      <c r="H104" s="273">
        <v>6</v>
      </c>
      <c r="I104" s="272">
        <v>7</v>
      </c>
      <c r="J104" s="272">
        <v>8</v>
      </c>
      <c r="K104" s="273">
        <v>9</v>
      </c>
      <c r="L104" s="273">
        <v>10</v>
      </c>
      <c r="M104" s="273">
        <v>11</v>
      </c>
      <c r="N104" s="273">
        <v>12</v>
      </c>
      <c r="O104" s="273">
        <v>13</v>
      </c>
      <c r="P104" s="272">
        <v>14</v>
      </c>
      <c r="Q104" s="272">
        <v>15</v>
      </c>
      <c r="R104" s="273">
        <v>16</v>
      </c>
      <c r="S104" s="273">
        <v>17</v>
      </c>
      <c r="T104" s="273">
        <v>18</v>
      </c>
      <c r="U104" s="273">
        <v>19</v>
      </c>
      <c r="V104" s="273">
        <v>20</v>
      </c>
      <c r="W104" s="272">
        <v>21</v>
      </c>
      <c r="X104" s="272">
        <v>22</v>
      </c>
      <c r="Y104" s="273">
        <v>23</v>
      </c>
      <c r="Z104" s="273">
        <v>24</v>
      </c>
      <c r="AA104" s="272">
        <v>25</v>
      </c>
      <c r="AB104" s="272">
        <v>26</v>
      </c>
      <c r="AC104" s="273">
        <v>27</v>
      </c>
      <c r="AD104" s="272">
        <v>28</v>
      </c>
      <c r="AE104" s="272">
        <v>29</v>
      </c>
      <c r="AF104" s="273">
        <v>30</v>
      </c>
      <c r="AG104" s="273">
        <v>31</v>
      </c>
      <c r="AH104" s="1"/>
    </row>
    <row r="105" spans="1:40" ht="18" customHeight="1" x14ac:dyDescent="0.2">
      <c r="A105" s="2496"/>
      <c r="B105" s="2942" t="s">
        <v>195</v>
      </c>
      <c r="C105" s="2764"/>
      <c r="D105" s="2943"/>
      <c r="E105" s="2764"/>
      <c r="F105" s="2764"/>
      <c r="G105" s="2764"/>
      <c r="H105" s="2764"/>
      <c r="I105" s="2764"/>
      <c r="J105" s="2764"/>
      <c r="K105" s="2764"/>
      <c r="L105" s="2764"/>
      <c r="M105" s="2764"/>
      <c r="N105" s="2764"/>
      <c r="O105" s="2764"/>
      <c r="P105" s="2764"/>
      <c r="Q105" s="2764"/>
      <c r="R105" s="2764"/>
      <c r="S105" s="2764"/>
      <c r="T105" s="2764"/>
      <c r="U105" s="2764"/>
      <c r="V105" s="2764"/>
      <c r="W105" s="2764"/>
      <c r="X105" s="2764"/>
      <c r="Y105" s="2764"/>
      <c r="Z105" s="2764"/>
      <c r="AA105" s="2764"/>
      <c r="AB105" s="2764"/>
      <c r="AC105" s="2764"/>
      <c r="AD105" s="2764"/>
      <c r="AE105" s="2764"/>
      <c r="AF105" s="2764"/>
      <c r="AG105" s="2771"/>
      <c r="AH105" s="1"/>
    </row>
    <row r="106" spans="1:40" ht="18" customHeight="1" x14ac:dyDescent="0.2">
      <c r="A106" s="2496"/>
      <c r="B106" s="2722"/>
      <c r="C106" s="2506"/>
      <c r="D106" s="2506"/>
      <c r="E106" s="2506"/>
      <c r="F106" s="2725"/>
      <c r="G106" s="2725"/>
      <c r="H106" s="2506"/>
      <c r="I106" s="2506"/>
      <c r="J106" s="2506"/>
      <c r="K106" s="2506"/>
      <c r="L106" s="2506"/>
      <c r="M106" s="2506"/>
      <c r="N106" s="2506"/>
      <c r="O106" s="2506"/>
      <c r="P106" s="2506"/>
      <c r="Q106" s="2506"/>
      <c r="R106" s="2506"/>
      <c r="S106" s="2506"/>
      <c r="T106" s="2718"/>
      <c r="U106" s="2506"/>
      <c r="V106" s="2506"/>
      <c r="W106" s="2506"/>
      <c r="X106" s="2506"/>
      <c r="Y106" s="2506"/>
      <c r="Z106" s="2506"/>
      <c r="AA106" s="2506"/>
      <c r="AB106" s="2506"/>
      <c r="AC106" s="2506"/>
      <c r="AD106" s="2506"/>
      <c r="AE106" s="2506"/>
      <c r="AF106" s="2506"/>
      <c r="AG106" s="2507"/>
      <c r="AH106" s="1"/>
    </row>
    <row r="107" spans="1:40" ht="18" customHeight="1" x14ac:dyDescent="0.2">
      <c r="A107" s="2496"/>
      <c r="B107" s="2722"/>
      <c r="C107" s="2718"/>
      <c r="D107" s="2718"/>
      <c r="E107" s="2718"/>
      <c r="F107" s="2718"/>
      <c r="G107" s="2718"/>
      <c r="H107" s="2718"/>
      <c r="I107" s="2718"/>
      <c r="J107" s="2718"/>
      <c r="K107" s="2718"/>
      <c r="L107" s="2718"/>
      <c r="M107" s="2718"/>
      <c r="N107" s="2718"/>
      <c r="O107" s="2718"/>
      <c r="P107" s="2718"/>
      <c r="Q107" s="2718"/>
      <c r="R107" s="2718"/>
      <c r="S107" s="2718"/>
      <c r="T107" s="2718"/>
      <c r="U107" s="2718"/>
      <c r="V107" s="2718"/>
      <c r="W107" s="2718"/>
      <c r="X107" s="2718"/>
      <c r="Y107" s="2718"/>
      <c r="Z107" s="2718"/>
      <c r="AA107" s="2718"/>
      <c r="AB107" s="2718"/>
      <c r="AC107" s="2718"/>
      <c r="AD107" s="2718"/>
      <c r="AE107" s="2718"/>
      <c r="AF107" s="2718"/>
      <c r="AG107" s="2721"/>
      <c r="AH107" s="1"/>
    </row>
    <row r="108" spans="1:40" ht="18" customHeight="1" thickBot="1" x14ac:dyDescent="0.25">
      <c r="A108" s="96"/>
      <c r="B108" s="2743"/>
      <c r="C108" s="2585"/>
      <c r="D108" s="2585"/>
      <c r="E108" s="2585"/>
      <c r="F108" s="2585"/>
      <c r="G108" s="2585"/>
      <c r="H108" s="2585"/>
      <c r="I108" s="2585"/>
      <c r="J108" s="2585"/>
      <c r="K108" s="2585"/>
      <c r="L108" s="2585"/>
      <c r="M108" s="2585"/>
      <c r="N108" s="2585"/>
      <c r="O108" s="2585"/>
      <c r="P108" s="2585"/>
      <c r="Q108" s="2585"/>
      <c r="R108" s="2585"/>
      <c r="S108" s="2585"/>
      <c r="T108" s="2585"/>
      <c r="U108" s="2585"/>
      <c r="V108" s="2585"/>
      <c r="W108" s="2585"/>
      <c r="X108" s="2585"/>
      <c r="Y108" s="2585"/>
      <c r="Z108" s="2585"/>
      <c r="AA108" s="2585"/>
      <c r="AB108" s="2585"/>
      <c r="AC108" s="2585"/>
      <c r="AD108" s="2585"/>
      <c r="AE108" s="2585"/>
      <c r="AF108" s="2585"/>
      <c r="AG108" s="2784"/>
      <c r="AH108" s="1"/>
    </row>
    <row r="109" spans="1:40" ht="18" customHeight="1" x14ac:dyDescent="0.2">
      <c r="A109" s="126"/>
      <c r="B109" s="127"/>
      <c r="C109" s="142"/>
      <c r="D109" s="142"/>
      <c r="E109" s="142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28"/>
      <c r="AH109" s="1"/>
    </row>
    <row r="110" spans="1:40" ht="18" customHeight="1" x14ac:dyDescent="0.2">
      <c r="A110" s="216" t="s">
        <v>197</v>
      </c>
      <c r="B110" s="127"/>
      <c r="C110" s="142"/>
      <c r="D110" s="142"/>
      <c r="E110" s="142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237"/>
      <c r="S110" s="237"/>
      <c r="T110" s="237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28"/>
      <c r="AH110" s="1"/>
    </row>
    <row r="111" spans="1:40" ht="18" customHeight="1" x14ac:dyDescent="0.25">
      <c r="A111" s="126"/>
      <c r="B111" s="217"/>
      <c r="C111" s="218"/>
      <c r="D111" s="218"/>
      <c r="E111" s="221" t="s">
        <v>198</v>
      </c>
      <c r="F111" s="218"/>
      <c r="G111" s="218"/>
      <c r="H111" s="218"/>
      <c r="I111" s="218"/>
      <c r="J111" s="218"/>
      <c r="K111" s="226" t="s">
        <v>13</v>
      </c>
      <c r="L111" s="222"/>
      <c r="M111" s="222"/>
      <c r="N111" s="222"/>
      <c r="O111" s="222"/>
      <c r="P111" s="222"/>
      <c r="Q111" s="222"/>
      <c r="R111" s="222"/>
      <c r="S111" s="222"/>
      <c r="T111" s="223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"/>
    </row>
    <row r="112" spans="1:40" ht="18" customHeight="1" x14ac:dyDescent="0.25">
      <c r="A112" s="126"/>
      <c r="B112" s="217" t="s">
        <v>199</v>
      </c>
      <c r="C112" s="218"/>
      <c r="D112" s="218"/>
      <c r="E112" s="219" t="s">
        <v>200</v>
      </c>
      <c r="F112" s="218"/>
      <c r="G112" s="218"/>
      <c r="H112" s="218"/>
      <c r="I112" s="218"/>
      <c r="J112" s="218"/>
      <c r="K112" s="218" t="s">
        <v>201</v>
      </c>
      <c r="L112" s="218"/>
      <c r="M112" s="218"/>
      <c r="N112" s="218"/>
      <c r="O112" s="218"/>
      <c r="P112" s="218"/>
      <c r="Q112" s="218"/>
      <c r="R112" s="236" t="s">
        <v>202</v>
      </c>
      <c r="S112" s="236"/>
      <c r="T112" s="236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"/>
    </row>
    <row r="113" spans="1:40" ht="18" customHeight="1" x14ac:dyDescent="0.25">
      <c r="A113" s="126"/>
      <c r="B113" s="217" t="s">
        <v>22</v>
      </c>
      <c r="C113" s="218"/>
      <c r="D113" s="218"/>
      <c r="E113" s="221" t="s">
        <v>203</v>
      </c>
      <c r="F113" s="218"/>
      <c r="G113" s="218"/>
      <c r="H113" s="218"/>
      <c r="I113" s="218"/>
      <c r="J113" s="218"/>
      <c r="K113" s="218" t="s">
        <v>204</v>
      </c>
      <c r="L113" s="218"/>
      <c r="M113" s="218"/>
      <c r="N113" s="218"/>
      <c r="O113" s="218"/>
      <c r="P113" s="218"/>
      <c r="Q113" s="218"/>
      <c r="R113" s="218"/>
      <c r="S113" s="218"/>
      <c r="T113" s="220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"/>
    </row>
    <row r="114" spans="1:40" ht="18" customHeight="1" x14ac:dyDescent="0.25">
      <c r="A114" s="126"/>
      <c r="B114" s="217" t="s">
        <v>205</v>
      </c>
      <c r="C114" s="218"/>
      <c r="D114" s="218"/>
      <c r="E114" s="221" t="s">
        <v>206</v>
      </c>
      <c r="F114" s="218"/>
      <c r="G114" s="218"/>
      <c r="H114" s="218"/>
      <c r="I114" s="218"/>
      <c r="J114" s="218"/>
      <c r="K114" s="218" t="s">
        <v>207</v>
      </c>
      <c r="L114" s="229"/>
      <c r="M114" s="229"/>
      <c r="N114" s="229"/>
      <c r="O114" s="229"/>
      <c r="P114" s="229"/>
      <c r="Q114" s="229"/>
      <c r="R114" s="229"/>
      <c r="S114" s="229"/>
      <c r="T114" s="230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"/>
    </row>
    <row r="115" spans="1:40" ht="18" customHeight="1" x14ac:dyDescent="0.25">
      <c r="A115" s="126"/>
      <c r="B115" s="227"/>
      <c r="C115" s="227"/>
      <c r="D115" s="227"/>
      <c r="E115" s="228"/>
      <c r="F115" s="227"/>
      <c r="G115" s="227"/>
      <c r="H115" s="227"/>
      <c r="I115" s="227"/>
      <c r="J115" s="227"/>
      <c r="K115" s="227"/>
      <c r="L115" s="231"/>
      <c r="M115" s="231"/>
      <c r="N115" s="231"/>
      <c r="O115" s="231"/>
      <c r="P115" s="231"/>
      <c r="Q115" s="231"/>
      <c r="R115" s="231"/>
      <c r="S115" s="231"/>
      <c r="T115" s="231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"/>
    </row>
    <row r="116" spans="1:40" ht="18" customHeight="1" x14ac:dyDescent="0.25">
      <c r="A116" s="126"/>
      <c r="B116" s="2508" t="s">
        <v>44</v>
      </c>
      <c r="C116" s="2707">
        <v>1</v>
      </c>
      <c r="D116" s="2706">
        <v>2</v>
      </c>
      <c r="E116" s="2706">
        <v>3</v>
      </c>
      <c r="F116" s="2706">
        <v>4</v>
      </c>
      <c r="G116" s="2706">
        <v>5</v>
      </c>
      <c r="H116" s="2706">
        <v>6</v>
      </c>
      <c r="I116" s="2707">
        <v>7</v>
      </c>
      <c r="J116" s="2707">
        <v>8</v>
      </c>
      <c r="K116" s="2706">
        <v>9</v>
      </c>
      <c r="L116" s="2706">
        <v>10</v>
      </c>
      <c r="M116" s="2706">
        <v>11</v>
      </c>
      <c r="N116" s="2706">
        <v>12</v>
      </c>
      <c r="O116" s="2706">
        <v>13</v>
      </c>
      <c r="P116" s="2707">
        <v>14</v>
      </c>
      <c r="Q116" s="2707">
        <v>15</v>
      </c>
      <c r="R116" s="2706">
        <v>16</v>
      </c>
      <c r="S116" s="2706">
        <v>17</v>
      </c>
      <c r="T116" s="2706">
        <v>18</v>
      </c>
      <c r="U116" s="2706">
        <v>19</v>
      </c>
      <c r="V116" s="2706">
        <v>20</v>
      </c>
      <c r="W116" s="2707">
        <v>21</v>
      </c>
      <c r="X116" s="2707">
        <v>22</v>
      </c>
      <c r="Y116" s="2706">
        <v>23</v>
      </c>
      <c r="Z116" s="2706">
        <v>24</v>
      </c>
      <c r="AA116" s="2707">
        <v>25</v>
      </c>
      <c r="AB116" s="2707">
        <v>26</v>
      </c>
      <c r="AC116" s="2706">
        <v>27</v>
      </c>
      <c r="AD116" s="2707">
        <v>28</v>
      </c>
      <c r="AE116" s="2707">
        <v>29</v>
      </c>
      <c r="AF116" s="2706">
        <v>30</v>
      </c>
      <c r="AG116" s="2706">
        <v>31</v>
      </c>
      <c r="AH116" s="1"/>
      <c r="AJ116" s="2703" t="s">
        <v>41</v>
      </c>
      <c r="AK116" s="2703" t="s">
        <v>62</v>
      </c>
      <c r="AL116" s="2703" t="s">
        <v>63</v>
      </c>
      <c r="AM116" s="2703" t="s">
        <v>64</v>
      </c>
      <c r="AN116" s="2703" t="s">
        <v>65</v>
      </c>
    </row>
    <row r="117" spans="1:40" ht="18" customHeight="1" x14ac:dyDescent="0.2">
      <c r="B117" s="2944" t="s">
        <v>484</v>
      </c>
      <c r="C117" s="2945" t="s">
        <v>50</v>
      </c>
      <c r="D117" s="2945" t="s">
        <v>209</v>
      </c>
      <c r="E117" s="2945" t="s">
        <v>209</v>
      </c>
      <c r="F117" s="2945" t="s">
        <v>209</v>
      </c>
      <c r="G117" s="2945" t="s">
        <v>209</v>
      </c>
      <c r="H117" s="2945" t="s">
        <v>209</v>
      </c>
      <c r="I117" s="2945" t="s">
        <v>210</v>
      </c>
      <c r="J117" s="2945" t="s">
        <v>211</v>
      </c>
      <c r="K117" s="2945" t="s">
        <v>50</v>
      </c>
      <c r="L117" s="2945" t="s">
        <v>50</v>
      </c>
      <c r="M117" s="2945" t="s">
        <v>50</v>
      </c>
      <c r="N117" s="2945" t="s">
        <v>50</v>
      </c>
      <c r="O117" s="2945" t="s">
        <v>50</v>
      </c>
      <c r="P117" s="2945" t="s">
        <v>50</v>
      </c>
      <c r="Q117" s="2945" t="s">
        <v>50</v>
      </c>
      <c r="R117" s="2945" t="s">
        <v>209</v>
      </c>
      <c r="S117" s="2945" t="s">
        <v>209</v>
      </c>
      <c r="T117" s="2945" t="s">
        <v>209</v>
      </c>
      <c r="U117" s="2945" t="s">
        <v>209</v>
      </c>
      <c r="V117" s="2945" t="s">
        <v>209</v>
      </c>
      <c r="W117" s="2945" t="s">
        <v>210</v>
      </c>
      <c r="X117" s="2945" t="s">
        <v>211</v>
      </c>
      <c r="Y117" s="2945" t="s">
        <v>50</v>
      </c>
      <c r="Z117" s="2945" t="s">
        <v>50</v>
      </c>
      <c r="AA117" s="2945" t="s">
        <v>50</v>
      </c>
      <c r="AB117" s="2945" t="s">
        <v>50</v>
      </c>
      <c r="AC117" s="2945" t="s">
        <v>50</v>
      </c>
      <c r="AD117" s="2945" t="s">
        <v>50</v>
      </c>
      <c r="AE117" s="2945" t="s">
        <v>50</v>
      </c>
      <c r="AF117" s="2945" t="s">
        <v>209</v>
      </c>
      <c r="AG117" s="2946" t="s">
        <v>209</v>
      </c>
      <c r="AH117" s="1"/>
      <c r="AJ117" s="638">
        <f>$AJ$12</f>
        <v>160.33000000000001</v>
      </c>
      <c r="AK117" s="638"/>
      <c r="AL117" s="638">
        <f>IF(AJ117="","",SUM(AJ117:AK117))</f>
        <v>160.33000000000001</v>
      </c>
      <c r="AM117" s="639">
        <f t="shared" ref="AM117:AM118" si="6">IF(AJ117="","",AL117-AJ117)</f>
        <v>0</v>
      </c>
      <c r="AN117" s="639">
        <f>IF(AM117="","",AM117+'November 2024'!AN115)</f>
        <v>-24.330000000000013</v>
      </c>
    </row>
    <row r="118" spans="1:40" ht="18" customHeight="1" x14ac:dyDescent="0.2">
      <c r="B118" s="851" t="s">
        <v>212</v>
      </c>
      <c r="C118" s="813" t="s">
        <v>211</v>
      </c>
      <c r="D118" s="635" t="s">
        <v>50</v>
      </c>
      <c r="E118" s="635" t="s">
        <v>50</v>
      </c>
      <c r="F118" s="636" t="s">
        <v>50</v>
      </c>
      <c r="G118" s="635" t="s">
        <v>50</v>
      </c>
      <c r="H118" s="635" t="s">
        <v>50</v>
      </c>
      <c r="I118" s="636"/>
      <c r="J118" s="636"/>
      <c r="K118" s="802" t="s">
        <v>209</v>
      </c>
      <c r="L118" s="802" t="s">
        <v>209</v>
      </c>
      <c r="M118" s="636" t="s">
        <v>209</v>
      </c>
      <c r="N118" s="636" t="s">
        <v>209</v>
      </c>
      <c r="O118" s="2947" t="s">
        <v>209</v>
      </c>
      <c r="P118" s="635" t="s">
        <v>210</v>
      </c>
      <c r="Q118" s="813" t="s">
        <v>211</v>
      </c>
      <c r="R118" s="635" t="s">
        <v>50</v>
      </c>
      <c r="S118" s="635" t="s">
        <v>50</v>
      </c>
      <c r="T118" s="636" t="s">
        <v>50</v>
      </c>
      <c r="U118" s="635" t="s">
        <v>50</v>
      </c>
      <c r="V118" s="635" t="s">
        <v>50</v>
      </c>
      <c r="W118" s="636"/>
      <c r="X118" s="636"/>
      <c r="Y118" s="636" t="s">
        <v>209</v>
      </c>
      <c r="Z118" s="636" t="s">
        <v>209</v>
      </c>
      <c r="AA118" s="636" t="s">
        <v>209</v>
      </c>
      <c r="AB118" s="636" t="s">
        <v>209</v>
      </c>
      <c r="AC118" s="635" t="s">
        <v>209</v>
      </c>
      <c r="AD118" s="635" t="s">
        <v>210</v>
      </c>
      <c r="AE118" s="813" t="s">
        <v>211</v>
      </c>
      <c r="AF118" s="635" t="s">
        <v>50</v>
      </c>
      <c r="AG118" s="801" t="s">
        <v>50</v>
      </c>
      <c r="AH118" s="1"/>
      <c r="AJ118" s="2510">
        <f t="shared" ref="AJ118" si="7">$AJ$12</f>
        <v>160.33000000000001</v>
      </c>
      <c r="AK118" s="2510"/>
      <c r="AL118" s="2510">
        <f t="shared" ref="AL118" si="8">IF(AJ118="","",SUM(AJ118:AK118))</f>
        <v>160.33000000000001</v>
      </c>
      <c r="AM118" s="2511">
        <f t="shared" si="6"/>
        <v>0</v>
      </c>
      <c r="AN118" s="639">
        <f>IF(AM118="","",AM118+'November 2024'!AN116)</f>
        <v>-10.330000000000013</v>
      </c>
    </row>
    <row r="119" spans="1:40" ht="18" customHeight="1" x14ac:dyDescent="0.2">
      <c r="B119" s="2512" t="s">
        <v>0</v>
      </c>
      <c r="C119" s="853" t="s">
        <v>148</v>
      </c>
      <c r="D119" s="853"/>
      <c r="E119" s="854" t="s">
        <v>0</v>
      </c>
      <c r="F119" s="853" t="s">
        <v>0</v>
      </c>
      <c r="G119" s="853" t="s">
        <v>0</v>
      </c>
      <c r="H119" s="853" t="s">
        <v>145</v>
      </c>
      <c r="I119" s="1363" t="s">
        <v>147</v>
      </c>
      <c r="J119" s="1363" t="s">
        <v>148</v>
      </c>
      <c r="K119" s="1363" t="s">
        <v>0</v>
      </c>
      <c r="L119" s="1363" t="s">
        <v>0</v>
      </c>
      <c r="M119" s="1363" t="s">
        <v>0</v>
      </c>
      <c r="N119" s="1363" t="s">
        <v>0</v>
      </c>
      <c r="O119" s="853" t="s">
        <v>145</v>
      </c>
      <c r="P119" s="853" t="s">
        <v>147</v>
      </c>
      <c r="Q119" s="853" t="s">
        <v>148</v>
      </c>
      <c r="R119" s="853"/>
      <c r="S119" s="854" t="s">
        <v>0</v>
      </c>
      <c r="T119" s="853" t="s">
        <v>0</v>
      </c>
      <c r="U119" s="853" t="s">
        <v>0</v>
      </c>
      <c r="V119" s="853" t="s">
        <v>145</v>
      </c>
      <c r="W119" s="1363" t="s">
        <v>147</v>
      </c>
      <c r="X119" s="1363" t="s">
        <v>148</v>
      </c>
      <c r="Y119" s="1363" t="s">
        <v>0</v>
      </c>
      <c r="Z119" s="1363" t="s">
        <v>0</v>
      </c>
      <c r="AA119" s="1363" t="s">
        <v>0</v>
      </c>
      <c r="AB119" s="1363" t="s">
        <v>0</v>
      </c>
      <c r="AC119" s="853" t="s">
        <v>145</v>
      </c>
      <c r="AD119" s="853" t="s">
        <v>147</v>
      </c>
      <c r="AE119" s="853" t="s">
        <v>148</v>
      </c>
      <c r="AF119" s="853"/>
      <c r="AG119" s="1384" t="s">
        <v>0</v>
      </c>
      <c r="AH119" s="1"/>
      <c r="AJ119" s="2513"/>
      <c r="AK119" s="2513"/>
      <c r="AL119" s="2513"/>
      <c r="AM119" s="2514"/>
      <c r="AN119" s="2514"/>
    </row>
    <row r="120" spans="1:40" ht="18" customHeight="1" x14ac:dyDescent="0.2">
      <c r="B120" s="232"/>
      <c r="C120" s="233"/>
      <c r="D120" s="233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  <c r="Z120" s="234"/>
      <c r="AA120" s="234"/>
      <c r="AB120" s="234"/>
      <c r="AC120" s="234"/>
      <c r="AD120" s="234"/>
      <c r="AE120" s="234"/>
      <c r="AF120" s="234"/>
      <c r="AG120" s="234"/>
      <c r="AH120" s="1"/>
      <c r="AJ120" s="123"/>
      <c r="AK120" s="123"/>
      <c r="AL120" s="123"/>
      <c r="AM120" s="215"/>
      <c r="AN120" s="215"/>
    </row>
    <row r="121" spans="1:40" ht="18" customHeight="1" x14ac:dyDescent="0.2">
      <c r="A121" s="3" t="s">
        <v>213</v>
      </c>
      <c r="AH121" s="1"/>
      <c r="AJ121" s="123"/>
      <c r="AK121" s="123"/>
      <c r="AL121" s="123"/>
      <c r="AM121" s="215"/>
      <c r="AN121" s="215"/>
    </row>
    <row r="122" spans="1:40" ht="18" customHeight="1" x14ac:dyDescent="0.25">
      <c r="B122" s="217"/>
      <c r="C122" s="218"/>
      <c r="D122" s="218"/>
      <c r="E122" s="221" t="s">
        <v>198</v>
      </c>
      <c r="F122" s="218"/>
      <c r="G122" s="218"/>
      <c r="H122" s="218"/>
      <c r="I122" s="218"/>
      <c r="J122" s="218"/>
      <c r="K122" s="226" t="s">
        <v>13</v>
      </c>
      <c r="L122" s="222"/>
      <c r="M122" s="222"/>
      <c r="N122" s="222"/>
      <c r="O122" s="222"/>
      <c r="P122" s="222"/>
      <c r="Q122" s="222"/>
      <c r="R122" s="222"/>
      <c r="S122" s="222"/>
      <c r="T122" s="223"/>
      <c r="AH122" s="1"/>
      <c r="AJ122" s="123"/>
      <c r="AK122" s="123"/>
      <c r="AL122" s="123"/>
      <c r="AM122" s="215"/>
      <c r="AN122" s="215"/>
    </row>
    <row r="123" spans="1:40" ht="18" customHeight="1" x14ac:dyDescent="0.25">
      <c r="B123" s="217" t="s">
        <v>199</v>
      </c>
      <c r="C123" s="218"/>
      <c r="D123" s="218"/>
      <c r="E123" s="219" t="s">
        <v>214</v>
      </c>
      <c r="F123" s="218"/>
      <c r="G123" s="218"/>
      <c r="H123" s="218"/>
      <c r="I123" s="218"/>
      <c r="J123" s="218"/>
      <c r="K123" s="218" t="s">
        <v>215</v>
      </c>
      <c r="L123" s="218"/>
      <c r="M123" s="218"/>
      <c r="N123" s="218"/>
      <c r="O123" s="218"/>
      <c r="P123" s="218"/>
      <c r="Q123" s="218"/>
      <c r="R123" s="236" t="s">
        <v>216</v>
      </c>
      <c r="S123" s="236"/>
      <c r="T123" s="236"/>
      <c r="AH123" s="1"/>
      <c r="AJ123" s="123"/>
      <c r="AK123" s="123"/>
      <c r="AL123" s="123"/>
      <c r="AM123" s="215"/>
      <c r="AN123" s="215"/>
    </row>
    <row r="124" spans="1:40" ht="18" customHeight="1" x14ac:dyDescent="0.25">
      <c r="B124" s="217" t="s">
        <v>22</v>
      </c>
      <c r="C124" s="218"/>
      <c r="D124" s="218"/>
      <c r="E124" s="221" t="s">
        <v>217</v>
      </c>
      <c r="F124" s="218"/>
      <c r="G124" s="218"/>
      <c r="H124" s="218"/>
      <c r="I124" s="218"/>
      <c r="J124" s="218"/>
      <c r="K124" s="218" t="s">
        <v>218</v>
      </c>
      <c r="L124" s="218"/>
      <c r="M124" s="218"/>
      <c r="N124" s="218"/>
      <c r="O124" s="218"/>
      <c r="P124" s="218"/>
      <c r="Q124" s="218"/>
      <c r="R124" s="218"/>
      <c r="S124" s="218"/>
      <c r="T124" s="220"/>
      <c r="AH124" s="1"/>
      <c r="AJ124" s="123"/>
      <c r="AK124" s="123"/>
      <c r="AL124" s="123"/>
      <c r="AM124" s="215"/>
      <c r="AN124" s="215"/>
    </row>
    <row r="125" spans="1:40" ht="18" customHeight="1" x14ac:dyDescent="0.25">
      <c r="B125" s="217" t="s">
        <v>205</v>
      </c>
      <c r="C125" s="218"/>
      <c r="D125" s="218"/>
      <c r="E125" s="221" t="s">
        <v>219</v>
      </c>
      <c r="F125" s="218"/>
      <c r="G125" s="218"/>
      <c r="H125" s="218"/>
      <c r="I125" s="218"/>
      <c r="J125" s="218"/>
      <c r="K125" s="218" t="s">
        <v>220</v>
      </c>
      <c r="L125" s="229"/>
      <c r="M125" s="229"/>
      <c r="N125" s="229"/>
      <c r="O125" s="229"/>
      <c r="P125" s="229"/>
      <c r="Q125" s="229"/>
      <c r="R125" s="229"/>
      <c r="S125" s="229"/>
      <c r="T125" s="230"/>
      <c r="U125" s="108"/>
      <c r="V125" s="108"/>
      <c r="AH125" s="1"/>
      <c r="AJ125" s="123"/>
      <c r="AK125" s="123"/>
      <c r="AL125" s="123"/>
      <c r="AM125" s="215"/>
      <c r="AN125" s="215"/>
    </row>
    <row r="126" spans="1:40" ht="18" customHeight="1" x14ac:dyDescent="0.2">
      <c r="T126" s="108"/>
      <c r="U126" s="108"/>
      <c r="V126" s="108"/>
      <c r="AH126" s="1"/>
      <c r="AJ126" s="123"/>
      <c r="AK126" s="123"/>
      <c r="AL126" s="123"/>
      <c r="AM126" s="215"/>
      <c r="AN126" s="215"/>
    </row>
    <row r="127" spans="1:40" ht="18" customHeight="1" x14ac:dyDescent="0.2">
      <c r="B127" s="3071" t="s">
        <v>44</v>
      </c>
      <c r="C127" s="2707">
        <v>1</v>
      </c>
      <c r="D127" s="2706">
        <v>2</v>
      </c>
      <c r="E127" s="2706">
        <v>3</v>
      </c>
      <c r="F127" s="2706">
        <v>4</v>
      </c>
      <c r="G127" s="2706">
        <v>5</v>
      </c>
      <c r="H127" s="2706">
        <v>6</v>
      </c>
      <c r="I127" s="2707">
        <v>7</v>
      </c>
      <c r="J127" s="2707">
        <v>8</v>
      </c>
      <c r="K127" s="2706">
        <v>9</v>
      </c>
      <c r="L127" s="2706">
        <v>10</v>
      </c>
      <c r="M127" s="2706">
        <v>11</v>
      </c>
      <c r="N127" s="2706">
        <v>12</v>
      </c>
      <c r="O127" s="2706">
        <v>13</v>
      </c>
      <c r="P127" s="2707">
        <v>14</v>
      </c>
      <c r="Q127" s="2707">
        <v>15</v>
      </c>
      <c r="R127" s="2706">
        <v>16</v>
      </c>
      <c r="S127" s="2706">
        <v>17</v>
      </c>
      <c r="T127" s="2706">
        <v>18</v>
      </c>
      <c r="U127" s="2706">
        <v>19</v>
      </c>
      <c r="V127" s="2706">
        <v>20</v>
      </c>
      <c r="W127" s="2707">
        <v>21</v>
      </c>
      <c r="X127" s="2707">
        <v>22</v>
      </c>
      <c r="Y127" s="2706">
        <v>23</v>
      </c>
      <c r="Z127" s="2706">
        <v>24</v>
      </c>
      <c r="AA127" s="2707">
        <v>25</v>
      </c>
      <c r="AB127" s="2707">
        <v>26</v>
      </c>
      <c r="AC127" s="2706">
        <v>27</v>
      </c>
      <c r="AD127" s="2707">
        <v>28</v>
      </c>
      <c r="AE127" s="2707">
        <v>29</v>
      </c>
      <c r="AF127" s="2706">
        <v>30</v>
      </c>
      <c r="AG127" s="2706">
        <v>31</v>
      </c>
      <c r="AH127" s="1"/>
      <c r="AJ127" s="2703" t="s">
        <v>41</v>
      </c>
      <c r="AK127" s="2703" t="s">
        <v>62</v>
      </c>
      <c r="AL127" s="2703" t="s">
        <v>63</v>
      </c>
      <c r="AM127" s="2703" t="s">
        <v>64</v>
      </c>
      <c r="AN127" s="2703" t="s">
        <v>65</v>
      </c>
    </row>
    <row r="128" spans="1:40" ht="18" customHeight="1" x14ac:dyDescent="0.2">
      <c r="B128" s="2515" t="s">
        <v>221</v>
      </c>
      <c r="C128" s="370"/>
      <c r="D128" s="370" t="s">
        <v>72</v>
      </c>
      <c r="E128" s="370" t="s">
        <v>72</v>
      </c>
      <c r="F128" s="370" t="s">
        <v>72</v>
      </c>
      <c r="G128" s="370" t="s">
        <v>72</v>
      </c>
      <c r="H128" s="373" t="s">
        <v>72</v>
      </c>
      <c r="I128" s="373" t="s">
        <v>73</v>
      </c>
      <c r="J128" s="373" t="s">
        <v>74</v>
      </c>
      <c r="K128" s="373" t="s">
        <v>50</v>
      </c>
      <c r="L128" s="373" t="s">
        <v>50</v>
      </c>
      <c r="M128" s="370" t="s">
        <v>50</v>
      </c>
      <c r="N128" s="370" t="s">
        <v>50</v>
      </c>
      <c r="O128" s="370" t="s">
        <v>50</v>
      </c>
      <c r="P128" s="370"/>
      <c r="Q128" s="370"/>
      <c r="R128" s="370" t="s">
        <v>72</v>
      </c>
      <c r="S128" s="370" t="s">
        <v>72</v>
      </c>
      <c r="T128" s="370" t="s">
        <v>72</v>
      </c>
      <c r="U128" s="370" t="s">
        <v>72</v>
      </c>
      <c r="V128" s="373" t="s">
        <v>72</v>
      </c>
      <c r="W128" s="373" t="s">
        <v>73</v>
      </c>
      <c r="X128" s="373" t="s">
        <v>74</v>
      </c>
      <c r="Y128" s="373" t="s">
        <v>50</v>
      </c>
      <c r="Z128" s="373" t="s">
        <v>50</v>
      </c>
      <c r="AA128" s="370" t="s">
        <v>50</v>
      </c>
      <c r="AB128" s="370" t="s">
        <v>50</v>
      </c>
      <c r="AC128" s="370" t="s">
        <v>50</v>
      </c>
      <c r="AD128" s="370"/>
      <c r="AE128" s="370"/>
      <c r="AF128" s="370" t="s">
        <v>72</v>
      </c>
      <c r="AG128" s="2890" t="s">
        <v>72</v>
      </c>
      <c r="AH128" s="1"/>
      <c r="AJ128" s="638">
        <f>$AJ$12</f>
        <v>160.33000000000001</v>
      </c>
      <c r="AK128" s="638"/>
      <c r="AL128" s="638">
        <f>IF(AJ128="","",SUM(AJ128:AK128))</f>
        <v>160.33000000000001</v>
      </c>
      <c r="AM128" s="639">
        <f>IF(AJ128="","",AL128-AJ128)</f>
        <v>0</v>
      </c>
      <c r="AN128" s="639">
        <f>IF(AM128="","",AM128+'November 2024'!AN126)</f>
        <v>-36.330000000000013</v>
      </c>
    </row>
    <row r="129" spans="1:40" ht="18" customHeight="1" x14ac:dyDescent="0.2">
      <c r="B129" s="2516" t="s">
        <v>222</v>
      </c>
      <c r="C129" s="635" t="s">
        <v>74</v>
      </c>
      <c r="D129" s="635" t="s">
        <v>50</v>
      </c>
      <c r="E129" s="635" t="s">
        <v>50</v>
      </c>
      <c r="F129" s="636" t="s">
        <v>50</v>
      </c>
      <c r="G129" s="636" t="s">
        <v>50</v>
      </c>
      <c r="H129" s="636" t="s">
        <v>50</v>
      </c>
      <c r="I129" s="636"/>
      <c r="J129" s="636"/>
      <c r="K129" s="968" t="s">
        <v>72</v>
      </c>
      <c r="L129" s="968" t="s">
        <v>72</v>
      </c>
      <c r="M129" s="968" t="s">
        <v>72</v>
      </c>
      <c r="N129" s="968" t="s">
        <v>72</v>
      </c>
      <c r="O129" s="2256" t="s">
        <v>72</v>
      </c>
      <c r="P129" s="1047" t="s">
        <v>73</v>
      </c>
      <c r="Q129" s="968" t="s">
        <v>74</v>
      </c>
      <c r="R129" s="635" t="s">
        <v>50</v>
      </c>
      <c r="S129" s="635" t="s">
        <v>50</v>
      </c>
      <c r="T129" s="636" t="s">
        <v>50</v>
      </c>
      <c r="U129" s="636" t="s">
        <v>50</v>
      </c>
      <c r="V129" s="636" t="s">
        <v>50</v>
      </c>
      <c r="W129" s="636"/>
      <c r="X129" s="636"/>
      <c r="Y129" s="636" t="s">
        <v>72</v>
      </c>
      <c r="Z129" s="636" t="s">
        <v>72</v>
      </c>
      <c r="AA129" s="636" t="s">
        <v>72</v>
      </c>
      <c r="AB129" s="636" t="s">
        <v>72</v>
      </c>
      <c r="AC129" s="635" t="s">
        <v>72</v>
      </c>
      <c r="AD129" s="635" t="s">
        <v>73</v>
      </c>
      <c r="AE129" s="635" t="s">
        <v>74</v>
      </c>
      <c r="AF129" s="635" t="s">
        <v>50</v>
      </c>
      <c r="AG129" s="636" t="s">
        <v>50</v>
      </c>
      <c r="AH129" s="1"/>
      <c r="AJ129" s="638">
        <f>$AJ$12</f>
        <v>160.33000000000001</v>
      </c>
      <c r="AK129" s="638"/>
      <c r="AL129" s="638">
        <f>IF(AJ129="","",SUM(AJ129:AK129))</f>
        <v>160.33000000000001</v>
      </c>
      <c r="AM129" s="639">
        <f>IF(AJ129="","",AL129-AJ129)</f>
        <v>0</v>
      </c>
      <c r="AN129" s="639">
        <f>IF(AM129="","",AM129+'November 2024'!AN127)</f>
        <v>-10.330000000000013</v>
      </c>
    </row>
    <row r="130" spans="1:40" ht="18" customHeight="1" x14ac:dyDescent="0.2">
      <c r="B130" s="2517" t="s">
        <v>0</v>
      </c>
      <c r="C130" s="2518" t="s">
        <v>141</v>
      </c>
      <c r="D130" s="2518" t="s">
        <v>50</v>
      </c>
      <c r="E130" s="2518" t="s">
        <v>50</v>
      </c>
      <c r="F130" s="2518" t="s">
        <v>50</v>
      </c>
      <c r="G130" s="2518" t="s">
        <v>50</v>
      </c>
      <c r="H130" s="2518" t="s">
        <v>139</v>
      </c>
      <c r="I130" s="2518" t="s">
        <v>140</v>
      </c>
      <c r="J130" s="2518" t="s">
        <v>141</v>
      </c>
      <c r="K130" s="2518" t="s">
        <v>50</v>
      </c>
      <c r="L130" s="2518" t="s">
        <v>50</v>
      </c>
      <c r="M130" s="2518" t="s">
        <v>50</v>
      </c>
      <c r="N130" s="2518" t="s">
        <v>50</v>
      </c>
      <c r="O130" s="2518" t="s">
        <v>139</v>
      </c>
      <c r="P130" s="2518" t="s">
        <v>140</v>
      </c>
      <c r="Q130" s="2518" t="s">
        <v>141</v>
      </c>
      <c r="R130" s="2518" t="s">
        <v>50</v>
      </c>
      <c r="S130" s="2518" t="s">
        <v>50</v>
      </c>
      <c r="T130" s="2518" t="s">
        <v>50</v>
      </c>
      <c r="U130" s="2518" t="s">
        <v>50</v>
      </c>
      <c r="V130" s="2518" t="s">
        <v>139</v>
      </c>
      <c r="W130" s="2518" t="s">
        <v>140</v>
      </c>
      <c r="X130" s="2518" t="s">
        <v>141</v>
      </c>
      <c r="Y130" s="2518" t="s">
        <v>50</v>
      </c>
      <c r="Z130" s="2518" t="s">
        <v>50</v>
      </c>
      <c r="AA130" s="2518" t="s">
        <v>50</v>
      </c>
      <c r="AB130" s="2518" t="s">
        <v>50</v>
      </c>
      <c r="AC130" s="2518" t="s">
        <v>139</v>
      </c>
      <c r="AD130" s="2518" t="s">
        <v>140</v>
      </c>
      <c r="AE130" s="2518" t="s">
        <v>141</v>
      </c>
      <c r="AF130" s="2518" t="s">
        <v>50</v>
      </c>
      <c r="AG130" s="2518" t="s">
        <v>50</v>
      </c>
      <c r="AH130" s="1"/>
    </row>
    <row r="131" spans="1:40" ht="18" customHeight="1" x14ac:dyDescent="0.2">
      <c r="B131" s="235" t="s">
        <v>0</v>
      </c>
      <c r="C131" s="234" t="s">
        <v>0</v>
      </c>
      <c r="D131" s="234" t="s">
        <v>0</v>
      </c>
      <c r="E131" s="234" t="s">
        <v>0</v>
      </c>
      <c r="F131" s="234" t="s">
        <v>0</v>
      </c>
      <c r="G131" s="234" t="s">
        <v>0</v>
      </c>
      <c r="H131" s="234" t="s">
        <v>0</v>
      </c>
      <c r="I131" s="234" t="s">
        <v>0</v>
      </c>
      <c r="J131" s="234" t="s">
        <v>0</v>
      </c>
      <c r="K131" s="234" t="s">
        <v>0</v>
      </c>
      <c r="L131" s="234" t="s">
        <v>0</v>
      </c>
      <c r="M131" s="234" t="s">
        <v>0</v>
      </c>
      <c r="N131" s="234" t="s">
        <v>0</v>
      </c>
      <c r="O131" s="234" t="s">
        <v>0</v>
      </c>
      <c r="P131" s="234" t="s">
        <v>0</v>
      </c>
      <c r="Q131" s="234" t="s">
        <v>0</v>
      </c>
      <c r="R131" s="234" t="s">
        <v>0</v>
      </c>
      <c r="S131" s="234" t="s">
        <v>0</v>
      </c>
      <c r="T131" s="234" t="s">
        <v>0</v>
      </c>
      <c r="U131" s="234" t="s">
        <v>0</v>
      </c>
      <c r="V131" s="234" t="s">
        <v>0</v>
      </c>
      <c r="W131" s="234" t="s">
        <v>0</v>
      </c>
      <c r="X131" s="234" t="s">
        <v>0</v>
      </c>
      <c r="Y131" s="234" t="s">
        <v>0</v>
      </c>
      <c r="Z131" s="234" t="s">
        <v>0</v>
      </c>
      <c r="AA131" s="234" t="s">
        <v>0</v>
      </c>
      <c r="AB131" s="234" t="s">
        <v>0</v>
      </c>
      <c r="AC131" s="234" t="s">
        <v>0</v>
      </c>
      <c r="AD131" s="234" t="s">
        <v>0</v>
      </c>
      <c r="AE131" s="234" t="s">
        <v>0</v>
      </c>
      <c r="AF131" s="234" t="s">
        <v>0</v>
      </c>
      <c r="AG131" s="234" t="s">
        <v>0</v>
      </c>
      <c r="AH131" s="1"/>
      <c r="AJ131" s="123"/>
      <c r="AK131" s="123"/>
      <c r="AL131" s="123"/>
      <c r="AM131" s="215"/>
      <c r="AN131" s="215"/>
    </row>
    <row r="132" spans="1:40" ht="18" customHeight="1" x14ac:dyDescent="0.2">
      <c r="A132" s="3" t="s">
        <v>223</v>
      </c>
      <c r="AH132" s="1"/>
      <c r="AJ132" s="123"/>
      <c r="AK132" s="123"/>
      <c r="AL132" s="123"/>
      <c r="AM132" s="215"/>
      <c r="AN132" s="215"/>
    </row>
    <row r="133" spans="1:40" ht="18" customHeight="1" x14ac:dyDescent="0.25">
      <c r="B133" s="217"/>
      <c r="C133" s="218"/>
      <c r="D133" s="218"/>
      <c r="E133" s="221" t="s">
        <v>198</v>
      </c>
      <c r="F133" s="218"/>
      <c r="G133" s="218"/>
      <c r="H133" s="218"/>
      <c r="I133" s="218"/>
      <c r="J133" s="218"/>
      <c r="K133" s="226" t="s">
        <v>13</v>
      </c>
      <c r="L133" s="222"/>
      <c r="M133" s="222"/>
      <c r="N133" s="222"/>
      <c r="O133" s="222"/>
      <c r="P133" s="222"/>
      <c r="Q133" s="222"/>
      <c r="R133" s="222"/>
      <c r="S133" s="222"/>
      <c r="T133" s="223"/>
      <c r="AH133" s="1"/>
      <c r="AJ133" s="123"/>
      <c r="AK133" s="123"/>
      <c r="AL133" s="123"/>
      <c r="AM133" s="215"/>
      <c r="AN133" s="215"/>
    </row>
    <row r="134" spans="1:40" ht="18" customHeight="1" x14ac:dyDescent="0.25">
      <c r="B134" s="217" t="s">
        <v>199</v>
      </c>
      <c r="C134" s="218"/>
      <c r="D134" s="218"/>
      <c r="E134" s="219" t="s">
        <v>224</v>
      </c>
      <c r="F134" s="218"/>
      <c r="G134" s="218"/>
      <c r="H134" s="218"/>
      <c r="I134" s="218"/>
      <c r="J134" s="218"/>
      <c r="K134" s="218" t="s">
        <v>225</v>
      </c>
      <c r="L134" s="218"/>
      <c r="M134" s="218"/>
      <c r="N134" s="218"/>
      <c r="O134" s="218"/>
      <c r="P134" s="218"/>
      <c r="Q134" s="218"/>
      <c r="R134" s="236" t="s">
        <v>226</v>
      </c>
      <c r="S134" s="236"/>
      <c r="T134" s="236"/>
      <c r="AH134" s="1"/>
      <c r="AJ134" s="123"/>
      <c r="AK134" s="123"/>
      <c r="AL134" s="123"/>
      <c r="AM134" s="215"/>
      <c r="AN134" s="215"/>
    </row>
    <row r="135" spans="1:40" ht="18" customHeight="1" x14ac:dyDescent="0.25">
      <c r="B135" s="217" t="s">
        <v>22</v>
      </c>
      <c r="C135" s="218"/>
      <c r="D135" s="218"/>
      <c r="E135" s="221" t="s">
        <v>227</v>
      </c>
      <c r="F135" s="218"/>
      <c r="G135" s="218"/>
      <c r="H135" s="218"/>
      <c r="I135" s="218"/>
      <c r="J135" s="218"/>
      <c r="K135" s="218" t="s">
        <v>228</v>
      </c>
      <c r="L135" s="218"/>
      <c r="M135" s="218"/>
      <c r="N135" s="218"/>
      <c r="O135" s="218"/>
      <c r="P135" s="218"/>
      <c r="Q135" s="218"/>
      <c r="R135" s="218"/>
      <c r="S135" s="218"/>
      <c r="T135" s="220"/>
      <c r="AH135" s="1"/>
      <c r="AJ135" s="123"/>
      <c r="AK135" s="123"/>
      <c r="AL135" s="123"/>
      <c r="AM135" s="215"/>
      <c r="AN135" s="215"/>
    </row>
    <row r="136" spans="1:40" ht="18" customHeight="1" x14ac:dyDescent="0.25">
      <c r="B136" s="217" t="s">
        <v>205</v>
      </c>
      <c r="C136" s="218"/>
      <c r="D136" s="218"/>
      <c r="E136" s="221" t="s">
        <v>229</v>
      </c>
      <c r="F136" s="218"/>
      <c r="G136" s="218"/>
      <c r="H136" s="218"/>
      <c r="I136" s="218"/>
      <c r="J136" s="218"/>
      <c r="K136" s="218" t="s">
        <v>230</v>
      </c>
      <c r="L136" s="229"/>
      <c r="M136" s="229"/>
      <c r="N136" s="229"/>
      <c r="O136" s="229"/>
      <c r="P136" s="229"/>
      <c r="Q136" s="229"/>
      <c r="R136" s="229"/>
      <c r="S136" s="229"/>
      <c r="T136" s="230"/>
      <c r="U136" s="108"/>
      <c r="V136" s="108"/>
      <c r="AH136" s="1"/>
      <c r="AJ136" s="123"/>
      <c r="AK136" s="123"/>
      <c r="AL136" s="123"/>
      <c r="AM136" s="215"/>
      <c r="AN136" s="215"/>
    </row>
    <row r="137" spans="1:40" ht="18" customHeight="1" x14ac:dyDescent="0.2">
      <c r="T137" s="108"/>
      <c r="U137" s="108"/>
      <c r="V137" s="108"/>
      <c r="AH137" s="1"/>
      <c r="AJ137" s="123"/>
      <c r="AK137" s="123"/>
      <c r="AL137" s="123"/>
      <c r="AM137" s="215"/>
      <c r="AN137" s="215"/>
    </row>
    <row r="138" spans="1:40" ht="18" customHeight="1" x14ac:dyDescent="0.2">
      <c r="B138" s="3071" t="s">
        <v>44</v>
      </c>
      <c r="C138" s="2707">
        <v>1</v>
      </c>
      <c r="D138" s="2706">
        <v>2</v>
      </c>
      <c r="E138" s="2706">
        <v>3</v>
      </c>
      <c r="F138" s="2706">
        <v>4</v>
      </c>
      <c r="G138" s="2706">
        <v>5</v>
      </c>
      <c r="H138" s="2706">
        <v>6</v>
      </c>
      <c r="I138" s="2707">
        <v>7</v>
      </c>
      <c r="J138" s="2707">
        <v>8</v>
      </c>
      <c r="K138" s="2706">
        <v>9</v>
      </c>
      <c r="L138" s="2706">
        <v>10</v>
      </c>
      <c r="M138" s="2706">
        <v>11</v>
      </c>
      <c r="N138" s="2706">
        <v>12</v>
      </c>
      <c r="O138" s="2706">
        <v>13</v>
      </c>
      <c r="P138" s="2707">
        <v>14</v>
      </c>
      <c r="Q138" s="2707">
        <v>15</v>
      </c>
      <c r="R138" s="2706">
        <v>16</v>
      </c>
      <c r="S138" s="2706">
        <v>17</v>
      </c>
      <c r="T138" s="2706">
        <v>18</v>
      </c>
      <c r="U138" s="2706">
        <v>19</v>
      </c>
      <c r="V138" s="2706">
        <v>20</v>
      </c>
      <c r="W138" s="2707">
        <v>21</v>
      </c>
      <c r="X138" s="2707">
        <v>22</v>
      </c>
      <c r="Y138" s="2706">
        <v>23</v>
      </c>
      <c r="Z138" s="2706">
        <v>24</v>
      </c>
      <c r="AA138" s="2707">
        <v>25</v>
      </c>
      <c r="AB138" s="2707">
        <v>26</v>
      </c>
      <c r="AC138" s="2706">
        <v>27</v>
      </c>
      <c r="AD138" s="2707">
        <v>28</v>
      </c>
      <c r="AE138" s="2707">
        <v>29</v>
      </c>
      <c r="AF138" s="2706">
        <v>30</v>
      </c>
      <c r="AG138" s="2706">
        <v>31</v>
      </c>
      <c r="AH138" s="1"/>
      <c r="AJ138" s="2703" t="s">
        <v>41</v>
      </c>
      <c r="AK138" s="2703" t="s">
        <v>62</v>
      </c>
      <c r="AL138" s="2703" t="s">
        <v>63</v>
      </c>
      <c r="AM138" s="2703" t="s">
        <v>64</v>
      </c>
      <c r="AN138" s="2703" t="s">
        <v>65</v>
      </c>
    </row>
    <row r="139" spans="1:40" ht="18" customHeight="1" x14ac:dyDescent="0.2">
      <c r="B139" s="2949" t="s">
        <v>502</v>
      </c>
      <c r="C139" s="2890"/>
      <c r="D139" s="2890" t="s">
        <v>162</v>
      </c>
      <c r="E139" s="2890" t="s">
        <v>162</v>
      </c>
      <c r="F139" s="3072" t="s">
        <v>162</v>
      </c>
      <c r="G139" s="3072" t="s">
        <v>162</v>
      </c>
      <c r="H139" s="2950" t="s">
        <v>162</v>
      </c>
      <c r="I139" s="2950" t="s">
        <v>163</v>
      </c>
      <c r="J139" s="2950" t="s">
        <v>164</v>
      </c>
      <c r="K139" s="2877" t="s">
        <v>50</v>
      </c>
      <c r="L139" s="2877" t="s">
        <v>50</v>
      </c>
      <c r="M139" s="2890" t="s">
        <v>50</v>
      </c>
      <c r="N139" s="2890" t="s">
        <v>50</v>
      </c>
      <c r="O139" s="2890" t="s">
        <v>50</v>
      </c>
      <c r="P139" s="2890"/>
      <c r="Q139" s="2890"/>
      <c r="R139" s="2890" t="s">
        <v>162</v>
      </c>
      <c r="S139" s="2890" t="s">
        <v>162</v>
      </c>
      <c r="T139" s="2890" t="s">
        <v>162</v>
      </c>
      <c r="U139" s="2890" t="s">
        <v>162</v>
      </c>
      <c r="V139" s="3073" t="s">
        <v>162</v>
      </c>
      <c r="W139" s="3073" t="s">
        <v>163</v>
      </c>
      <c r="X139" s="3073" t="s">
        <v>164</v>
      </c>
      <c r="Y139" s="2877" t="s">
        <v>50</v>
      </c>
      <c r="Z139" s="2877" t="s">
        <v>50</v>
      </c>
      <c r="AA139" s="2890" t="s">
        <v>50</v>
      </c>
      <c r="AB139" s="2890" t="s">
        <v>50</v>
      </c>
      <c r="AC139" s="2890" t="s">
        <v>50</v>
      </c>
      <c r="AD139" s="2890"/>
      <c r="AE139" s="2890"/>
      <c r="AF139" s="2890" t="s">
        <v>162</v>
      </c>
      <c r="AG139" s="2890" t="s">
        <v>162</v>
      </c>
      <c r="AH139" s="1"/>
      <c r="AJ139" s="638">
        <f>$AJ$12</f>
        <v>160.33000000000001</v>
      </c>
      <c r="AK139" s="638"/>
      <c r="AL139" s="638">
        <f>IF(AJ139="","",SUM(AJ139:AK139))</f>
        <v>160.33000000000001</v>
      </c>
      <c r="AM139" s="639">
        <f>IF(AJ139="","",AL139-AJ139)</f>
        <v>0</v>
      </c>
      <c r="AN139" s="639">
        <f>IF(AM139="","",AM139+'November 2024'!AN137)</f>
        <v>-24.330000000000013</v>
      </c>
    </row>
    <row r="140" spans="1:40" ht="18" customHeight="1" x14ac:dyDescent="0.2">
      <c r="B140" s="863" t="s">
        <v>0</v>
      </c>
      <c r="C140" s="635" t="s">
        <v>164</v>
      </c>
      <c r="D140" s="635" t="s">
        <v>50</v>
      </c>
      <c r="E140" s="635" t="s">
        <v>50</v>
      </c>
      <c r="F140" s="636" t="s">
        <v>50</v>
      </c>
      <c r="G140" s="636" t="s">
        <v>50</v>
      </c>
      <c r="H140" s="636" t="s">
        <v>50</v>
      </c>
      <c r="I140" s="636"/>
      <c r="J140" s="636"/>
      <c r="K140" s="833" t="s">
        <v>162</v>
      </c>
      <c r="L140" s="833" t="s">
        <v>162</v>
      </c>
      <c r="M140" s="833" t="s">
        <v>162</v>
      </c>
      <c r="N140" s="833" t="s">
        <v>162</v>
      </c>
      <c r="O140" s="833" t="s">
        <v>162</v>
      </c>
      <c r="P140" s="833" t="s">
        <v>163</v>
      </c>
      <c r="Q140" s="833" t="s">
        <v>164</v>
      </c>
      <c r="R140" s="635" t="s">
        <v>50</v>
      </c>
      <c r="S140" s="635" t="s">
        <v>50</v>
      </c>
      <c r="T140" s="636" t="s">
        <v>50</v>
      </c>
      <c r="U140" s="636" t="s">
        <v>50</v>
      </c>
      <c r="V140" s="636" t="s">
        <v>50</v>
      </c>
      <c r="W140" s="636"/>
      <c r="X140" s="636"/>
      <c r="Y140" s="636" t="s">
        <v>162</v>
      </c>
      <c r="Z140" s="636" t="s">
        <v>162</v>
      </c>
      <c r="AA140" s="636" t="s">
        <v>162</v>
      </c>
      <c r="AB140" s="636" t="s">
        <v>162</v>
      </c>
      <c r="AC140" s="635" t="s">
        <v>162</v>
      </c>
      <c r="AD140" s="635" t="s">
        <v>163</v>
      </c>
      <c r="AE140" s="635" t="s">
        <v>164</v>
      </c>
      <c r="AF140" s="635" t="s">
        <v>50</v>
      </c>
      <c r="AG140" s="636" t="s">
        <v>50</v>
      </c>
      <c r="AH140" s="1"/>
      <c r="AJ140" s="638">
        <f>$AJ$12</f>
        <v>160.33000000000001</v>
      </c>
      <c r="AK140" s="638"/>
      <c r="AL140" s="638">
        <f>IF(AJ140="","",SUM(AJ140:AK140))</f>
        <v>160.33000000000001</v>
      </c>
      <c r="AM140" s="639">
        <f>IF(AJ140="","",AL140-AJ140)</f>
        <v>0</v>
      </c>
      <c r="AN140" s="639">
        <f>IF(AM140="","",AM140+'November 2024'!AN138)</f>
        <v>0</v>
      </c>
    </row>
    <row r="141" spans="1:40" ht="18" customHeight="1" x14ac:dyDescent="0.2">
      <c r="B141" s="864" t="s">
        <v>0</v>
      </c>
      <c r="C141" s="1363" t="s">
        <v>71</v>
      </c>
      <c r="D141" s="1363" t="s">
        <v>50</v>
      </c>
      <c r="E141" s="1363" t="s">
        <v>50</v>
      </c>
      <c r="F141" s="1363" t="s">
        <v>50</v>
      </c>
      <c r="G141" s="1363" t="s">
        <v>50</v>
      </c>
      <c r="H141" s="1363" t="s">
        <v>149</v>
      </c>
      <c r="I141" s="1363" t="s">
        <v>150</v>
      </c>
      <c r="J141" s="1363" t="s">
        <v>71</v>
      </c>
      <c r="K141" s="1363" t="s">
        <v>50</v>
      </c>
      <c r="L141" s="1363" t="s">
        <v>50</v>
      </c>
      <c r="M141" s="1363" t="s">
        <v>50</v>
      </c>
      <c r="N141" s="1363" t="s">
        <v>50</v>
      </c>
      <c r="O141" s="1363" t="s">
        <v>149</v>
      </c>
      <c r="P141" s="1363" t="s">
        <v>150</v>
      </c>
      <c r="Q141" s="1363" t="s">
        <v>71</v>
      </c>
      <c r="R141" s="1363" t="s">
        <v>50</v>
      </c>
      <c r="S141" s="1363" t="s">
        <v>50</v>
      </c>
      <c r="T141" s="1363" t="s">
        <v>50</v>
      </c>
      <c r="U141" s="1363" t="s">
        <v>50</v>
      </c>
      <c r="V141" s="1363" t="s">
        <v>149</v>
      </c>
      <c r="W141" s="1363" t="s">
        <v>150</v>
      </c>
      <c r="X141" s="1363" t="s">
        <v>71</v>
      </c>
      <c r="Y141" s="1363" t="s">
        <v>50</v>
      </c>
      <c r="Z141" s="1363" t="s">
        <v>50</v>
      </c>
      <c r="AA141" s="1363" t="s">
        <v>50</v>
      </c>
      <c r="AB141" s="1363" t="s">
        <v>50</v>
      </c>
      <c r="AC141" s="1363" t="s">
        <v>149</v>
      </c>
      <c r="AD141" s="1363" t="s">
        <v>150</v>
      </c>
      <c r="AE141" s="1363" t="s">
        <v>71</v>
      </c>
      <c r="AF141" s="1363" t="s">
        <v>50</v>
      </c>
      <c r="AG141" s="1363" t="s">
        <v>50</v>
      </c>
      <c r="AH141" s="1"/>
      <c r="AJ141" s="123"/>
      <c r="AK141" s="123"/>
      <c r="AL141" s="123"/>
      <c r="AM141" s="215"/>
      <c r="AN141" s="215"/>
    </row>
    <row r="142" spans="1:40" ht="18" customHeight="1" x14ac:dyDescent="0.2">
      <c r="B142" s="127"/>
      <c r="C142" s="128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"/>
    </row>
    <row r="143" spans="1:40" ht="18" customHeight="1" thickBot="1" x14ac:dyDescent="0.25">
      <c r="A143" s="129"/>
      <c r="B143" s="123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  <c r="Y143" s="130"/>
      <c r="Z143" s="130"/>
      <c r="AA143" s="130"/>
      <c r="AB143" s="130"/>
      <c r="AC143" s="130"/>
      <c r="AD143" s="130"/>
      <c r="AE143" s="130"/>
      <c r="AF143" s="130"/>
      <c r="AG143" s="131"/>
      <c r="AH143" s="132"/>
      <c r="AI143" s="116"/>
    </row>
    <row r="144" spans="1:40" ht="18" customHeight="1" x14ac:dyDescent="0.2">
      <c r="A144" s="48"/>
      <c r="B144" s="2952" t="s">
        <v>247</v>
      </c>
      <c r="C144" s="2953"/>
      <c r="D144" s="2954" t="s">
        <v>17</v>
      </c>
      <c r="E144" s="2955"/>
      <c r="F144" s="2953"/>
      <c r="G144" s="2956" t="s">
        <v>18</v>
      </c>
      <c r="H144" s="2957"/>
      <c r="I144" s="2958"/>
      <c r="J144" s="2956" t="s">
        <v>19</v>
      </c>
      <c r="K144" s="2959"/>
      <c r="L144" s="2958"/>
      <c r="M144" s="2960" t="s">
        <v>20</v>
      </c>
      <c r="N144" s="2959"/>
      <c r="O144" s="2958"/>
      <c r="P144" s="2956" t="s">
        <v>21</v>
      </c>
      <c r="Q144" s="2961"/>
      <c r="R144" s="2958"/>
      <c r="S144" s="2956" t="s">
        <v>22</v>
      </c>
      <c r="T144" s="2962"/>
      <c r="U144" s="2958"/>
      <c r="V144" s="2956" t="s">
        <v>23</v>
      </c>
      <c r="W144" s="2961"/>
      <c r="X144" s="2963" t="s">
        <v>234</v>
      </c>
      <c r="Y144" s="2964"/>
      <c r="Z144" s="2964"/>
      <c r="AA144" s="2965"/>
      <c r="AB144" s="2966" t="s">
        <v>126</v>
      </c>
      <c r="AC144" s="2967"/>
      <c r="AD144" s="2967"/>
      <c r="AE144" s="2968"/>
      <c r="AF144" s="2968"/>
      <c r="AG144" s="2969"/>
      <c r="AH144" s="132"/>
      <c r="AI144" s="116"/>
    </row>
    <row r="145" spans="1:35" ht="18" customHeight="1" x14ac:dyDescent="0.2">
      <c r="A145" s="48"/>
      <c r="B145" s="2539" t="s">
        <v>248</v>
      </c>
      <c r="C145" s="2540" t="s">
        <v>249</v>
      </c>
      <c r="D145" s="2686"/>
      <c r="E145" s="2687"/>
      <c r="F145" s="2540" t="s">
        <v>249</v>
      </c>
      <c r="G145" s="2686"/>
      <c r="H145" s="2687"/>
      <c r="I145" s="2540" t="s">
        <v>249</v>
      </c>
      <c r="J145" s="2686"/>
      <c r="K145" s="2687"/>
      <c r="L145" s="2540" t="s">
        <v>249</v>
      </c>
      <c r="M145" s="2686"/>
      <c r="N145" s="2687"/>
      <c r="O145" s="2540" t="s">
        <v>250</v>
      </c>
      <c r="P145" s="2686"/>
      <c r="Q145" s="2687"/>
      <c r="R145" s="2540"/>
      <c r="S145" s="2686"/>
      <c r="T145" s="2687"/>
      <c r="U145" s="2540"/>
      <c r="V145" s="2686"/>
      <c r="W145" s="2687"/>
      <c r="X145" s="2540"/>
      <c r="Y145" s="2541"/>
      <c r="Z145" s="2541"/>
      <c r="AA145" s="2541"/>
      <c r="AB145" s="2683"/>
      <c r="AC145" s="2541"/>
      <c r="AD145" s="2541"/>
      <c r="AE145" s="2541"/>
      <c r="AF145" s="2541"/>
      <c r="AG145" s="2542"/>
      <c r="AH145" s="132"/>
      <c r="AI145" s="116"/>
    </row>
    <row r="146" spans="1:35" ht="18" customHeight="1" x14ac:dyDescent="0.2">
      <c r="A146" s="48"/>
      <c r="B146" s="4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132"/>
      <c r="AI146" s="116"/>
    </row>
    <row r="147" spans="1:35" ht="18" customHeight="1" thickBot="1" x14ac:dyDescent="0.25">
      <c r="A147" s="2543" t="s">
        <v>43</v>
      </c>
      <c r="B147" s="2817" t="s">
        <v>44</v>
      </c>
      <c r="C147" s="2707">
        <v>1</v>
      </c>
      <c r="D147" s="2706">
        <v>2</v>
      </c>
      <c r="E147" s="2706">
        <v>3</v>
      </c>
      <c r="F147" s="2706">
        <v>4</v>
      </c>
      <c r="G147" s="2706">
        <v>5</v>
      </c>
      <c r="H147" s="2706">
        <v>6</v>
      </c>
      <c r="I147" s="2707">
        <v>7</v>
      </c>
      <c r="J147" s="2707">
        <v>8</v>
      </c>
      <c r="K147" s="2706">
        <v>9</v>
      </c>
      <c r="L147" s="2706">
        <v>10</v>
      </c>
      <c r="M147" s="2706">
        <v>11</v>
      </c>
      <c r="N147" s="2706">
        <v>12</v>
      </c>
      <c r="O147" s="2706">
        <v>13</v>
      </c>
      <c r="P147" s="2707">
        <v>14</v>
      </c>
      <c r="Q147" s="2707">
        <v>15</v>
      </c>
      <c r="R147" s="2706">
        <v>16</v>
      </c>
      <c r="S147" s="2706">
        <v>17</v>
      </c>
      <c r="T147" s="2706">
        <v>18</v>
      </c>
      <c r="U147" s="2706">
        <v>19</v>
      </c>
      <c r="V147" s="2706">
        <v>20</v>
      </c>
      <c r="W147" s="2707">
        <v>21</v>
      </c>
      <c r="X147" s="2707">
        <v>22</v>
      </c>
      <c r="Y147" s="2706">
        <v>23</v>
      </c>
      <c r="Z147" s="2706">
        <v>24</v>
      </c>
      <c r="AA147" s="2707">
        <v>25</v>
      </c>
      <c r="AB147" s="2707">
        <v>26</v>
      </c>
      <c r="AC147" s="2706">
        <v>27</v>
      </c>
      <c r="AD147" s="2707">
        <v>28</v>
      </c>
      <c r="AE147" s="2707">
        <v>29</v>
      </c>
      <c r="AF147" s="2706">
        <v>30</v>
      </c>
      <c r="AG147" s="2706">
        <v>31</v>
      </c>
      <c r="AH147" s="132"/>
      <c r="AI147" s="116"/>
    </row>
    <row r="148" spans="1:35" ht="18" customHeight="1" x14ac:dyDescent="0.2">
      <c r="A148" s="2970">
        <v>8520</v>
      </c>
      <c r="B148" s="2971" t="s">
        <v>251</v>
      </c>
      <c r="C148" s="2764"/>
      <c r="D148" s="2764" t="s">
        <v>252</v>
      </c>
      <c r="E148" s="2764" t="s">
        <v>252</v>
      </c>
      <c r="F148" s="2764" t="s">
        <v>252</v>
      </c>
      <c r="G148" s="2764" t="s">
        <v>252</v>
      </c>
      <c r="H148" s="2764" t="s">
        <v>252</v>
      </c>
      <c r="I148" s="2764"/>
      <c r="J148" s="2764"/>
      <c r="K148" s="2764" t="s">
        <v>252</v>
      </c>
      <c r="L148" s="2764" t="s">
        <v>252</v>
      </c>
      <c r="M148" s="2764" t="s">
        <v>252</v>
      </c>
      <c r="N148" s="2984" t="s">
        <v>69</v>
      </c>
      <c r="O148" s="2764" t="s">
        <v>252</v>
      </c>
      <c r="P148" s="2764"/>
      <c r="Q148" s="2764"/>
      <c r="R148" s="2764" t="s">
        <v>252</v>
      </c>
      <c r="S148" s="2764" t="s">
        <v>252</v>
      </c>
      <c r="T148" s="2764" t="s">
        <v>252</v>
      </c>
      <c r="U148" s="2764" t="s">
        <v>252</v>
      </c>
      <c r="V148" s="2764" t="s">
        <v>252</v>
      </c>
      <c r="W148" s="2764"/>
      <c r="X148" s="2764"/>
      <c r="Y148" s="3034" t="s">
        <v>252</v>
      </c>
      <c r="Z148" s="2764"/>
      <c r="AA148" s="2764"/>
      <c r="AB148" s="2764"/>
      <c r="AC148" s="3019" t="s">
        <v>252</v>
      </c>
      <c r="AD148" s="2764"/>
      <c r="AE148" s="2764"/>
      <c r="AF148" s="3034" t="s">
        <v>252</v>
      </c>
      <c r="AG148" s="3074" t="s">
        <v>252</v>
      </c>
      <c r="AH148" s="132"/>
      <c r="AI148" s="116"/>
    </row>
    <row r="149" spans="1:35" ht="18" customHeight="1" x14ac:dyDescent="0.2">
      <c r="A149" s="136"/>
      <c r="B149" s="135"/>
      <c r="C149" s="128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32"/>
      <c r="AI149" s="116"/>
    </row>
    <row r="150" spans="1:35" ht="18" customHeight="1" x14ac:dyDescent="0.2">
      <c r="AH150" s="67"/>
      <c r="AI150" s="67"/>
    </row>
    <row r="151" spans="1:35" ht="18" customHeight="1" x14ac:dyDescent="0.2">
      <c r="A151" s="107" t="s">
        <v>254</v>
      </c>
      <c r="B151" s="108"/>
      <c r="C151" s="108"/>
      <c r="D151" s="109"/>
      <c r="E151" s="109"/>
      <c r="F151" s="109"/>
      <c r="G151" s="65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8"/>
      <c r="AI151" s="108"/>
    </row>
    <row r="152" spans="1:35" ht="18" customHeight="1" x14ac:dyDescent="0.2">
      <c r="A152" s="107"/>
      <c r="B152" s="2952" t="s">
        <v>255</v>
      </c>
      <c r="C152" s="2974"/>
      <c r="D152" s="2975" t="s">
        <v>17</v>
      </c>
      <c r="E152" s="2976"/>
      <c r="F152" s="2977"/>
      <c r="G152" s="2974"/>
      <c r="H152" s="2975" t="s">
        <v>18</v>
      </c>
      <c r="I152" s="2976"/>
      <c r="J152" s="2977"/>
      <c r="K152" s="2974"/>
      <c r="L152" s="2975" t="s">
        <v>19</v>
      </c>
      <c r="M152" s="2976"/>
      <c r="N152" s="2977"/>
      <c r="O152" s="2974"/>
      <c r="P152" s="2975" t="s">
        <v>20</v>
      </c>
      <c r="Q152" s="2976"/>
      <c r="R152" s="2977"/>
      <c r="S152" s="2974"/>
      <c r="T152" s="2975" t="s">
        <v>21</v>
      </c>
      <c r="U152" s="2976"/>
      <c r="V152" s="2977"/>
      <c r="W152" s="2974"/>
      <c r="X152" s="2975" t="s">
        <v>22</v>
      </c>
      <c r="Y152" s="2976"/>
      <c r="Z152" s="2977"/>
      <c r="AA152" s="2974"/>
      <c r="AB152" s="2975" t="s">
        <v>23</v>
      </c>
      <c r="AC152" s="2976"/>
      <c r="AD152" s="2976"/>
      <c r="AE152" s="2978" t="s">
        <v>126</v>
      </c>
      <c r="AF152" s="2976"/>
      <c r="AG152" s="2976"/>
      <c r="AH152" s="2976"/>
      <c r="AI152" s="2979"/>
    </row>
    <row r="153" spans="1:35" ht="18" customHeight="1" x14ac:dyDescent="0.2">
      <c r="A153" s="107"/>
      <c r="B153" s="2552" t="s">
        <v>235</v>
      </c>
      <c r="C153" s="2553">
        <v>69</v>
      </c>
      <c r="D153" s="2554" t="s">
        <v>256</v>
      </c>
      <c r="E153" s="2554"/>
      <c r="F153" s="2555"/>
      <c r="G153" s="2553">
        <v>69</v>
      </c>
      <c r="H153" s="2554" t="s">
        <v>256</v>
      </c>
      <c r="I153" s="2554"/>
      <c r="J153" s="2555"/>
      <c r="K153" s="2553">
        <v>69</v>
      </c>
      <c r="L153" s="2554" t="s">
        <v>256</v>
      </c>
      <c r="M153" s="2554"/>
      <c r="N153" s="2555"/>
      <c r="O153" s="2553">
        <v>69</v>
      </c>
      <c r="P153" s="2554" t="s">
        <v>256</v>
      </c>
      <c r="Q153" s="2554"/>
      <c r="R153" s="2555"/>
      <c r="S153" s="2553">
        <v>69</v>
      </c>
      <c r="T153" s="2554" t="s">
        <v>256</v>
      </c>
      <c r="U153" s="2554"/>
      <c r="V153" s="2555"/>
      <c r="W153" s="2553"/>
      <c r="X153" s="2556"/>
      <c r="Y153" s="2556"/>
      <c r="Z153" s="2557"/>
      <c r="AA153" s="2553"/>
      <c r="AB153" s="2554"/>
      <c r="AC153" s="2554"/>
      <c r="AD153" s="2856"/>
      <c r="AE153" s="2558">
        <v>35</v>
      </c>
      <c r="AF153" s="2554"/>
      <c r="AG153" s="2554"/>
      <c r="AH153" s="2856"/>
      <c r="AI153" s="2559"/>
    </row>
    <row r="154" spans="1:35" ht="18" customHeight="1" x14ac:dyDescent="0.2">
      <c r="A154" s="107"/>
      <c r="B154" s="2552" t="s">
        <v>236</v>
      </c>
      <c r="C154" s="2553">
        <v>79</v>
      </c>
      <c r="D154" s="2554" t="s">
        <v>257</v>
      </c>
      <c r="E154" s="2554"/>
      <c r="F154" s="2555"/>
      <c r="G154" s="2553">
        <v>79</v>
      </c>
      <c r="H154" s="2554" t="s">
        <v>257</v>
      </c>
      <c r="I154" s="2554"/>
      <c r="J154" s="2555"/>
      <c r="K154" s="2553">
        <v>79</v>
      </c>
      <c r="L154" s="2554" t="s">
        <v>257</v>
      </c>
      <c r="M154" s="2554"/>
      <c r="N154" s="2555"/>
      <c r="O154" s="2553">
        <v>79</v>
      </c>
      <c r="P154" s="2554" t="s">
        <v>257</v>
      </c>
      <c r="Q154" s="2554"/>
      <c r="R154" s="2555"/>
      <c r="S154" s="2553">
        <v>79</v>
      </c>
      <c r="T154" s="2554" t="s">
        <v>257</v>
      </c>
      <c r="U154" s="2554"/>
      <c r="V154" s="2555"/>
      <c r="W154" s="2553"/>
      <c r="X154" s="2554"/>
      <c r="Y154" s="2554"/>
      <c r="Z154" s="2555"/>
      <c r="AA154" s="2554"/>
      <c r="AB154" s="2554"/>
      <c r="AC154" s="2554"/>
      <c r="AD154" s="2856"/>
      <c r="AE154" s="2558">
        <v>40</v>
      </c>
      <c r="AF154" s="2554"/>
      <c r="AG154" s="2554"/>
      <c r="AH154" s="2856"/>
      <c r="AI154" s="2559"/>
    </row>
    <row r="155" spans="1:35" ht="18" customHeight="1" x14ac:dyDescent="0.2">
      <c r="A155" s="107"/>
      <c r="B155" s="2552" t="s">
        <v>243</v>
      </c>
      <c r="C155" s="2553">
        <v>89</v>
      </c>
      <c r="D155" s="2554" t="s">
        <v>258</v>
      </c>
      <c r="E155" s="2554"/>
      <c r="F155" s="2555"/>
      <c r="G155" s="2553">
        <v>89</v>
      </c>
      <c r="H155" s="2554" t="s">
        <v>258</v>
      </c>
      <c r="I155" s="2554"/>
      <c r="J155" s="2555"/>
      <c r="K155" s="2553">
        <v>89</v>
      </c>
      <c r="L155" s="2554" t="s">
        <v>258</v>
      </c>
      <c r="M155" s="2554"/>
      <c r="N155" s="2555"/>
      <c r="O155" s="2553">
        <v>89</v>
      </c>
      <c r="P155" s="2554" t="s">
        <v>258</v>
      </c>
      <c r="Q155" s="2554"/>
      <c r="R155" s="2555"/>
      <c r="S155" s="2553">
        <v>89</v>
      </c>
      <c r="T155" s="2554" t="s">
        <v>259</v>
      </c>
      <c r="U155" s="2554"/>
      <c r="V155" s="2555"/>
      <c r="W155" s="2560"/>
      <c r="X155" s="2561" t="s">
        <v>260</v>
      </c>
      <c r="Y155" s="2561"/>
      <c r="Z155" s="2562"/>
      <c r="AA155" s="2560"/>
      <c r="AB155" s="2561"/>
      <c r="AC155" s="2561"/>
      <c r="AD155" s="2858"/>
      <c r="AE155" s="2558">
        <v>44</v>
      </c>
      <c r="AF155" s="2554"/>
      <c r="AG155" s="2554"/>
      <c r="AH155" s="2856"/>
      <c r="AI155" s="2559"/>
    </row>
    <row r="156" spans="1:35" ht="18" customHeight="1" x14ac:dyDescent="0.2">
      <c r="A156" s="107"/>
      <c r="B156" s="19" t="s">
        <v>245</v>
      </c>
      <c r="C156" s="2560">
        <v>99</v>
      </c>
      <c r="D156" s="2561" t="s">
        <v>261</v>
      </c>
      <c r="E156" s="2561"/>
      <c r="F156" s="2562"/>
      <c r="G156" s="2560">
        <v>99</v>
      </c>
      <c r="H156" s="2561" t="s">
        <v>261</v>
      </c>
      <c r="I156" s="2561"/>
      <c r="J156" s="2562"/>
      <c r="K156" s="2560">
        <v>99</v>
      </c>
      <c r="L156" s="2561" t="s">
        <v>261</v>
      </c>
      <c r="M156" s="2561"/>
      <c r="N156" s="2562"/>
      <c r="O156" s="2560">
        <v>99</v>
      </c>
      <c r="P156" s="2561" t="s">
        <v>261</v>
      </c>
      <c r="Q156" s="2561"/>
      <c r="R156" s="2562"/>
      <c r="S156" s="2560">
        <v>99</v>
      </c>
      <c r="T156" s="2561" t="s">
        <v>244</v>
      </c>
      <c r="U156" s="2561"/>
      <c r="V156" s="2858"/>
      <c r="W156" s="2857"/>
      <c r="X156" s="2858"/>
      <c r="Y156" s="2561"/>
      <c r="Z156" s="2562"/>
      <c r="AA156" s="2857"/>
      <c r="AB156" s="2858"/>
      <c r="AC156" s="2561"/>
      <c r="AD156" s="2562"/>
      <c r="AE156" s="2563">
        <v>28</v>
      </c>
      <c r="AF156" s="2561"/>
      <c r="AG156" s="2561"/>
      <c r="AH156" s="2858"/>
      <c r="AI156" s="2564"/>
    </row>
    <row r="157" spans="1:35" ht="18" customHeight="1" x14ac:dyDescent="0.2">
      <c r="A157" s="107"/>
      <c r="B157" s="2565" t="s">
        <v>262</v>
      </c>
      <c r="C157" s="2566" t="s">
        <v>77</v>
      </c>
      <c r="D157" s="2567" t="s">
        <v>263</v>
      </c>
      <c r="E157" s="2568"/>
      <c r="F157" s="2810"/>
      <c r="G157" s="2566" t="s">
        <v>77</v>
      </c>
      <c r="H157" s="2567" t="s">
        <v>263</v>
      </c>
      <c r="I157" s="2808"/>
      <c r="J157" s="2568"/>
      <c r="K157" s="2566" t="s">
        <v>77</v>
      </c>
      <c r="L157" s="2567" t="s">
        <v>263</v>
      </c>
      <c r="M157" s="2568"/>
      <c r="N157" s="2569"/>
      <c r="O157" s="2566" t="s">
        <v>77</v>
      </c>
      <c r="P157" s="2567" t="s">
        <v>263</v>
      </c>
      <c r="Q157" s="2568"/>
      <c r="R157" s="2567"/>
      <c r="S157" s="2566" t="s">
        <v>77</v>
      </c>
      <c r="T157" s="2812" t="s">
        <v>264</v>
      </c>
      <c r="U157" s="2567"/>
      <c r="V157" s="2569"/>
      <c r="W157" s="2568"/>
      <c r="X157" s="2567"/>
      <c r="Y157" s="2567"/>
      <c r="Z157" s="2567"/>
      <c r="AA157" s="2570"/>
      <c r="AB157" s="2571"/>
      <c r="AC157" s="2567"/>
      <c r="AD157" s="2572"/>
      <c r="AE157" s="2567"/>
      <c r="AF157" s="2567"/>
      <c r="AG157" s="2567"/>
      <c r="AH157" s="2573"/>
      <c r="AI157" s="2574"/>
    </row>
    <row r="158" spans="1:35" ht="18" customHeight="1" x14ac:dyDescent="0.2">
      <c r="A158" s="68"/>
      <c r="B158" s="107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8"/>
      <c r="AI158" s="108"/>
    </row>
    <row r="159" spans="1:35" ht="18" customHeight="1" x14ac:dyDescent="0.2">
      <c r="A159" s="2543"/>
      <c r="B159" s="2817" t="s">
        <v>44</v>
      </c>
      <c r="C159" s="2707">
        <v>1</v>
      </c>
      <c r="D159" s="2706">
        <v>2</v>
      </c>
      <c r="E159" s="2706">
        <v>3</v>
      </c>
      <c r="F159" s="2706">
        <v>4</v>
      </c>
      <c r="G159" s="2706">
        <v>5</v>
      </c>
      <c r="H159" s="2706">
        <v>6</v>
      </c>
      <c r="I159" s="2707">
        <v>7</v>
      </c>
      <c r="J159" s="2707">
        <v>8</v>
      </c>
      <c r="K159" s="2706">
        <v>9</v>
      </c>
      <c r="L159" s="2706">
        <v>10</v>
      </c>
      <c r="M159" s="2706">
        <v>11</v>
      </c>
      <c r="N159" s="2706">
        <v>12</v>
      </c>
      <c r="O159" s="2706">
        <v>13</v>
      </c>
      <c r="P159" s="2707">
        <v>14</v>
      </c>
      <c r="Q159" s="2707">
        <v>15</v>
      </c>
      <c r="R159" s="2706">
        <v>16</v>
      </c>
      <c r="S159" s="2706">
        <v>17</v>
      </c>
      <c r="T159" s="2706">
        <v>18</v>
      </c>
      <c r="U159" s="2706">
        <v>19</v>
      </c>
      <c r="V159" s="2706">
        <v>20</v>
      </c>
      <c r="W159" s="2707">
        <v>21</v>
      </c>
      <c r="X159" s="2707">
        <v>22</v>
      </c>
      <c r="Y159" s="2706">
        <v>23</v>
      </c>
      <c r="Z159" s="2706">
        <v>24</v>
      </c>
      <c r="AA159" s="2707">
        <v>25</v>
      </c>
      <c r="AB159" s="2707">
        <v>26</v>
      </c>
      <c r="AC159" s="2706">
        <v>27</v>
      </c>
      <c r="AD159" s="2707">
        <v>28</v>
      </c>
      <c r="AE159" s="2707">
        <v>29</v>
      </c>
      <c r="AF159" s="2706">
        <v>30</v>
      </c>
      <c r="AG159" s="2706">
        <v>31</v>
      </c>
      <c r="AH159" s="110"/>
      <c r="AI159" s="111"/>
    </row>
    <row r="160" spans="1:35" ht="18" customHeight="1" x14ac:dyDescent="0.2">
      <c r="A160" s="2980">
        <v>1</v>
      </c>
      <c r="B160" s="2981" t="s">
        <v>265</v>
      </c>
      <c r="C160" s="2766"/>
      <c r="D160" s="3075" t="s">
        <v>77</v>
      </c>
      <c r="E160" s="2764" t="s">
        <v>77</v>
      </c>
      <c r="F160" s="2764" t="s">
        <v>77</v>
      </c>
      <c r="G160" s="2765" t="s">
        <v>77</v>
      </c>
      <c r="H160" s="2766" t="s">
        <v>77</v>
      </c>
      <c r="I160" s="2765"/>
      <c r="J160" s="2765"/>
      <c r="K160" s="2766">
        <v>69</v>
      </c>
      <c r="L160" s="2765">
        <v>69</v>
      </c>
      <c r="M160" s="3075">
        <v>69</v>
      </c>
      <c r="N160" s="2838">
        <v>69</v>
      </c>
      <c r="O160" s="2766">
        <v>69</v>
      </c>
      <c r="P160" s="2766"/>
      <c r="Q160" s="2766"/>
      <c r="R160" s="2766">
        <v>79</v>
      </c>
      <c r="S160" s="2764">
        <v>79</v>
      </c>
      <c r="T160" s="2764">
        <v>79</v>
      </c>
      <c r="U160" s="2766">
        <v>79</v>
      </c>
      <c r="V160" s="2766">
        <v>79</v>
      </c>
      <c r="W160" s="2766"/>
      <c r="X160" s="2766"/>
      <c r="Y160" s="2766">
        <v>89</v>
      </c>
      <c r="Z160" s="2766"/>
      <c r="AA160" s="2765"/>
      <c r="AB160" s="2766"/>
      <c r="AC160" s="3076">
        <v>89</v>
      </c>
      <c r="AD160" s="3076">
        <v>89</v>
      </c>
      <c r="AE160" s="2766"/>
      <c r="AF160" s="2838">
        <v>99</v>
      </c>
      <c r="AG160" s="3077">
        <v>99</v>
      </c>
      <c r="AH160" s="124"/>
      <c r="AI160" s="67"/>
    </row>
    <row r="161" spans="1:35" ht="18" customHeight="1" x14ac:dyDescent="0.2">
      <c r="A161" s="2575">
        <v>2</v>
      </c>
      <c r="B161" s="2576" t="s">
        <v>266</v>
      </c>
      <c r="C161" s="2725"/>
      <c r="D161" s="2718">
        <v>69</v>
      </c>
      <c r="E161" s="3044">
        <v>69</v>
      </c>
      <c r="F161" s="2725">
        <v>69</v>
      </c>
      <c r="G161" s="2725">
        <v>69</v>
      </c>
      <c r="H161" s="2738">
        <v>69</v>
      </c>
      <c r="I161" s="2723"/>
      <c r="J161" s="2738"/>
      <c r="K161" s="2738">
        <v>79</v>
      </c>
      <c r="L161" s="2718">
        <v>79</v>
      </c>
      <c r="M161" s="2718">
        <v>79</v>
      </c>
      <c r="N161" s="2984" t="s">
        <v>427</v>
      </c>
      <c r="O161" s="2739">
        <v>79</v>
      </c>
      <c r="P161" s="2738"/>
      <c r="Q161" s="2738"/>
      <c r="R161" s="2723">
        <v>89</v>
      </c>
      <c r="S161" s="2738">
        <v>89</v>
      </c>
      <c r="T161" s="2451">
        <v>89</v>
      </c>
      <c r="U161" s="3029">
        <v>89</v>
      </c>
      <c r="V161" s="3029">
        <v>89</v>
      </c>
      <c r="W161" s="3078">
        <v>89</v>
      </c>
      <c r="X161" s="2738"/>
      <c r="Y161" s="3078">
        <v>99</v>
      </c>
      <c r="Z161" s="2738"/>
      <c r="AA161" s="2718"/>
      <c r="AB161" s="2723"/>
      <c r="AC161" s="2734" t="s">
        <v>50</v>
      </c>
      <c r="AD161" s="2734"/>
      <c r="AE161" s="2734"/>
      <c r="AF161" s="3079" t="s">
        <v>77</v>
      </c>
      <c r="AG161" s="3080" t="s">
        <v>77</v>
      </c>
      <c r="AH161" s="125"/>
      <c r="AI161" s="106"/>
    </row>
    <row r="162" spans="1:35" ht="18" customHeight="1" x14ac:dyDescent="0.2">
      <c r="A162" s="2575">
        <v>3</v>
      </c>
      <c r="B162" s="2576" t="s">
        <v>267</v>
      </c>
      <c r="C162" s="2579"/>
      <c r="D162" s="2718">
        <v>79</v>
      </c>
      <c r="E162" s="3044">
        <v>79</v>
      </c>
      <c r="F162" s="2579">
        <v>79</v>
      </c>
      <c r="G162" s="3081">
        <v>79</v>
      </c>
      <c r="H162" s="2985">
        <v>79</v>
      </c>
      <c r="I162" s="2723"/>
      <c r="J162" s="2579"/>
      <c r="K162" s="2731">
        <v>89</v>
      </c>
      <c r="L162" s="2731">
        <v>89</v>
      </c>
      <c r="M162" s="2731">
        <v>89</v>
      </c>
      <c r="N162" s="2731">
        <v>89</v>
      </c>
      <c r="O162" s="2731">
        <v>89</v>
      </c>
      <c r="P162" s="2731">
        <v>89</v>
      </c>
      <c r="Q162" s="2731" t="s">
        <v>405</v>
      </c>
      <c r="R162" s="2739">
        <v>99</v>
      </c>
      <c r="S162" s="2739">
        <v>99</v>
      </c>
      <c r="T162" s="2739">
        <v>99</v>
      </c>
      <c r="U162" s="2739">
        <v>99</v>
      </c>
      <c r="V162" s="2739" t="s">
        <v>50</v>
      </c>
      <c r="W162" s="2739"/>
      <c r="X162" s="2739"/>
      <c r="Y162" s="3082" t="s">
        <v>77</v>
      </c>
      <c r="Z162" s="2579"/>
      <c r="AA162" s="2579"/>
      <c r="AB162" s="2579"/>
      <c r="AC162" s="3083" t="s">
        <v>77</v>
      </c>
      <c r="AD162" s="2579"/>
      <c r="AE162" s="2579"/>
      <c r="AF162" s="3083">
        <v>69</v>
      </c>
      <c r="AG162" s="3084">
        <v>69</v>
      </c>
      <c r="AH162" s="124"/>
      <c r="AI162" s="67"/>
    </row>
    <row r="163" spans="1:35" ht="18" customHeight="1" x14ac:dyDescent="0.2">
      <c r="A163" s="2575">
        <v>4</v>
      </c>
      <c r="B163" s="2576" t="s">
        <v>269</v>
      </c>
      <c r="C163" s="2718"/>
      <c r="D163" s="2718">
        <v>89</v>
      </c>
      <c r="E163" s="2718">
        <v>89</v>
      </c>
      <c r="F163" s="2718">
        <v>89</v>
      </c>
      <c r="G163" s="2718">
        <v>89</v>
      </c>
      <c r="H163" s="2718">
        <v>89</v>
      </c>
      <c r="I163" s="2723">
        <v>89</v>
      </c>
      <c r="J163" s="2718"/>
      <c r="K163" s="2718">
        <v>99</v>
      </c>
      <c r="L163" s="2718">
        <v>99</v>
      </c>
      <c r="M163" s="2719">
        <v>99</v>
      </c>
      <c r="N163" s="2984" t="s">
        <v>498</v>
      </c>
      <c r="O163" s="2718" t="s">
        <v>50</v>
      </c>
      <c r="P163" s="2718"/>
      <c r="Q163" s="2506"/>
      <c r="R163" s="2506" t="s">
        <v>77</v>
      </c>
      <c r="S163" s="2718" t="s">
        <v>77</v>
      </c>
      <c r="T163" s="2718" t="s">
        <v>77</v>
      </c>
      <c r="U163" s="2718" t="s">
        <v>152</v>
      </c>
      <c r="V163" s="2718" t="s">
        <v>152</v>
      </c>
      <c r="W163" s="2718"/>
      <c r="X163" s="2718"/>
      <c r="Y163" s="3085">
        <v>69</v>
      </c>
      <c r="Z163" s="2506"/>
      <c r="AA163" s="2718"/>
      <c r="AB163" s="2718"/>
      <c r="AC163" s="2451">
        <v>69</v>
      </c>
      <c r="AD163" s="2718"/>
      <c r="AE163" s="2718"/>
      <c r="AF163" s="2451">
        <v>79</v>
      </c>
      <c r="AG163" s="2720">
        <v>79</v>
      </c>
      <c r="AH163" s="124"/>
      <c r="AI163" s="67"/>
    </row>
    <row r="164" spans="1:35" ht="18" customHeight="1" thickBot="1" x14ac:dyDescent="0.25">
      <c r="A164" s="2584">
        <v>5</v>
      </c>
      <c r="B164" s="2830" t="s">
        <v>270</v>
      </c>
      <c r="C164" s="2585"/>
      <c r="D164" s="2585">
        <v>99</v>
      </c>
      <c r="E164" s="2783">
        <v>99</v>
      </c>
      <c r="F164" s="2828">
        <v>99</v>
      </c>
      <c r="G164" s="2828">
        <v>99</v>
      </c>
      <c r="H164" s="2748" t="s">
        <v>50</v>
      </c>
      <c r="I164" s="2748"/>
      <c r="J164" s="2748"/>
      <c r="K164" s="2748" t="s">
        <v>77</v>
      </c>
      <c r="L164" s="2783" t="s">
        <v>77</v>
      </c>
      <c r="M164" s="2783" t="s">
        <v>77</v>
      </c>
      <c r="N164" s="2984" t="s">
        <v>77</v>
      </c>
      <c r="O164" s="2585" t="s">
        <v>77</v>
      </c>
      <c r="P164" s="258">
        <v>89</v>
      </c>
      <c r="Q164" s="2585"/>
      <c r="R164" s="2585">
        <v>69</v>
      </c>
      <c r="S164" s="2783">
        <v>69</v>
      </c>
      <c r="T164" s="2782">
        <v>69</v>
      </c>
      <c r="U164" s="2585">
        <v>69</v>
      </c>
      <c r="V164" s="2585">
        <v>69</v>
      </c>
      <c r="W164" s="2586"/>
      <c r="X164" s="2585"/>
      <c r="Y164" s="3086">
        <v>79</v>
      </c>
      <c r="Z164" s="2585"/>
      <c r="AA164" s="2828"/>
      <c r="AB164" s="2585"/>
      <c r="AC164" s="3087">
        <v>79</v>
      </c>
      <c r="AD164" s="2783"/>
      <c r="AE164" s="2783"/>
      <c r="AF164" s="2783">
        <v>89</v>
      </c>
      <c r="AG164" s="3088">
        <v>89</v>
      </c>
      <c r="AH164" s="124"/>
      <c r="AI164" s="67"/>
    </row>
    <row r="165" spans="1:35" ht="18" customHeight="1" x14ac:dyDescent="0.2">
      <c r="A165" s="129"/>
      <c r="B165" s="141"/>
      <c r="C165" s="142"/>
      <c r="D165" s="142"/>
      <c r="E165" s="142"/>
      <c r="F165" s="128"/>
      <c r="G165" s="140"/>
      <c r="H165" s="140"/>
      <c r="I165" s="140"/>
      <c r="J165" s="140"/>
      <c r="K165" s="140"/>
      <c r="L165" s="128"/>
      <c r="M165" s="128"/>
      <c r="N165" s="142"/>
      <c r="O165" s="142"/>
      <c r="P165" s="142"/>
      <c r="Q165" s="142"/>
      <c r="R165" s="142"/>
      <c r="S165" s="128"/>
      <c r="T165" s="143"/>
      <c r="U165" s="142"/>
      <c r="V165" s="142"/>
      <c r="W165" s="142"/>
      <c r="X165" s="142"/>
      <c r="Y165" s="142"/>
      <c r="Z165" s="144"/>
      <c r="AA165" s="144"/>
      <c r="AB165" s="142"/>
      <c r="AC165" s="142"/>
      <c r="AD165" s="142"/>
      <c r="AE165" s="142"/>
      <c r="AF165" s="142"/>
      <c r="AG165" s="144"/>
      <c r="AH165" s="124"/>
      <c r="AI165" s="2588"/>
    </row>
    <row r="166" spans="1:35" ht="18" customHeight="1" x14ac:dyDescent="0.2">
      <c r="A166" s="69"/>
      <c r="B166" s="70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7"/>
      <c r="AI166" s="67"/>
    </row>
    <row r="167" spans="1:35" ht="18" customHeight="1" x14ac:dyDescent="0.2">
      <c r="A167" s="107" t="s">
        <v>271</v>
      </c>
      <c r="B167" s="108"/>
      <c r="C167" s="108"/>
      <c r="D167" s="109"/>
      <c r="E167" s="109"/>
      <c r="F167" s="109"/>
      <c r="G167" s="65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8"/>
      <c r="AI167" s="108"/>
    </row>
    <row r="168" spans="1:35" ht="18" customHeight="1" x14ac:dyDescent="0.2">
      <c r="A168" s="107"/>
      <c r="B168" s="2952" t="s">
        <v>255</v>
      </c>
      <c r="C168" s="2974"/>
      <c r="D168" s="2975" t="s">
        <v>17</v>
      </c>
      <c r="E168" s="2976"/>
      <c r="F168" s="2977"/>
      <c r="G168" s="2974"/>
      <c r="H168" s="2975" t="s">
        <v>18</v>
      </c>
      <c r="I168" s="2976"/>
      <c r="J168" s="2977"/>
      <c r="K168" s="2974"/>
      <c r="L168" s="2975" t="s">
        <v>19</v>
      </c>
      <c r="M168" s="2976"/>
      <c r="N168" s="2977"/>
      <c r="O168" s="2974"/>
      <c r="P168" s="2975" t="s">
        <v>20</v>
      </c>
      <c r="Q168" s="2976"/>
      <c r="R168" s="2977"/>
      <c r="S168" s="2974"/>
      <c r="T168" s="2975" t="s">
        <v>21</v>
      </c>
      <c r="U168" s="2976"/>
      <c r="V168" s="2977"/>
      <c r="W168" s="2974"/>
      <c r="X168" s="2975" t="s">
        <v>22</v>
      </c>
      <c r="Y168" s="2976"/>
      <c r="Z168" s="2977"/>
      <c r="AA168" s="2974"/>
      <c r="AB168" s="2975" t="s">
        <v>23</v>
      </c>
      <c r="AC168" s="2976"/>
      <c r="AD168" s="2976"/>
      <c r="AE168" s="2978" t="s">
        <v>126</v>
      </c>
      <c r="AF168" s="2976"/>
      <c r="AG168" s="2976"/>
      <c r="AH168" s="2976"/>
      <c r="AI168" s="2979"/>
    </row>
    <row r="169" spans="1:35" ht="18" customHeight="1" x14ac:dyDescent="0.2">
      <c r="A169" s="107"/>
      <c r="B169" s="2552" t="s">
        <v>272</v>
      </c>
      <c r="C169" s="2855" t="s">
        <v>273</v>
      </c>
      <c r="D169" s="2554"/>
      <c r="E169" s="2554"/>
      <c r="F169" s="2555"/>
      <c r="G169" s="2855" t="s">
        <v>273</v>
      </c>
      <c r="H169" s="2554"/>
      <c r="I169" s="2554"/>
      <c r="J169" s="2555"/>
      <c r="K169" s="2855" t="s">
        <v>273</v>
      </c>
      <c r="L169" s="2554"/>
      <c r="M169" s="2554"/>
      <c r="N169" s="2555"/>
      <c r="O169" s="2855" t="s">
        <v>274</v>
      </c>
      <c r="P169" s="2554"/>
      <c r="Q169" s="2554"/>
      <c r="R169" s="2555"/>
      <c r="S169" s="2855" t="s">
        <v>275</v>
      </c>
      <c r="T169" s="2554"/>
      <c r="U169" s="2554"/>
      <c r="V169" s="2555"/>
      <c r="W169" s="2855" t="s">
        <v>276</v>
      </c>
      <c r="X169" s="2556"/>
      <c r="Y169" s="2556"/>
      <c r="Z169" s="2557"/>
      <c r="AA169" s="2855" t="s">
        <v>276</v>
      </c>
      <c r="AB169" s="2554"/>
      <c r="AC169" s="2554"/>
      <c r="AD169" s="2856"/>
      <c r="AE169" s="2558">
        <v>68</v>
      </c>
      <c r="AF169" s="948"/>
      <c r="AG169" s="948"/>
      <c r="AH169" s="948"/>
      <c r="AI169" s="949"/>
    </row>
    <row r="170" spans="1:35" ht="18" customHeight="1" x14ac:dyDescent="0.2">
      <c r="A170" s="107"/>
      <c r="B170" s="2552"/>
      <c r="C170" s="2855" t="s">
        <v>244</v>
      </c>
      <c r="D170" s="2554"/>
      <c r="E170" s="2554"/>
      <c r="F170" s="2555"/>
      <c r="G170" s="2855" t="s">
        <v>244</v>
      </c>
      <c r="H170" s="2554"/>
      <c r="I170" s="2554"/>
      <c r="J170" s="2555"/>
      <c r="K170" s="2855" t="s">
        <v>244</v>
      </c>
      <c r="L170" s="2554"/>
      <c r="M170" s="2554"/>
      <c r="N170" s="2555"/>
      <c r="O170" s="2855" t="s">
        <v>244</v>
      </c>
      <c r="P170" s="2554"/>
      <c r="Q170" s="2554"/>
      <c r="R170" s="2555"/>
      <c r="S170" s="2855" t="s">
        <v>244</v>
      </c>
      <c r="T170" s="2554"/>
      <c r="U170" s="2554"/>
      <c r="V170" s="2555"/>
      <c r="W170" s="2855" t="s">
        <v>244</v>
      </c>
      <c r="X170" s="2554"/>
      <c r="Y170" s="2554"/>
      <c r="Z170" s="2555"/>
      <c r="AA170" s="2554" t="s">
        <v>244</v>
      </c>
      <c r="AB170" s="2554"/>
      <c r="AC170" s="2554"/>
      <c r="AD170" s="2856"/>
      <c r="AE170" s="2558">
        <v>0</v>
      </c>
      <c r="AF170" s="948"/>
      <c r="AG170" s="948"/>
      <c r="AH170" s="948"/>
      <c r="AI170" s="949"/>
    </row>
    <row r="171" spans="1:35" ht="18" customHeight="1" x14ac:dyDescent="0.2">
      <c r="A171" s="107"/>
      <c r="B171" s="2552" t="s">
        <v>277</v>
      </c>
      <c r="C171" s="2855" t="s">
        <v>274</v>
      </c>
      <c r="D171" s="2554"/>
      <c r="E171" s="2554"/>
      <c r="F171" s="2555"/>
      <c r="G171" s="2855" t="s">
        <v>274</v>
      </c>
      <c r="H171" s="2554"/>
      <c r="I171" s="2554"/>
      <c r="J171" s="2555"/>
      <c r="K171" s="2855" t="s">
        <v>274</v>
      </c>
      <c r="L171" s="2554"/>
      <c r="M171" s="2554"/>
      <c r="N171" s="2555"/>
      <c r="O171" s="2855" t="s">
        <v>273</v>
      </c>
      <c r="P171" s="2554"/>
      <c r="Q171" s="2554"/>
      <c r="R171" s="2555"/>
      <c r="S171" s="2855" t="s">
        <v>273</v>
      </c>
      <c r="T171" s="2554"/>
      <c r="U171" s="2554"/>
      <c r="V171" s="2555"/>
      <c r="W171" s="2855" t="s">
        <v>275</v>
      </c>
      <c r="X171" s="2556"/>
      <c r="Y171" s="2556"/>
      <c r="Z171" s="2557"/>
      <c r="AA171" s="2855" t="s">
        <v>275</v>
      </c>
      <c r="AB171" s="2554"/>
      <c r="AC171" s="2554"/>
      <c r="AD171" s="2856"/>
      <c r="AE171" s="2558">
        <v>68</v>
      </c>
      <c r="AF171" s="2554"/>
      <c r="AG171" s="2554" t="s">
        <v>0</v>
      </c>
      <c r="AH171" s="2856"/>
      <c r="AI171" s="2559"/>
    </row>
    <row r="172" spans="1:35" ht="18" customHeight="1" x14ac:dyDescent="0.2">
      <c r="A172" s="107"/>
      <c r="B172" s="2552"/>
      <c r="C172" s="2855" t="s">
        <v>244</v>
      </c>
      <c r="D172" s="2554"/>
      <c r="E172" s="2554"/>
      <c r="F172" s="2555"/>
      <c r="G172" s="2855" t="s">
        <v>244</v>
      </c>
      <c r="H172" s="2554"/>
      <c r="I172" s="2554"/>
      <c r="J172" s="2555"/>
      <c r="K172" s="2855" t="s">
        <v>244</v>
      </c>
      <c r="L172" s="2554"/>
      <c r="M172" s="2554"/>
      <c r="N172" s="2555"/>
      <c r="O172" s="2855" t="s">
        <v>244</v>
      </c>
      <c r="P172" s="2554"/>
      <c r="Q172" s="2554"/>
      <c r="R172" s="2555"/>
      <c r="S172" s="2855" t="s">
        <v>244</v>
      </c>
      <c r="T172" s="2554"/>
      <c r="U172" s="2554"/>
      <c r="V172" s="2555"/>
      <c r="W172" s="2855" t="s">
        <v>244</v>
      </c>
      <c r="X172" s="2554"/>
      <c r="Y172" s="2554"/>
      <c r="Z172" s="2555"/>
      <c r="AA172" s="2554" t="s">
        <v>244</v>
      </c>
      <c r="AB172" s="2554"/>
      <c r="AC172" s="2554"/>
      <c r="AD172" s="2856"/>
      <c r="AE172" s="2558">
        <v>0</v>
      </c>
      <c r="AF172" s="2554"/>
      <c r="AG172" s="2554"/>
      <c r="AH172" s="2856"/>
      <c r="AI172" s="2559"/>
    </row>
    <row r="173" spans="1:35" ht="18" customHeight="1" x14ac:dyDescent="0.2">
      <c r="A173" s="107"/>
      <c r="B173" s="2552" t="s">
        <v>278</v>
      </c>
      <c r="C173" s="2855" t="s">
        <v>273</v>
      </c>
      <c r="D173" s="2554"/>
      <c r="E173" s="2554"/>
      <c r="F173" s="2555"/>
      <c r="G173" s="2855" t="s">
        <v>273</v>
      </c>
      <c r="H173" s="2554"/>
      <c r="I173" s="2554"/>
      <c r="J173" s="2555"/>
      <c r="K173" s="2855" t="s">
        <v>273</v>
      </c>
      <c r="L173" s="2554"/>
      <c r="M173" s="2554"/>
      <c r="N173" s="2555"/>
      <c r="O173" s="2855" t="s">
        <v>273</v>
      </c>
      <c r="P173" s="2554"/>
      <c r="Q173" s="2554"/>
      <c r="R173" s="2555"/>
      <c r="S173" s="2855" t="s">
        <v>273</v>
      </c>
      <c r="T173" s="2554"/>
      <c r="U173" s="2554"/>
      <c r="V173" s="2555"/>
      <c r="W173" s="2855" t="s">
        <v>279</v>
      </c>
      <c r="X173" s="2561"/>
      <c r="Y173" s="2561"/>
      <c r="Z173" s="2562"/>
      <c r="AA173" s="2855" t="s">
        <v>279</v>
      </c>
      <c r="AB173" s="2561"/>
      <c r="AC173" s="2561"/>
      <c r="AD173" s="2858"/>
      <c r="AE173" s="2558">
        <v>68</v>
      </c>
      <c r="AF173" s="2554"/>
      <c r="AG173" s="2554"/>
      <c r="AH173" s="2856"/>
      <c r="AI173" s="2559"/>
    </row>
    <row r="174" spans="1:35" ht="18" customHeight="1" x14ac:dyDescent="0.2">
      <c r="A174" s="107"/>
      <c r="B174" s="2552"/>
      <c r="C174" s="2593" t="s">
        <v>244</v>
      </c>
      <c r="D174" s="2594"/>
      <c r="E174" s="2594"/>
      <c r="F174" s="2595"/>
      <c r="G174" s="2593" t="s">
        <v>244</v>
      </c>
      <c r="H174" s="2594"/>
      <c r="I174" s="2594"/>
      <c r="J174" s="2595"/>
      <c r="K174" s="2593" t="s">
        <v>244</v>
      </c>
      <c r="L174" s="2594"/>
      <c r="M174" s="2594"/>
      <c r="N174" s="2595"/>
      <c r="O174" s="2593" t="s">
        <v>244</v>
      </c>
      <c r="P174" s="2594"/>
      <c r="Q174" s="2594"/>
      <c r="R174" s="2595"/>
      <c r="S174" s="2593" t="s">
        <v>244</v>
      </c>
      <c r="T174" s="2594"/>
      <c r="U174" s="2594"/>
      <c r="V174" s="2573"/>
      <c r="W174" s="2593" t="s">
        <v>244</v>
      </c>
      <c r="X174" s="2573"/>
      <c r="Y174" s="2594"/>
      <c r="Z174" s="2595"/>
      <c r="AA174" s="2593" t="s">
        <v>244</v>
      </c>
      <c r="AB174" s="2573"/>
      <c r="AC174" s="2594"/>
      <c r="AD174" s="2595"/>
      <c r="AE174" s="2596" t="s">
        <v>280</v>
      </c>
      <c r="AF174" s="2594"/>
      <c r="AG174" s="2594"/>
      <c r="AH174" s="2573"/>
      <c r="AI174" s="2574"/>
    </row>
    <row r="175" spans="1:35" ht="18" customHeight="1" x14ac:dyDescent="0.2">
      <c r="A175" s="68"/>
      <c r="B175" s="107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8"/>
      <c r="AI175" s="108"/>
    </row>
    <row r="176" spans="1:35" ht="18" customHeight="1" x14ac:dyDescent="0.2">
      <c r="A176" s="2543"/>
      <c r="B176" s="2817" t="s">
        <v>44</v>
      </c>
      <c r="C176" s="2707">
        <v>1</v>
      </c>
      <c r="D176" s="2706">
        <v>2</v>
      </c>
      <c r="E176" s="2706">
        <v>3</v>
      </c>
      <c r="F176" s="2706">
        <v>4</v>
      </c>
      <c r="G176" s="2706">
        <v>5</v>
      </c>
      <c r="H176" s="2706">
        <v>6</v>
      </c>
      <c r="I176" s="2707">
        <v>7</v>
      </c>
      <c r="J176" s="2707">
        <v>8</v>
      </c>
      <c r="K176" s="2706">
        <v>9</v>
      </c>
      <c r="L176" s="2706">
        <v>10</v>
      </c>
      <c r="M176" s="2706">
        <v>11</v>
      </c>
      <c r="N176" s="2706">
        <v>12</v>
      </c>
      <c r="O176" s="2706">
        <v>13</v>
      </c>
      <c r="P176" s="2707">
        <v>14</v>
      </c>
      <c r="Q176" s="2707">
        <v>15</v>
      </c>
      <c r="R176" s="2706">
        <v>16</v>
      </c>
      <c r="S176" s="2706">
        <v>17</v>
      </c>
      <c r="T176" s="2706">
        <v>18</v>
      </c>
      <c r="U176" s="2706">
        <v>19</v>
      </c>
      <c r="V176" s="2706">
        <v>20</v>
      </c>
      <c r="W176" s="2707">
        <v>21</v>
      </c>
      <c r="X176" s="2707">
        <v>22</v>
      </c>
      <c r="Y176" s="2706">
        <v>23</v>
      </c>
      <c r="Z176" s="2706">
        <v>24</v>
      </c>
      <c r="AA176" s="2707">
        <v>25</v>
      </c>
      <c r="AB176" s="2707">
        <v>26</v>
      </c>
      <c r="AC176" s="2706">
        <v>27</v>
      </c>
      <c r="AD176" s="2707">
        <v>28</v>
      </c>
      <c r="AE176" s="2707">
        <v>29</v>
      </c>
      <c r="AF176" s="2706">
        <v>30</v>
      </c>
      <c r="AG176" s="2706">
        <v>31</v>
      </c>
      <c r="AH176" s="110"/>
      <c r="AI176" s="111"/>
    </row>
    <row r="177" spans="1:35" ht="18" customHeight="1" x14ac:dyDescent="0.2">
      <c r="A177" s="2990">
        <v>1</v>
      </c>
      <c r="B177" s="2991"/>
      <c r="C177" s="2890"/>
      <c r="D177" s="2912">
        <v>21</v>
      </c>
      <c r="E177" s="2912">
        <v>21</v>
      </c>
      <c r="F177" s="2912">
        <v>21</v>
      </c>
      <c r="G177" s="2912">
        <v>21</v>
      </c>
      <c r="H177" s="2890">
        <v>21</v>
      </c>
      <c r="I177" s="2890">
        <v>21</v>
      </c>
      <c r="J177" s="2890">
        <v>21</v>
      </c>
      <c r="K177" s="655" t="s">
        <v>50</v>
      </c>
      <c r="L177" s="655" t="s">
        <v>50</v>
      </c>
      <c r="M177" s="655" t="s">
        <v>50</v>
      </c>
      <c r="N177" s="3089" t="s">
        <v>50</v>
      </c>
      <c r="O177" s="3089" t="s">
        <v>50</v>
      </c>
      <c r="P177" s="3089"/>
      <c r="Q177" s="3089"/>
      <c r="R177" s="2912">
        <v>22</v>
      </c>
      <c r="S177" s="2912">
        <v>22</v>
      </c>
      <c r="T177" s="2912">
        <v>22</v>
      </c>
      <c r="U177" s="2912">
        <v>22</v>
      </c>
      <c r="V177" s="2890">
        <v>22</v>
      </c>
      <c r="W177" s="2890">
        <v>22</v>
      </c>
      <c r="X177" s="2890">
        <v>22</v>
      </c>
      <c r="Y177" s="636" t="s">
        <v>50</v>
      </c>
      <c r="Z177" s="636" t="s">
        <v>50</v>
      </c>
      <c r="AA177" s="636" t="s">
        <v>50</v>
      </c>
      <c r="AB177" s="636" t="s">
        <v>50</v>
      </c>
      <c r="AC177" s="3090" t="s">
        <v>50</v>
      </c>
      <c r="AD177" s="3090"/>
      <c r="AE177" s="3090"/>
      <c r="AF177" s="2890">
        <v>23</v>
      </c>
      <c r="AG177" s="2992">
        <v>23</v>
      </c>
      <c r="AH177" s="67"/>
      <c r="AI177" s="67"/>
    </row>
    <row r="178" spans="1:35" ht="18" customHeight="1" x14ac:dyDescent="0.2">
      <c r="A178" s="3091">
        <v>2</v>
      </c>
      <c r="B178" s="748"/>
      <c r="C178" s="636"/>
      <c r="D178" s="636">
        <v>22</v>
      </c>
      <c r="E178" s="635">
        <v>22</v>
      </c>
      <c r="F178" s="3090">
        <v>22</v>
      </c>
      <c r="G178" s="3090">
        <v>22</v>
      </c>
      <c r="H178" s="3090">
        <v>22</v>
      </c>
      <c r="I178" s="3090">
        <v>22</v>
      </c>
      <c r="J178" s="3090">
        <v>22</v>
      </c>
      <c r="K178" s="655" t="s">
        <v>50</v>
      </c>
      <c r="L178" s="655" t="s">
        <v>50</v>
      </c>
      <c r="M178" s="655" t="s">
        <v>50</v>
      </c>
      <c r="N178" s="3089" t="s">
        <v>50</v>
      </c>
      <c r="O178" s="3089" t="s">
        <v>50</v>
      </c>
      <c r="P178" s="3089"/>
      <c r="Q178" s="3089"/>
      <c r="R178" s="636">
        <v>23</v>
      </c>
      <c r="S178" s="635">
        <v>23</v>
      </c>
      <c r="T178" s="3090">
        <v>23</v>
      </c>
      <c r="U178" s="3090">
        <v>23</v>
      </c>
      <c r="V178" s="3090">
        <v>23</v>
      </c>
      <c r="W178" s="3090">
        <v>23</v>
      </c>
      <c r="X178" s="3090">
        <v>23</v>
      </c>
      <c r="Y178" s="636" t="s">
        <v>50</v>
      </c>
      <c r="Z178" s="636" t="s">
        <v>50</v>
      </c>
      <c r="AA178" s="636" t="s">
        <v>50</v>
      </c>
      <c r="AB178" s="636" t="s">
        <v>50</v>
      </c>
      <c r="AC178" s="3090" t="s">
        <v>50</v>
      </c>
      <c r="AD178" s="3090"/>
      <c r="AE178" s="3090"/>
      <c r="AF178" s="3090">
        <v>21</v>
      </c>
      <c r="AG178" s="3092">
        <v>21</v>
      </c>
      <c r="AH178" s="67"/>
      <c r="AI178" s="67"/>
    </row>
    <row r="179" spans="1:35" ht="18" customHeight="1" x14ac:dyDescent="0.2">
      <c r="A179" s="3091">
        <v>3</v>
      </c>
      <c r="B179" s="748"/>
      <c r="C179" s="636"/>
      <c r="D179" s="799">
        <v>23</v>
      </c>
      <c r="E179" s="799">
        <v>23</v>
      </c>
      <c r="F179" s="799">
        <v>23</v>
      </c>
      <c r="G179" s="799">
        <v>23</v>
      </c>
      <c r="H179" s="799">
        <v>23</v>
      </c>
      <c r="I179" s="636">
        <v>23</v>
      </c>
      <c r="J179" s="636">
        <v>23</v>
      </c>
      <c r="K179" s="655" t="s">
        <v>50</v>
      </c>
      <c r="L179" s="655" t="s">
        <v>50</v>
      </c>
      <c r="M179" s="655" t="s">
        <v>50</v>
      </c>
      <c r="N179" s="3089" t="s">
        <v>50</v>
      </c>
      <c r="O179" s="3089" t="s">
        <v>50</v>
      </c>
      <c r="P179" s="3089"/>
      <c r="Q179" s="3089"/>
      <c r="R179" s="636">
        <v>21</v>
      </c>
      <c r="S179" s="635">
        <v>21</v>
      </c>
      <c r="T179" s="636">
        <v>21</v>
      </c>
      <c r="U179" s="636">
        <v>21</v>
      </c>
      <c r="V179" s="636">
        <v>21</v>
      </c>
      <c r="W179" s="636">
        <v>21</v>
      </c>
      <c r="X179" s="636">
        <v>21</v>
      </c>
      <c r="Y179" s="636" t="s">
        <v>50</v>
      </c>
      <c r="Z179" s="636" t="s">
        <v>50</v>
      </c>
      <c r="AA179" s="636" t="s">
        <v>50</v>
      </c>
      <c r="AB179" s="636" t="s">
        <v>50</v>
      </c>
      <c r="AC179" s="3090" t="s">
        <v>50</v>
      </c>
      <c r="AD179" s="3090"/>
      <c r="AE179" s="3090"/>
      <c r="AF179" s="636">
        <v>22</v>
      </c>
      <c r="AG179" s="3092">
        <v>22</v>
      </c>
      <c r="AH179" s="67"/>
      <c r="AI179" s="67"/>
    </row>
    <row r="180" spans="1:35" ht="18" customHeight="1" x14ac:dyDescent="0.2">
      <c r="A180" s="3091">
        <v>4</v>
      </c>
      <c r="B180" s="371" t="s">
        <v>281</v>
      </c>
      <c r="C180" s="636">
        <v>23</v>
      </c>
      <c r="D180" s="655" t="s">
        <v>50</v>
      </c>
      <c r="E180" s="655" t="s">
        <v>50</v>
      </c>
      <c r="F180" s="655" t="s">
        <v>50</v>
      </c>
      <c r="G180" s="3089" t="s">
        <v>50</v>
      </c>
      <c r="H180" s="3089" t="s">
        <v>50</v>
      </c>
      <c r="I180" s="3089"/>
      <c r="J180" s="3089"/>
      <c r="K180" s="799">
        <v>21</v>
      </c>
      <c r="L180" s="799">
        <v>21</v>
      </c>
      <c r="M180" s="799">
        <v>21</v>
      </c>
      <c r="N180" s="799">
        <v>21</v>
      </c>
      <c r="O180" s="799">
        <v>21</v>
      </c>
      <c r="P180" s="636">
        <v>21</v>
      </c>
      <c r="Q180" s="3093">
        <v>21</v>
      </c>
      <c r="R180" s="3094" t="s">
        <v>50</v>
      </c>
      <c r="S180" s="3094" t="s">
        <v>50</v>
      </c>
      <c r="T180" s="636" t="s">
        <v>50</v>
      </c>
      <c r="U180" s="3090" t="s">
        <v>50</v>
      </c>
      <c r="V180" s="3090" t="s">
        <v>50</v>
      </c>
      <c r="W180" s="635"/>
      <c r="X180" s="636"/>
      <c r="Y180" s="2912">
        <v>22</v>
      </c>
      <c r="Z180" s="2912">
        <v>22</v>
      </c>
      <c r="AA180" s="2912">
        <v>22</v>
      </c>
      <c r="AB180" s="2912">
        <v>22</v>
      </c>
      <c r="AC180" s="2890">
        <v>22</v>
      </c>
      <c r="AD180" s="2890">
        <v>22</v>
      </c>
      <c r="AE180" s="2890">
        <v>22</v>
      </c>
      <c r="AF180" s="636" t="s">
        <v>50</v>
      </c>
      <c r="AG180" s="801" t="s">
        <v>50</v>
      </c>
      <c r="AH180" s="67"/>
      <c r="AI180" s="67"/>
    </row>
    <row r="181" spans="1:35" ht="18" customHeight="1" x14ac:dyDescent="0.2">
      <c r="A181" s="3091">
        <v>5</v>
      </c>
      <c r="B181" s="2515" t="s">
        <v>282</v>
      </c>
      <c r="C181" s="968">
        <v>21</v>
      </c>
      <c r="D181" s="3095" t="s">
        <v>50</v>
      </c>
      <c r="E181" s="3095" t="s">
        <v>50</v>
      </c>
      <c r="F181" s="3095" t="s">
        <v>50</v>
      </c>
      <c r="G181" s="3095" t="s">
        <v>50</v>
      </c>
      <c r="H181" s="3095" t="s">
        <v>50</v>
      </c>
      <c r="I181" s="3095"/>
      <c r="J181" s="3095"/>
      <c r="K181" s="636">
        <v>22</v>
      </c>
      <c r="L181" s="635">
        <v>22</v>
      </c>
      <c r="M181" s="636">
        <v>22</v>
      </c>
      <c r="N181" s="636">
        <v>22</v>
      </c>
      <c r="O181" s="636">
        <v>22</v>
      </c>
      <c r="P181" s="636">
        <v>22</v>
      </c>
      <c r="Q181" s="636">
        <v>22</v>
      </c>
      <c r="R181" s="3094" t="s">
        <v>50</v>
      </c>
      <c r="S181" s="3094" t="s">
        <v>50</v>
      </c>
      <c r="T181" s="636" t="s">
        <v>50</v>
      </c>
      <c r="U181" s="3096" t="s">
        <v>50</v>
      </c>
      <c r="V181" s="3090" t="s">
        <v>50</v>
      </c>
      <c r="W181" s="635"/>
      <c r="X181" s="636"/>
      <c r="Y181" s="636">
        <v>23</v>
      </c>
      <c r="Z181" s="635">
        <v>23</v>
      </c>
      <c r="AA181" s="3090">
        <v>23</v>
      </c>
      <c r="AB181" s="3090">
        <v>23</v>
      </c>
      <c r="AC181" s="3090">
        <v>23</v>
      </c>
      <c r="AD181" s="3090">
        <v>23</v>
      </c>
      <c r="AE181" s="1047">
        <v>23</v>
      </c>
      <c r="AF181" s="636" t="s">
        <v>50</v>
      </c>
      <c r="AG181" s="801" t="s">
        <v>50</v>
      </c>
      <c r="AH181" s="67"/>
      <c r="AI181" s="67"/>
    </row>
    <row r="182" spans="1:35" ht="18" customHeight="1" x14ac:dyDescent="0.2">
      <c r="A182" s="3097">
        <v>6</v>
      </c>
      <c r="B182" s="754" t="s">
        <v>283</v>
      </c>
      <c r="C182" s="1363">
        <v>22</v>
      </c>
      <c r="D182" s="655" t="s">
        <v>50</v>
      </c>
      <c r="E182" s="655" t="s">
        <v>50</v>
      </c>
      <c r="F182" s="655" t="s">
        <v>50</v>
      </c>
      <c r="G182" s="3089" t="s">
        <v>50</v>
      </c>
      <c r="H182" s="3089" t="s">
        <v>50</v>
      </c>
      <c r="I182" s="3089"/>
      <c r="J182" s="3089"/>
      <c r="K182" s="3089">
        <v>23</v>
      </c>
      <c r="L182" s="3089">
        <v>23</v>
      </c>
      <c r="M182" s="3098">
        <v>23</v>
      </c>
      <c r="N182" s="3098">
        <v>23</v>
      </c>
      <c r="O182" s="3098">
        <v>23</v>
      </c>
      <c r="P182" s="3098">
        <v>23</v>
      </c>
      <c r="Q182" s="3098">
        <v>23</v>
      </c>
      <c r="R182" s="805" t="s">
        <v>50</v>
      </c>
      <c r="S182" s="805" t="s">
        <v>50</v>
      </c>
      <c r="T182" s="805" t="s">
        <v>50</v>
      </c>
      <c r="U182" s="805" t="s">
        <v>50</v>
      </c>
      <c r="V182" s="805" t="s">
        <v>50</v>
      </c>
      <c r="W182" s="805"/>
      <c r="X182" s="805"/>
      <c r="Y182" s="3099">
        <v>21</v>
      </c>
      <c r="Z182" s="3100">
        <v>21</v>
      </c>
      <c r="AA182" s="3099">
        <v>21</v>
      </c>
      <c r="AB182" s="3099">
        <v>21</v>
      </c>
      <c r="AC182" s="3099">
        <v>21</v>
      </c>
      <c r="AD182" s="3099">
        <v>21</v>
      </c>
      <c r="AE182" s="3099">
        <v>21</v>
      </c>
      <c r="AF182" s="3101" t="s">
        <v>50</v>
      </c>
      <c r="AG182" s="3102" t="s">
        <v>50</v>
      </c>
      <c r="AH182" s="67"/>
      <c r="AI182" s="67"/>
    </row>
    <row r="183" spans="1:35" ht="18" customHeight="1" x14ac:dyDescent="0.2">
      <c r="A183" s="129"/>
      <c r="B183" s="127"/>
      <c r="C183" s="128"/>
      <c r="D183" s="128"/>
      <c r="E183" s="140"/>
      <c r="F183" s="128"/>
      <c r="G183" s="128"/>
      <c r="H183" s="145"/>
      <c r="I183" s="145"/>
      <c r="J183" s="145"/>
      <c r="K183" s="145"/>
      <c r="L183" s="145"/>
      <c r="M183" s="145"/>
      <c r="N183" s="125"/>
      <c r="O183" s="125"/>
      <c r="P183" s="140"/>
      <c r="Q183" s="128"/>
      <c r="R183" s="128"/>
      <c r="S183" s="140"/>
      <c r="T183" s="128"/>
      <c r="U183" s="128"/>
      <c r="V183" s="128"/>
      <c r="W183" s="128"/>
      <c r="X183" s="128"/>
      <c r="Y183" s="128"/>
      <c r="Z183" s="128"/>
      <c r="AA183" s="128"/>
      <c r="AB183" s="125"/>
      <c r="AC183" s="125"/>
      <c r="AD183" s="140"/>
      <c r="AE183" s="128"/>
      <c r="AF183" s="128"/>
      <c r="AG183" s="140"/>
      <c r="AH183" s="67"/>
      <c r="AI183" s="67"/>
    </row>
    <row r="184" spans="1:35" ht="18" customHeight="1" x14ac:dyDescent="0.2">
      <c r="A184" s="69"/>
      <c r="B184" s="70"/>
      <c r="C184" s="120"/>
      <c r="D184" s="120"/>
      <c r="E184" s="106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106"/>
      <c r="Q184" s="120"/>
      <c r="R184" s="120"/>
      <c r="S184" s="106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1"/>
      <c r="AD184" s="121"/>
      <c r="AE184" s="121"/>
      <c r="AF184" s="120"/>
      <c r="AG184" s="106"/>
      <c r="AH184" s="67"/>
      <c r="AI184" s="67"/>
    </row>
    <row r="185" spans="1:35" ht="18" customHeight="1" x14ac:dyDescent="0.2">
      <c r="A185" s="103" t="s">
        <v>284</v>
      </c>
      <c r="D185" s="48"/>
      <c r="E185" s="48"/>
      <c r="F185" s="48"/>
      <c r="G185" s="65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</row>
    <row r="186" spans="1:35" ht="18" customHeight="1" x14ac:dyDescent="0.2">
      <c r="A186" s="1"/>
      <c r="B186" s="2952" t="s">
        <v>255</v>
      </c>
      <c r="C186" s="2953"/>
      <c r="D186" s="2975" t="s">
        <v>17</v>
      </c>
      <c r="E186" s="2792"/>
      <c r="F186" s="2957"/>
      <c r="G186" s="2953"/>
      <c r="H186" s="2975" t="s">
        <v>18</v>
      </c>
      <c r="I186" s="2792"/>
      <c r="J186" s="2957"/>
      <c r="K186" s="2953"/>
      <c r="L186" s="2975" t="s">
        <v>19</v>
      </c>
      <c r="M186" s="2792"/>
      <c r="N186" s="2957"/>
      <c r="O186" s="2953"/>
      <c r="P186" s="2975" t="s">
        <v>20</v>
      </c>
      <c r="Q186" s="2792"/>
      <c r="R186" s="2957"/>
      <c r="S186" s="2953"/>
      <c r="T186" s="2975" t="s">
        <v>21</v>
      </c>
      <c r="U186" s="2792"/>
      <c r="V186" s="2957"/>
      <c r="W186" s="2953"/>
      <c r="X186" s="2975" t="s">
        <v>22</v>
      </c>
      <c r="Y186" s="2792"/>
      <c r="Z186" s="2957"/>
      <c r="AA186" s="2953"/>
      <c r="AB186" s="2975" t="s">
        <v>23</v>
      </c>
      <c r="AC186" s="2792"/>
      <c r="AD186" s="2792"/>
      <c r="AE186" s="2978" t="s">
        <v>126</v>
      </c>
      <c r="AF186" s="2792"/>
      <c r="AG186" s="2792"/>
      <c r="AH186" s="2792"/>
      <c r="AI186" s="2793"/>
    </row>
    <row r="187" spans="1:35" ht="18" customHeight="1" x14ac:dyDescent="0.2">
      <c r="A187" s="1"/>
      <c r="B187" s="2552" t="s">
        <v>235</v>
      </c>
      <c r="C187" s="2855" t="s">
        <v>256</v>
      </c>
      <c r="D187" s="2684"/>
      <c r="E187" s="2684"/>
      <c r="F187" s="2555"/>
      <c r="G187" s="2855" t="s">
        <v>256</v>
      </c>
      <c r="H187" s="2684"/>
      <c r="I187" s="2684"/>
      <c r="J187" s="2555"/>
      <c r="K187" s="2855" t="s">
        <v>256</v>
      </c>
      <c r="L187" s="2684"/>
      <c r="M187" s="2684"/>
      <c r="N187" s="2555"/>
      <c r="O187" s="2855" t="s">
        <v>285</v>
      </c>
      <c r="P187" s="2684"/>
      <c r="Q187" s="2684"/>
      <c r="R187" s="2555"/>
      <c r="S187" s="2855" t="s">
        <v>244</v>
      </c>
      <c r="T187" s="2684"/>
      <c r="U187" s="2684"/>
      <c r="V187" s="2555"/>
      <c r="W187" s="2601"/>
      <c r="X187" s="2602"/>
      <c r="Y187" s="2602"/>
      <c r="Z187" s="2557"/>
      <c r="AA187" s="2553"/>
      <c r="AB187" s="2684"/>
      <c r="AC187" s="2684"/>
      <c r="AD187" s="2856"/>
      <c r="AE187" s="2558">
        <v>27</v>
      </c>
      <c r="AF187" s="2684"/>
      <c r="AG187" s="2684"/>
      <c r="AH187" s="2856"/>
      <c r="AI187" s="2603"/>
    </row>
    <row r="188" spans="1:35" ht="18" customHeight="1" x14ac:dyDescent="0.2">
      <c r="A188" s="1"/>
      <c r="B188" s="2552" t="s">
        <v>236</v>
      </c>
      <c r="C188" s="2855" t="s">
        <v>286</v>
      </c>
      <c r="D188" s="2684"/>
      <c r="E188" s="2684"/>
      <c r="F188" s="2555"/>
      <c r="G188" s="2855" t="s">
        <v>286</v>
      </c>
      <c r="H188" s="2684"/>
      <c r="I188" s="2684"/>
      <c r="J188" s="2555"/>
      <c r="K188" s="2855" t="s">
        <v>286</v>
      </c>
      <c r="L188" s="2684"/>
      <c r="M188" s="2684"/>
      <c r="N188" s="2555"/>
      <c r="O188" s="2855" t="s">
        <v>286</v>
      </c>
      <c r="P188" s="2684"/>
      <c r="Q188" s="2684"/>
      <c r="R188" s="2555"/>
      <c r="S188" s="2855" t="s">
        <v>256</v>
      </c>
      <c r="T188" s="2684"/>
      <c r="U188" s="2684"/>
      <c r="V188" s="2555"/>
      <c r="W188" s="2855"/>
      <c r="X188" s="2684"/>
      <c r="Y188" s="2684"/>
      <c r="Z188" s="2555"/>
      <c r="AA188" s="2684"/>
      <c r="AB188" s="2684"/>
      <c r="AC188" s="2684"/>
      <c r="AD188" s="2856"/>
      <c r="AE188" s="2558">
        <v>39</v>
      </c>
      <c r="AF188" s="2684"/>
      <c r="AG188" s="2684"/>
      <c r="AH188" s="2856"/>
      <c r="AI188" s="2603"/>
    </row>
    <row r="189" spans="1:35" ht="18" customHeight="1" x14ac:dyDescent="0.2">
      <c r="A189" s="1"/>
      <c r="B189" s="2552" t="s">
        <v>243</v>
      </c>
      <c r="C189" s="2855" t="s">
        <v>286</v>
      </c>
      <c r="D189" s="2684"/>
      <c r="E189" s="2684"/>
      <c r="F189" s="2555"/>
      <c r="G189" s="2855" t="s">
        <v>286</v>
      </c>
      <c r="H189" s="2684"/>
      <c r="I189" s="2684"/>
      <c r="J189" s="2555"/>
      <c r="K189" s="2855" t="s">
        <v>286</v>
      </c>
      <c r="L189" s="2684"/>
      <c r="M189" s="2684"/>
      <c r="N189" s="2555"/>
      <c r="O189" s="2855" t="s">
        <v>286</v>
      </c>
      <c r="P189" s="2684"/>
      <c r="Q189" s="2684"/>
      <c r="R189" s="2555"/>
      <c r="S189" s="2855" t="s">
        <v>286</v>
      </c>
      <c r="T189" s="2684"/>
      <c r="U189" s="2684"/>
      <c r="V189" s="2555"/>
      <c r="W189" s="2857" t="s">
        <v>260</v>
      </c>
      <c r="X189" s="2795"/>
      <c r="Y189" s="2795"/>
      <c r="Z189" s="2562"/>
      <c r="AA189" s="2560"/>
      <c r="AB189" s="2795"/>
      <c r="AC189" s="2795"/>
      <c r="AD189" s="2858"/>
      <c r="AE189" s="2558">
        <v>45</v>
      </c>
      <c r="AF189" s="2684"/>
      <c r="AG189" s="2684"/>
      <c r="AH189" s="2856"/>
      <c r="AI189" s="2603"/>
    </row>
    <row r="190" spans="1:35" ht="18" customHeight="1" x14ac:dyDescent="0.2">
      <c r="A190" s="1"/>
      <c r="B190" s="147" t="s">
        <v>245</v>
      </c>
      <c r="C190" s="2593"/>
      <c r="D190" s="2808"/>
      <c r="E190" s="2808"/>
      <c r="F190" s="2595"/>
      <c r="G190" s="2593"/>
      <c r="H190" s="2808"/>
      <c r="I190" s="2808"/>
      <c r="J190" s="2595"/>
      <c r="K190" s="2593"/>
      <c r="L190" s="2808"/>
      <c r="M190" s="2808"/>
      <c r="N190" s="2595"/>
      <c r="O190" s="2593"/>
      <c r="P190" s="2808"/>
      <c r="Q190" s="2808"/>
      <c r="R190" s="2595"/>
      <c r="S190" s="2593"/>
      <c r="T190" s="2808"/>
      <c r="U190" s="2808"/>
      <c r="V190" s="2573"/>
      <c r="W190" s="2593"/>
      <c r="X190" s="2573"/>
      <c r="Y190" s="2808"/>
      <c r="Z190" s="2595"/>
      <c r="AA190" s="2593"/>
      <c r="AB190" s="2573"/>
      <c r="AC190" s="2808"/>
      <c r="AD190" s="2595"/>
      <c r="AE190" s="2604"/>
      <c r="AF190" s="2808"/>
      <c r="AG190" s="2808"/>
      <c r="AH190" s="2573"/>
      <c r="AI190" s="2815"/>
    </row>
    <row r="191" spans="1:35" ht="18" customHeight="1" x14ac:dyDescent="0.2">
      <c r="A191" s="68"/>
      <c r="B191" s="1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</row>
    <row r="192" spans="1:35" ht="18" customHeight="1" thickBot="1" x14ac:dyDescent="0.25">
      <c r="A192" s="2543"/>
      <c r="B192" s="2817" t="s">
        <v>44</v>
      </c>
      <c r="C192" s="2707">
        <v>1</v>
      </c>
      <c r="D192" s="2706">
        <v>2</v>
      </c>
      <c r="E192" s="2706">
        <v>3</v>
      </c>
      <c r="F192" s="2706">
        <v>4</v>
      </c>
      <c r="G192" s="2706">
        <v>5</v>
      </c>
      <c r="H192" s="2706">
        <v>6</v>
      </c>
      <c r="I192" s="2707">
        <v>7</v>
      </c>
      <c r="J192" s="2707">
        <v>8</v>
      </c>
      <c r="K192" s="2706">
        <v>9</v>
      </c>
      <c r="L192" s="2706">
        <v>10</v>
      </c>
      <c r="M192" s="2706">
        <v>11</v>
      </c>
      <c r="N192" s="2706">
        <v>12</v>
      </c>
      <c r="O192" s="2706">
        <v>13</v>
      </c>
      <c r="P192" s="2707">
        <v>14</v>
      </c>
      <c r="Q192" s="2707">
        <v>15</v>
      </c>
      <c r="R192" s="2706">
        <v>16</v>
      </c>
      <c r="S192" s="2706">
        <v>17</v>
      </c>
      <c r="T192" s="3103">
        <v>18</v>
      </c>
      <c r="U192" s="3103">
        <v>19</v>
      </c>
      <c r="V192" s="3103">
        <v>20</v>
      </c>
      <c r="W192" s="3104">
        <v>21</v>
      </c>
      <c r="X192" s="3104">
        <v>22</v>
      </c>
      <c r="Y192" s="3103">
        <v>23</v>
      </c>
      <c r="Z192" s="3103">
        <v>24</v>
      </c>
      <c r="AA192" s="2707">
        <v>25</v>
      </c>
      <c r="AB192" s="2707">
        <v>26</v>
      </c>
      <c r="AC192" s="2706">
        <v>27</v>
      </c>
      <c r="AD192" s="2707">
        <v>28</v>
      </c>
      <c r="AE192" s="2707">
        <v>29</v>
      </c>
      <c r="AF192" s="2706">
        <v>30</v>
      </c>
      <c r="AG192" s="2706">
        <v>31</v>
      </c>
      <c r="AH192" s="110"/>
      <c r="AI192" s="111"/>
    </row>
    <row r="193" spans="1:35" ht="18" customHeight="1" x14ac:dyDescent="0.2">
      <c r="A193" s="2980">
        <v>1</v>
      </c>
      <c r="B193" s="2994" t="s">
        <v>462</v>
      </c>
      <c r="C193" s="2764"/>
      <c r="D193" s="2764" t="s">
        <v>46</v>
      </c>
      <c r="E193" s="2761" t="s">
        <v>46</v>
      </c>
      <c r="F193" s="2764" t="s">
        <v>46</v>
      </c>
      <c r="G193" s="2764" t="s">
        <v>46</v>
      </c>
      <c r="H193" s="2764" t="s">
        <v>46</v>
      </c>
      <c r="I193" s="2764"/>
      <c r="J193" s="2764"/>
      <c r="K193" s="2764" t="s">
        <v>46</v>
      </c>
      <c r="L193" s="2764" t="s">
        <v>46</v>
      </c>
      <c r="M193" s="2764" t="s">
        <v>46</v>
      </c>
      <c r="N193" s="2764" t="s">
        <v>46</v>
      </c>
      <c r="O193" s="2764" t="s">
        <v>46</v>
      </c>
      <c r="P193" s="2765"/>
      <c r="Q193" s="2764"/>
      <c r="R193" s="2765" t="s">
        <v>46</v>
      </c>
      <c r="S193" s="2765" t="s">
        <v>46</v>
      </c>
      <c r="T193" s="2765" t="s">
        <v>46</v>
      </c>
      <c r="U193" s="2718" t="s">
        <v>290</v>
      </c>
      <c r="V193" s="2764" t="s">
        <v>46</v>
      </c>
      <c r="W193" s="2718" t="s">
        <v>290</v>
      </c>
      <c r="X193" s="2764"/>
      <c r="Y193" s="2764" t="s">
        <v>46</v>
      </c>
      <c r="Z193" s="2761" t="s">
        <v>46</v>
      </c>
      <c r="AA193" s="2764"/>
      <c r="AB193" s="2764"/>
      <c r="AC193" s="2764" t="s">
        <v>46</v>
      </c>
      <c r="AD193" s="2764"/>
      <c r="AE193" s="2764"/>
      <c r="AF193" s="2764" t="s">
        <v>46</v>
      </c>
      <c r="AG193" s="2771" t="s">
        <v>46</v>
      </c>
      <c r="AH193" s="132"/>
      <c r="AI193" s="116"/>
    </row>
    <row r="194" spans="1:35" ht="18" customHeight="1" x14ac:dyDescent="0.2">
      <c r="A194" s="2575">
        <v>2</v>
      </c>
      <c r="B194" s="2995" t="s">
        <v>287</v>
      </c>
      <c r="C194" s="2718"/>
      <c r="D194" s="2718" t="s">
        <v>289</v>
      </c>
      <c r="E194" s="2720" t="s">
        <v>289</v>
      </c>
      <c r="F194" s="2718" t="s">
        <v>289</v>
      </c>
      <c r="G194" s="2718" t="s">
        <v>289</v>
      </c>
      <c r="H194" s="2718" t="s">
        <v>289</v>
      </c>
      <c r="I194" s="2718"/>
      <c r="J194" s="2718"/>
      <c r="K194" s="2718" t="s">
        <v>290</v>
      </c>
      <c r="L194" s="2718" t="s">
        <v>290</v>
      </c>
      <c r="M194" s="2718" t="s">
        <v>290</v>
      </c>
      <c r="N194" s="2718" t="s">
        <v>290</v>
      </c>
      <c r="O194" s="2718" t="s">
        <v>290</v>
      </c>
      <c r="P194" s="2734" t="s">
        <v>290</v>
      </c>
      <c r="Q194" s="2718"/>
      <c r="R194" s="2718" t="s">
        <v>288</v>
      </c>
      <c r="S194" s="2718" t="s">
        <v>288</v>
      </c>
      <c r="T194" s="2718" t="s">
        <v>288</v>
      </c>
      <c r="U194" s="2718" t="s">
        <v>288</v>
      </c>
      <c r="V194" s="2718" t="s">
        <v>50</v>
      </c>
      <c r="W194" s="2718"/>
      <c r="X194" s="2718"/>
      <c r="Y194" s="2718" t="s">
        <v>289</v>
      </c>
      <c r="Z194" s="2718" t="s">
        <v>289</v>
      </c>
      <c r="AA194" s="2718"/>
      <c r="AB194" s="2718"/>
      <c r="AC194" s="2718" t="s">
        <v>289</v>
      </c>
      <c r="AD194" s="2718"/>
      <c r="AE194" s="2718"/>
      <c r="AF194" s="2718" t="s">
        <v>290</v>
      </c>
      <c r="AG194" s="2721" t="s">
        <v>290</v>
      </c>
      <c r="AH194" s="132"/>
      <c r="AI194" s="116"/>
    </row>
    <row r="195" spans="1:35" ht="18" customHeight="1" x14ac:dyDescent="0.2">
      <c r="A195" s="2575">
        <v>3</v>
      </c>
      <c r="B195" s="2606" t="s">
        <v>516</v>
      </c>
      <c r="C195" s="2718"/>
      <c r="D195" s="2718" t="s">
        <v>290</v>
      </c>
      <c r="E195" s="2718" t="s">
        <v>290</v>
      </c>
      <c r="F195" s="2718" t="s">
        <v>290</v>
      </c>
      <c r="G195" s="2718" t="s">
        <v>290</v>
      </c>
      <c r="H195" s="2718" t="s">
        <v>290</v>
      </c>
      <c r="I195" s="2718" t="s">
        <v>290</v>
      </c>
      <c r="J195" s="2718"/>
      <c r="K195" s="2739" t="s">
        <v>288</v>
      </c>
      <c r="L195" s="2739" t="s">
        <v>288</v>
      </c>
      <c r="M195" s="2739" t="s">
        <v>288</v>
      </c>
      <c r="N195" s="2739" t="s">
        <v>288</v>
      </c>
      <c r="O195" s="2739" t="s">
        <v>50</v>
      </c>
      <c r="P195" s="2739"/>
      <c r="Q195" s="2739"/>
      <c r="R195" s="2739" t="s">
        <v>289</v>
      </c>
      <c r="S195" s="2739" t="s">
        <v>289</v>
      </c>
      <c r="T195" s="2739" t="s">
        <v>289</v>
      </c>
      <c r="U195" s="2739" t="s">
        <v>289</v>
      </c>
      <c r="V195" s="2739" t="s">
        <v>289</v>
      </c>
      <c r="W195" s="2739"/>
      <c r="X195" s="2739"/>
      <c r="Y195" s="2718" t="s">
        <v>290</v>
      </c>
      <c r="Z195" s="2718" t="s">
        <v>290</v>
      </c>
      <c r="AA195" s="2718"/>
      <c r="AB195" s="2718"/>
      <c r="AC195" s="2718" t="s">
        <v>290</v>
      </c>
      <c r="AD195" s="2734" t="s">
        <v>290</v>
      </c>
      <c r="AE195" s="2718"/>
      <c r="AF195" s="2718" t="s">
        <v>288</v>
      </c>
      <c r="AG195" s="2721" t="s">
        <v>288</v>
      </c>
      <c r="AH195" s="132"/>
      <c r="AI195" s="116"/>
    </row>
    <row r="196" spans="1:35" ht="18" customHeight="1" x14ac:dyDescent="0.2">
      <c r="A196" s="2575">
        <v>4</v>
      </c>
      <c r="B196" s="2606" t="s">
        <v>517</v>
      </c>
      <c r="C196" s="2718"/>
      <c r="D196" s="2718"/>
      <c r="E196" s="2718"/>
      <c r="F196" s="2718"/>
      <c r="G196" s="2718"/>
      <c r="H196" s="2718"/>
      <c r="I196" s="2718"/>
      <c r="J196" s="2718"/>
      <c r="K196" s="2718"/>
      <c r="L196" s="2725"/>
      <c r="M196" s="2725"/>
      <c r="N196" s="2718"/>
      <c r="O196" s="2718"/>
      <c r="P196" s="2718"/>
      <c r="Q196" s="2718"/>
      <c r="R196" s="2718"/>
      <c r="S196" s="2718"/>
      <c r="T196" s="2718"/>
      <c r="U196" s="2718"/>
      <c r="V196" s="2718"/>
      <c r="W196" s="2718"/>
      <c r="X196" s="2718"/>
      <c r="Y196" s="2718"/>
      <c r="Z196" s="2718"/>
      <c r="AA196" s="2718"/>
      <c r="AB196" s="2718"/>
      <c r="AC196" s="2718"/>
      <c r="AD196" s="2718"/>
      <c r="AE196" s="2718"/>
      <c r="AF196" s="2718"/>
      <c r="AG196" s="2607"/>
      <c r="AH196" s="132"/>
      <c r="AI196" s="116"/>
    </row>
    <row r="197" spans="1:35" ht="18" customHeight="1" x14ac:dyDescent="0.2">
      <c r="A197" s="2575">
        <v>5</v>
      </c>
      <c r="B197" s="2606" t="s">
        <v>292</v>
      </c>
      <c r="C197" s="2718"/>
      <c r="D197" s="2718"/>
      <c r="E197" s="2718"/>
      <c r="F197" s="2718"/>
      <c r="G197" s="2718"/>
      <c r="H197" s="2718"/>
      <c r="I197" s="2718"/>
      <c r="J197" s="2718"/>
      <c r="K197" s="2725"/>
      <c r="L197" s="2718"/>
      <c r="M197" s="2718"/>
      <c r="N197" s="2718"/>
      <c r="O197" s="2718"/>
      <c r="P197" s="2718"/>
      <c r="Q197" s="2718"/>
      <c r="R197" s="2718"/>
      <c r="S197" s="2718"/>
      <c r="T197" s="2718"/>
      <c r="U197" s="2718"/>
      <c r="V197" s="2718"/>
      <c r="W197" s="2718"/>
      <c r="X197" s="2718"/>
      <c r="Y197" s="2718"/>
      <c r="Z197" s="2718"/>
      <c r="AA197" s="2718"/>
      <c r="AB197" s="2718"/>
      <c r="AC197" s="2718"/>
      <c r="AD197" s="2718"/>
      <c r="AE197" s="2718"/>
      <c r="AF197" s="2725"/>
      <c r="AG197" s="2721"/>
      <c r="AH197" s="132"/>
      <c r="AI197" s="116"/>
    </row>
    <row r="198" spans="1:35" ht="18" customHeight="1" x14ac:dyDescent="0.2">
      <c r="A198" s="2575">
        <v>6</v>
      </c>
      <c r="B198" s="2722" t="s">
        <v>293</v>
      </c>
      <c r="C198" s="2718"/>
      <c r="D198" s="2718" t="s">
        <v>46</v>
      </c>
      <c r="E198" s="2718" t="s">
        <v>46</v>
      </c>
      <c r="F198" s="2723" t="s">
        <v>46</v>
      </c>
      <c r="G198" s="2718" t="s">
        <v>46</v>
      </c>
      <c r="H198" s="2718" t="s">
        <v>46</v>
      </c>
      <c r="I198" s="2718"/>
      <c r="J198" s="2718"/>
      <c r="K198" s="2718" t="s">
        <v>46</v>
      </c>
      <c r="L198" s="2718" t="s">
        <v>46</v>
      </c>
      <c r="M198" s="2718" t="s">
        <v>46</v>
      </c>
      <c r="N198" s="2984" t="s">
        <v>46</v>
      </c>
      <c r="O198" s="2718" t="s">
        <v>46</v>
      </c>
      <c r="P198" s="2725"/>
      <c r="Q198" s="2725"/>
      <c r="R198" s="2725" t="s">
        <v>46</v>
      </c>
      <c r="S198" s="2725" t="s">
        <v>46</v>
      </c>
      <c r="T198" s="2718" t="s">
        <v>46</v>
      </c>
      <c r="U198" s="2718" t="s">
        <v>46</v>
      </c>
      <c r="V198" s="2723" t="s">
        <v>46</v>
      </c>
      <c r="W198" s="2718"/>
      <c r="X198" s="2718"/>
      <c r="Y198" s="2718" t="s">
        <v>46</v>
      </c>
      <c r="Z198" s="2718" t="s">
        <v>46</v>
      </c>
      <c r="AA198" s="2723"/>
      <c r="AB198" s="2718"/>
      <c r="AC198" s="2718" t="s">
        <v>46</v>
      </c>
      <c r="AD198" s="2718"/>
      <c r="AE198" s="2718"/>
      <c r="AF198" s="2718" t="s">
        <v>46</v>
      </c>
      <c r="AG198" s="2442" t="s">
        <v>46</v>
      </c>
      <c r="AH198" s="124"/>
      <c r="AI198" s="67"/>
    </row>
    <row r="199" spans="1:35" ht="18" customHeight="1" x14ac:dyDescent="0.2">
      <c r="A199" s="2584"/>
      <c r="B199" s="2743"/>
      <c r="C199" s="2783"/>
      <c r="D199" s="2783"/>
      <c r="E199" s="2783"/>
      <c r="F199" s="2783"/>
      <c r="G199" s="2783"/>
      <c r="H199" s="2783"/>
      <c r="I199" s="2783"/>
      <c r="J199" s="2783"/>
      <c r="K199" s="2783"/>
      <c r="L199" s="2783"/>
      <c r="M199" s="2783"/>
      <c r="N199" s="2783"/>
      <c r="O199" s="2783"/>
      <c r="P199" s="2783"/>
      <c r="Q199" s="2783"/>
      <c r="R199" s="2783"/>
      <c r="S199" s="2783"/>
      <c r="T199" s="2783"/>
      <c r="U199" s="2783"/>
      <c r="V199" s="2783"/>
      <c r="W199" s="2783"/>
      <c r="X199" s="2783"/>
      <c r="Y199" s="2783"/>
      <c r="Z199" s="2783"/>
      <c r="AA199" s="2783"/>
      <c r="AB199" s="2783"/>
      <c r="AC199" s="2783"/>
      <c r="AD199" s="2783"/>
      <c r="AE199" s="2783"/>
      <c r="AF199" s="2783"/>
      <c r="AG199" s="2784"/>
      <c r="AH199" s="67"/>
      <c r="AI199" s="67"/>
    </row>
    <row r="200" spans="1:35" ht="18" customHeight="1" x14ac:dyDescent="0.2">
      <c r="A200" s="129"/>
      <c r="B200" s="127"/>
      <c r="C200" s="128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28"/>
      <c r="AH200" s="67"/>
      <c r="AI200" s="67"/>
    </row>
    <row r="201" spans="1:35" ht="18" customHeight="1" x14ac:dyDescent="0.2">
      <c r="A201" s="129"/>
      <c r="B201" s="127"/>
      <c r="C201" s="128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28"/>
      <c r="AH201" s="67"/>
      <c r="AI201" s="67"/>
    </row>
    <row r="202" spans="1:35" ht="18" customHeight="1" x14ac:dyDescent="0.2">
      <c r="A202" s="97" t="s">
        <v>294</v>
      </c>
      <c r="B202" s="48"/>
      <c r="C202" s="66"/>
      <c r="D202" s="48"/>
      <c r="E202" s="48"/>
      <c r="F202" s="66"/>
      <c r="G202" s="48"/>
      <c r="H202" s="48"/>
      <c r="I202" s="66"/>
      <c r="J202" s="66"/>
      <c r="K202" s="48"/>
      <c r="L202" s="66"/>
      <c r="M202" s="48"/>
      <c r="N202" s="48"/>
      <c r="O202" s="66"/>
      <c r="P202" s="48"/>
      <c r="Q202" s="66"/>
      <c r="R202" s="66"/>
      <c r="S202" s="48"/>
      <c r="T202" s="48"/>
      <c r="U202" s="66"/>
      <c r="V202" s="48"/>
      <c r="W202" s="66"/>
      <c r="X202" s="66"/>
      <c r="Y202" s="48"/>
      <c r="Z202" s="48"/>
      <c r="AA202" s="48"/>
      <c r="AB202" s="48"/>
      <c r="AC202" s="48"/>
      <c r="AD202" s="48"/>
      <c r="AE202" s="66"/>
      <c r="AF202" s="48"/>
      <c r="AG202" s="48"/>
      <c r="AH202" s="67"/>
      <c r="AI202" s="67"/>
    </row>
    <row r="203" spans="1:35" ht="18" customHeight="1" x14ac:dyDescent="0.2">
      <c r="A203" s="69"/>
      <c r="B203" s="3105" t="s">
        <v>295</v>
      </c>
      <c r="C203" s="2996"/>
      <c r="D203" s="224" t="s">
        <v>17</v>
      </c>
      <c r="E203" s="225"/>
      <c r="F203" s="2997"/>
      <c r="G203" s="3106"/>
      <c r="H203" s="224" t="s">
        <v>18</v>
      </c>
      <c r="I203" s="225"/>
      <c r="J203" s="2997"/>
      <c r="K203" s="3106"/>
      <c r="L203" s="224" t="s">
        <v>19</v>
      </c>
      <c r="M203" s="225"/>
      <c r="N203" s="2997"/>
      <c r="O203" s="3106"/>
      <c r="P203" s="224" t="s">
        <v>20</v>
      </c>
      <c r="Q203" s="225"/>
      <c r="R203" s="2997"/>
      <c r="S203" s="3106"/>
      <c r="T203" s="224" t="s">
        <v>21</v>
      </c>
      <c r="U203" s="225"/>
      <c r="V203" s="2997"/>
      <c r="W203" s="3106"/>
      <c r="X203" s="224" t="s">
        <v>22</v>
      </c>
      <c r="Y203" s="225"/>
      <c r="Z203" s="2997"/>
      <c r="AA203" s="3106"/>
      <c r="AB203" s="224" t="s">
        <v>23</v>
      </c>
      <c r="AC203" s="225"/>
      <c r="AD203" s="225"/>
      <c r="AE203" s="3107" t="s">
        <v>126</v>
      </c>
      <c r="AF203" s="225"/>
      <c r="AG203" s="225"/>
      <c r="AH203" s="225"/>
      <c r="AI203" s="2998"/>
    </row>
    <row r="204" spans="1:35" ht="18" customHeight="1" x14ac:dyDescent="0.2">
      <c r="A204" s="69"/>
      <c r="B204" s="2367" t="s">
        <v>296</v>
      </c>
      <c r="C204" s="1929" t="s">
        <v>297</v>
      </c>
      <c r="D204" s="1930" t="s">
        <v>298</v>
      </c>
      <c r="E204" s="1931"/>
      <c r="F204" s="1932"/>
      <c r="G204" s="1933"/>
      <c r="H204" s="2608" t="s">
        <v>298</v>
      </c>
      <c r="I204" s="2609"/>
      <c r="J204" s="1932"/>
      <c r="K204" s="1933"/>
      <c r="L204" s="2608" t="s">
        <v>298</v>
      </c>
      <c r="M204" s="2609"/>
      <c r="N204" s="1932"/>
      <c r="O204" s="1933"/>
      <c r="P204" s="2608" t="s">
        <v>299</v>
      </c>
      <c r="Q204" s="2609"/>
      <c r="R204" s="1932"/>
      <c r="S204" s="1933"/>
      <c r="T204" s="2608" t="s">
        <v>300</v>
      </c>
      <c r="U204" s="2609"/>
      <c r="V204" s="1932"/>
      <c r="W204" s="1934"/>
      <c r="X204" s="3108"/>
      <c r="Y204" s="3108"/>
      <c r="Z204" s="1935"/>
      <c r="AA204" s="1934"/>
      <c r="AB204" s="3108"/>
      <c r="AC204" s="3108"/>
      <c r="AD204" s="3108"/>
      <c r="AE204" s="1934"/>
      <c r="AF204" s="3108"/>
      <c r="AG204" s="3108"/>
      <c r="AH204" s="2611"/>
      <c r="AI204" s="1936"/>
    </row>
    <row r="205" spans="1:35" ht="18" customHeight="1" x14ac:dyDescent="0.2">
      <c r="A205" s="69"/>
      <c r="B205" s="2367" t="s">
        <v>301</v>
      </c>
      <c r="C205" s="1929" t="s">
        <v>174</v>
      </c>
      <c r="D205" s="1930" t="s">
        <v>298</v>
      </c>
      <c r="E205" s="1931"/>
      <c r="F205" s="1932"/>
      <c r="G205" s="1933"/>
      <c r="H205" s="2608" t="s">
        <v>298</v>
      </c>
      <c r="I205" s="2609"/>
      <c r="J205" s="1932"/>
      <c r="K205" s="1933"/>
      <c r="L205" s="2608" t="s">
        <v>302</v>
      </c>
      <c r="M205" s="2609"/>
      <c r="N205" s="1932"/>
      <c r="O205" s="1933"/>
      <c r="P205" s="2608" t="s">
        <v>303</v>
      </c>
      <c r="Q205" s="2609"/>
      <c r="R205" s="1932"/>
      <c r="S205" s="1933"/>
      <c r="T205" s="2608" t="s">
        <v>304</v>
      </c>
      <c r="U205" s="2609"/>
      <c r="V205" s="1932"/>
      <c r="W205" s="1934"/>
      <c r="X205" s="3108"/>
      <c r="Y205" s="3108"/>
      <c r="Z205" s="1935"/>
      <c r="AA205" s="1934"/>
      <c r="AB205" s="3108"/>
      <c r="AC205" s="3108"/>
      <c r="AD205" s="3108"/>
      <c r="AE205" s="1934"/>
      <c r="AF205" s="3108"/>
      <c r="AG205" s="3108"/>
      <c r="AH205" s="2611"/>
      <c r="AI205" s="1936"/>
    </row>
    <row r="206" spans="1:35" ht="18" customHeight="1" x14ac:dyDescent="0.2">
      <c r="A206" s="69"/>
      <c r="B206" s="2367" t="s">
        <v>305</v>
      </c>
      <c r="C206" s="1929" t="s">
        <v>154</v>
      </c>
      <c r="D206" s="1930" t="s">
        <v>306</v>
      </c>
      <c r="E206" s="1931"/>
      <c r="F206" s="1932"/>
      <c r="G206" s="1933"/>
      <c r="H206" s="1930" t="s">
        <v>306</v>
      </c>
      <c r="I206" s="2609"/>
      <c r="J206" s="1932"/>
      <c r="K206" s="1933"/>
      <c r="L206" s="1930" t="s">
        <v>306</v>
      </c>
      <c r="M206" s="2609"/>
      <c r="N206" s="1932"/>
      <c r="O206" s="1933"/>
      <c r="P206" s="2608" t="s">
        <v>307</v>
      </c>
      <c r="Q206" s="2609"/>
      <c r="R206" s="1932"/>
      <c r="S206" s="1933"/>
      <c r="T206" s="2608" t="s">
        <v>304</v>
      </c>
      <c r="U206" s="2609"/>
      <c r="V206" s="1932"/>
      <c r="W206" s="1934"/>
      <c r="X206" s="3108"/>
      <c r="Y206" s="3108"/>
      <c r="Z206" s="1935"/>
      <c r="AA206" s="1934"/>
      <c r="AB206" s="3108"/>
      <c r="AC206" s="3108"/>
      <c r="AD206" s="3108"/>
      <c r="AE206" s="1934"/>
      <c r="AF206" s="3108"/>
      <c r="AG206" s="3108"/>
      <c r="AH206" s="2611"/>
      <c r="AI206" s="1936"/>
    </row>
    <row r="207" spans="1:35" ht="18" customHeight="1" x14ac:dyDescent="0.2">
      <c r="A207" s="69"/>
      <c r="B207" s="2367" t="s">
        <v>308</v>
      </c>
      <c r="C207" s="1929" t="s">
        <v>309</v>
      </c>
      <c r="D207" s="1930" t="s">
        <v>310</v>
      </c>
      <c r="E207" s="1931"/>
      <c r="F207" s="1932"/>
      <c r="G207" s="1933"/>
      <c r="H207" s="2608" t="s">
        <v>298</v>
      </c>
      <c r="I207" s="2609"/>
      <c r="J207" s="1932"/>
      <c r="K207" s="1933"/>
      <c r="L207" s="2608" t="s">
        <v>298</v>
      </c>
      <c r="M207" s="2609"/>
      <c r="N207" s="1932"/>
      <c r="O207" s="1933"/>
      <c r="P207" s="2608" t="s">
        <v>311</v>
      </c>
      <c r="Q207" s="2609"/>
      <c r="R207" s="1932"/>
      <c r="S207" s="1933"/>
      <c r="T207" s="2608" t="s">
        <v>312</v>
      </c>
      <c r="U207" s="2609"/>
      <c r="V207" s="1932"/>
      <c r="W207" s="1934"/>
      <c r="X207" s="3108"/>
      <c r="Y207" s="3108"/>
      <c r="Z207" s="1935"/>
      <c r="AA207" s="1934"/>
      <c r="AB207" s="3108"/>
      <c r="AC207" s="3108"/>
      <c r="AD207" s="3108"/>
      <c r="AE207" s="1934"/>
      <c r="AF207" s="3108"/>
      <c r="AG207" s="3108"/>
      <c r="AH207" s="2611"/>
      <c r="AI207" s="1936"/>
    </row>
    <row r="208" spans="1:35" ht="18" customHeight="1" x14ac:dyDescent="0.2">
      <c r="A208" s="69"/>
      <c r="B208" s="2999" t="s">
        <v>313</v>
      </c>
      <c r="C208" s="1929" t="s">
        <v>160</v>
      </c>
      <c r="D208" s="1930" t="s">
        <v>314</v>
      </c>
      <c r="E208" s="1931"/>
      <c r="F208" s="1937"/>
      <c r="G208" s="1938"/>
      <c r="H208" s="1930" t="s">
        <v>314</v>
      </c>
      <c r="I208" s="2613"/>
      <c r="J208" s="1937"/>
      <c r="K208" s="1938"/>
      <c r="L208" s="1930" t="s">
        <v>314</v>
      </c>
      <c r="M208" s="2613"/>
      <c r="N208" s="1937"/>
      <c r="O208" s="1938"/>
      <c r="P208" s="2608" t="s">
        <v>315</v>
      </c>
      <c r="Q208" s="2613"/>
      <c r="R208" s="1937"/>
      <c r="S208" s="1938"/>
      <c r="T208" s="2608" t="s">
        <v>304</v>
      </c>
      <c r="U208" s="2613"/>
      <c r="V208" s="2431"/>
      <c r="W208" s="3000"/>
      <c r="X208" s="2513"/>
      <c r="Y208" s="2513"/>
      <c r="Z208" s="3109"/>
      <c r="AA208" s="3000"/>
      <c r="AB208" s="2513"/>
      <c r="AC208" s="2513"/>
      <c r="AD208" s="2513"/>
      <c r="AE208" s="3000"/>
      <c r="AF208" s="2513"/>
      <c r="AG208" s="2513"/>
      <c r="AH208" s="3110"/>
      <c r="AI208" s="3111"/>
    </row>
    <row r="209" spans="1:36" ht="18" customHeight="1" x14ac:dyDescent="0.2">
      <c r="A209" s="69"/>
      <c r="B209" s="2367" t="s">
        <v>316</v>
      </c>
      <c r="C209" s="1929" t="s">
        <v>168</v>
      </c>
      <c r="D209" s="1930" t="s">
        <v>317</v>
      </c>
      <c r="E209" s="1931"/>
      <c r="F209" s="1932"/>
      <c r="G209" s="1933"/>
      <c r="H209" s="1930" t="s">
        <v>317</v>
      </c>
      <c r="I209" s="2609"/>
      <c r="J209" s="1932"/>
      <c r="K209" s="1933"/>
      <c r="L209" s="1930" t="s">
        <v>317</v>
      </c>
      <c r="M209" s="2609"/>
      <c r="N209" s="1932"/>
      <c r="O209" s="1933"/>
      <c r="P209" s="2608" t="s">
        <v>318</v>
      </c>
      <c r="Q209" s="2609"/>
      <c r="R209" s="1932"/>
      <c r="S209" s="1933"/>
      <c r="T209" s="2608" t="s">
        <v>304</v>
      </c>
      <c r="U209" s="2609"/>
      <c r="V209" s="1932"/>
      <c r="W209" s="1934"/>
      <c r="X209" s="3108"/>
      <c r="Y209" s="3108"/>
      <c r="Z209" s="1142"/>
      <c r="AA209" s="1934"/>
      <c r="AB209" s="3108"/>
      <c r="AC209" s="3108"/>
      <c r="AD209" s="3108"/>
      <c r="AE209" s="1934"/>
      <c r="AF209" s="3108"/>
      <c r="AG209" s="3108"/>
      <c r="AH209" s="2611"/>
      <c r="AI209" s="1936"/>
    </row>
    <row r="210" spans="1:36" ht="18" customHeight="1" x14ac:dyDescent="0.2">
      <c r="A210" s="69"/>
      <c r="B210" s="2367" t="s">
        <v>319</v>
      </c>
      <c r="C210" s="1929" t="s">
        <v>158</v>
      </c>
      <c r="D210" s="1930" t="s">
        <v>320</v>
      </c>
      <c r="E210" s="1931"/>
      <c r="F210" s="1932"/>
      <c r="G210" s="1933"/>
      <c r="H210" s="2608" t="s">
        <v>320</v>
      </c>
      <c r="I210" s="2609"/>
      <c r="J210" s="1932"/>
      <c r="K210" s="1933"/>
      <c r="L210" s="2608" t="s">
        <v>320</v>
      </c>
      <c r="M210" s="2609"/>
      <c r="N210" s="2609"/>
      <c r="O210" s="1933"/>
      <c r="P210" s="2608" t="s">
        <v>320</v>
      </c>
      <c r="Q210" s="2609"/>
      <c r="R210" s="2609"/>
      <c r="S210" s="1933"/>
      <c r="T210" s="2608" t="s">
        <v>304</v>
      </c>
      <c r="U210" s="2609"/>
      <c r="V210" s="1932"/>
      <c r="W210" s="2367"/>
      <c r="X210" s="3108"/>
      <c r="Y210" s="3108"/>
      <c r="Z210" s="1142"/>
      <c r="AA210" s="1934"/>
      <c r="AB210" s="3108"/>
      <c r="AC210" s="3108"/>
      <c r="AD210" s="3108"/>
      <c r="AE210" s="1934"/>
      <c r="AF210" s="3108"/>
      <c r="AG210" s="3108"/>
      <c r="AH210" s="2611"/>
      <c r="AI210" s="1936"/>
    </row>
    <row r="211" spans="1:36" ht="18" customHeight="1" x14ac:dyDescent="0.2">
      <c r="A211" s="69"/>
      <c r="B211" s="2367" t="s">
        <v>321</v>
      </c>
      <c r="C211" s="1929" t="s">
        <v>322</v>
      </c>
      <c r="D211" s="1930" t="s">
        <v>320</v>
      </c>
      <c r="E211" s="1931"/>
      <c r="F211" s="1932"/>
      <c r="G211" s="1933"/>
      <c r="H211" s="2608" t="s">
        <v>320</v>
      </c>
      <c r="I211" s="2609"/>
      <c r="J211" s="1932"/>
      <c r="K211" s="1933"/>
      <c r="L211" s="2608" t="s">
        <v>320</v>
      </c>
      <c r="M211" s="2609"/>
      <c r="N211" s="2609"/>
      <c r="O211" s="1933"/>
      <c r="P211" s="2608" t="s">
        <v>320</v>
      </c>
      <c r="Q211" s="2609"/>
      <c r="R211" s="2609"/>
      <c r="S211" s="1933"/>
      <c r="T211" s="2608" t="s">
        <v>304</v>
      </c>
      <c r="U211" s="2609"/>
      <c r="V211" s="1932"/>
      <c r="W211" s="2367"/>
      <c r="X211" s="3108"/>
      <c r="Y211" s="3108"/>
      <c r="Z211" s="1935"/>
      <c r="AA211" s="2614"/>
      <c r="AB211" s="3108"/>
      <c r="AC211" s="3108"/>
      <c r="AD211" s="3108"/>
      <c r="AE211" s="1934"/>
      <c r="AF211" s="3108"/>
      <c r="AG211" s="3108"/>
      <c r="AH211" s="2611"/>
      <c r="AI211" s="1936"/>
    </row>
    <row r="212" spans="1:36" ht="18" customHeight="1" x14ac:dyDescent="0.2">
      <c r="A212" s="69"/>
      <c r="B212" s="2698" t="s">
        <v>465</v>
      </c>
      <c r="C212" s="1929" t="s">
        <v>451</v>
      </c>
      <c r="D212" s="1930" t="s">
        <v>320</v>
      </c>
      <c r="E212" s="1931"/>
      <c r="F212" s="1932"/>
      <c r="G212" s="1933"/>
      <c r="H212" s="2608" t="s">
        <v>320</v>
      </c>
      <c r="I212" s="2609"/>
      <c r="J212" s="1932"/>
      <c r="K212" s="1933"/>
      <c r="L212" s="2608" t="s">
        <v>320</v>
      </c>
      <c r="M212" s="2609"/>
      <c r="N212" s="2609"/>
      <c r="O212" s="1933"/>
      <c r="P212" s="2608" t="s">
        <v>320</v>
      </c>
      <c r="Q212" s="2609"/>
      <c r="R212" s="2609"/>
      <c r="S212" s="1933"/>
      <c r="T212" s="2608" t="s">
        <v>304</v>
      </c>
      <c r="U212" s="2609"/>
      <c r="V212" s="1932"/>
      <c r="AA212" s="122"/>
      <c r="AE212" s="122"/>
      <c r="AH212" s="67"/>
      <c r="AI212" s="67"/>
    </row>
    <row r="213" spans="1:36" ht="18" customHeight="1" x14ac:dyDescent="0.2">
      <c r="A213" s="69"/>
      <c r="B213" t="s">
        <v>323</v>
      </c>
      <c r="C213" s="122"/>
      <c r="F213" s="122"/>
      <c r="I213" s="122"/>
      <c r="J213" s="122"/>
      <c r="L213" s="122"/>
      <c r="O213" s="122"/>
      <c r="Q213" s="122"/>
      <c r="R213" s="122"/>
      <c r="U213" s="122"/>
      <c r="W213" s="122"/>
      <c r="X213" s="122"/>
      <c r="AE213" s="122"/>
      <c r="AH213" s="67"/>
      <c r="AI213" s="67"/>
      <c r="AJ213" s="123"/>
    </row>
    <row r="214" spans="1:36" ht="18" customHeight="1" x14ac:dyDescent="0.2">
      <c r="A214" s="69"/>
      <c r="B214" s="3105" t="s">
        <v>295</v>
      </c>
      <c r="C214" s="3001"/>
      <c r="D214" s="224" t="s">
        <v>17</v>
      </c>
      <c r="E214" s="225"/>
      <c r="F214" s="2997"/>
      <c r="G214" s="3106"/>
      <c r="H214" s="224" t="s">
        <v>18</v>
      </c>
      <c r="I214" s="225"/>
      <c r="J214" s="2997"/>
      <c r="K214" s="3106"/>
      <c r="L214" s="224" t="s">
        <v>19</v>
      </c>
      <c r="M214" s="225"/>
      <c r="N214" s="2997"/>
      <c r="O214" s="3106"/>
      <c r="P214" s="224" t="s">
        <v>20</v>
      </c>
      <c r="Q214" s="225"/>
      <c r="R214" s="2997"/>
      <c r="S214" s="3106"/>
      <c r="T214" s="224" t="s">
        <v>21</v>
      </c>
      <c r="U214" s="225"/>
      <c r="V214" s="2997"/>
      <c r="W214" s="3106"/>
      <c r="X214" s="224" t="s">
        <v>22</v>
      </c>
      <c r="Y214" s="225"/>
      <c r="Z214" s="2997"/>
      <c r="AA214" s="3106"/>
      <c r="AB214" s="224" t="s">
        <v>23</v>
      </c>
      <c r="AC214" s="225"/>
      <c r="AD214" s="225"/>
      <c r="AE214" s="3107" t="s">
        <v>126</v>
      </c>
      <c r="AF214" s="225"/>
      <c r="AG214" s="225"/>
      <c r="AH214" s="225"/>
      <c r="AI214" s="2998"/>
      <c r="AJ214" s="123"/>
    </row>
    <row r="215" spans="1:36" ht="18" customHeight="1" x14ac:dyDescent="0.2">
      <c r="A215" s="69"/>
      <c r="B215" s="2367" t="s">
        <v>296</v>
      </c>
      <c r="C215" s="1929" t="s">
        <v>297</v>
      </c>
      <c r="D215" s="1930" t="s">
        <v>324</v>
      </c>
      <c r="E215" s="1931"/>
      <c r="F215" s="1932"/>
      <c r="G215" s="1933"/>
      <c r="H215" s="1930" t="s">
        <v>324</v>
      </c>
      <c r="I215" s="2609"/>
      <c r="J215" s="1932"/>
      <c r="K215" s="1933"/>
      <c r="L215" s="1930" t="s">
        <v>324</v>
      </c>
      <c r="M215" s="2609"/>
      <c r="N215" s="1932"/>
      <c r="O215" s="1933"/>
      <c r="P215" s="2608" t="s">
        <v>325</v>
      </c>
      <c r="Q215" s="2609"/>
      <c r="R215" s="1932"/>
      <c r="S215" s="1933"/>
      <c r="T215" s="2608" t="s">
        <v>326</v>
      </c>
      <c r="U215" s="2609"/>
      <c r="V215" s="1932"/>
      <c r="W215" s="1940"/>
      <c r="X215" s="1142"/>
      <c r="Y215" s="1142"/>
      <c r="Z215" s="2431"/>
      <c r="AA215" s="1940"/>
      <c r="AB215" s="1142"/>
      <c r="AC215" s="1142"/>
      <c r="AD215" s="1142"/>
      <c r="AE215" s="1940"/>
      <c r="AF215" s="1142"/>
      <c r="AG215" s="1142"/>
      <c r="AH215" s="2611"/>
      <c r="AI215" s="1936"/>
      <c r="AJ215" s="123"/>
    </row>
    <row r="216" spans="1:36" ht="18" customHeight="1" x14ac:dyDescent="0.2">
      <c r="A216" s="69"/>
      <c r="B216" s="2367" t="s">
        <v>301</v>
      </c>
      <c r="C216" s="1929" t="s">
        <v>174</v>
      </c>
      <c r="D216" s="1930" t="s">
        <v>324</v>
      </c>
      <c r="E216" s="1931"/>
      <c r="F216" s="1932"/>
      <c r="G216" s="1933"/>
      <c r="H216" s="1930" t="s">
        <v>324</v>
      </c>
      <c r="I216" s="2609"/>
      <c r="J216" s="1932"/>
      <c r="K216" s="1933"/>
      <c r="L216" s="2608" t="s">
        <v>302</v>
      </c>
      <c r="M216" s="2609"/>
      <c r="N216" s="1932"/>
      <c r="O216" s="1933"/>
      <c r="P216" s="2608" t="s">
        <v>327</v>
      </c>
      <c r="Q216" s="2609"/>
      <c r="R216" s="1932"/>
      <c r="S216" s="1933"/>
      <c r="T216" s="2608" t="s">
        <v>328</v>
      </c>
      <c r="U216" s="2609"/>
      <c r="V216" s="1932"/>
      <c r="W216" s="1940"/>
      <c r="X216" s="1142"/>
      <c r="Y216" s="1142"/>
      <c r="Z216" s="2431"/>
      <c r="AA216" s="1940"/>
      <c r="AB216" s="1142"/>
      <c r="AC216" s="1142"/>
      <c r="AD216" s="1142"/>
      <c r="AE216" s="1940"/>
      <c r="AF216" s="1142"/>
      <c r="AG216" s="1142"/>
      <c r="AH216" s="2611"/>
      <c r="AI216" s="1936"/>
      <c r="AJ216" s="123"/>
    </row>
    <row r="217" spans="1:36" ht="18" customHeight="1" x14ac:dyDescent="0.2">
      <c r="A217" s="69"/>
      <c r="B217" s="2367" t="s">
        <v>305</v>
      </c>
      <c r="C217" s="1929" t="s">
        <v>154</v>
      </c>
      <c r="D217" s="1930" t="s">
        <v>324</v>
      </c>
      <c r="E217" s="1931"/>
      <c r="F217" s="1932"/>
      <c r="G217" s="1933"/>
      <c r="H217" s="1930" t="s">
        <v>324</v>
      </c>
      <c r="I217" s="2609"/>
      <c r="J217" s="1932"/>
      <c r="K217" s="1933"/>
      <c r="L217" s="1930" t="s">
        <v>324</v>
      </c>
      <c r="M217" s="2609"/>
      <c r="N217" s="1932"/>
      <c r="O217" s="1933"/>
      <c r="P217" s="2608" t="s">
        <v>329</v>
      </c>
      <c r="Q217" s="2609"/>
      <c r="R217" s="1932"/>
      <c r="S217" s="1933"/>
      <c r="T217" s="2608" t="s">
        <v>328</v>
      </c>
      <c r="U217" s="2609"/>
      <c r="V217" s="1932"/>
      <c r="W217" s="1940"/>
      <c r="X217" s="1142"/>
      <c r="Y217" s="1142"/>
      <c r="Z217" s="2431"/>
      <c r="AA217" s="1940"/>
      <c r="AB217" s="1142"/>
      <c r="AC217" s="1142"/>
      <c r="AD217" s="1142"/>
      <c r="AE217" s="1940"/>
      <c r="AF217" s="1142"/>
      <c r="AG217" s="1142"/>
      <c r="AH217" s="2611"/>
      <c r="AI217" s="1936"/>
      <c r="AJ217" s="123"/>
    </row>
    <row r="218" spans="1:36" ht="18" customHeight="1" x14ac:dyDescent="0.2">
      <c r="A218" s="69"/>
      <c r="B218" s="2367" t="s">
        <v>308</v>
      </c>
      <c r="C218" s="1929" t="s">
        <v>309</v>
      </c>
      <c r="D218" s="1930" t="s">
        <v>330</v>
      </c>
      <c r="E218" s="1931"/>
      <c r="F218" s="1932"/>
      <c r="G218" s="1933"/>
      <c r="H218" s="1930" t="s">
        <v>330</v>
      </c>
      <c r="I218" s="2609"/>
      <c r="J218" s="1932"/>
      <c r="K218" s="1933"/>
      <c r="L218" s="1930" t="s">
        <v>314</v>
      </c>
      <c r="M218" s="2609"/>
      <c r="N218" s="1932"/>
      <c r="O218" s="1933"/>
      <c r="P218" s="2608" t="s">
        <v>331</v>
      </c>
      <c r="Q218" s="2609"/>
      <c r="R218" s="1932"/>
      <c r="S218" s="1933"/>
      <c r="T218" s="2608" t="s">
        <v>326</v>
      </c>
      <c r="U218" s="2609"/>
      <c r="V218" s="1932"/>
      <c r="W218" s="1940"/>
      <c r="X218" s="1142"/>
      <c r="Y218" s="1142"/>
      <c r="Z218" s="2431"/>
      <c r="AA218" s="1940"/>
      <c r="AB218" s="1142"/>
      <c r="AC218" s="1142"/>
      <c r="AD218" s="1142"/>
      <c r="AE218" s="1940"/>
      <c r="AF218" s="1142"/>
      <c r="AG218" s="1142"/>
      <c r="AH218" s="2611"/>
      <c r="AI218" s="1936"/>
      <c r="AJ218" s="123"/>
    </row>
    <row r="219" spans="1:36" ht="18" customHeight="1" x14ac:dyDescent="0.2">
      <c r="A219" s="69"/>
      <c r="B219" s="2999" t="s">
        <v>313</v>
      </c>
      <c r="C219" s="1929" t="s">
        <v>160</v>
      </c>
      <c r="D219" s="1930" t="s">
        <v>324</v>
      </c>
      <c r="E219" s="1931"/>
      <c r="F219" s="1932"/>
      <c r="G219" s="1933"/>
      <c r="H219" s="1930" t="s">
        <v>324</v>
      </c>
      <c r="I219" s="2609"/>
      <c r="J219" s="1932"/>
      <c r="K219" s="1933"/>
      <c r="L219" s="1930" t="s">
        <v>324</v>
      </c>
      <c r="M219" s="2609"/>
      <c r="N219" s="1932"/>
      <c r="O219" s="1933"/>
      <c r="P219" s="2608" t="s">
        <v>329</v>
      </c>
      <c r="Q219" s="2609"/>
      <c r="R219" s="1932"/>
      <c r="S219" s="1933"/>
      <c r="T219" s="2608" t="s">
        <v>328</v>
      </c>
      <c r="U219" s="2609"/>
      <c r="V219" s="1932"/>
      <c r="W219" s="3000"/>
      <c r="X219" s="2513"/>
      <c r="Y219" s="2513"/>
      <c r="Z219" s="3109"/>
      <c r="AA219" s="3000"/>
      <c r="AB219" s="2513"/>
      <c r="AC219" s="2513"/>
      <c r="AD219" s="2513"/>
      <c r="AE219" s="3000"/>
      <c r="AF219" s="2513"/>
      <c r="AG219" s="2513"/>
      <c r="AH219" s="3110"/>
      <c r="AI219" s="3111"/>
      <c r="AJ219" s="123"/>
    </row>
    <row r="220" spans="1:36" ht="18" customHeight="1" x14ac:dyDescent="0.2">
      <c r="A220" s="69"/>
      <c r="B220" s="2367" t="s">
        <v>316</v>
      </c>
      <c r="C220" s="1929" t="s">
        <v>168</v>
      </c>
      <c r="D220" s="1930" t="s">
        <v>324</v>
      </c>
      <c r="E220" s="1931"/>
      <c r="F220" s="1932"/>
      <c r="G220" s="1933"/>
      <c r="H220" s="1930" t="s">
        <v>324</v>
      </c>
      <c r="I220" s="2609"/>
      <c r="J220" s="1932"/>
      <c r="K220" s="1933"/>
      <c r="L220" s="1930" t="s">
        <v>324</v>
      </c>
      <c r="M220" s="2609"/>
      <c r="N220" s="1932"/>
      <c r="O220" s="1933"/>
      <c r="P220" s="2608" t="s">
        <v>325</v>
      </c>
      <c r="Q220" s="2609"/>
      <c r="R220" s="1932"/>
      <c r="S220" s="1933"/>
      <c r="T220" s="2608" t="s">
        <v>326</v>
      </c>
      <c r="U220" s="2609"/>
      <c r="V220" s="1932"/>
      <c r="W220" s="1940"/>
      <c r="X220" s="1142"/>
      <c r="Y220" s="1142"/>
      <c r="Z220" s="1142"/>
      <c r="AA220" s="1940"/>
      <c r="AB220" s="1142"/>
      <c r="AC220" s="1142"/>
      <c r="AD220" s="1142"/>
      <c r="AE220" s="1940"/>
      <c r="AF220" s="1142"/>
      <c r="AG220" s="1142"/>
      <c r="AH220" s="2611"/>
      <c r="AI220" s="1936"/>
      <c r="AJ220" s="123"/>
    </row>
    <row r="221" spans="1:36" ht="18" customHeight="1" x14ac:dyDescent="0.2">
      <c r="A221" s="69"/>
      <c r="B221" s="2367" t="s">
        <v>321</v>
      </c>
      <c r="C221" s="1929" t="s">
        <v>322</v>
      </c>
      <c r="D221" s="1930" t="s">
        <v>320</v>
      </c>
      <c r="E221" s="1931"/>
      <c r="F221" s="1932"/>
      <c r="G221" s="1933"/>
      <c r="H221" s="2608" t="s">
        <v>320</v>
      </c>
      <c r="I221" s="2609"/>
      <c r="J221" s="1932"/>
      <c r="K221" s="1933"/>
      <c r="L221" s="2608" t="s">
        <v>320</v>
      </c>
      <c r="M221" s="2609"/>
      <c r="N221" s="2609"/>
      <c r="O221" s="1933"/>
      <c r="P221" s="2608" t="s">
        <v>320</v>
      </c>
      <c r="Q221" s="2609"/>
      <c r="R221" s="2609"/>
      <c r="S221" s="1933"/>
      <c r="T221" s="2608" t="s">
        <v>304</v>
      </c>
      <c r="U221" s="2609"/>
      <c r="V221" s="1932"/>
      <c r="W221" s="2367"/>
      <c r="X221" s="1142"/>
      <c r="Y221" s="1142"/>
      <c r="Z221" s="2431"/>
      <c r="AA221" s="2614"/>
      <c r="AB221" s="1142"/>
      <c r="AC221" s="1142"/>
      <c r="AD221" s="1142"/>
      <c r="AE221" s="1940"/>
      <c r="AF221" s="1142"/>
      <c r="AG221" s="1142"/>
      <c r="AH221" s="2611"/>
      <c r="AI221" s="1936"/>
      <c r="AJ221" s="123"/>
    </row>
    <row r="222" spans="1:36" ht="18" customHeight="1" x14ac:dyDescent="0.2">
      <c r="A222" s="69"/>
      <c r="B222" s="2698" t="s">
        <v>465</v>
      </c>
      <c r="C222" s="1929" t="s">
        <v>451</v>
      </c>
      <c r="D222" s="1930" t="s">
        <v>320</v>
      </c>
      <c r="E222" s="1931"/>
      <c r="F222" s="1932"/>
      <c r="G222" s="1933"/>
      <c r="H222" s="2608" t="s">
        <v>320</v>
      </c>
      <c r="I222" s="2609"/>
      <c r="J222" s="1932"/>
      <c r="K222" s="1933"/>
      <c r="L222" s="2608" t="s">
        <v>320</v>
      </c>
      <c r="M222" s="2609"/>
      <c r="N222" s="2609"/>
      <c r="O222" s="1933"/>
      <c r="P222" s="2608" t="s">
        <v>320</v>
      </c>
      <c r="Q222" s="2609"/>
      <c r="R222" s="2609"/>
      <c r="S222" s="1933"/>
      <c r="T222" s="2608" t="s">
        <v>304</v>
      </c>
      <c r="U222" s="2609"/>
      <c r="V222" s="1932"/>
      <c r="W222" s="2698"/>
      <c r="X222" s="3108"/>
      <c r="Y222" s="3108"/>
      <c r="Z222" s="2431"/>
      <c r="AA222" s="2614"/>
      <c r="AB222" s="3108"/>
      <c r="AC222" s="3108"/>
      <c r="AD222" s="3108"/>
      <c r="AE222" s="1940"/>
      <c r="AF222" s="3108"/>
      <c r="AG222" s="3108"/>
      <c r="AH222" s="2611"/>
      <c r="AI222" s="1936"/>
      <c r="AJ222" s="123"/>
    </row>
    <row r="223" spans="1:36" ht="18" customHeight="1" thickBot="1" x14ac:dyDescent="0.25">
      <c r="A223" s="69"/>
      <c r="B223" s="133"/>
      <c r="C223" s="134"/>
      <c r="D223" s="135"/>
      <c r="E223" s="136"/>
      <c r="F223" s="136"/>
      <c r="G223" s="137"/>
      <c r="H223" s="135"/>
      <c r="I223" s="136"/>
      <c r="J223" s="136"/>
      <c r="K223" s="137"/>
      <c r="L223" s="135"/>
      <c r="M223" s="136"/>
      <c r="N223" s="136"/>
      <c r="O223" s="137"/>
      <c r="P223" s="127"/>
      <c r="Q223" s="136"/>
      <c r="R223" s="136"/>
      <c r="S223" s="137"/>
      <c r="T223" s="127"/>
      <c r="U223" s="136"/>
      <c r="V223" s="136"/>
      <c r="W223" s="136"/>
      <c r="X223" s="136"/>
      <c r="Y223" s="136"/>
      <c r="Z223" s="136"/>
      <c r="AA223" s="137"/>
      <c r="AB223" s="136"/>
      <c r="AC223" s="136"/>
      <c r="AD223" s="136"/>
      <c r="AE223" s="137"/>
      <c r="AF223" s="136"/>
      <c r="AG223" s="136"/>
      <c r="AH223" s="124"/>
      <c r="AI223" s="124"/>
      <c r="AJ223" s="123"/>
    </row>
    <row r="224" spans="1:36" ht="18" customHeight="1" x14ac:dyDescent="0.2">
      <c r="A224" s="96"/>
      <c r="B224" s="3002" t="s">
        <v>44</v>
      </c>
      <c r="C224" s="2707">
        <v>1</v>
      </c>
      <c r="D224" s="2706">
        <v>2</v>
      </c>
      <c r="E224" s="2706">
        <v>3</v>
      </c>
      <c r="F224" s="2706">
        <v>4</v>
      </c>
      <c r="G224" s="2706">
        <v>5</v>
      </c>
      <c r="H224" s="2706">
        <v>6</v>
      </c>
      <c r="I224" s="2707">
        <v>7</v>
      </c>
      <c r="J224" s="2707">
        <v>8</v>
      </c>
      <c r="K224" s="2706">
        <v>9</v>
      </c>
      <c r="L224" s="2706">
        <v>10</v>
      </c>
      <c r="M224" s="2706">
        <v>11</v>
      </c>
      <c r="N224" s="2706">
        <v>12</v>
      </c>
      <c r="O224" s="2706">
        <v>13</v>
      </c>
      <c r="P224" s="2707">
        <v>14</v>
      </c>
      <c r="Q224" s="2707">
        <v>15</v>
      </c>
      <c r="R224" s="2706">
        <v>16</v>
      </c>
      <c r="S224" s="2706">
        <v>17</v>
      </c>
      <c r="T224" s="2706">
        <v>18</v>
      </c>
      <c r="U224" s="2706">
        <v>19</v>
      </c>
      <c r="V224" s="2706">
        <v>20</v>
      </c>
      <c r="W224" s="2707">
        <v>21</v>
      </c>
      <c r="X224" s="2707">
        <v>22</v>
      </c>
      <c r="Y224" s="2706">
        <v>23</v>
      </c>
      <c r="Z224" s="2706">
        <v>24</v>
      </c>
      <c r="AA224" s="2707">
        <v>25</v>
      </c>
      <c r="AB224" s="2707">
        <v>26</v>
      </c>
      <c r="AC224" s="2706">
        <v>27</v>
      </c>
      <c r="AD224" s="2707">
        <v>28</v>
      </c>
      <c r="AE224" s="2707">
        <v>29</v>
      </c>
      <c r="AF224" s="2706">
        <v>30</v>
      </c>
      <c r="AG224" s="2706">
        <v>31</v>
      </c>
      <c r="AH224" s="117"/>
      <c r="AI224" s="111"/>
    </row>
    <row r="225" spans="1:37" ht="18" customHeight="1" x14ac:dyDescent="0.2">
      <c r="A225" s="69"/>
      <c r="B225" s="1011" t="s">
        <v>0</v>
      </c>
      <c r="C225" s="635"/>
      <c r="D225" s="635" t="s">
        <v>414</v>
      </c>
      <c r="E225" s="635" t="s">
        <v>414</v>
      </c>
      <c r="F225" s="635" t="s">
        <v>297</v>
      </c>
      <c r="G225" s="635" t="s">
        <v>414</v>
      </c>
      <c r="H225" s="635" t="s">
        <v>414</v>
      </c>
      <c r="I225" s="635"/>
      <c r="J225" s="635"/>
      <c r="K225" s="635" t="s">
        <v>414</v>
      </c>
      <c r="L225" s="635" t="s">
        <v>414</v>
      </c>
      <c r="M225" s="635" t="s">
        <v>297</v>
      </c>
      <c r="N225" s="635" t="s">
        <v>414</v>
      </c>
      <c r="O225" s="635" t="s">
        <v>414</v>
      </c>
      <c r="P225" s="635"/>
      <c r="Q225" s="635"/>
      <c r="R225" s="635" t="s">
        <v>414</v>
      </c>
      <c r="S225" s="635" t="s">
        <v>414</v>
      </c>
      <c r="T225" s="635" t="s">
        <v>297</v>
      </c>
      <c r="U225" s="635" t="s">
        <v>414</v>
      </c>
      <c r="V225" s="635" t="s">
        <v>414</v>
      </c>
      <c r="W225" s="635"/>
      <c r="X225" s="635"/>
      <c r="Y225" s="635" t="s">
        <v>414</v>
      </c>
      <c r="Z225" s="635"/>
      <c r="AA225" s="635"/>
      <c r="AB225" s="635"/>
      <c r="AC225" s="635" t="s">
        <v>414</v>
      </c>
      <c r="AD225" s="635"/>
      <c r="AE225" s="635"/>
      <c r="AF225" s="635" t="s">
        <v>414</v>
      </c>
      <c r="AG225" s="635" t="s">
        <v>414</v>
      </c>
      <c r="AH225" s="116"/>
      <c r="AI225" s="116"/>
    </row>
    <row r="226" spans="1:37" ht="18" customHeight="1" x14ac:dyDescent="0.2">
      <c r="A226" s="69"/>
      <c r="B226" s="1011" t="s">
        <v>333</v>
      </c>
      <c r="C226" s="635"/>
      <c r="D226" s="805" t="s">
        <v>174</v>
      </c>
      <c r="E226" s="805" t="s">
        <v>174</v>
      </c>
      <c r="F226" s="805" t="s">
        <v>174</v>
      </c>
      <c r="G226" s="805" t="s">
        <v>174</v>
      </c>
      <c r="H226" s="805" t="s">
        <v>174</v>
      </c>
      <c r="I226" s="805"/>
      <c r="J226" s="805"/>
      <c r="K226" s="805" t="s">
        <v>174</v>
      </c>
      <c r="L226" s="805" t="s">
        <v>174</v>
      </c>
      <c r="M226" s="805" t="s">
        <v>174</v>
      </c>
      <c r="N226" s="805" t="s">
        <v>174</v>
      </c>
      <c r="O226" s="805" t="s">
        <v>174</v>
      </c>
      <c r="P226" s="805"/>
      <c r="Q226" s="805"/>
      <c r="R226" s="805" t="s">
        <v>174</v>
      </c>
      <c r="S226" s="805" t="s">
        <v>174</v>
      </c>
      <c r="T226" s="805" t="s">
        <v>174</v>
      </c>
      <c r="U226" s="805" t="s">
        <v>174</v>
      </c>
      <c r="V226" s="805" t="s">
        <v>174</v>
      </c>
      <c r="W226" s="805"/>
      <c r="X226" s="805"/>
      <c r="Y226" s="805" t="s">
        <v>174</v>
      </c>
      <c r="Z226" s="805"/>
      <c r="AA226" s="805"/>
      <c r="AB226" s="805"/>
      <c r="AC226" s="805" t="s">
        <v>174</v>
      </c>
      <c r="AD226" s="805"/>
      <c r="AE226" s="805"/>
      <c r="AF226" s="805" t="s">
        <v>174</v>
      </c>
      <c r="AG226" s="805" t="s">
        <v>174</v>
      </c>
      <c r="AH226" s="116"/>
      <c r="AI226" s="116"/>
    </row>
    <row r="227" spans="1:37" ht="18" customHeight="1" x14ac:dyDescent="0.2">
      <c r="A227" s="69"/>
      <c r="B227" s="1012" t="s">
        <v>334</v>
      </c>
      <c r="C227" s="635"/>
      <c r="D227" s="635" t="s">
        <v>154</v>
      </c>
      <c r="E227" s="799" t="s">
        <v>154</v>
      </c>
      <c r="F227" s="635" t="s">
        <v>154</v>
      </c>
      <c r="G227" s="3112" t="s">
        <v>154</v>
      </c>
      <c r="H227" s="635" t="s">
        <v>154</v>
      </c>
      <c r="I227" s="635"/>
      <c r="J227" s="635"/>
      <c r="K227" s="635" t="s">
        <v>154</v>
      </c>
      <c r="L227" s="635" t="s">
        <v>154</v>
      </c>
      <c r="M227" s="635" t="s">
        <v>154</v>
      </c>
      <c r="N227" s="635" t="s">
        <v>154</v>
      </c>
      <c r="O227" s="635" t="s">
        <v>154</v>
      </c>
      <c r="P227" s="799"/>
      <c r="Q227" s="635"/>
      <c r="R227" s="635" t="s">
        <v>154</v>
      </c>
      <c r="S227" s="635" t="s">
        <v>154</v>
      </c>
      <c r="T227" s="635" t="s">
        <v>154</v>
      </c>
      <c r="U227" s="635" t="s">
        <v>154</v>
      </c>
      <c r="V227" s="635" t="s">
        <v>154</v>
      </c>
      <c r="W227" s="799"/>
      <c r="X227" s="635"/>
      <c r="Y227" s="635" t="s">
        <v>154</v>
      </c>
      <c r="Z227" s="635"/>
      <c r="AA227" s="635"/>
      <c r="AB227" s="635"/>
      <c r="AC227" s="3113" t="s">
        <v>154</v>
      </c>
      <c r="AD227" s="799"/>
      <c r="AE227" s="635"/>
      <c r="AF227" s="635" t="s">
        <v>154</v>
      </c>
      <c r="AG227" s="635" t="s">
        <v>154</v>
      </c>
      <c r="AH227" s="116"/>
      <c r="AI227" s="116"/>
      <c r="AK227" t="s">
        <v>0</v>
      </c>
    </row>
    <row r="228" spans="1:37" ht="18" customHeight="1" thickBot="1" x14ac:dyDescent="0.25">
      <c r="A228" s="69"/>
      <c r="B228" s="1011" t="s">
        <v>332</v>
      </c>
      <c r="C228" s="635"/>
      <c r="D228" s="635" t="s">
        <v>309</v>
      </c>
      <c r="E228" s="635" t="s">
        <v>309</v>
      </c>
      <c r="F228" s="635" t="s">
        <v>309</v>
      </c>
      <c r="G228" s="635" t="s">
        <v>309</v>
      </c>
      <c r="H228" s="635" t="s">
        <v>309</v>
      </c>
      <c r="I228" s="635"/>
      <c r="J228" s="635"/>
      <c r="K228" s="2217" t="s">
        <v>309</v>
      </c>
      <c r="L228" s="635" t="s">
        <v>309</v>
      </c>
      <c r="M228" s="635" t="s">
        <v>309</v>
      </c>
      <c r="N228" s="635" t="s">
        <v>309</v>
      </c>
      <c r="O228" s="635" t="s">
        <v>309</v>
      </c>
      <c r="P228" s="2831" t="s">
        <v>0</v>
      </c>
      <c r="Q228" s="635"/>
      <c r="R228" s="635" t="s">
        <v>309</v>
      </c>
      <c r="S228" s="635" t="s">
        <v>309</v>
      </c>
      <c r="T228" s="635" t="s">
        <v>309</v>
      </c>
      <c r="U228" s="635" t="s">
        <v>309</v>
      </c>
      <c r="V228" s="635" t="s">
        <v>309</v>
      </c>
      <c r="W228" s="635"/>
      <c r="X228" s="635"/>
      <c r="Y228" s="635" t="s">
        <v>309</v>
      </c>
      <c r="Z228" s="635"/>
      <c r="AA228" s="635"/>
      <c r="AB228" s="635"/>
      <c r="AC228" s="635" t="s">
        <v>309</v>
      </c>
      <c r="AD228" s="635"/>
      <c r="AE228" s="635"/>
      <c r="AF228" s="635" t="s">
        <v>309</v>
      </c>
      <c r="AG228" s="635" t="s">
        <v>309</v>
      </c>
      <c r="AH228" s="116"/>
      <c r="AI228" s="116"/>
    </row>
    <row r="229" spans="1:37" ht="18" customHeight="1" x14ac:dyDescent="0.2">
      <c r="A229" s="69"/>
      <c r="B229" s="1011" t="s">
        <v>518</v>
      </c>
      <c r="C229" s="635"/>
      <c r="D229" s="635" t="s">
        <v>322</v>
      </c>
      <c r="E229" s="635" t="s">
        <v>322</v>
      </c>
      <c r="F229" s="635" t="s">
        <v>322</v>
      </c>
      <c r="G229" s="635" t="s">
        <v>322</v>
      </c>
      <c r="H229" s="635" t="s">
        <v>322</v>
      </c>
      <c r="I229" s="635"/>
      <c r="J229" s="635"/>
      <c r="K229" s="635" t="s">
        <v>322</v>
      </c>
      <c r="L229" s="635" t="s">
        <v>322</v>
      </c>
      <c r="M229" s="635" t="s">
        <v>322</v>
      </c>
      <c r="N229" s="635" t="s">
        <v>322</v>
      </c>
      <c r="O229" s="635" t="s">
        <v>322</v>
      </c>
      <c r="P229" s="635"/>
      <c r="Q229" s="635"/>
      <c r="R229" s="635" t="s">
        <v>322</v>
      </c>
      <c r="S229" s="635" t="s">
        <v>322</v>
      </c>
      <c r="T229" s="635" t="s">
        <v>322</v>
      </c>
      <c r="U229" s="635" t="s">
        <v>322</v>
      </c>
      <c r="V229" s="635" t="s">
        <v>322</v>
      </c>
      <c r="W229" s="635"/>
      <c r="X229" s="635"/>
      <c r="Y229" s="3114" t="s">
        <v>322</v>
      </c>
      <c r="Z229" s="635"/>
      <c r="AA229" s="635"/>
      <c r="AB229" s="635"/>
      <c r="AC229" s="3114" t="s">
        <v>322</v>
      </c>
      <c r="AD229" s="635"/>
      <c r="AE229" s="635"/>
      <c r="AF229" s="3114" t="s">
        <v>322</v>
      </c>
      <c r="AG229" s="2217" t="s">
        <v>322</v>
      </c>
      <c r="AH229" s="116"/>
      <c r="AI229" s="116"/>
    </row>
    <row r="230" spans="1:37" ht="18" customHeight="1" x14ac:dyDescent="0.2">
      <c r="A230" s="69"/>
      <c r="B230" s="764"/>
      <c r="C230" s="635"/>
      <c r="D230" s="635" t="s">
        <v>160</v>
      </c>
      <c r="E230" s="635" t="s">
        <v>160</v>
      </c>
      <c r="F230" s="635" t="s">
        <v>160</v>
      </c>
      <c r="G230" s="635" t="s">
        <v>160</v>
      </c>
      <c r="H230" s="635" t="s">
        <v>160</v>
      </c>
      <c r="I230" s="635"/>
      <c r="J230" s="635"/>
      <c r="K230" s="635" t="s">
        <v>160</v>
      </c>
      <c r="L230" s="635" t="s">
        <v>160</v>
      </c>
      <c r="M230" s="635" t="s">
        <v>160</v>
      </c>
      <c r="N230" s="635" t="s">
        <v>160</v>
      </c>
      <c r="O230" s="635" t="s">
        <v>160</v>
      </c>
      <c r="P230" s="635"/>
      <c r="Q230" s="635"/>
      <c r="R230" s="635" t="s">
        <v>160</v>
      </c>
      <c r="S230" s="635" t="s">
        <v>160</v>
      </c>
      <c r="T230" s="635" t="s">
        <v>160</v>
      </c>
      <c r="U230" s="635" t="s">
        <v>160</v>
      </c>
      <c r="V230" s="635" t="s">
        <v>160</v>
      </c>
      <c r="W230" s="635"/>
      <c r="X230" s="635"/>
      <c r="Y230" s="635" t="s">
        <v>160</v>
      </c>
      <c r="Z230" s="635"/>
      <c r="AA230" s="635"/>
      <c r="AB230" s="635"/>
      <c r="AC230" s="635" t="s">
        <v>160</v>
      </c>
      <c r="AD230" s="635"/>
      <c r="AE230" s="635"/>
      <c r="AF230" s="635" t="s">
        <v>160</v>
      </c>
      <c r="AG230" s="635" t="s">
        <v>160</v>
      </c>
      <c r="AH230" s="116"/>
      <c r="AI230" s="116"/>
    </row>
    <row r="231" spans="1:37" ht="18" customHeight="1" x14ac:dyDescent="0.2">
      <c r="A231" s="69"/>
      <c r="B231" s="1011"/>
      <c r="C231" s="635"/>
      <c r="D231" s="635" t="s">
        <v>168</v>
      </c>
      <c r="E231" s="635" t="s">
        <v>168</v>
      </c>
      <c r="F231" s="635" t="s">
        <v>168</v>
      </c>
      <c r="G231" s="635" t="s">
        <v>168</v>
      </c>
      <c r="H231" s="635" t="s">
        <v>168</v>
      </c>
      <c r="I231" s="635"/>
      <c r="J231" s="635"/>
      <c r="K231" s="635" t="s">
        <v>168</v>
      </c>
      <c r="L231" s="635" t="s">
        <v>168</v>
      </c>
      <c r="M231" s="635" t="s">
        <v>168</v>
      </c>
      <c r="N231" s="635" t="s">
        <v>168</v>
      </c>
      <c r="O231" s="635" t="s">
        <v>168</v>
      </c>
      <c r="P231" s="635"/>
      <c r="Q231" s="635"/>
      <c r="R231" s="635" t="s">
        <v>168</v>
      </c>
      <c r="S231" s="635" t="s">
        <v>168</v>
      </c>
      <c r="T231" s="635" t="s">
        <v>168</v>
      </c>
      <c r="U231" s="635" t="s">
        <v>168</v>
      </c>
      <c r="V231" s="1942" t="s">
        <v>168</v>
      </c>
      <c r="W231" s="1942"/>
      <c r="X231" s="1942"/>
      <c r="Y231" s="1942" t="s">
        <v>168</v>
      </c>
      <c r="Z231" s="1942"/>
      <c r="AA231" s="1942"/>
      <c r="AB231" s="1942"/>
      <c r="AC231" s="635" t="s">
        <v>168</v>
      </c>
      <c r="AD231" s="635"/>
      <c r="AE231" s="635"/>
      <c r="AF231" s="635" t="s">
        <v>168</v>
      </c>
      <c r="AG231" s="635" t="s">
        <v>168</v>
      </c>
      <c r="AH231" s="116"/>
      <c r="AI231" s="116"/>
    </row>
    <row r="232" spans="1:37" ht="18" customHeight="1" x14ac:dyDescent="0.2">
      <c r="A232" s="69"/>
      <c r="B232" s="748"/>
      <c r="C232" s="635"/>
      <c r="D232" s="635" t="s">
        <v>158</v>
      </c>
      <c r="E232" s="635" t="s">
        <v>158</v>
      </c>
      <c r="F232" s="635" t="s">
        <v>158</v>
      </c>
      <c r="G232" s="635" t="s">
        <v>158</v>
      </c>
      <c r="H232" s="635" t="s">
        <v>158</v>
      </c>
      <c r="I232" s="635"/>
      <c r="J232" s="635"/>
      <c r="K232" s="635" t="s">
        <v>158</v>
      </c>
      <c r="L232" s="635" t="s">
        <v>158</v>
      </c>
      <c r="M232" s="635" t="s">
        <v>158</v>
      </c>
      <c r="N232" s="635" t="s">
        <v>158</v>
      </c>
      <c r="O232" s="635" t="s">
        <v>158</v>
      </c>
      <c r="P232" s="635"/>
      <c r="Q232" s="635"/>
      <c r="R232" s="833" t="s">
        <v>158</v>
      </c>
      <c r="S232" s="833" t="s">
        <v>158</v>
      </c>
      <c r="T232" s="833" t="s">
        <v>158</v>
      </c>
      <c r="U232" s="833" t="s">
        <v>158</v>
      </c>
      <c r="V232" s="833" t="s">
        <v>158</v>
      </c>
      <c r="W232" s="833"/>
      <c r="X232" s="833"/>
      <c r="Y232" s="635" t="s">
        <v>158</v>
      </c>
      <c r="Z232" s="635"/>
      <c r="AA232" s="635"/>
      <c r="AB232" s="635"/>
      <c r="AC232" s="635" t="s">
        <v>158</v>
      </c>
      <c r="AD232" s="635"/>
      <c r="AE232" s="635"/>
      <c r="AF232" s="635" t="s">
        <v>158</v>
      </c>
      <c r="AG232" s="635" t="s">
        <v>158</v>
      </c>
      <c r="AH232" s="116"/>
      <c r="AI232" s="116"/>
    </row>
    <row r="233" spans="1:37" ht="18" customHeight="1" x14ac:dyDescent="0.2">
      <c r="A233" s="69"/>
      <c r="B233" s="748"/>
      <c r="C233" s="635" t="s">
        <v>451</v>
      </c>
      <c r="D233" s="635" t="s">
        <v>451</v>
      </c>
      <c r="E233" s="635" t="s">
        <v>451</v>
      </c>
      <c r="F233" s="635" t="s">
        <v>451</v>
      </c>
      <c r="G233" s="635" t="s">
        <v>158</v>
      </c>
      <c r="H233" s="635" t="s">
        <v>158</v>
      </c>
      <c r="I233" s="635" t="s">
        <v>451</v>
      </c>
      <c r="J233" s="635" t="s">
        <v>451</v>
      </c>
      <c r="K233" s="635" t="s">
        <v>451</v>
      </c>
      <c r="L233" s="635" t="s">
        <v>451</v>
      </c>
      <c r="M233" s="635" t="s">
        <v>451</v>
      </c>
      <c r="N233" s="635" t="s">
        <v>158</v>
      </c>
      <c r="O233" s="635" t="s">
        <v>158</v>
      </c>
      <c r="P233" s="635" t="s">
        <v>451</v>
      </c>
      <c r="Q233" s="635" t="s">
        <v>451</v>
      </c>
      <c r="R233" s="635" t="s">
        <v>451</v>
      </c>
      <c r="S233" s="635" t="s">
        <v>451</v>
      </c>
      <c r="T233" s="635" t="s">
        <v>451</v>
      </c>
      <c r="U233" s="635" t="s">
        <v>158</v>
      </c>
      <c r="V233" s="635" t="s">
        <v>158</v>
      </c>
      <c r="W233" s="635" t="s">
        <v>451</v>
      </c>
      <c r="X233" s="635" t="s">
        <v>451</v>
      </c>
      <c r="Y233" s="635" t="s">
        <v>451</v>
      </c>
      <c r="Z233" s="635" t="s">
        <v>451</v>
      </c>
      <c r="AA233" s="635" t="s">
        <v>451</v>
      </c>
      <c r="AB233" s="635" t="s">
        <v>158</v>
      </c>
      <c r="AC233" s="635" t="s">
        <v>158</v>
      </c>
      <c r="AD233" s="635" t="s">
        <v>451</v>
      </c>
      <c r="AE233" s="635" t="s">
        <v>451</v>
      </c>
      <c r="AF233" s="635" t="s">
        <v>451</v>
      </c>
      <c r="AG233" s="635" t="s">
        <v>451</v>
      </c>
      <c r="AH233" s="67"/>
      <c r="AI233" s="67"/>
    </row>
    <row r="234" spans="1:37" ht="18" customHeight="1" x14ac:dyDescent="0.2">
      <c r="A234" s="96"/>
      <c r="B234" s="141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40"/>
      <c r="AF234" s="140"/>
      <c r="AG234" s="140"/>
      <c r="AH234" s="73"/>
    </row>
    <row r="235" spans="1:37" ht="18" customHeight="1" x14ac:dyDescent="0.2"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</row>
    <row r="236" spans="1:37" ht="18" customHeight="1" x14ac:dyDescent="0.2">
      <c r="A236" s="1" t="s">
        <v>339</v>
      </c>
      <c r="B236" s="37"/>
    </row>
    <row r="237" spans="1:37" ht="18" customHeight="1" x14ac:dyDescent="0.2">
      <c r="A237" s="1"/>
      <c r="B237" s="1014" t="s">
        <v>340</v>
      </c>
      <c r="C237" s="3115" t="s">
        <v>17</v>
      </c>
      <c r="D237" s="3116"/>
      <c r="E237" s="3116"/>
      <c r="F237" s="3116"/>
      <c r="G237" s="3115" t="s">
        <v>18</v>
      </c>
      <c r="H237" s="3116"/>
      <c r="I237" s="3116"/>
      <c r="J237" s="3116"/>
      <c r="K237" s="3115" t="s">
        <v>19</v>
      </c>
      <c r="L237" s="3116"/>
      <c r="M237" s="3116"/>
      <c r="N237" s="3116"/>
      <c r="O237" s="3115" t="s">
        <v>20</v>
      </c>
      <c r="P237" s="3116"/>
      <c r="Q237" s="3116"/>
      <c r="R237" s="3116"/>
      <c r="S237" s="3115" t="s">
        <v>21</v>
      </c>
      <c r="T237" s="3116"/>
      <c r="U237" s="3116"/>
      <c r="V237" s="3116"/>
      <c r="W237" s="3115" t="s">
        <v>22</v>
      </c>
      <c r="X237" s="2792"/>
      <c r="Y237" s="3116"/>
      <c r="Z237" s="3117"/>
      <c r="AA237" s="3115" t="s">
        <v>23</v>
      </c>
      <c r="AB237" s="2792"/>
      <c r="AC237" s="3116"/>
      <c r="AD237" s="3117"/>
      <c r="AE237" s="3118" t="s">
        <v>126</v>
      </c>
      <c r="AF237" s="3116"/>
      <c r="AG237" s="3116"/>
      <c r="AH237" s="3116"/>
      <c r="AI237" s="2793"/>
    </row>
    <row r="238" spans="1:37" ht="18" customHeight="1" x14ac:dyDescent="0.2">
      <c r="A238" s="1"/>
      <c r="B238" s="2619">
        <v>3701</v>
      </c>
      <c r="C238" s="70" t="s">
        <v>341</v>
      </c>
      <c r="D238" s="70"/>
      <c r="E238" s="70"/>
      <c r="F238" s="70"/>
      <c r="G238" s="1807" t="s">
        <v>342</v>
      </c>
      <c r="H238" s="70"/>
      <c r="I238" s="70"/>
      <c r="J238" s="70"/>
      <c r="K238" s="1807" t="s">
        <v>342</v>
      </c>
      <c r="L238" s="70"/>
      <c r="M238" s="70"/>
      <c r="N238" s="70"/>
      <c r="O238" s="1807" t="s">
        <v>342</v>
      </c>
      <c r="P238" s="70"/>
      <c r="Q238" s="70"/>
      <c r="R238" s="70"/>
      <c r="S238" s="1807" t="s">
        <v>343</v>
      </c>
      <c r="T238" s="70"/>
      <c r="U238" s="70"/>
      <c r="V238" s="70"/>
      <c r="W238" s="2864"/>
      <c r="X238" s="2620"/>
      <c r="Y238" s="2805"/>
      <c r="Z238" s="2621"/>
      <c r="AA238" s="2864"/>
      <c r="AB238" s="2620"/>
      <c r="AC238" s="2805"/>
      <c r="AD238" s="2621"/>
      <c r="AE238" s="2553"/>
      <c r="AF238" s="2805"/>
      <c r="AG238" s="2805"/>
      <c r="AH238" s="2805"/>
      <c r="AI238" s="2603"/>
    </row>
    <row r="239" spans="1:37" ht="18" customHeight="1" x14ac:dyDescent="0.2">
      <c r="B239" s="1014">
        <v>3700</v>
      </c>
      <c r="C239" s="2805" t="s">
        <v>249</v>
      </c>
      <c r="D239" s="2805"/>
      <c r="E239" s="2805"/>
      <c r="F239" s="2805"/>
      <c r="G239" s="2622" t="s">
        <v>249</v>
      </c>
      <c r="H239" s="2805"/>
      <c r="I239" s="2805"/>
      <c r="J239" s="2805"/>
      <c r="K239" s="2622" t="s">
        <v>249</v>
      </c>
      <c r="L239" s="2805"/>
      <c r="M239" s="2805"/>
      <c r="N239" s="2805"/>
      <c r="O239" s="2622" t="s">
        <v>249</v>
      </c>
      <c r="P239" s="2805"/>
      <c r="Q239" s="2805"/>
      <c r="R239" s="2805"/>
      <c r="S239" s="2622" t="s">
        <v>250</v>
      </c>
      <c r="T239" s="2805"/>
      <c r="U239" s="2805"/>
      <c r="V239" s="2805"/>
      <c r="W239" s="2864"/>
      <c r="X239" s="2805"/>
      <c r="Y239" s="2805"/>
      <c r="Z239" s="2555"/>
      <c r="AA239" s="2553"/>
      <c r="AB239" s="2805"/>
      <c r="AC239" s="2805"/>
      <c r="AD239" s="2856"/>
      <c r="AE239" s="2623"/>
      <c r="AF239" s="2805"/>
      <c r="AG239" s="2805"/>
      <c r="AH239" s="2856"/>
      <c r="AI239" s="2603"/>
    </row>
    <row r="240" spans="1:37" ht="18" customHeight="1" x14ac:dyDescent="0.2">
      <c r="A240" s="1"/>
      <c r="B240" s="1014">
        <v>8514</v>
      </c>
      <c r="C240" s="2805" t="s">
        <v>342</v>
      </c>
      <c r="D240" s="2805"/>
      <c r="E240" s="2805"/>
      <c r="F240" s="2805"/>
      <c r="G240" s="2622" t="s">
        <v>342</v>
      </c>
      <c r="H240" s="2805"/>
      <c r="I240" s="2805"/>
      <c r="J240" s="2805"/>
      <c r="K240" s="2622" t="s">
        <v>342</v>
      </c>
      <c r="L240" s="2805"/>
      <c r="M240" s="2805"/>
      <c r="N240" s="2805"/>
      <c r="O240" s="2622" t="s">
        <v>342</v>
      </c>
      <c r="P240" s="2805"/>
      <c r="Q240" s="2805"/>
      <c r="R240" s="2805"/>
      <c r="S240" s="2622" t="s">
        <v>344</v>
      </c>
      <c r="T240" s="2805"/>
      <c r="U240" s="2805"/>
      <c r="V240" s="2805"/>
      <c r="W240" s="2864"/>
      <c r="X240" s="2805"/>
      <c r="Y240" s="2805"/>
      <c r="Z240" s="2555"/>
      <c r="AA240" s="2855"/>
      <c r="AB240" s="2805"/>
      <c r="AC240" s="2805"/>
      <c r="AD240" s="2856"/>
      <c r="AE240" s="2855"/>
      <c r="AF240" s="2805"/>
      <c r="AG240" s="2805"/>
      <c r="AH240" s="2856"/>
      <c r="AI240" s="2603"/>
    </row>
    <row r="241" spans="1:35" ht="18" customHeight="1" x14ac:dyDescent="0.2">
      <c r="A241" s="1"/>
      <c r="B241" s="1014">
        <v>8500</v>
      </c>
      <c r="C241" s="875" t="s">
        <v>345</v>
      </c>
      <c r="D241" s="875"/>
      <c r="E241" s="875"/>
      <c r="F241" s="875"/>
      <c r="G241" s="1022" t="s">
        <v>345</v>
      </c>
      <c r="H241" s="875"/>
      <c r="I241" s="875"/>
      <c r="J241" s="875"/>
      <c r="K241" s="1022" t="s">
        <v>345</v>
      </c>
      <c r="L241" s="875"/>
      <c r="M241" s="875"/>
      <c r="N241" s="875"/>
      <c r="O241" s="1022" t="s">
        <v>345</v>
      </c>
      <c r="P241" s="875"/>
      <c r="Q241" s="875"/>
      <c r="R241" s="875"/>
      <c r="S241" s="1022" t="s">
        <v>346</v>
      </c>
      <c r="T241" s="875"/>
      <c r="U241" s="875"/>
      <c r="V241" s="875"/>
      <c r="W241" s="2864"/>
      <c r="X241" s="875"/>
      <c r="Y241" s="875"/>
      <c r="Z241" s="1023"/>
      <c r="AA241" s="1024"/>
      <c r="AB241" s="875"/>
      <c r="AC241" s="875"/>
      <c r="AD241" s="1023"/>
      <c r="AE241" s="1024"/>
      <c r="AF241" s="875"/>
      <c r="AG241" s="875"/>
      <c r="AH241" s="1025"/>
      <c r="AI241" s="1026"/>
    </row>
    <row r="242" spans="1:35" ht="18" customHeight="1" x14ac:dyDescent="0.2">
      <c r="A242" s="1"/>
      <c r="B242" s="1014">
        <v>8514</v>
      </c>
      <c r="C242" s="1027" t="s">
        <v>342</v>
      </c>
      <c r="D242" s="1027"/>
      <c r="E242" s="1027"/>
      <c r="F242" s="1027"/>
      <c r="G242" s="1028" t="s">
        <v>342</v>
      </c>
      <c r="H242" s="1027"/>
      <c r="I242" s="1027"/>
      <c r="J242" s="1027"/>
      <c r="K242" s="1028" t="s">
        <v>342</v>
      </c>
      <c r="L242" s="1027"/>
      <c r="M242" s="1027"/>
      <c r="N242" s="1027"/>
      <c r="O242" s="1028" t="s">
        <v>342</v>
      </c>
      <c r="P242" s="1027"/>
      <c r="Q242" s="1027"/>
      <c r="R242" s="1027"/>
      <c r="S242" s="1028" t="s">
        <v>344</v>
      </c>
      <c r="T242" s="1027"/>
      <c r="U242" s="1027"/>
      <c r="V242" s="1027"/>
      <c r="W242" s="2624"/>
      <c r="X242" s="1030"/>
      <c r="Y242" s="875"/>
      <c r="Z242" s="1031"/>
      <c r="AA242" s="1032"/>
      <c r="AB242" s="1030"/>
      <c r="AC242" s="875"/>
      <c r="AD242" s="875"/>
      <c r="AE242" s="1033"/>
      <c r="AF242" s="875"/>
      <c r="AG242" s="875"/>
      <c r="AH242" s="875"/>
      <c r="AI242" s="1026"/>
    </row>
    <row r="243" spans="1:35" ht="18" customHeight="1" x14ac:dyDescent="0.2">
      <c r="A243" s="1"/>
      <c r="B243" s="1034" t="s">
        <v>347</v>
      </c>
      <c r="C243" s="2812" t="s">
        <v>10</v>
      </c>
      <c r="D243" s="2812"/>
      <c r="E243" s="2812"/>
      <c r="F243" s="2812"/>
      <c r="G243" s="2625" t="s">
        <v>10</v>
      </c>
      <c r="H243" s="2812"/>
      <c r="I243" s="2812"/>
      <c r="J243" s="2812"/>
      <c r="K243" s="2500" t="s">
        <v>10</v>
      </c>
      <c r="L243" s="2812"/>
      <c r="M243" s="2812"/>
      <c r="N243" s="2812"/>
      <c r="O243" s="2625" t="s">
        <v>10</v>
      </c>
      <c r="P243" s="2812"/>
      <c r="Q243" s="2812"/>
      <c r="R243" s="2812"/>
      <c r="S243" s="2625" t="s">
        <v>10</v>
      </c>
      <c r="T243" s="2812"/>
      <c r="U243" s="2812"/>
      <c r="V243" s="2812"/>
      <c r="W243" s="2500"/>
      <c r="X243" s="2812"/>
      <c r="Y243" s="2812"/>
      <c r="Z243" s="2595"/>
      <c r="AA243" s="2566"/>
      <c r="AB243" s="2812"/>
      <c r="AC243" s="2812"/>
      <c r="AD243" s="2573"/>
      <c r="AE243" s="2626"/>
      <c r="AF243" s="2812"/>
      <c r="AG243" s="2812"/>
      <c r="AH243" s="2573"/>
      <c r="AI243" s="2815"/>
    </row>
    <row r="244" spans="1:35" ht="18" customHeight="1" x14ac:dyDescent="0.2">
      <c r="A244" s="1"/>
      <c r="B244" s="5"/>
      <c r="C244" s="42"/>
      <c r="D244" s="70"/>
      <c r="E244" s="70"/>
      <c r="F244" s="46"/>
      <c r="G244" s="42"/>
      <c r="H244" s="70"/>
      <c r="I244" s="70"/>
      <c r="J244" s="46"/>
      <c r="K244" s="42"/>
      <c r="L244" s="70"/>
      <c r="M244" s="70"/>
      <c r="N244" s="46"/>
      <c r="O244" s="42"/>
      <c r="P244" s="70"/>
      <c r="Q244" s="70"/>
      <c r="R244" s="46"/>
      <c r="S244" s="42"/>
      <c r="T244" s="70"/>
      <c r="U244" s="70"/>
      <c r="V244" s="46"/>
      <c r="W244" s="46"/>
      <c r="Z244" s="46"/>
      <c r="AA244" s="46"/>
      <c r="AD244" s="46"/>
      <c r="AE244" s="46"/>
      <c r="AH244" s="46"/>
    </row>
    <row r="245" spans="1:35" ht="18" customHeight="1" x14ac:dyDescent="0.2">
      <c r="A245" s="1" t="s">
        <v>348</v>
      </c>
      <c r="B245" s="5"/>
      <c r="C245" s="42"/>
      <c r="D245" s="70"/>
      <c r="E245" s="70"/>
      <c r="F245" s="46"/>
      <c r="G245" s="42"/>
      <c r="H245" s="70"/>
      <c r="I245" s="70"/>
      <c r="J245" s="46"/>
      <c r="K245" s="42"/>
      <c r="L245" s="70"/>
      <c r="M245" s="70"/>
      <c r="N245" s="46"/>
      <c r="O245" s="42"/>
      <c r="P245" s="70"/>
      <c r="Q245" s="70"/>
      <c r="R245" s="46"/>
      <c r="S245" s="42"/>
      <c r="T245" s="70"/>
      <c r="U245" s="70"/>
      <c r="V245" s="46"/>
      <c r="W245" s="46"/>
      <c r="Z245" s="46"/>
      <c r="AA245" s="46"/>
      <c r="AD245" s="46"/>
      <c r="AE245" s="46"/>
      <c r="AH245" s="46"/>
    </row>
    <row r="246" spans="1:35" ht="18" customHeight="1" x14ac:dyDescent="0.2">
      <c r="A246" s="2543"/>
      <c r="B246" s="2817" t="s">
        <v>44</v>
      </c>
      <c r="C246" s="2707">
        <v>1</v>
      </c>
      <c r="D246" s="2706">
        <v>2</v>
      </c>
      <c r="E246" s="2706">
        <v>3</v>
      </c>
      <c r="F246" s="2706">
        <v>4</v>
      </c>
      <c r="G246" s="2706">
        <v>5</v>
      </c>
      <c r="H246" s="2706">
        <v>6</v>
      </c>
      <c r="I246" s="2707">
        <v>7</v>
      </c>
      <c r="J246" s="2707">
        <v>8</v>
      </c>
      <c r="K246" s="2706">
        <v>9</v>
      </c>
      <c r="L246" s="2706">
        <v>10</v>
      </c>
      <c r="M246" s="2706">
        <v>11</v>
      </c>
      <c r="N246" s="2706">
        <v>12</v>
      </c>
      <c r="O246" s="2706">
        <v>13</v>
      </c>
      <c r="P246" s="2707">
        <v>14</v>
      </c>
      <c r="Q246" s="2707">
        <v>15</v>
      </c>
      <c r="R246" s="2706">
        <v>16</v>
      </c>
      <c r="S246" s="2706">
        <v>17</v>
      </c>
      <c r="T246" s="2706">
        <v>18</v>
      </c>
      <c r="U246" s="2706">
        <v>19</v>
      </c>
      <c r="V246" s="2706">
        <v>20</v>
      </c>
      <c r="W246" s="2707">
        <v>21</v>
      </c>
      <c r="X246" s="2707">
        <v>22</v>
      </c>
      <c r="Y246" s="2706">
        <v>23</v>
      </c>
      <c r="Z246" s="2706">
        <v>24</v>
      </c>
      <c r="AA246" s="2707">
        <v>25</v>
      </c>
      <c r="AB246" s="2707">
        <v>26</v>
      </c>
      <c r="AC246" s="2706">
        <v>27</v>
      </c>
      <c r="AD246" s="2707">
        <v>28</v>
      </c>
      <c r="AE246" s="2707">
        <v>29</v>
      </c>
      <c r="AF246" s="2706">
        <v>30</v>
      </c>
      <c r="AG246" s="2706">
        <v>31</v>
      </c>
      <c r="AH246" s="110"/>
      <c r="AI246" s="111"/>
    </row>
    <row r="247" spans="1:35" ht="18" customHeight="1" x14ac:dyDescent="0.2">
      <c r="A247" s="3119"/>
      <c r="B247" s="3120" t="s">
        <v>349</v>
      </c>
      <c r="C247" s="2718"/>
      <c r="D247" s="2718" t="s">
        <v>46</v>
      </c>
      <c r="E247" s="2718" t="s">
        <v>46</v>
      </c>
      <c r="F247" s="2723" t="s">
        <v>46</v>
      </c>
      <c r="G247" s="2718" t="s">
        <v>46</v>
      </c>
      <c r="H247" s="2718" t="s">
        <v>46</v>
      </c>
      <c r="I247" s="2718"/>
      <c r="J247" s="2718"/>
      <c r="K247" s="2718" t="s">
        <v>46</v>
      </c>
      <c r="L247" s="2718" t="s">
        <v>46</v>
      </c>
      <c r="M247" s="2718" t="s">
        <v>46</v>
      </c>
      <c r="N247" s="2738" t="s">
        <v>46</v>
      </c>
      <c r="O247" s="2718" t="s">
        <v>46</v>
      </c>
      <c r="P247" s="2725"/>
      <c r="Q247" s="2725"/>
      <c r="R247" s="2725" t="s">
        <v>46</v>
      </c>
      <c r="S247" s="2725" t="s">
        <v>46</v>
      </c>
      <c r="T247" s="2718" t="s">
        <v>46</v>
      </c>
      <c r="U247" s="2718" t="s">
        <v>46</v>
      </c>
      <c r="V247" s="2723" t="s">
        <v>46</v>
      </c>
      <c r="W247" s="2718"/>
      <c r="X247" s="2718"/>
      <c r="Y247" s="2718" t="s">
        <v>46</v>
      </c>
      <c r="Z247" s="2718" t="s">
        <v>46</v>
      </c>
      <c r="AA247" s="2723" t="s">
        <v>46</v>
      </c>
      <c r="AB247" s="2718" t="s">
        <v>46</v>
      </c>
      <c r="AC247" s="2718" t="s">
        <v>46</v>
      </c>
      <c r="AD247" s="2718"/>
      <c r="AE247" s="2718"/>
      <c r="AF247" s="2718" t="s">
        <v>46</v>
      </c>
      <c r="AG247" s="2442" t="s">
        <v>46</v>
      </c>
      <c r="AH247" s="110"/>
      <c r="AI247" s="111"/>
    </row>
    <row r="248" spans="1:35" ht="18" customHeight="1" x14ac:dyDescent="0.2">
      <c r="A248" s="1039"/>
      <c r="B248" s="1040" t="s">
        <v>350</v>
      </c>
      <c r="C248" s="818"/>
      <c r="D248" s="818"/>
      <c r="E248" s="818"/>
      <c r="F248" s="818"/>
      <c r="G248" s="636"/>
      <c r="H248" s="636"/>
      <c r="I248" s="636"/>
      <c r="J248" s="818"/>
      <c r="K248" s="818"/>
      <c r="L248" s="818"/>
      <c r="M248" s="818"/>
      <c r="N248" s="636"/>
      <c r="O248" s="636"/>
      <c r="P248" s="636"/>
      <c r="Q248" s="818"/>
      <c r="R248" s="818"/>
      <c r="S248" s="818"/>
      <c r="T248" s="818"/>
      <c r="U248" s="636"/>
      <c r="V248" s="636"/>
      <c r="W248" s="636"/>
      <c r="X248" s="818"/>
      <c r="Y248" s="818"/>
      <c r="Z248" s="818"/>
      <c r="AA248" s="818"/>
      <c r="AB248" s="636"/>
      <c r="AC248" s="636"/>
      <c r="AD248" s="636"/>
      <c r="AE248" s="818"/>
      <c r="AF248" s="818"/>
      <c r="AG248" s="1041"/>
      <c r="AH248" s="110"/>
      <c r="AI248" s="111"/>
    </row>
    <row r="249" spans="1:35" ht="18" customHeight="1" x14ac:dyDescent="0.2">
      <c r="A249" s="1042">
        <v>8514</v>
      </c>
      <c r="B249" s="1043" t="s">
        <v>351</v>
      </c>
      <c r="C249" s="2718"/>
      <c r="D249" s="2718" t="s">
        <v>46</v>
      </c>
      <c r="E249" s="2718" t="s">
        <v>46</v>
      </c>
      <c r="F249" s="2723" t="s">
        <v>46</v>
      </c>
      <c r="G249" s="2718" t="s">
        <v>46</v>
      </c>
      <c r="H249" s="2718" t="s">
        <v>46</v>
      </c>
      <c r="I249" s="2718"/>
      <c r="J249" s="2718"/>
      <c r="K249" s="2718" t="s">
        <v>46</v>
      </c>
      <c r="L249" s="2718" t="s">
        <v>46</v>
      </c>
      <c r="M249" s="2718" t="s">
        <v>46</v>
      </c>
      <c r="N249" s="2738" t="s">
        <v>46</v>
      </c>
      <c r="O249" s="2718" t="s">
        <v>46</v>
      </c>
      <c r="P249" s="2725"/>
      <c r="Q249" s="2725"/>
      <c r="R249" s="2725" t="s">
        <v>46</v>
      </c>
      <c r="S249" s="2725" t="s">
        <v>46</v>
      </c>
      <c r="T249" s="2718" t="s">
        <v>46</v>
      </c>
      <c r="U249" s="2718" t="s">
        <v>46</v>
      </c>
      <c r="V249" s="2723" t="s">
        <v>46</v>
      </c>
      <c r="W249" s="2718"/>
      <c r="X249" s="2718"/>
      <c r="Y249" s="2720" t="s">
        <v>46</v>
      </c>
      <c r="Z249" s="2879" t="s">
        <v>46</v>
      </c>
      <c r="AA249" s="2723" t="s">
        <v>46</v>
      </c>
      <c r="AB249" s="2718" t="s">
        <v>46</v>
      </c>
      <c r="AC249" s="2739" t="s">
        <v>46</v>
      </c>
      <c r="AD249" s="2718"/>
      <c r="AE249" s="2718"/>
      <c r="AF249" s="2739" t="s">
        <v>46</v>
      </c>
      <c r="AG249" s="3121" t="s">
        <v>46</v>
      </c>
      <c r="AH249" s="115"/>
      <c r="AI249" s="116"/>
    </row>
    <row r="250" spans="1:35" ht="18" customHeight="1" x14ac:dyDescent="0.2">
      <c r="A250" s="1042">
        <v>3701</v>
      </c>
      <c r="B250" s="1044" t="s">
        <v>352</v>
      </c>
      <c r="C250" s="818"/>
      <c r="D250" s="818"/>
      <c r="E250" s="818"/>
      <c r="F250" s="818"/>
      <c r="G250" s="636"/>
      <c r="H250" s="636"/>
      <c r="I250" s="636"/>
      <c r="J250" s="818"/>
      <c r="K250" s="818"/>
      <c r="L250" s="818"/>
      <c r="M250" s="818"/>
      <c r="N250" s="636"/>
      <c r="O250" s="636"/>
      <c r="P250" s="636"/>
      <c r="Q250" s="818"/>
      <c r="R250" s="818"/>
      <c r="S250" s="818"/>
      <c r="T250" s="818"/>
      <c r="U250" s="636"/>
      <c r="V250" s="636"/>
      <c r="W250" s="636"/>
      <c r="X250" s="818"/>
      <c r="Y250" s="818"/>
      <c r="Z250" s="833"/>
      <c r="AA250" s="818"/>
      <c r="AB250" s="636"/>
      <c r="AC250" s="636"/>
      <c r="AD250" s="636"/>
      <c r="AE250" s="818"/>
      <c r="AF250" s="818"/>
      <c r="AG250" s="1041"/>
      <c r="AH250" s="115"/>
      <c r="AI250" s="116"/>
    </row>
    <row r="251" spans="1:35" ht="18" customHeight="1" x14ac:dyDescent="0.2">
      <c r="A251" s="1042">
        <v>3701</v>
      </c>
      <c r="B251" s="1012" t="s">
        <v>353</v>
      </c>
      <c r="C251" s="2718"/>
      <c r="D251" s="2718" t="s">
        <v>46</v>
      </c>
      <c r="E251" s="2718" t="s">
        <v>46</v>
      </c>
      <c r="F251" s="2723" t="s">
        <v>46</v>
      </c>
      <c r="G251" s="2718" t="s">
        <v>46</v>
      </c>
      <c r="H251" s="2718" t="s">
        <v>46</v>
      </c>
      <c r="I251" s="2718"/>
      <c r="J251" s="2718"/>
      <c r="K251" s="2718" t="s">
        <v>46</v>
      </c>
      <c r="L251" s="2718" t="s">
        <v>46</v>
      </c>
      <c r="M251" s="2718" t="s">
        <v>46</v>
      </c>
      <c r="N251" s="2738" t="s">
        <v>46</v>
      </c>
      <c r="O251" s="2718" t="s">
        <v>46</v>
      </c>
      <c r="P251" s="2725"/>
      <c r="Q251" s="2725"/>
      <c r="R251" s="2725" t="s">
        <v>46</v>
      </c>
      <c r="S251" s="2725" t="s">
        <v>46</v>
      </c>
      <c r="T251" s="2739" t="s">
        <v>46</v>
      </c>
      <c r="U251" s="2739" t="s">
        <v>46</v>
      </c>
      <c r="V251" s="2739" t="s">
        <v>46</v>
      </c>
      <c r="W251" s="2718"/>
      <c r="X251" s="2718"/>
      <c r="Y251" s="2739" t="s">
        <v>46</v>
      </c>
      <c r="Z251" s="2879" t="s">
        <v>46</v>
      </c>
      <c r="AA251" s="2723" t="s">
        <v>46</v>
      </c>
      <c r="AB251" s="2718" t="s">
        <v>46</v>
      </c>
      <c r="AC251" s="2739" t="s">
        <v>46</v>
      </c>
      <c r="AD251" s="2718"/>
      <c r="AE251" s="2718"/>
      <c r="AF251" s="2718" t="s">
        <v>46</v>
      </c>
      <c r="AG251" s="2442" t="s">
        <v>46</v>
      </c>
      <c r="AH251" s="115"/>
      <c r="AI251" s="116"/>
    </row>
    <row r="252" spans="1:35" ht="18" customHeight="1" x14ac:dyDescent="0.2">
      <c r="A252" s="1042">
        <v>3701</v>
      </c>
      <c r="B252" s="1012" t="s">
        <v>354</v>
      </c>
      <c r="C252" s="2718"/>
      <c r="D252" s="2739" t="s">
        <v>46</v>
      </c>
      <c r="E252" s="2718" t="s">
        <v>46</v>
      </c>
      <c r="F252" s="2723" t="s">
        <v>46</v>
      </c>
      <c r="G252" s="2718" t="s">
        <v>46</v>
      </c>
      <c r="H252" s="2718" t="s">
        <v>46</v>
      </c>
      <c r="I252" s="2718"/>
      <c r="J252" s="2718"/>
      <c r="K252" s="2739" t="s">
        <v>46</v>
      </c>
      <c r="L252" s="2718" t="s">
        <v>46</v>
      </c>
      <c r="M252" s="2718" t="s">
        <v>46</v>
      </c>
      <c r="N252" s="2738" t="s">
        <v>46</v>
      </c>
      <c r="O252" s="2718" t="s">
        <v>46</v>
      </c>
      <c r="P252" s="2725"/>
      <c r="Q252" s="2725"/>
      <c r="R252" s="2725" t="s">
        <v>46</v>
      </c>
      <c r="S252" s="2725" t="s">
        <v>46</v>
      </c>
      <c r="T252" s="2718" t="s">
        <v>46</v>
      </c>
      <c r="U252" s="2718" t="s">
        <v>46</v>
      </c>
      <c r="V252" s="2723" t="s">
        <v>46</v>
      </c>
      <c r="W252" s="2718"/>
      <c r="X252" s="2718"/>
      <c r="Y252" s="2739" t="s">
        <v>46</v>
      </c>
      <c r="Z252" s="2879" t="s">
        <v>46</v>
      </c>
      <c r="AA252" s="2723" t="s">
        <v>46</v>
      </c>
      <c r="AB252" s="2718" t="s">
        <v>46</v>
      </c>
      <c r="AC252" s="2739" t="s">
        <v>46</v>
      </c>
      <c r="AD252" s="2718"/>
      <c r="AE252" s="2718"/>
      <c r="AF252" s="2739" t="s">
        <v>46</v>
      </c>
      <c r="AG252" s="2822" t="s">
        <v>46</v>
      </c>
      <c r="AH252" s="115"/>
      <c r="AI252" s="116"/>
    </row>
    <row r="253" spans="1:35" ht="18" customHeight="1" x14ac:dyDescent="0.2">
      <c r="A253" s="1042">
        <v>3701</v>
      </c>
      <c r="B253" s="1012" t="s">
        <v>355</v>
      </c>
      <c r="C253" s="2718"/>
      <c r="D253" s="2718" t="s">
        <v>46</v>
      </c>
      <c r="E253" s="2718" t="s">
        <v>46</v>
      </c>
      <c r="F253" s="2723" t="s">
        <v>46</v>
      </c>
      <c r="G253" s="2718" t="s">
        <v>46</v>
      </c>
      <c r="H253" s="2718" t="s">
        <v>46</v>
      </c>
      <c r="I253" s="2718"/>
      <c r="J253" s="2718"/>
      <c r="K253" s="2718" t="s">
        <v>46</v>
      </c>
      <c r="L253" s="2718" t="s">
        <v>46</v>
      </c>
      <c r="M253" s="2718" t="s">
        <v>46</v>
      </c>
      <c r="N253" s="2738" t="s">
        <v>46</v>
      </c>
      <c r="O253" s="2718" t="s">
        <v>46</v>
      </c>
      <c r="P253" s="2725"/>
      <c r="Q253" s="2725"/>
      <c r="R253" s="2725" t="s">
        <v>46</v>
      </c>
      <c r="S253" s="2725" t="s">
        <v>46</v>
      </c>
      <c r="T253" s="2718" t="s">
        <v>46</v>
      </c>
      <c r="U253" s="2718" t="s">
        <v>46</v>
      </c>
      <c r="V253" s="2723" t="s">
        <v>46</v>
      </c>
      <c r="W253" s="2718"/>
      <c r="X253" s="2718"/>
      <c r="Y253" s="2753" t="s">
        <v>46</v>
      </c>
      <c r="Z253" s="2879" t="s">
        <v>46</v>
      </c>
      <c r="AA253" s="2723" t="s">
        <v>46</v>
      </c>
      <c r="AB253" s="2718" t="s">
        <v>46</v>
      </c>
      <c r="AC253" s="2753" t="s">
        <v>46</v>
      </c>
      <c r="AD253" s="2718"/>
      <c r="AE253" s="2718"/>
      <c r="AF253" s="2739" t="s">
        <v>46</v>
      </c>
      <c r="AG253" s="2822" t="s">
        <v>46</v>
      </c>
      <c r="AH253" s="115"/>
      <c r="AI253" s="116"/>
    </row>
    <row r="254" spans="1:35" ht="18" customHeight="1" x14ac:dyDescent="0.2">
      <c r="A254" s="1042">
        <v>3701</v>
      </c>
      <c r="B254" s="1044" t="s">
        <v>357</v>
      </c>
      <c r="C254" s="818"/>
      <c r="D254" s="818"/>
      <c r="E254" s="818"/>
      <c r="F254" s="818"/>
      <c r="G254" s="636"/>
      <c r="H254" s="636"/>
      <c r="I254" s="636"/>
      <c r="J254" s="818"/>
      <c r="K254" s="818"/>
      <c r="L254" s="818"/>
      <c r="M254" s="818"/>
      <c r="N254" s="636"/>
      <c r="O254" s="636"/>
      <c r="P254" s="636"/>
      <c r="Q254" s="818"/>
      <c r="R254" s="818"/>
      <c r="S254" s="818"/>
      <c r="T254" s="818"/>
      <c r="U254" s="636"/>
      <c r="V254" s="636"/>
      <c r="W254" s="636"/>
      <c r="X254" s="818"/>
      <c r="Y254" s="818"/>
      <c r="Z254" s="833"/>
      <c r="AA254" s="818"/>
      <c r="AB254" s="636"/>
      <c r="AC254" s="636"/>
      <c r="AD254" s="636"/>
      <c r="AE254" s="818"/>
      <c r="AF254" s="818"/>
      <c r="AG254" s="1041"/>
      <c r="AH254" s="115"/>
      <c r="AI254" s="116"/>
    </row>
    <row r="255" spans="1:35" ht="18" customHeight="1" x14ac:dyDescent="0.2">
      <c r="A255" s="1042">
        <v>3701</v>
      </c>
      <c r="B255" s="1012" t="s">
        <v>358</v>
      </c>
      <c r="C255" s="2718"/>
      <c r="D255" s="2718" t="s">
        <v>46</v>
      </c>
      <c r="E255" s="2718" t="s">
        <v>46</v>
      </c>
      <c r="F255" s="2723" t="s">
        <v>46</v>
      </c>
      <c r="G255" s="2718" t="s">
        <v>46</v>
      </c>
      <c r="H255" s="2718" t="s">
        <v>46</v>
      </c>
      <c r="I255" s="2718"/>
      <c r="J255" s="2718"/>
      <c r="K255" s="2718" t="s">
        <v>46</v>
      </c>
      <c r="L255" s="2718" t="s">
        <v>46</v>
      </c>
      <c r="M255" s="2718" t="s">
        <v>46</v>
      </c>
      <c r="N255" s="2738" t="s">
        <v>46</v>
      </c>
      <c r="O255" s="2718" t="s">
        <v>46</v>
      </c>
      <c r="P255" s="2725"/>
      <c r="Q255" s="2725"/>
      <c r="R255" s="2725" t="s">
        <v>46</v>
      </c>
      <c r="S255" s="2725" t="s">
        <v>46</v>
      </c>
      <c r="T255" s="2718" t="s">
        <v>46</v>
      </c>
      <c r="U255" s="2718" t="s">
        <v>46</v>
      </c>
      <c r="V255" s="2723" t="s">
        <v>46</v>
      </c>
      <c r="W255" s="2718"/>
      <c r="X255" s="2718"/>
      <c r="Y255" s="2739" t="s">
        <v>46</v>
      </c>
      <c r="Z255" s="2879" t="s">
        <v>46</v>
      </c>
      <c r="AA255" s="2723" t="s">
        <v>46</v>
      </c>
      <c r="AB255" s="2718" t="s">
        <v>46</v>
      </c>
      <c r="AC255" s="2739" t="s">
        <v>46</v>
      </c>
      <c r="AD255" s="2718"/>
      <c r="AE255" s="2718"/>
      <c r="AF255" s="2739" t="s">
        <v>46</v>
      </c>
      <c r="AG255" s="2822" t="s">
        <v>46</v>
      </c>
      <c r="AH255" s="115"/>
      <c r="AI255" s="116"/>
    </row>
    <row r="256" spans="1:35" ht="18" customHeight="1" x14ac:dyDescent="0.2">
      <c r="A256" s="1042">
        <v>3701</v>
      </c>
      <c r="B256" s="1012" t="s">
        <v>359</v>
      </c>
      <c r="C256" s="2718"/>
      <c r="D256" s="2718" t="s">
        <v>46</v>
      </c>
      <c r="E256" s="2718" t="s">
        <v>46</v>
      </c>
      <c r="F256" s="2723" t="s">
        <v>46</v>
      </c>
      <c r="G256" s="2718" t="s">
        <v>46</v>
      </c>
      <c r="H256" s="2718" t="s">
        <v>46</v>
      </c>
      <c r="I256" s="2718"/>
      <c r="J256" s="2718"/>
      <c r="K256" s="2718" t="s">
        <v>46</v>
      </c>
      <c r="L256" s="2718" t="s">
        <v>46</v>
      </c>
      <c r="M256" s="2718" t="s">
        <v>46</v>
      </c>
      <c r="N256" s="2738" t="s">
        <v>46</v>
      </c>
      <c r="O256" s="2718" t="s">
        <v>46</v>
      </c>
      <c r="P256" s="2725"/>
      <c r="Q256" s="2725"/>
      <c r="R256" s="2725" t="s">
        <v>46</v>
      </c>
      <c r="S256" s="2725" t="s">
        <v>46</v>
      </c>
      <c r="T256" s="2718" t="s">
        <v>46</v>
      </c>
      <c r="U256" s="2718" t="s">
        <v>46</v>
      </c>
      <c r="V256" s="2723" t="s">
        <v>46</v>
      </c>
      <c r="W256" s="2718"/>
      <c r="X256" s="2718"/>
      <c r="Y256" s="2718" t="s">
        <v>46</v>
      </c>
      <c r="Z256" s="2718" t="s">
        <v>46</v>
      </c>
      <c r="AA256" s="2723" t="s">
        <v>46</v>
      </c>
      <c r="AB256" s="2718" t="s">
        <v>46</v>
      </c>
      <c r="AC256" s="2718" t="s">
        <v>46</v>
      </c>
      <c r="AD256" s="2718"/>
      <c r="AE256" s="2718"/>
      <c r="AF256" s="2718" t="s">
        <v>46</v>
      </c>
      <c r="AG256" s="2442" t="s">
        <v>46</v>
      </c>
      <c r="AH256" s="115"/>
      <c r="AI256" s="116"/>
    </row>
    <row r="257" spans="1:35" ht="18" customHeight="1" x14ac:dyDescent="0.2">
      <c r="A257" s="1046">
        <v>3701</v>
      </c>
      <c r="B257" s="1012" t="s">
        <v>360</v>
      </c>
      <c r="C257" s="2718"/>
      <c r="D257" s="2718" t="s">
        <v>46</v>
      </c>
      <c r="E257" s="2718" t="s">
        <v>46</v>
      </c>
      <c r="F257" s="2723" t="s">
        <v>46</v>
      </c>
      <c r="G257" s="2718" t="s">
        <v>46</v>
      </c>
      <c r="H257" s="2718" t="s">
        <v>46</v>
      </c>
      <c r="I257" s="2718"/>
      <c r="J257" s="2718"/>
      <c r="K257" s="2718" t="s">
        <v>46</v>
      </c>
      <c r="L257" s="2718" t="s">
        <v>46</v>
      </c>
      <c r="M257" s="2718" t="s">
        <v>46</v>
      </c>
      <c r="N257" s="2738" t="s">
        <v>46</v>
      </c>
      <c r="O257" s="2718" t="s">
        <v>46</v>
      </c>
      <c r="P257" s="2725"/>
      <c r="Q257" s="2725"/>
      <c r="R257" s="2725" t="s">
        <v>46</v>
      </c>
      <c r="S257" s="3042" t="s">
        <v>46</v>
      </c>
      <c r="T257" s="3042" t="s">
        <v>46</v>
      </c>
      <c r="U257" s="3042" t="s">
        <v>46</v>
      </c>
      <c r="V257" s="3042" t="s">
        <v>46</v>
      </c>
      <c r="W257" s="2718"/>
      <c r="X257" s="2718"/>
      <c r="Y257" s="3042" t="s">
        <v>46</v>
      </c>
      <c r="Z257" s="2718" t="s">
        <v>46</v>
      </c>
      <c r="AA257" s="2723" t="s">
        <v>46</v>
      </c>
      <c r="AB257" s="2718" t="s">
        <v>46</v>
      </c>
      <c r="AC257" s="2720" t="s">
        <v>46</v>
      </c>
      <c r="AD257" s="2718"/>
      <c r="AE257" s="2718"/>
      <c r="AF257" s="2720" t="s">
        <v>46</v>
      </c>
      <c r="AG257" s="3121" t="s">
        <v>46</v>
      </c>
      <c r="AH257" s="115"/>
      <c r="AI257" s="116"/>
    </row>
    <row r="258" spans="1:35" ht="18" customHeight="1" x14ac:dyDescent="0.2">
      <c r="A258" s="1042">
        <v>3701</v>
      </c>
      <c r="B258" s="1012" t="s">
        <v>361</v>
      </c>
      <c r="C258" s="2718"/>
      <c r="D258" s="2718" t="s">
        <v>46</v>
      </c>
      <c r="E258" s="2718" t="s">
        <v>46</v>
      </c>
      <c r="F258" s="2731" t="s">
        <v>46</v>
      </c>
      <c r="G258" s="2731" t="s">
        <v>79</v>
      </c>
      <c r="H258" s="2695" t="s">
        <v>46</v>
      </c>
      <c r="I258" s="2718"/>
      <c r="J258" s="2718"/>
      <c r="K258" s="2718" t="s">
        <v>46</v>
      </c>
      <c r="L258" s="2718" t="s">
        <v>46</v>
      </c>
      <c r="M258" s="2718" t="s">
        <v>46</v>
      </c>
      <c r="N258" s="2738" t="s">
        <v>46</v>
      </c>
      <c r="O258" s="2718" t="s">
        <v>46</v>
      </c>
      <c r="P258" s="2725"/>
      <c r="Q258" s="2725"/>
      <c r="R258" s="2725" t="s">
        <v>46</v>
      </c>
      <c r="S258" s="2725" t="s">
        <v>46</v>
      </c>
      <c r="T258" s="2718" t="s">
        <v>46</v>
      </c>
      <c r="U258" s="2718" t="s">
        <v>46</v>
      </c>
      <c r="V258" s="2723" t="s">
        <v>46</v>
      </c>
      <c r="W258" s="2718"/>
      <c r="X258" s="2718"/>
      <c r="Y258" s="3122" t="s">
        <v>46</v>
      </c>
      <c r="Z258" s="2718" t="s">
        <v>46</v>
      </c>
      <c r="AA258" s="2723" t="s">
        <v>46</v>
      </c>
      <c r="AB258" s="2718" t="s">
        <v>46</v>
      </c>
      <c r="AC258" s="2739" t="s">
        <v>46</v>
      </c>
      <c r="AD258" s="2718"/>
      <c r="AE258" s="2718"/>
      <c r="AF258" s="2739" t="s">
        <v>46</v>
      </c>
      <c r="AG258" s="2822" t="s">
        <v>46</v>
      </c>
      <c r="AH258" s="115"/>
      <c r="AI258" s="116"/>
    </row>
    <row r="259" spans="1:35" ht="18" customHeight="1" x14ac:dyDescent="0.2">
      <c r="A259" s="1042">
        <v>3701</v>
      </c>
      <c r="B259" s="1012" t="s">
        <v>362</v>
      </c>
      <c r="C259" s="2718"/>
      <c r="D259" s="2718" t="s">
        <v>46</v>
      </c>
      <c r="E259" s="2718" t="s">
        <v>46</v>
      </c>
      <c r="F259" s="2723" t="s">
        <v>46</v>
      </c>
      <c r="G259" s="2718" t="s">
        <v>46</v>
      </c>
      <c r="H259" s="2718" t="s">
        <v>46</v>
      </c>
      <c r="I259" s="2718"/>
      <c r="J259" s="2718"/>
      <c r="K259" s="2718" t="s">
        <v>46</v>
      </c>
      <c r="L259" s="2718" t="s">
        <v>46</v>
      </c>
      <c r="M259" s="2718" t="s">
        <v>46</v>
      </c>
      <c r="N259" s="2738" t="s">
        <v>46</v>
      </c>
      <c r="O259" s="2718" t="s">
        <v>46</v>
      </c>
      <c r="P259" s="2725"/>
      <c r="Q259" s="2725"/>
      <c r="R259" s="2725" t="s">
        <v>46</v>
      </c>
      <c r="S259" s="2725" t="s">
        <v>46</v>
      </c>
      <c r="T259" s="2718" t="s">
        <v>46</v>
      </c>
      <c r="U259" s="2718" t="s">
        <v>46</v>
      </c>
      <c r="V259" s="2723" t="s">
        <v>46</v>
      </c>
      <c r="W259" s="2718"/>
      <c r="X259" s="2718"/>
      <c r="Y259" s="3122" t="s">
        <v>46</v>
      </c>
      <c r="Z259" s="2718" t="s">
        <v>46</v>
      </c>
      <c r="AA259" s="2723" t="s">
        <v>46</v>
      </c>
      <c r="AB259" s="2718" t="s">
        <v>46</v>
      </c>
      <c r="AC259" s="2739" t="s">
        <v>46</v>
      </c>
      <c r="AD259" s="2718"/>
      <c r="AE259" s="2718"/>
      <c r="AF259" s="2739" t="s">
        <v>46</v>
      </c>
      <c r="AG259" s="2822" t="s">
        <v>46</v>
      </c>
      <c r="AH259" s="115"/>
      <c r="AI259" s="116"/>
    </row>
    <row r="260" spans="1:35" ht="18" customHeight="1" x14ac:dyDescent="0.2">
      <c r="A260" s="1042"/>
      <c r="B260" s="1012" t="s">
        <v>363</v>
      </c>
      <c r="C260" s="2718"/>
      <c r="D260" s="2718" t="s">
        <v>46</v>
      </c>
      <c r="E260" s="2718" t="s">
        <v>46</v>
      </c>
      <c r="F260" s="2723" t="s">
        <v>46</v>
      </c>
      <c r="G260" s="2718" t="s">
        <v>46</v>
      </c>
      <c r="H260" s="2718" t="s">
        <v>46</v>
      </c>
      <c r="I260" s="2718"/>
      <c r="J260" s="2718"/>
      <c r="K260" s="2718" t="s">
        <v>46</v>
      </c>
      <c r="L260" s="2718" t="s">
        <v>46</v>
      </c>
      <c r="M260" s="2718" t="s">
        <v>46</v>
      </c>
      <c r="N260" s="2738" t="s">
        <v>46</v>
      </c>
      <c r="O260" s="2718" t="s">
        <v>46</v>
      </c>
      <c r="P260" s="2725"/>
      <c r="Q260" s="2725"/>
      <c r="R260" s="2725" t="s">
        <v>46</v>
      </c>
      <c r="S260" s="2725" t="s">
        <v>46</v>
      </c>
      <c r="T260" s="2718" t="s">
        <v>46</v>
      </c>
      <c r="U260" s="2718" t="s">
        <v>46</v>
      </c>
      <c r="V260" s="2723" t="s">
        <v>46</v>
      </c>
      <c r="W260" s="2718"/>
      <c r="X260" s="2718"/>
      <c r="Y260" s="2739" t="s">
        <v>46</v>
      </c>
      <c r="Z260" s="2718" t="s">
        <v>46</v>
      </c>
      <c r="AA260" s="2723" t="s">
        <v>46</v>
      </c>
      <c r="AB260" s="2718" t="s">
        <v>46</v>
      </c>
      <c r="AC260" s="2739" t="s">
        <v>46</v>
      </c>
      <c r="AD260" s="2718"/>
      <c r="AE260" s="2718"/>
      <c r="AF260" s="2739" t="s">
        <v>46</v>
      </c>
      <c r="AG260" s="2822" t="s">
        <v>46</v>
      </c>
      <c r="AH260" s="115"/>
      <c r="AI260" s="116"/>
    </row>
    <row r="261" spans="1:35" ht="18" customHeight="1" x14ac:dyDescent="0.2">
      <c r="A261" s="1042"/>
      <c r="B261" s="1012" t="s">
        <v>364</v>
      </c>
      <c r="C261" s="2718"/>
      <c r="D261" s="2718" t="s">
        <v>46</v>
      </c>
      <c r="E261" s="2718" t="s">
        <v>46</v>
      </c>
      <c r="F261" s="2723" t="s">
        <v>46</v>
      </c>
      <c r="G261" s="2718" t="s">
        <v>46</v>
      </c>
      <c r="H261" s="2718" t="s">
        <v>46</v>
      </c>
      <c r="I261" s="2718"/>
      <c r="J261" s="2718"/>
      <c r="K261" s="2718" t="s">
        <v>46</v>
      </c>
      <c r="L261" s="2718" t="s">
        <v>46</v>
      </c>
      <c r="M261" s="2718" t="s">
        <v>46</v>
      </c>
      <c r="N261" s="2738" t="s">
        <v>46</v>
      </c>
      <c r="O261" s="2718" t="s">
        <v>46</v>
      </c>
      <c r="P261" s="2725"/>
      <c r="Q261" s="2725"/>
      <c r="R261" s="2725" t="s">
        <v>46</v>
      </c>
      <c r="S261" s="2725" t="s">
        <v>46</v>
      </c>
      <c r="T261" s="2718" t="s">
        <v>46</v>
      </c>
      <c r="U261" s="2718" t="s">
        <v>46</v>
      </c>
      <c r="V261" s="2723" t="s">
        <v>46</v>
      </c>
      <c r="W261" s="2718"/>
      <c r="X261" s="2718"/>
      <c r="Y261" s="2739" t="s">
        <v>46</v>
      </c>
      <c r="Z261" s="2718" t="s">
        <v>46</v>
      </c>
      <c r="AA261" s="2723" t="s">
        <v>46</v>
      </c>
      <c r="AB261" s="2718" t="s">
        <v>46</v>
      </c>
      <c r="AC261" s="2739" t="s">
        <v>46</v>
      </c>
      <c r="AD261" s="2718"/>
      <c r="AE261" s="2718"/>
      <c r="AF261" s="2739" t="s">
        <v>46</v>
      </c>
      <c r="AG261" s="2822" t="s">
        <v>46</v>
      </c>
      <c r="AH261" s="115"/>
      <c r="AI261" s="116"/>
    </row>
    <row r="262" spans="1:35" ht="18" customHeight="1" x14ac:dyDescent="0.2">
      <c r="A262" s="1042"/>
      <c r="B262" s="1012" t="s">
        <v>365</v>
      </c>
      <c r="C262" s="2718"/>
      <c r="D262" s="2718" t="s">
        <v>46</v>
      </c>
      <c r="E262" s="2718" t="s">
        <v>46</v>
      </c>
      <c r="F262" s="2723" t="s">
        <v>46</v>
      </c>
      <c r="G262" s="2718" t="s">
        <v>46</v>
      </c>
      <c r="H262" s="2718" t="s">
        <v>46</v>
      </c>
      <c r="I262" s="2718"/>
      <c r="J262" s="2718"/>
      <c r="K262" s="2718" t="s">
        <v>46</v>
      </c>
      <c r="L262" s="2718" t="s">
        <v>46</v>
      </c>
      <c r="M262" s="2718" t="s">
        <v>46</v>
      </c>
      <c r="N262" s="2738" t="s">
        <v>46</v>
      </c>
      <c r="O262" s="2718" t="s">
        <v>46</v>
      </c>
      <c r="P262" s="2725"/>
      <c r="Q262" s="2725"/>
      <c r="R262" s="2725" t="s">
        <v>46</v>
      </c>
      <c r="S262" s="2725" t="s">
        <v>46</v>
      </c>
      <c r="T262" s="2718" t="s">
        <v>46</v>
      </c>
      <c r="U262" s="2718" t="s">
        <v>46</v>
      </c>
      <c r="V262" s="2723" t="s">
        <v>46</v>
      </c>
      <c r="W262" s="2718"/>
      <c r="X262" s="2718"/>
      <c r="Y262" s="2739" t="s">
        <v>46</v>
      </c>
      <c r="Z262" s="2718" t="s">
        <v>46</v>
      </c>
      <c r="AA262" s="2723" t="s">
        <v>46</v>
      </c>
      <c r="AB262" s="2718" t="s">
        <v>46</v>
      </c>
      <c r="AC262" s="2739" t="s">
        <v>46</v>
      </c>
      <c r="AD262" s="2718"/>
      <c r="AE262" s="2718"/>
      <c r="AF262" s="2739" t="s">
        <v>46</v>
      </c>
      <c r="AG262" s="2822" t="s">
        <v>46</v>
      </c>
      <c r="AH262" s="115"/>
      <c r="AI262" s="116"/>
    </row>
    <row r="263" spans="1:35" ht="18" customHeight="1" x14ac:dyDescent="0.2">
      <c r="A263" s="1042"/>
      <c r="B263" s="1044" t="s">
        <v>366</v>
      </c>
      <c r="C263" s="818"/>
      <c r="D263" s="818"/>
      <c r="E263" s="818"/>
      <c r="F263" s="818"/>
      <c r="G263" s="636"/>
      <c r="H263" s="636"/>
      <c r="I263" s="636"/>
      <c r="J263" s="818"/>
      <c r="K263" s="818"/>
      <c r="L263" s="818"/>
      <c r="M263" s="818"/>
      <c r="N263" s="636"/>
      <c r="O263" s="636"/>
      <c r="P263" s="636"/>
      <c r="Q263" s="818"/>
      <c r="R263" s="818"/>
      <c r="S263" s="818"/>
      <c r="T263" s="818"/>
      <c r="U263" s="636"/>
      <c r="V263" s="636"/>
      <c r="W263" s="636"/>
      <c r="X263" s="818"/>
      <c r="Y263" s="818"/>
      <c r="Z263" s="818"/>
      <c r="AA263" s="818"/>
      <c r="AB263" s="636"/>
      <c r="AC263" s="636"/>
      <c r="AD263" s="636"/>
      <c r="AE263" s="818"/>
      <c r="AF263" s="818"/>
      <c r="AG263" s="1041"/>
      <c r="AH263" s="115"/>
      <c r="AI263" s="116"/>
    </row>
    <row r="264" spans="1:35" ht="18" customHeight="1" x14ac:dyDescent="0.2">
      <c r="A264" s="1042"/>
      <c r="B264" s="1012" t="s">
        <v>367</v>
      </c>
      <c r="C264" s="2718"/>
      <c r="D264" s="2578" t="s">
        <v>458</v>
      </c>
      <c r="E264" s="2578" t="s">
        <v>46</v>
      </c>
      <c r="F264" s="2723" t="s">
        <v>46</v>
      </c>
      <c r="G264" s="2718" t="s">
        <v>46</v>
      </c>
      <c r="H264" s="2718" t="s">
        <v>46</v>
      </c>
      <c r="I264" s="2718"/>
      <c r="J264" s="2718"/>
      <c r="K264" s="2731" t="s">
        <v>46</v>
      </c>
      <c r="L264" s="2731" t="s">
        <v>79</v>
      </c>
      <c r="M264" s="2718" t="s">
        <v>46</v>
      </c>
      <c r="N264" s="2738" t="s">
        <v>46</v>
      </c>
      <c r="O264" s="2718" t="s">
        <v>46</v>
      </c>
      <c r="P264" s="2725"/>
      <c r="Q264" s="2725"/>
      <c r="R264" s="2578" t="s">
        <v>46</v>
      </c>
      <c r="S264" s="2725" t="s">
        <v>46</v>
      </c>
      <c r="T264" s="2718" t="s">
        <v>46</v>
      </c>
      <c r="U264" s="2718" t="s">
        <v>46</v>
      </c>
      <c r="V264" s="2723" t="s">
        <v>46</v>
      </c>
      <c r="W264" s="2718"/>
      <c r="X264" s="2718"/>
      <c r="Y264" s="2739" t="s">
        <v>46</v>
      </c>
      <c r="Z264" s="2718" t="s">
        <v>46</v>
      </c>
      <c r="AA264" s="2723" t="s">
        <v>46</v>
      </c>
      <c r="AB264" s="2718" t="s">
        <v>46</v>
      </c>
      <c r="AC264" s="2739" t="s">
        <v>46</v>
      </c>
      <c r="AD264" s="2718"/>
      <c r="AE264" s="2718"/>
      <c r="AF264" s="2739" t="s">
        <v>46</v>
      </c>
      <c r="AG264" s="2822" t="s">
        <v>46</v>
      </c>
      <c r="AH264" s="115"/>
      <c r="AI264" s="116"/>
    </row>
    <row r="265" spans="1:35" ht="18" customHeight="1" x14ac:dyDescent="0.2">
      <c r="A265" s="1042"/>
      <c r="B265" s="1012" t="s">
        <v>368</v>
      </c>
      <c r="C265" s="2718"/>
      <c r="D265" s="2718" t="s">
        <v>46</v>
      </c>
      <c r="E265" s="2718" t="s">
        <v>46</v>
      </c>
      <c r="F265" s="2731" t="s">
        <v>79</v>
      </c>
      <c r="G265" s="2879" t="s">
        <v>46</v>
      </c>
      <c r="H265" s="2879" t="s">
        <v>46</v>
      </c>
      <c r="I265" s="2718"/>
      <c r="J265" s="2718"/>
      <c r="K265" s="2718" t="s">
        <v>46</v>
      </c>
      <c r="L265" s="2718" t="s">
        <v>46</v>
      </c>
      <c r="M265" s="2718" t="s">
        <v>46</v>
      </c>
      <c r="N265" s="2738" t="s">
        <v>46</v>
      </c>
      <c r="O265" s="2718" t="s">
        <v>46</v>
      </c>
      <c r="P265" s="2725"/>
      <c r="Q265" s="2725"/>
      <c r="R265" s="2725" t="s">
        <v>46</v>
      </c>
      <c r="S265" s="2725" t="s">
        <v>46</v>
      </c>
      <c r="T265" s="2718" t="s">
        <v>46</v>
      </c>
      <c r="U265" s="2718" t="s">
        <v>46</v>
      </c>
      <c r="V265" s="2723" t="s">
        <v>46</v>
      </c>
      <c r="W265" s="2718"/>
      <c r="X265" s="2718"/>
      <c r="Y265" s="2739" t="s">
        <v>46</v>
      </c>
      <c r="Z265" s="2718" t="s">
        <v>46</v>
      </c>
      <c r="AA265" s="2723" t="s">
        <v>46</v>
      </c>
      <c r="AB265" s="2718" t="s">
        <v>46</v>
      </c>
      <c r="AC265" s="2739" t="s">
        <v>46</v>
      </c>
      <c r="AD265" s="2718"/>
      <c r="AE265" s="2718"/>
      <c r="AF265" s="2739" t="s">
        <v>46</v>
      </c>
      <c r="AG265" s="2822" t="s">
        <v>46</v>
      </c>
      <c r="AH265" s="115"/>
      <c r="AI265" s="116"/>
    </row>
    <row r="266" spans="1:35" ht="18" customHeight="1" x14ac:dyDescent="0.2">
      <c r="A266" s="1042"/>
      <c r="B266" s="1012"/>
      <c r="C266" s="2718"/>
      <c r="D266" s="2718" t="s">
        <v>46</v>
      </c>
      <c r="E266" s="2718" t="s">
        <v>46</v>
      </c>
      <c r="F266" s="2723" t="s">
        <v>46</v>
      </c>
      <c r="G266" s="2718" t="s">
        <v>46</v>
      </c>
      <c r="H266" s="2718" t="s">
        <v>46</v>
      </c>
      <c r="I266" s="2718"/>
      <c r="J266" s="2718"/>
      <c r="K266" s="2718" t="s">
        <v>46</v>
      </c>
      <c r="L266" s="2718" t="s">
        <v>46</v>
      </c>
      <c r="M266" s="2718" t="s">
        <v>46</v>
      </c>
      <c r="N266" s="2738" t="s">
        <v>46</v>
      </c>
      <c r="O266" s="2718" t="s">
        <v>46</v>
      </c>
      <c r="P266" s="2725"/>
      <c r="Q266" s="2725"/>
      <c r="R266" s="2725" t="s">
        <v>46</v>
      </c>
      <c r="S266" s="2725" t="s">
        <v>46</v>
      </c>
      <c r="T266" s="2718" t="s">
        <v>46</v>
      </c>
      <c r="U266" s="2718" t="s">
        <v>46</v>
      </c>
      <c r="V266" s="2723" t="s">
        <v>46</v>
      </c>
      <c r="W266" s="2718"/>
      <c r="X266" s="2718"/>
      <c r="Y266" s="2879" t="s">
        <v>46</v>
      </c>
      <c r="Z266" s="2879" t="s">
        <v>46</v>
      </c>
      <c r="AA266" s="2879" t="s">
        <v>46</v>
      </c>
      <c r="AB266" s="2879" t="s">
        <v>46</v>
      </c>
      <c r="AC266" s="2879" t="s">
        <v>46</v>
      </c>
      <c r="AD266" s="2879"/>
      <c r="AE266" s="2879"/>
      <c r="AF266" s="2879" t="s">
        <v>46</v>
      </c>
      <c r="AG266" s="3123" t="s">
        <v>46</v>
      </c>
      <c r="AH266" s="112"/>
      <c r="AI266" s="67"/>
    </row>
    <row r="267" spans="1:35" ht="18" customHeight="1" x14ac:dyDescent="0.2">
      <c r="A267" s="1042"/>
      <c r="B267" s="1012" t="s">
        <v>369</v>
      </c>
      <c r="C267" s="2718"/>
      <c r="D267" s="2731" t="s">
        <v>46</v>
      </c>
      <c r="E267" s="2731" t="s">
        <v>46</v>
      </c>
      <c r="F267" s="2731" t="s">
        <v>46</v>
      </c>
      <c r="G267" s="2731" t="s">
        <v>46</v>
      </c>
      <c r="H267" s="2731" t="s">
        <v>46</v>
      </c>
      <c r="I267" s="2731"/>
      <c r="J267" s="2731"/>
      <c r="K267" s="2731" t="s">
        <v>46</v>
      </c>
      <c r="L267" s="2731" t="s">
        <v>46</v>
      </c>
      <c r="M267" s="2731" t="s">
        <v>46</v>
      </c>
      <c r="N267" s="2731" t="s">
        <v>46</v>
      </c>
      <c r="O267" s="2731" t="s">
        <v>46</v>
      </c>
      <c r="P267" s="2731"/>
      <c r="Q267" s="2731"/>
      <c r="R267" s="2731" t="s">
        <v>46</v>
      </c>
      <c r="S267" s="2731" t="s">
        <v>46</v>
      </c>
      <c r="T267" s="2731" t="s">
        <v>46</v>
      </c>
      <c r="U267" s="2731" t="s">
        <v>46</v>
      </c>
      <c r="V267" s="2731" t="s">
        <v>46</v>
      </c>
      <c r="W267" s="2731"/>
      <c r="X267" s="2731"/>
      <c r="Y267" s="2739" t="s">
        <v>46</v>
      </c>
      <c r="Z267" s="2718" t="s">
        <v>46</v>
      </c>
      <c r="AA267" s="2723" t="s">
        <v>46</v>
      </c>
      <c r="AB267" s="2718" t="s">
        <v>46</v>
      </c>
      <c r="AC267" s="2739" t="s">
        <v>46</v>
      </c>
      <c r="AD267" s="2718"/>
      <c r="AE267" s="2718"/>
      <c r="AF267" s="2739" t="s">
        <v>46</v>
      </c>
      <c r="AG267" s="2822" t="s">
        <v>46</v>
      </c>
      <c r="AH267" s="112"/>
      <c r="AI267" s="67"/>
    </row>
    <row r="268" spans="1:35" ht="18" customHeight="1" x14ac:dyDescent="0.2">
      <c r="A268" s="638"/>
      <c r="B268" s="2629"/>
      <c r="C268" s="636"/>
      <c r="D268" s="636"/>
      <c r="E268" s="636"/>
      <c r="F268" s="636"/>
      <c r="G268" s="636"/>
      <c r="H268" s="636"/>
      <c r="I268" s="636"/>
      <c r="J268" s="636"/>
      <c r="K268" s="636"/>
      <c r="L268" s="636"/>
      <c r="M268" s="636"/>
      <c r="N268" s="636"/>
      <c r="O268" s="636"/>
      <c r="P268" s="636"/>
      <c r="Q268" s="636"/>
      <c r="R268" s="636"/>
      <c r="S268" s="636"/>
      <c r="T268" s="636"/>
      <c r="U268" s="636"/>
      <c r="V268" s="636"/>
      <c r="W268" s="636"/>
      <c r="X268" s="636"/>
      <c r="Y268" s="636"/>
      <c r="Z268" s="636"/>
      <c r="AA268" s="636"/>
      <c r="AB268" s="636"/>
      <c r="AC268" s="636"/>
      <c r="AD268" s="636"/>
      <c r="AE268" s="636"/>
      <c r="AF268" s="636"/>
      <c r="AG268" s="1041"/>
      <c r="AH268" s="112"/>
      <c r="AI268" s="67"/>
    </row>
    <row r="269" spans="1:35" ht="18" customHeight="1" x14ac:dyDescent="0.2">
      <c r="A269" s="638"/>
      <c r="B269" s="1012"/>
      <c r="C269" s="636"/>
      <c r="D269" s="636"/>
      <c r="E269" s="636"/>
      <c r="F269" s="636"/>
      <c r="G269" s="636"/>
      <c r="H269" s="636"/>
      <c r="I269" s="636"/>
      <c r="J269" s="636"/>
      <c r="K269" s="636"/>
      <c r="L269" s="636"/>
      <c r="M269" s="636"/>
      <c r="N269" s="799"/>
      <c r="O269" s="799"/>
      <c r="P269" s="799"/>
      <c r="Q269" s="3090"/>
      <c r="R269" s="799"/>
      <c r="S269" s="636"/>
      <c r="T269" s="636"/>
      <c r="U269" s="799"/>
      <c r="V269" s="799"/>
      <c r="W269" s="799"/>
      <c r="X269" s="636"/>
      <c r="Y269" s="799"/>
      <c r="Z269" s="636"/>
      <c r="AA269" s="636"/>
      <c r="AB269" s="636"/>
      <c r="AC269" s="636"/>
      <c r="AD269" s="636"/>
      <c r="AE269" s="636"/>
      <c r="AF269" s="799"/>
      <c r="AG269" s="1053"/>
      <c r="AH269" s="112"/>
      <c r="AI269" s="67"/>
    </row>
    <row r="270" spans="1:35" ht="18" customHeight="1" x14ac:dyDescent="0.2">
      <c r="A270" s="638"/>
      <c r="B270" s="638"/>
      <c r="C270" s="636"/>
      <c r="D270" s="636"/>
      <c r="E270" s="636"/>
      <c r="F270" s="636"/>
      <c r="G270" s="636"/>
      <c r="H270" s="636"/>
      <c r="I270" s="636"/>
      <c r="J270" s="636"/>
      <c r="K270" s="636"/>
      <c r="L270" s="636"/>
      <c r="M270" s="636"/>
      <c r="N270" s="636"/>
      <c r="O270" s="636"/>
      <c r="P270" s="636"/>
      <c r="Q270" s="636"/>
      <c r="R270" s="636"/>
      <c r="S270" s="636"/>
      <c r="T270" s="636"/>
      <c r="U270" s="636"/>
      <c r="V270" s="636"/>
      <c r="W270" s="636"/>
      <c r="X270" s="636"/>
      <c r="Y270" s="636"/>
      <c r="Z270" s="636"/>
      <c r="AA270" s="636"/>
      <c r="AB270" s="636"/>
      <c r="AC270" s="636"/>
      <c r="AD270" s="636"/>
      <c r="AE270" s="636"/>
      <c r="AF270" s="636"/>
      <c r="AG270" s="1041"/>
      <c r="AH270" s="112"/>
      <c r="AI270" s="67"/>
    </row>
    <row r="271" spans="1:35" ht="18" customHeight="1" x14ac:dyDescent="0.2">
      <c r="A271" s="638"/>
      <c r="B271" s="638"/>
      <c r="C271" s="636"/>
      <c r="D271" s="636"/>
      <c r="E271" s="636"/>
      <c r="F271" s="636"/>
      <c r="G271" s="636"/>
      <c r="H271" s="1054"/>
      <c r="I271" s="636"/>
      <c r="J271" s="636"/>
      <c r="K271" s="636"/>
      <c r="L271" s="636"/>
      <c r="M271" s="636"/>
      <c r="N271" s="636"/>
      <c r="O271" s="636"/>
      <c r="P271" s="636"/>
      <c r="Q271" s="636"/>
      <c r="R271" s="636"/>
      <c r="S271" s="636"/>
      <c r="T271" s="636"/>
      <c r="U271" s="636"/>
      <c r="V271" s="636"/>
      <c r="W271" s="636"/>
      <c r="X271" s="636"/>
      <c r="Y271" s="636"/>
      <c r="Z271" s="636"/>
      <c r="AA271" s="636"/>
      <c r="AB271" s="636"/>
      <c r="AC271" s="636"/>
      <c r="AD271" s="636"/>
      <c r="AE271" s="636"/>
      <c r="AF271" s="636"/>
      <c r="AG271" s="1055"/>
      <c r="AH271" s="112"/>
      <c r="AI271" s="67"/>
    </row>
    <row r="272" spans="1:35" ht="18" customHeight="1" x14ac:dyDescent="0.2">
      <c r="A272" s="1042"/>
      <c r="B272" s="1056"/>
      <c r="C272" s="636"/>
      <c r="D272" s="636"/>
      <c r="E272" s="636"/>
      <c r="F272" s="636"/>
      <c r="G272" s="636"/>
      <c r="H272" s="636"/>
      <c r="I272" s="636"/>
      <c r="J272" s="636"/>
      <c r="K272" s="636"/>
      <c r="L272" s="636"/>
      <c r="M272" s="636"/>
      <c r="N272" s="636"/>
      <c r="O272" s="636"/>
      <c r="P272" s="636"/>
      <c r="Q272" s="636"/>
      <c r="R272" s="636"/>
      <c r="S272" s="636"/>
      <c r="T272" s="636"/>
      <c r="U272" s="636"/>
      <c r="V272" s="636"/>
      <c r="W272" s="636"/>
      <c r="X272" s="636"/>
      <c r="Y272" s="636"/>
      <c r="Z272" s="636"/>
      <c r="AA272" s="636"/>
      <c r="AB272" s="636"/>
      <c r="AC272" s="636"/>
      <c r="AD272" s="636"/>
      <c r="AE272" s="636"/>
      <c r="AF272" s="636"/>
      <c r="AG272" s="1055"/>
      <c r="AH272" s="112"/>
      <c r="AI272" s="67"/>
    </row>
    <row r="273" spans="1:35" ht="18" customHeight="1" x14ac:dyDescent="0.2">
      <c r="A273" s="1042"/>
      <c r="B273" s="1057"/>
      <c r="C273" s="636"/>
      <c r="D273" s="636"/>
      <c r="E273" s="636"/>
      <c r="F273" s="636"/>
      <c r="G273" s="636"/>
      <c r="H273" s="636"/>
      <c r="I273" s="636"/>
      <c r="J273" s="636"/>
      <c r="K273" s="636"/>
      <c r="L273" s="636"/>
      <c r="M273" s="636"/>
      <c r="N273" s="636"/>
      <c r="O273" s="636"/>
      <c r="P273" s="636"/>
      <c r="Q273" s="636"/>
      <c r="R273" s="636"/>
      <c r="S273" s="636"/>
      <c r="T273" s="636"/>
      <c r="U273" s="636"/>
      <c r="V273" s="636"/>
      <c r="W273" s="636"/>
      <c r="X273" s="636"/>
      <c r="Y273" s="636"/>
      <c r="Z273" s="636"/>
      <c r="AA273" s="636"/>
      <c r="AB273" s="636"/>
      <c r="AC273" s="636"/>
      <c r="AD273" s="636"/>
      <c r="AE273" s="636"/>
      <c r="AF273" s="636"/>
      <c r="AG273" s="1055"/>
      <c r="AH273" s="112"/>
      <c r="AI273" s="67"/>
    </row>
    <row r="274" spans="1:35" ht="18" customHeight="1" x14ac:dyDescent="0.2">
      <c r="A274" s="68"/>
      <c r="B274" s="74"/>
      <c r="C274" s="66"/>
      <c r="D274" s="66"/>
      <c r="E274" s="66"/>
      <c r="F274" s="66"/>
      <c r="G274" s="66"/>
      <c r="H274" s="66"/>
      <c r="I274" s="66"/>
      <c r="J274" s="66"/>
      <c r="L274" s="66"/>
      <c r="M274" s="66"/>
      <c r="N274" s="66"/>
      <c r="O274" s="66"/>
      <c r="P274" s="48"/>
      <c r="Q274" s="48"/>
      <c r="R274" s="48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7"/>
      <c r="AI274" s="67"/>
    </row>
    <row r="275" spans="1:35" ht="18" customHeight="1" x14ac:dyDescent="0.2"/>
    <row r="276" spans="1:35" ht="18" customHeight="1" x14ac:dyDescent="0.2"/>
    <row r="277" spans="1:35" ht="18" customHeight="1" x14ac:dyDescent="0.2"/>
    <row r="278" spans="1:35" ht="18" customHeight="1" x14ac:dyDescent="0.2">
      <c r="A278" s="103" t="s">
        <v>370</v>
      </c>
    </row>
    <row r="279" spans="1:35" ht="18" customHeight="1" x14ac:dyDescent="0.2">
      <c r="B279" s="3124" t="s">
        <v>340</v>
      </c>
      <c r="C279" s="2953"/>
      <c r="D279" s="2975" t="s">
        <v>17</v>
      </c>
      <c r="E279" s="2792"/>
      <c r="F279" s="2957"/>
      <c r="G279" s="2953"/>
      <c r="H279" s="2975" t="s">
        <v>18</v>
      </c>
      <c r="I279" s="2792"/>
      <c r="J279" s="2957"/>
      <c r="K279" s="2953"/>
      <c r="L279" s="2975" t="s">
        <v>19</v>
      </c>
      <c r="M279" s="2792"/>
      <c r="N279" s="2957"/>
      <c r="O279" s="2953"/>
      <c r="P279" s="2975" t="s">
        <v>20</v>
      </c>
      <c r="Q279" s="2792"/>
      <c r="R279" s="2957"/>
      <c r="S279" s="2953"/>
      <c r="T279" s="2975" t="s">
        <v>21</v>
      </c>
      <c r="U279" s="2792"/>
      <c r="V279" s="2957"/>
      <c r="W279" s="2953"/>
      <c r="X279" s="2975" t="s">
        <v>22</v>
      </c>
      <c r="Y279" s="2792"/>
      <c r="Z279" s="2957"/>
      <c r="AA279" s="2953"/>
      <c r="AB279" s="2975" t="s">
        <v>23</v>
      </c>
      <c r="AC279" s="2792"/>
      <c r="AD279" s="2792"/>
      <c r="AE279" s="2978" t="s">
        <v>126</v>
      </c>
      <c r="AF279" s="2792"/>
      <c r="AG279" s="2792"/>
      <c r="AH279" s="2792"/>
      <c r="AI279" s="2793"/>
    </row>
    <row r="280" spans="1:35" ht="18" customHeight="1" x14ac:dyDescent="0.2">
      <c r="B280" s="452"/>
      <c r="C280" s="1059" t="s">
        <v>371</v>
      </c>
      <c r="D280" s="1030"/>
      <c r="E280" s="1060"/>
      <c r="F280" s="1061"/>
      <c r="G280" s="1059" t="s">
        <v>371</v>
      </c>
      <c r="H280" s="1030"/>
      <c r="I280" s="1060"/>
      <c r="J280" s="1061"/>
      <c r="K280" s="1059" t="s">
        <v>371</v>
      </c>
      <c r="L280" s="1030"/>
      <c r="M280" s="1060"/>
      <c r="N280" s="1061"/>
      <c r="O280" s="1059" t="s">
        <v>371</v>
      </c>
      <c r="P280" s="1062"/>
      <c r="Q280" s="1060"/>
      <c r="R280" s="1061"/>
      <c r="S280" s="1063" t="s">
        <v>372</v>
      </c>
      <c r="T280" s="1030"/>
      <c r="U280" s="1060"/>
      <c r="V280" s="1061"/>
      <c r="W280" s="1032"/>
      <c r="X280" s="1030"/>
      <c r="Y280" s="875"/>
      <c r="Z280" s="1031"/>
      <c r="AA280" s="1032"/>
      <c r="AB280" s="1030"/>
      <c r="AC280" s="875"/>
      <c r="AD280" s="875"/>
      <c r="AE280" s="1033"/>
      <c r="AF280" s="875"/>
      <c r="AG280" s="467"/>
      <c r="AH280" s="467"/>
      <c r="AI280" s="1026"/>
    </row>
    <row r="281" spans="1:35" ht="18" customHeight="1" x14ac:dyDescent="0.2">
      <c r="A281" s="70"/>
      <c r="B281" s="2631"/>
      <c r="C281" s="2601" t="s">
        <v>258</v>
      </c>
      <c r="D281" s="2632"/>
      <c r="E281" s="1060"/>
      <c r="F281" s="1061"/>
      <c r="G281" s="2601" t="s">
        <v>258</v>
      </c>
      <c r="H281" s="1030"/>
      <c r="I281" s="1060"/>
      <c r="J281" s="1061"/>
      <c r="K281" s="2601" t="s">
        <v>258</v>
      </c>
      <c r="L281" s="1030"/>
      <c r="M281" s="1060"/>
      <c r="N281" s="1061"/>
      <c r="O281" s="2601" t="s">
        <v>258</v>
      </c>
      <c r="P281" s="1030"/>
      <c r="Q281" s="1060"/>
      <c r="R281" s="1061"/>
      <c r="S281" s="1059" t="s">
        <v>373</v>
      </c>
      <c r="T281" s="1030"/>
      <c r="U281" s="1060"/>
      <c r="V281" s="1061"/>
      <c r="W281" s="1032"/>
      <c r="X281" s="1030"/>
      <c r="Y281" s="875"/>
      <c r="Z281" s="1031"/>
      <c r="AA281" s="1032"/>
      <c r="AB281" s="1030"/>
      <c r="AC281" s="875"/>
      <c r="AD281" s="875"/>
      <c r="AE281" s="1033"/>
      <c r="AF281" s="875"/>
      <c r="AG281" s="467"/>
      <c r="AH281" s="467"/>
      <c r="AI281" s="1026"/>
    </row>
    <row r="282" spans="1:35" ht="18" customHeight="1" x14ac:dyDescent="0.2">
      <c r="B282" s="2631"/>
      <c r="C282" s="2601" t="s">
        <v>261</v>
      </c>
      <c r="D282" s="2632"/>
      <c r="E282" s="1060"/>
      <c r="F282" s="1061"/>
      <c r="G282" s="2601" t="s">
        <v>261</v>
      </c>
      <c r="H282" s="1030"/>
      <c r="I282" s="1060"/>
      <c r="J282" s="1061"/>
      <c r="K282" s="2601" t="s">
        <v>261</v>
      </c>
      <c r="L282" s="1030"/>
      <c r="M282" s="1060"/>
      <c r="N282" s="1061"/>
      <c r="O282" s="2601" t="s">
        <v>261</v>
      </c>
      <c r="P282" s="1030"/>
      <c r="Q282" s="1060"/>
      <c r="R282" s="1061"/>
      <c r="S282" s="2601" t="s">
        <v>256</v>
      </c>
      <c r="T282" s="1030"/>
      <c r="U282" s="1060"/>
      <c r="V282" s="1061"/>
      <c r="W282" s="1032"/>
      <c r="X282" s="1030"/>
      <c r="Y282" s="875"/>
      <c r="Z282" s="1031"/>
      <c r="AA282" s="1032"/>
      <c r="AB282" s="1030"/>
      <c r="AC282" s="875"/>
      <c r="AD282" s="875"/>
      <c r="AE282" s="1033"/>
      <c r="AF282" s="875"/>
      <c r="AG282" s="467"/>
      <c r="AH282" s="467"/>
      <c r="AI282" s="1026"/>
    </row>
    <row r="283" spans="1:35" ht="18" customHeight="1" x14ac:dyDescent="0.2">
      <c r="B283" s="2631"/>
      <c r="C283" s="2855"/>
      <c r="D283" s="2856"/>
      <c r="E283" s="875"/>
      <c r="F283" s="1031"/>
      <c r="G283" s="2855"/>
      <c r="H283" s="2856"/>
      <c r="I283" s="875"/>
      <c r="J283" s="1031"/>
      <c r="K283" s="2855"/>
      <c r="L283" s="2856"/>
      <c r="M283" s="875"/>
      <c r="N283" s="1031"/>
      <c r="O283" s="2855"/>
      <c r="P283" s="2856"/>
      <c r="Q283" s="875"/>
      <c r="R283" s="1031"/>
      <c r="S283" s="2855"/>
      <c r="T283" s="2856"/>
      <c r="U283" s="875"/>
      <c r="V283" s="1031"/>
      <c r="W283" s="1032"/>
      <c r="X283" s="1030"/>
      <c r="Y283" s="875"/>
      <c r="Z283" s="1031"/>
      <c r="AA283" s="1032"/>
      <c r="AB283" s="1030"/>
      <c r="AC283" s="875"/>
      <c r="AD283" s="875"/>
      <c r="AE283" s="1033"/>
      <c r="AF283" s="875"/>
      <c r="AG283" s="467"/>
      <c r="AH283" s="467"/>
      <c r="AI283" s="1026"/>
    </row>
    <row r="284" spans="1:35" ht="18" customHeight="1" x14ac:dyDescent="0.2">
      <c r="B284" s="2631"/>
      <c r="C284" s="2553"/>
      <c r="D284" s="2856"/>
      <c r="E284" s="875"/>
      <c r="F284" s="1031"/>
      <c r="G284" s="1030"/>
      <c r="H284" s="1030"/>
      <c r="I284" s="875"/>
      <c r="J284" s="1031"/>
      <c r="K284" s="1030"/>
      <c r="L284" s="1030"/>
      <c r="M284" s="875"/>
      <c r="N284" s="1031"/>
      <c r="O284" s="1030"/>
      <c r="P284" s="1030"/>
      <c r="Q284" s="875"/>
      <c r="R284" s="1031"/>
      <c r="S284" s="1030"/>
      <c r="T284" s="1030"/>
      <c r="U284" s="875"/>
      <c r="V284" s="1031"/>
      <c r="W284" s="1032"/>
      <c r="X284" s="1030"/>
      <c r="Y284" s="875"/>
      <c r="Z284" s="1031"/>
      <c r="AA284" s="1032"/>
      <c r="AB284" s="1030"/>
      <c r="AC284" s="875"/>
      <c r="AD284" s="875"/>
      <c r="AE284" s="1033"/>
      <c r="AF284" s="875"/>
      <c r="AG284" s="467"/>
      <c r="AH284" s="467"/>
      <c r="AI284" s="1026"/>
    </row>
    <row r="285" spans="1:35" ht="18" customHeight="1" x14ac:dyDescent="0.2">
      <c r="B285" s="2631" t="s">
        <v>235</v>
      </c>
      <c r="C285" s="2553" t="s">
        <v>10</v>
      </c>
      <c r="D285" s="2632"/>
      <c r="E285" s="1060"/>
      <c r="F285" s="1061"/>
      <c r="G285" s="2553" t="s">
        <v>10</v>
      </c>
      <c r="H285" s="2632"/>
      <c r="I285" s="1060"/>
      <c r="J285" s="1061"/>
      <c r="K285" s="2553" t="s">
        <v>10</v>
      </c>
      <c r="L285" s="2632"/>
      <c r="M285" s="1060"/>
      <c r="N285" s="1061"/>
      <c r="O285" s="2553" t="s">
        <v>10</v>
      </c>
      <c r="P285" s="2632"/>
      <c r="Q285" s="1060"/>
      <c r="R285" s="1061"/>
      <c r="S285" s="1030" t="s">
        <v>10</v>
      </c>
      <c r="T285" s="1030"/>
      <c r="U285" s="1060"/>
      <c r="V285" s="1061"/>
      <c r="W285" s="1032"/>
      <c r="X285" s="1030"/>
      <c r="Y285" s="875"/>
      <c r="Z285" s="1031"/>
      <c r="AA285" s="1032"/>
      <c r="AB285" s="1030"/>
      <c r="AC285" s="875"/>
      <c r="AD285" s="875"/>
      <c r="AE285" s="1033"/>
      <c r="AF285" s="875"/>
      <c r="AG285" s="467"/>
      <c r="AH285" s="467"/>
      <c r="AI285" s="1026"/>
    </row>
    <row r="286" spans="1:35" ht="18" customHeight="1" x14ac:dyDescent="0.2">
      <c r="B286" s="2631" t="s">
        <v>236</v>
      </c>
      <c r="C286" s="2553" t="s">
        <v>10</v>
      </c>
      <c r="D286" s="2632"/>
      <c r="E286" s="1060"/>
      <c r="F286" s="1061"/>
      <c r="G286" s="2553" t="s">
        <v>10</v>
      </c>
      <c r="H286" s="2632"/>
      <c r="I286" s="1060"/>
      <c r="J286" s="1061"/>
      <c r="K286" s="2553" t="s">
        <v>10</v>
      </c>
      <c r="L286" s="2632"/>
      <c r="M286" s="1060"/>
      <c r="N286" s="1061"/>
      <c r="O286" s="2553" t="s">
        <v>10</v>
      </c>
      <c r="P286" s="2632"/>
      <c r="Q286" s="1060"/>
      <c r="R286" s="1061"/>
      <c r="S286" s="1030" t="s">
        <v>10</v>
      </c>
      <c r="T286" s="1030"/>
      <c r="U286" s="1060"/>
      <c r="V286" s="1061"/>
      <c r="W286" s="1032"/>
      <c r="X286" s="1030"/>
      <c r="Y286" s="875"/>
      <c r="Z286" s="1031"/>
      <c r="AA286" s="1032"/>
      <c r="AB286" s="1030"/>
      <c r="AC286" s="875"/>
      <c r="AD286" s="875"/>
      <c r="AE286" s="1033"/>
      <c r="AF286" s="875"/>
      <c r="AG286" s="467"/>
      <c r="AH286" s="467"/>
      <c r="AI286" s="1026"/>
    </row>
    <row r="287" spans="1:35" ht="18" customHeight="1" x14ac:dyDescent="0.2">
      <c r="B287" s="2633" t="s">
        <v>243</v>
      </c>
      <c r="C287" s="2566" t="s">
        <v>10</v>
      </c>
      <c r="D287" s="2634"/>
      <c r="E287" s="205"/>
      <c r="F287" s="206"/>
      <c r="G287" s="2566" t="s">
        <v>10</v>
      </c>
      <c r="H287" s="2634"/>
      <c r="I287" s="205"/>
      <c r="J287" s="206"/>
      <c r="K287" s="2566" t="s">
        <v>10</v>
      </c>
      <c r="L287" s="2634"/>
      <c r="M287" s="205"/>
      <c r="N287" s="206"/>
      <c r="O287" s="2566" t="s">
        <v>10</v>
      </c>
      <c r="P287" s="2634"/>
      <c r="Q287" s="205"/>
      <c r="R287" s="206"/>
      <c r="S287" s="149" t="s">
        <v>10</v>
      </c>
      <c r="T287" s="149"/>
      <c r="U287" s="205"/>
      <c r="V287" s="206"/>
      <c r="W287" s="200"/>
      <c r="X287" s="149"/>
      <c r="Y287" s="201"/>
      <c r="Z287" s="202"/>
      <c r="AA287" s="203"/>
      <c r="AB287" s="149"/>
      <c r="AC287" s="201"/>
      <c r="AD287" s="201"/>
      <c r="AE287" s="204"/>
      <c r="AF287" s="201"/>
      <c r="AG287" s="199"/>
      <c r="AH287" s="199"/>
      <c r="AI287" s="146"/>
    </row>
    <row r="288" spans="1:35" ht="18" customHeight="1" x14ac:dyDescent="0.2">
      <c r="B288" s="37"/>
      <c r="C288" s="42"/>
      <c r="D288" s="5"/>
      <c r="G288" s="42"/>
      <c r="H288" s="5"/>
      <c r="K288" s="42"/>
      <c r="L288" s="5"/>
      <c r="O288" s="42"/>
      <c r="P288" s="5"/>
      <c r="S288" s="42"/>
      <c r="T288" s="42"/>
      <c r="X288" s="42"/>
      <c r="AB288" s="42"/>
      <c r="AE288" s="42"/>
    </row>
    <row r="289" spans="1:35" ht="18" customHeight="1" x14ac:dyDescent="0.2">
      <c r="A289" s="1068" t="s">
        <v>374</v>
      </c>
    </row>
    <row r="290" spans="1:35" ht="18" customHeight="1" x14ac:dyDescent="0.2">
      <c r="A290" s="2543"/>
      <c r="B290" s="2817" t="s">
        <v>44</v>
      </c>
      <c r="C290" s="2707">
        <v>1</v>
      </c>
      <c r="D290" s="2706">
        <v>2</v>
      </c>
      <c r="E290" s="2706">
        <v>3</v>
      </c>
      <c r="F290" s="2706">
        <v>4</v>
      </c>
      <c r="G290" s="2706">
        <v>5</v>
      </c>
      <c r="H290" s="2706">
        <v>6</v>
      </c>
      <c r="I290" s="2707">
        <v>7</v>
      </c>
      <c r="J290" s="2707">
        <v>8</v>
      </c>
      <c r="K290" s="2706">
        <v>9</v>
      </c>
      <c r="L290" s="2706">
        <v>10</v>
      </c>
      <c r="M290" s="2706">
        <v>11</v>
      </c>
      <c r="N290" s="2706">
        <v>12</v>
      </c>
      <c r="O290" s="2706">
        <v>13</v>
      </c>
      <c r="P290" s="2707">
        <v>14</v>
      </c>
      <c r="Q290" s="2707">
        <v>15</v>
      </c>
      <c r="R290" s="2706">
        <v>16</v>
      </c>
      <c r="S290" s="2706">
        <v>17</v>
      </c>
      <c r="T290" s="2706">
        <v>18</v>
      </c>
      <c r="U290" s="2706">
        <v>19</v>
      </c>
      <c r="V290" s="2706">
        <v>20</v>
      </c>
      <c r="W290" s="2707">
        <v>21</v>
      </c>
      <c r="X290" s="2707">
        <v>22</v>
      </c>
      <c r="Y290" s="2706">
        <v>23</v>
      </c>
      <c r="Z290" s="2706">
        <v>24</v>
      </c>
      <c r="AA290" s="2707">
        <v>25</v>
      </c>
      <c r="AB290" s="2707">
        <v>26</v>
      </c>
      <c r="AC290" s="2706">
        <v>27</v>
      </c>
      <c r="AD290" s="2707">
        <v>28</v>
      </c>
      <c r="AE290" s="2707">
        <v>29</v>
      </c>
      <c r="AF290" s="2706">
        <v>30</v>
      </c>
      <c r="AG290" s="2706">
        <v>31</v>
      </c>
      <c r="AH290" s="110"/>
      <c r="AI290" s="111"/>
    </row>
    <row r="291" spans="1:35" ht="18" customHeight="1" x14ac:dyDescent="0.2">
      <c r="A291" s="3125">
        <v>3702</v>
      </c>
      <c r="B291" s="3126" t="s">
        <v>375</v>
      </c>
      <c r="C291" s="2764"/>
      <c r="D291" s="2764" t="s">
        <v>46</v>
      </c>
      <c r="E291" s="2764" t="s">
        <v>46</v>
      </c>
      <c r="F291" s="2764" t="s">
        <v>46</v>
      </c>
      <c r="G291" s="2764" t="s">
        <v>46</v>
      </c>
      <c r="H291" s="2764" t="s">
        <v>46</v>
      </c>
      <c r="I291" s="2764"/>
      <c r="J291" s="2764"/>
      <c r="K291" s="2764" t="s">
        <v>46</v>
      </c>
      <c r="L291" s="2764" t="s">
        <v>46</v>
      </c>
      <c r="M291" s="2764" t="s">
        <v>46</v>
      </c>
      <c r="N291" s="2764" t="s">
        <v>46</v>
      </c>
      <c r="O291" s="2764" t="s">
        <v>46</v>
      </c>
      <c r="P291" s="2764"/>
      <c r="Q291" s="2764"/>
      <c r="R291" s="2764" t="s">
        <v>46</v>
      </c>
      <c r="S291" s="2764" t="s">
        <v>46</v>
      </c>
      <c r="T291" s="2764" t="s">
        <v>46</v>
      </c>
      <c r="U291" s="2764" t="s">
        <v>46</v>
      </c>
      <c r="V291" s="2764" t="s">
        <v>46</v>
      </c>
      <c r="W291" s="2764"/>
      <c r="X291" s="2764"/>
      <c r="Y291" s="2838" t="s">
        <v>46</v>
      </c>
      <c r="Z291" s="2764"/>
      <c r="AA291" s="2764"/>
      <c r="AB291" s="2764"/>
      <c r="AC291" s="2838" t="s">
        <v>46</v>
      </c>
      <c r="AD291" s="2764"/>
      <c r="AE291" s="2764"/>
      <c r="AF291" s="2838" t="s">
        <v>46</v>
      </c>
      <c r="AG291" s="2838"/>
      <c r="AH291" s="115"/>
      <c r="AI291" s="116"/>
    </row>
    <row r="292" spans="1:35" ht="18" customHeight="1" x14ac:dyDescent="0.2">
      <c r="A292" s="2716"/>
      <c r="B292" s="2695"/>
      <c r="C292" s="2718"/>
      <c r="D292" s="2718" t="s">
        <v>46</v>
      </c>
      <c r="E292" s="2718" t="s">
        <v>46</v>
      </c>
      <c r="F292" s="2718" t="s">
        <v>46</v>
      </c>
      <c r="G292" s="2718" t="s">
        <v>46</v>
      </c>
      <c r="H292" s="2718" t="s">
        <v>46</v>
      </c>
      <c r="I292" s="2718"/>
      <c r="J292" s="2718"/>
      <c r="K292" s="2718" t="s">
        <v>46</v>
      </c>
      <c r="L292" s="2718" t="s">
        <v>46</v>
      </c>
      <c r="M292" s="2718" t="s">
        <v>46</v>
      </c>
      <c r="N292" s="2718" t="s">
        <v>46</v>
      </c>
      <c r="O292" s="2718" t="s">
        <v>46</v>
      </c>
      <c r="P292" s="2718"/>
      <c r="Q292" s="2718"/>
      <c r="R292" s="2718" t="s">
        <v>46</v>
      </c>
      <c r="S292" s="2718" t="s">
        <v>46</v>
      </c>
      <c r="T292" s="2718" t="s">
        <v>46</v>
      </c>
      <c r="U292" s="2718" t="s">
        <v>46</v>
      </c>
      <c r="V292" s="2718" t="s">
        <v>46</v>
      </c>
      <c r="W292" s="2718"/>
      <c r="X292" s="2718"/>
      <c r="Y292" s="2718" t="s">
        <v>46</v>
      </c>
      <c r="Z292" s="2718"/>
      <c r="AA292" s="2718"/>
      <c r="AB292" s="2718"/>
      <c r="AC292" s="2718" t="s">
        <v>46</v>
      </c>
      <c r="AD292" s="2718"/>
      <c r="AE292" s="2718"/>
      <c r="AF292" s="2718" t="s">
        <v>46</v>
      </c>
      <c r="AG292" s="2718"/>
      <c r="AH292" s="115"/>
      <c r="AI292" s="116"/>
    </row>
    <row r="293" spans="1:35" ht="18" customHeight="1" x14ac:dyDescent="0.2">
      <c r="A293" s="2637"/>
      <c r="B293" s="2638"/>
      <c r="C293" s="2718"/>
      <c r="D293" s="2718" t="s">
        <v>46</v>
      </c>
      <c r="E293" s="2718" t="s">
        <v>46</v>
      </c>
      <c r="F293" s="2718" t="s">
        <v>46</v>
      </c>
      <c r="G293" s="2718" t="s">
        <v>46</v>
      </c>
      <c r="H293" s="2718" t="s">
        <v>46</v>
      </c>
      <c r="I293" s="2718"/>
      <c r="J293" s="2718"/>
      <c r="K293" s="2718" t="s">
        <v>46</v>
      </c>
      <c r="L293" s="2718" t="s">
        <v>46</v>
      </c>
      <c r="M293" s="2718" t="s">
        <v>46</v>
      </c>
      <c r="N293" s="2718" t="s">
        <v>46</v>
      </c>
      <c r="O293" s="2718" t="s">
        <v>46</v>
      </c>
      <c r="P293" s="2718"/>
      <c r="Q293" s="2718"/>
      <c r="R293" s="2718" t="s">
        <v>46</v>
      </c>
      <c r="S293" s="2718" t="s">
        <v>46</v>
      </c>
      <c r="T293" s="2718" t="s">
        <v>46</v>
      </c>
      <c r="U293" s="2718" t="s">
        <v>46</v>
      </c>
      <c r="V293" s="2718" t="s">
        <v>46</v>
      </c>
      <c r="W293" s="2718"/>
      <c r="X293" s="2718"/>
      <c r="Y293" s="2718" t="s">
        <v>46</v>
      </c>
      <c r="Z293" s="2718"/>
      <c r="AA293" s="2718"/>
      <c r="AB293" s="2718"/>
      <c r="AC293" s="2718" t="s">
        <v>46</v>
      </c>
      <c r="AD293" s="2718"/>
      <c r="AE293" s="2718"/>
      <c r="AF293" s="2718" t="s">
        <v>46</v>
      </c>
      <c r="AG293" s="2718"/>
      <c r="AH293" s="115"/>
      <c r="AI293" s="116"/>
    </row>
    <row r="294" spans="1:35" ht="18" customHeight="1" x14ac:dyDescent="0.2">
      <c r="A294" s="2639"/>
      <c r="B294" s="2640"/>
      <c r="C294" s="2718"/>
      <c r="D294" s="2718"/>
      <c r="E294" s="2718"/>
      <c r="F294" s="2718"/>
      <c r="G294" s="2718"/>
      <c r="H294" s="2718"/>
      <c r="I294" s="2718"/>
      <c r="J294" s="2718"/>
      <c r="K294" s="2718"/>
      <c r="L294" s="2718"/>
      <c r="M294" s="2718"/>
      <c r="N294" s="2718"/>
      <c r="O294" s="2718"/>
      <c r="P294" s="2718"/>
      <c r="Q294" s="2718"/>
      <c r="R294" s="2718"/>
      <c r="S294" s="2718"/>
      <c r="T294" s="2718"/>
      <c r="U294" s="2718"/>
      <c r="V294" s="2718"/>
      <c r="W294" s="2718"/>
      <c r="X294" s="2718"/>
      <c r="Y294" s="2718"/>
      <c r="Z294" s="2718"/>
      <c r="AA294" s="2718"/>
      <c r="AB294" s="2718"/>
      <c r="AC294" s="2718"/>
      <c r="AD294" s="2718"/>
      <c r="AE294" s="2718"/>
      <c r="AF294" s="2718"/>
      <c r="AG294" s="2718"/>
      <c r="AH294" s="115"/>
      <c r="AI294" s="116"/>
    </row>
    <row r="295" spans="1:35" ht="18" customHeight="1" x14ac:dyDescent="0.2">
      <c r="A295" s="2641"/>
      <c r="B295" s="2642" t="s">
        <v>376</v>
      </c>
      <c r="C295" s="2714"/>
      <c r="D295" s="2714"/>
      <c r="E295" s="2714"/>
      <c r="F295" s="2714"/>
      <c r="G295" s="2714"/>
      <c r="H295" s="2714"/>
      <c r="I295" s="2714"/>
      <c r="J295" s="2714"/>
      <c r="K295" s="2714"/>
      <c r="L295" s="2714"/>
      <c r="M295" s="2714"/>
      <c r="N295" s="2714"/>
      <c r="O295" s="2714"/>
      <c r="P295" s="2714"/>
      <c r="Q295" s="2714"/>
      <c r="R295" s="2714"/>
      <c r="S295" s="2714"/>
      <c r="T295" s="2714"/>
      <c r="U295" s="2714"/>
      <c r="V295" s="2714"/>
      <c r="W295" s="2714"/>
      <c r="X295" s="2714"/>
      <c r="Y295" s="2714"/>
      <c r="Z295" s="2714"/>
      <c r="AA295" s="2714"/>
      <c r="AB295" s="2714"/>
      <c r="AC295" s="2714"/>
      <c r="AD295" s="2714"/>
      <c r="AE295" s="2714"/>
      <c r="AF295" s="2714"/>
      <c r="AG295" s="2714"/>
      <c r="AH295" s="113"/>
      <c r="AI295" s="114"/>
    </row>
    <row r="296" spans="1:35" ht="18" customHeight="1" x14ac:dyDescent="0.2">
      <c r="A296" s="2637">
        <v>3702</v>
      </c>
      <c r="B296" s="2722" t="s">
        <v>377</v>
      </c>
      <c r="C296" s="2738"/>
      <c r="D296" s="2738" t="s">
        <v>378</v>
      </c>
      <c r="E296" s="2738" t="s">
        <v>378</v>
      </c>
      <c r="F296" s="2738" t="s">
        <v>378</v>
      </c>
      <c r="G296" s="2734" t="s">
        <v>378</v>
      </c>
      <c r="H296" s="2734" t="s">
        <v>378</v>
      </c>
      <c r="I296" s="2738"/>
      <c r="J296" s="2738"/>
      <c r="K296" s="2738" t="s">
        <v>378</v>
      </c>
      <c r="L296" s="2738" t="s">
        <v>378</v>
      </c>
      <c r="M296" s="2738" t="s">
        <v>378</v>
      </c>
      <c r="N296" s="2734" t="s">
        <v>378</v>
      </c>
      <c r="O296" s="2734" t="s">
        <v>378</v>
      </c>
      <c r="P296" s="2738"/>
      <c r="Q296" s="2738"/>
      <c r="R296" s="2738" t="s">
        <v>378</v>
      </c>
      <c r="S296" s="2738" t="s">
        <v>378</v>
      </c>
      <c r="T296" s="2738" t="s">
        <v>378</v>
      </c>
      <c r="U296" s="2734" t="s">
        <v>378</v>
      </c>
      <c r="V296" s="2734" t="s">
        <v>378</v>
      </c>
      <c r="W296" s="2738"/>
      <c r="X296" s="2738"/>
      <c r="Y296" s="2738" t="s">
        <v>378</v>
      </c>
      <c r="Z296" s="2738"/>
      <c r="AA296" s="2738"/>
      <c r="AB296" s="2734"/>
      <c r="AC296" s="2734" t="s">
        <v>378</v>
      </c>
      <c r="AD296" s="2738"/>
      <c r="AE296" s="2738"/>
      <c r="AF296" s="2738" t="s">
        <v>378</v>
      </c>
      <c r="AG296" s="2738"/>
      <c r="AH296" s="115"/>
      <c r="AI296" s="116"/>
    </row>
    <row r="297" spans="1:35" ht="18" customHeight="1" x14ac:dyDescent="0.2">
      <c r="A297" s="2637"/>
      <c r="B297" s="2722" t="s">
        <v>379</v>
      </c>
      <c r="C297" s="2738"/>
      <c r="D297" s="2738" t="s">
        <v>380</v>
      </c>
      <c r="E297" s="2738" t="s">
        <v>380</v>
      </c>
      <c r="F297" s="2738" t="s">
        <v>380</v>
      </c>
      <c r="G297" s="2738" t="s">
        <v>380</v>
      </c>
      <c r="H297" s="2738" t="s">
        <v>380</v>
      </c>
      <c r="I297" s="2738"/>
      <c r="J297" s="2738"/>
      <c r="K297" s="2738" t="s">
        <v>380</v>
      </c>
      <c r="L297" s="2738" t="s">
        <v>380</v>
      </c>
      <c r="M297" s="2738" t="s">
        <v>380</v>
      </c>
      <c r="N297" s="2738" t="s">
        <v>380</v>
      </c>
      <c r="O297" s="2738" t="s">
        <v>380</v>
      </c>
      <c r="P297" s="2738"/>
      <c r="Q297" s="2738"/>
      <c r="R297" s="2738" t="s">
        <v>380</v>
      </c>
      <c r="S297" s="2738" t="s">
        <v>380</v>
      </c>
      <c r="T297" s="2738" t="s">
        <v>380</v>
      </c>
      <c r="U297" s="2738" t="s">
        <v>380</v>
      </c>
      <c r="V297" s="2738" t="s">
        <v>380</v>
      </c>
      <c r="W297" s="2738"/>
      <c r="X297" s="2738"/>
      <c r="Y297" s="2738" t="s">
        <v>380</v>
      </c>
      <c r="Z297" s="2738"/>
      <c r="AA297" s="2738"/>
      <c r="AB297" s="2738"/>
      <c r="AC297" s="2738" t="s">
        <v>380</v>
      </c>
      <c r="AD297" s="2738"/>
      <c r="AE297" s="2738"/>
      <c r="AF297" s="2738" t="s">
        <v>380</v>
      </c>
      <c r="AG297" s="2738"/>
      <c r="AH297" s="115"/>
      <c r="AI297" s="116"/>
    </row>
    <row r="298" spans="1:35" ht="18" customHeight="1" x14ac:dyDescent="0.2">
      <c r="A298" s="2645"/>
      <c r="B298" s="2743" t="s">
        <v>381</v>
      </c>
      <c r="C298" s="2748"/>
      <c r="D298" s="2748" t="s">
        <v>382</v>
      </c>
      <c r="E298" s="2748" t="s">
        <v>382</v>
      </c>
      <c r="F298" s="2754" t="s">
        <v>382</v>
      </c>
      <c r="G298" s="2828" t="s">
        <v>382</v>
      </c>
      <c r="H298" s="2828" t="s">
        <v>382</v>
      </c>
      <c r="I298" s="2748"/>
      <c r="J298" s="2748"/>
      <c r="K298" s="2748" t="s">
        <v>382</v>
      </c>
      <c r="L298" s="2748" t="s">
        <v>382</v>
      </c>
      <c r="M298" s="2748" t="s">
        <v>382</v>
      </c>
      <c r="N298" s="2828" t="s">
        <v>382</v>
      </c>
      <c r="O298" s="2828" t="s">
        <v>382</v>
      </c>
      <c r="P298" s="2748"/>
      <c r="Q298" s="2748"/>
      <c r="R298" s="3127" t="s">
        <v>382</v>
      </c>
      <c r="S298" s="2748" t="s">
        <v>382</v>
      </c>
      <c r="T298" s="2748" t="s">
        <v>382</v>
      </c>
      <c r="U298" s="2828" t="s">
        <v>382</v>
      </c>
      <c r="V298" s="2828" t="s">
        <v>382</v>
      </c>
      <c r="W298" s="2748"/>
      <c r="X298" s="2748"/>
      <c r="Y298" s="2748" t="s">
        <v>382</v>
      </c>
      <c r="Z298" s="2748"/>
      <c r="AA298" s="2748"/>
      <c r="AB298" s="2828"/>
      <c r="AC298" s="2828" t="s">
        <v>382</v>
      </c>
      <c r="AD298" s="2748"/>
      <c r="AE298" s="2748"/>
      <c r="AF298" s="2748" t="s">
        <v>382</v>
      </c>
      <c r="AG298" s="2748"/>
      <c r="AH298" s="115"/>
      <c r="AI298" s="116"/>
    </row>
    <row r="299" spans="1:35" ht="18" customHeight="1" x14ac:dyDescent="0.2"/>
    <row r="300" spans="1:35" ht="18" customHeight="1" x14ac:dyDescent="0.2"/>
    <row r="301" spans="1:35" ht="18" customHeight="1" x14ac:dyDescent="0.2">
      <c r="A301" s="103" t="s">
        <v>383</v>
      </c>
    </row>
    <row r="302" spans="1:35" ht="18" customHeight="1" x14ac:dyDescent="0.2">
      <c r="A302" s="1"/>
      <c r="B302" s="3124" t="s">
        <v>340</v>
      </c>
      <c r="C302" s="2953"/>
      <c r="D302" s="2975" t="s">
        <v>17</v>
      </c>
      <c r="E302" s="2792"/>
      <c r="F302" s="2957"/>
      <c r="G302" s="2953"/>
      <c r="H302" s="2975" t="s">
        <v>18</v>
      </c>
      <c r="I302" s="2792"/>
      <c r="J302" s="2957"/>
      <c r="K302" s="2953"/>
      <c r="L302" s="2975" t="s">
        <v>19</v>
      </c>
      <c r="M302" s="2792"/>
      <c r="N302" s="2957"/>
      <c r="O302" s="2953"/>
      <c r="P302" s="2975" t="s">
        <v>20</v>
      </c>
      <c r="Q302" s="2792"/>
      <c r="R302" s="2957"/>
      <c r="S302" s="2953"/>
      <c r="T302" s="2975" t="s">
        <v>21</v>
      </c>
      <c r="U302" s="2792"/>
      <c r="V302" s="2957"/>
      <c r="W302" s="2953"/>
      <c r="X302" s="2975" t="s">
        <v>22</v>
      </c>
      <c r="Y302" s="2792"/>
      <c r="Z302" s="2957"/>
      <c r="AA302" s="2953"/>
      <c r="AB302" s="2975" t="s">
        <v>23</v>
      </c>
      <c r="AC302" s="2792"/>
      <c r="AD302" s="2792"/>
      <c r="AE302" s="2978" t="s">
        <v>126</v>
      </c>
      <c r="AF302" s="2792"/>
      <c r="AG302" s="2792"/>
      <c r="AH302" s="2792"/>
      <c r="AI302" s="2793"/>
    </row>
    <row r="303" spans="1:35" ht="18" customHeight="1" x14ac:dyDescent="0.2">
      <c r="A303" s="1"/>
      <c r="B303" s="452"/>
      <c r="C303" s="457"/>
      <c r="D303" s="1030"/>
      <c r="E303" s="467"/>
      <c r="F303" s="1077"/>
      <c r="G303" s="457"/>
      <c r="H303" s="1030"/>
      <c r="I303" s="467"/>
      <c r="J303" s="1077"/>
      <c r="K303" s="457"/>
      <c r="L303" s="1030"/>
      <c r="M303" s="467"/>
      <c r="N303" s="1077"/>
      <c r="O303" s="457"/>
      <c r="P303" s="1030"/>
      <c r="Q303" s="467"/>
      <c r="R303" s="1077"/>
      <c r="S303" s="457"/>
      <c r="T303" s="1030"/>
      <c r="U303" s="467"/>
      <c r="V303" s="1077"/>
      <c r="W303" s="457"/>
      <c r="X303" s="1030"/>
      <c r="Y303" s="467"/>
      <c r="Z303" s="1077"/>
      <c r="AA303" s="457"/>
      <c r="AB303" s="1030"/>
      <c r="AC303" s="467"/>
      <c r="AD303" s="467"/>
      <c r="AE303" s="1033"/>
      <c r="AF303" s="467"/>
      <c r="AG303" s="467"/>
      <c r="AH303" s="467"/>
      <c r="AI303" s="1026"/>
    </row>
    <row r="304" spans="1:35" ht="18" customHeight="1" x14ac:dyDescent="0.2">
      <c r="A304" s="70"/>
      <c r="B304" s="2631"/>
      <c r="C304" s="2855"/>
      <c r="D304" s="2684"/>
      <c r="E304" s="2684"/>
      <c r="F304" s="2555"/>
      <c r="G304" s="2855"/>
      <c r="H304" s="2684"/>
      <c r="I304" s="2684"/>
      <c r="J304" s="2555"/>
      <c r="K304" s="2855"/>
      <c r="L304" s="2684"/>
      <c r="M304" s="2684"/>
      <c r="N304" s="2555"/>
      <c r="O304" s="2855"/>
      <c r="P304" s="2684"/>
      <c r="Q304" s="2684"/>
      <c r="R304" s="2555"/>
      <c r="S304" s="2855"/>
      <c r="T304" s="2684"/>
      <c r="U304" s="2684"/>
      <c r="V304" s="2555"/>
      <c r="W304" s="2855"/>
      <c r="X304" s="2684"/>
      <c r="Y304" s="2684"/>
      <c r="Z304" s="2555"/>
      <c r="AA304" s="2553"/>
      <c r="AB304" s="2684"/>
      <c r="AC304" s="2684"/>
      <c r="AD304" s="2856"/>
      <c r="AE304" s="2647"/>
      <c r="AF304" s="2684"/>
      <c r="AG304" s="2684"/>
      <c r="AH304" s="2856"/>
      <c r="AI304" s="2603"/>
    </row>
    <row r="305" spans="1:36" ht="18" customHeight="1" x14ac:dyDescent="0.2">
      <c r="A305" s="1"/>
      <c r="B305" s="2565"/>
      <c r="C305" s="2566"/>
      <c r="D305" s="2808"/>
      <c r="E305" s="2808"/>
      <c r="F305" s="2595"/>
      <c r="G305" s="2566"/>
      <c r="H305" s="2808"/>
      <c r="I305" s="2808"/>
      <c r="J305" s="2595"/>
      <c r="K305" s="2566"/>
      <c r="L305" s="2808"/>
      <c r="M305" s="2808"/>
      <c r="N305" s="2595"/>
      <c r="O305" s="2566"/>
      <c r="P305" s="2808"/>
      <c r="Q305" s="2808"/>
      <c r="R305" s="2595"/>
      <c r="S305" s="2566"/>
      <c r="T305" s="2808"/>
      <c r="U305" s="2808"/>
      <c r="V305" s="2595"/>
      <c r="W305" s="2593"/>
      <c r="X305" s="2808"/>
      <c r="Y305" s="2808"/>
      <c r="Z305" s="2595"/>
      <c r="AA305" s="2593"/>
      <c r="AB305" s="2808"/>
      <c r="AC305" s="2808"/>
      <c r="AD305" s="2573"/>
      <c r="AE305" s="2593"/>
      <c r="AF305" s="2808"/>
      <c r="AG305" s="2808"/>
      <c r="AH305" s="2573"/>
      <c r="AI305" s="2815"/>
    </row>
    <row r="306" spans="1:36" ht="18" customHeight="1" x14ac:dyDescent="0.2">
      <c r="A306" s="1"/>
      <c r="B306" s="5"/>
      <c r="C306" s="42"/>
      <c r="F306" s="46"/>
      <c r="G306" s="42"/>
      <c r="J306" s="46"/>
      <c r="K306" s="42"/>
      <c r="N306" s="46"/>
      <c r="O306" s="42"/>
      <c r="R306" s="46"/>
      <c r="S306" s="42"/>
      <c r="V306" s="46"/>
      <c r="W306" s="46"/>
      <c r="Z306" s="46"/>
      <c r="AA306" s="46"/>
      <c r="AD306" s="46"/>
      <c r="AE306" s="46"/>
      <c r="AH306" s="46"/>
    </row>
    <row r="307" spans="1:36" ht="18" customHeight="1" x14ac:dyDescent="0.2">
      <c r="A307" s="103" t="s">
        <v>384</v>
      </c>
      <c r="B307" s="5"/>
      <c r="C307" s="42"/>
      <c r="F307" s="46"/>
      <c r="G307" s="42"/>
      <c r="J307" s="46"/>
      <c r="K307" s="42"/>
      <c r="N307" s="46"/>
      <c r="O307" s="42"/>
      <c r="R307" s="46"/>
      <c r="S307" s="42"/>
      <c r="V307" s="46"/>
      <c r="W307" s="46"/>
      <c r="Z307" s="46"/>
      <c r="AA307" s="46"/>
      <c r="AD307" s="46"/>
      <c r="AE307" s="46"/>
      <c r="AH307" s="208"/>
      <c r="AI307" s="123"/>
      <c r="AJ307" s="123"/>
    </row>
    <row r="308" spans="1:36" ht="18" customHeight="1" x14ac:dyDescent="0.2">
      <c r="A308" s="2543" t="s">
        <v>43</v>
      </c>
      <c r="B308" s="2817" t="s">
        <v>44</v>
      </c>
      <c r="C308" s="2707">
        <v>1</v>
      </c>
      <c r="D308" s="2706">
        <v>2</v>
      </c>
      <c r="E308" s="2706">
        <v>3</v>
      </c>
      <c r="F308" s="2706">
        <v>4</v>
      </c>
      <c r="G308" s="2706">
        <v>5</v>
      </c>
      <c r="H308" s="2706">
        <v>6</v>
      </c>
      <c r="I308" s="2707">
        <v>7</v>
      </c>
      <c r="J308" s="2707">
        <v>8</v>
      </c>
      <c r="K308" s="2706">
        <v>9</v>
      </c>
      <c r="L308" s="2706">
        <v>10</v>
      </c>
      <c r="M308" s="2706">
        <v>11</v>
      </c>
      <c r="N308" s="2706">
        <v>12</v>
      </c>
      <c r="O308" s="2706">
        <v>13</v>
      </c>
      <c r="P308" s="2707">
        <v>14</v>
      </c>
      <c r="Q308" s="2707">
        <v>15</v>
      </c>
      <c r="R308" s="2706">
        <v>16</v>
      </c>
      <c r="S308" s="2706">
        <v>17</v>
      </c>
      <c r="T308" s="2706">
        <v>18</v>
      </c>
      <c r="U308" s="2706">
        <v>19</v>
      </c>
      <c r="V308" s="2706">
        <v>20</v>
      </c>
      <c r="W308" s="2707">
        <v>21</v>
      </c>
      <c r="X308" s="2707">
        <v>22</v>
      </c>
      <c r="Y308" s="2706">
        <v>23</v>
      </c>
      <c r="Z308" s="2706">
        <v>24</v>
      </c>
      <c r="AA308" s="2707">
        <v>25</v>
      </c>
      <c r="AB308" s="2707">
        <v>26</v>
      </c>
      <c r="AC308" s="2706">
        <v>27</v>
      </c>
      <c r="AD308" s="2707">
        <v>28</v>
      </c>
      <c r="AE308" s="2707">
        <v>29</v>
      </c>
      <c r="AF308" s="2706">
        <v>30</v>
      </c>
      <c r="AG308" s="2706">
        <v>31</v>
      </c>
      <c r="AH308" s="209"/>
      <c r="AI308" s="210"/>
      <c r="AJ308" s="123"/>
    </row>
    <row r="309" spans="1:36" ht="18" customHeight="1" x14ac:dyDescent="0.2">
      <c r="A309" s="3128"/>
      <c r="B309" s="2649"/>
      <c r="C309" s="2718"/>
      <c r="D309" s="2718" t="s">
        <v>46</v>
      </c>
      <c r="E309" s="2718" t="s">
        <v>46</v>
      </c>
      <c r="F309" s="2718" t="s">
        <v>46</v>
      </c>
      <c r="G309" s="2718" t="s">
        <v>46</v>
      </c>
      <c r="H309" s="2718" t="s">
        <v>46</v>
      </c>
      <c r="I309" s="2718"/>
      <c r="J309" s="2718"/>
      <c r="K309" s="2718" t="s">
        <v>46</v>
      </c>
      <c r="L309" s="2718" t="s">
        <v>46</v>
      </c>
      <c r="M309" s="2718" t="s">
        <v>46</v>
      </c>
      <c r="N309" s="2718" t="s">
        <v>46</v>
      </c>
      <c r="O309" s="2718" t="s">
        <v>46</v>
      </c>
      <c r="P309" s="2718"/>
      <c r="Q309" s="2718"/>
      <c r="R309" s="2718" t="s">
        <v>46</v>
      </c>
      <c r="S309" s="2718" t="s">
        <v>46</v>
      </c>
      <c r="T309" s="2718" t="s">
        <v>46</v>
      </c>
      <c r="U309" s="2718" t="s">
        <v>46</v>
      </c>
      <c r="V309" s="2718" t="s">
        <v>46</v>
      </c>
      <c r="W309" s="2718"/>
      <c r="X309" s="2718"/>
      <c r="Y309" s="2718" t="s">
        <v>46</v>
      </c>
      <c r="Z309" s="2718"/>
      <c r="AA309" s="2718"/>
      <c r="AB309" s="2718"/>
      <c r="AC309" s="2718" t="s">
        <v>46</v>
      </c>
      <c r="AD309" s="2718"/>
      <c r="AE309" s="2718"/>
      <c r="AF309" s="2718" t="s">
        <v>46</v>
      </c>
      <c r="AG309" s="2718"/>
      <c r="AH309" s="211"/>
      <c r="AI309" s="212"/>
      <c r="AJ309" s="123"/>
    </row>
    <row r="310" spans="1:36" ht="18" customHeight="1" x14ac:dyDescent="0.2">
      <c r="A310" s="1081"/>
      <c r="B310" s="748" t="s">
        <v>385</v>
      </c>
      <c r="C310" s="636"/>
      <c r="D310" s="636" t="s">
        <v>46</v>
      </c>
      <c r="E310" s="636" t="s">
        <v>46</v>
      </c>
      <c r="F310" s="636" t="s">
        <v>46</v>
      </c>
      <c r="G310" s="636" t="s">
        <v>46</v>
      </c>
      <c r="H310" s="636" t="s">
        <v>46</v>
      </c>
      <c r="I310" s="636"/>
      <c r="J310" s="636"/>
      <c r="K310" s="636" t="s">
        <v>46</v>
      </c>
      <c r="L310" s="636" t="s">
        <v>46</v>
      </c>
      <c r="M310" s="636" t="s">
        <v>46</v>
      </c>
      <c r="N310" s="636" t="s">
        <v>46</v>
      </c>
      <c r="O310" s="636" t="s">
        <v>46</v>
      </c>
      <c r="P310" s="636"/>
      <c r="Q310" s="636"/>
      <c r="R310" s="636" t="s">
        <v>46</v>
      </c>
      <c r="S310" s="636" t="s">
        <v>46</v>
      </c>
      <c r="T310" s="636" t="s">
        <v>46</v>
      </c>
      <c r="U310" s="636" t="s">
        <v>46</v>
      </c>
      <c r="V310" s="636" t="s">
        <v>46</v>
      </c>
      <c r="W310" s="636"/>
      <c r="X310" s="636"/>
      <c r="Y310" s="636" t="s">
        <v>46</v>
      </c>
      <c r="Z310" s="636"/>
      <c r="AA310" s="636"/>
      <c r="AB310" s="636"/>
      <c r="AC310" s="636" t="s">
        <v>46</v>
      </c>
      <c r="AD310" s="636"/>
      <c r="AE310" s="636"/>
      <c r="AF310" s="636" t="s">
        <v>46</v>
      </c>
      <c r="AG310" s="1543"/>
      <c r="AH310" s="211"/>
      <c r="AI310" s="212"/>
      <c r="AJ310" s="123"/>
    </row>
    <row r="311" spans="1:36" ht="18" customHeight="1" x14ac:dyDescent="0.2">
      <c r="A311" s="1042"/>
      <c r="B311" s="748" t="s">
        <v>386</v>
      </c>
      <c r="C311" s="636"/>
      <c r="D311" s="636" t="s">
        <v>46</v>
      </c>
      <c r="E311" s="636" t="s">
        <v>46</v>
      </c>
      <c r="F311" s="636" t="s">
        <v>46</v>
      </c>
      <c r="G311" s="636" t="s">
        <v>46</v>
      </c>
      <c r="H311" s="636" t="s">
        <v>46</v>
      </c>
      <c r="I311" s="636"/>
      <c r="J311" s="636"/>
      <c r="K311" s="636" t="s">
        <v>46</v>
      </c>
      <c r="L311" s="636" t="s">
        <v>46</v>
      </c>
      <c r="M311" s="636" t="s">
        <v>46</v>
      </c>
      <c r="N311" s="636" t="s">
        <v>46</v>
      </c>
      <c r="O311" s="636" t="s">
        <v>46</v>
      </c>
      <c r="P311" s="636"/>
      <c r="Q311" s="636"/>
      <c r="R311" s="636" t="s">
        <v>46</v>
      </c>
      <c r="S311" s="636" t="s">
        <v>46</v>
      </c>
      <c r="T311" s="636" t="s">
        <v>46</v>
      </c>
      <c r="U311" s="636" t="s">
        <v>46</v>
      </c>
      <c r="V311" s="636" t="s">
        <v>46</v>
      </c>
      <c r="W311" s="636"/>
      <c r="X311" s="636"/>
      <c r="Y311" s="636" t="s">
        <v>46</v>
      </c>
      <c r="Z311" s="636"/>
      <c r="AA311" s="636"/>
      <c r="AB311" s="636"/>
      <c r="AC311" s="636" t="s">
        <v>46</v>
      </c>
      <c r="AD311" s="636"/>
      <c r="AE311" s="636"/>
      <c r="AF311" s="636" t="s">
        <v>46</v>
      </c>
      <c r="AG311" s="3092"/>
      <c r="AH311" s="211"/>
      <c r="AI311" s="212"/>
      <c r="AJ311" s="123"/>
    </row>
    <row r="312" spans="1:36" ht="18" customHeight="1" x14ac:dyDescent="0.2">
      <c r="A312" s="1042"/>
      <c r="B312" s="748" t="s">
        <v>387</v>
      </c>
      <c r="C312" s="636"/>
      <c r="D312" s="636" t="s">
        <v>46</v>
      </c>
      <c r="E312" s="636" t="s">
        <v>46</v>
      </c>
      <c r="F312" s="636" t="s">
        <v>46</v>
      </c>
      <c r="G312" s="636" t="s">
        <v>46</v>
      </c>
      <c r="H312" s="799" t="s">
        <v>46</v>
      </c>
      <c r="I312" s="799"/>
      <c r="J312" s="636"/>
      <c r="K312" s="636" t="s">
        <v>46</v>
      </c>
      <c r="L312" s="636" t="s">
        <v>46</v>
      </c>
      <c r="M312" s="636" t="s">
        <v>46</v>
      </c>
      <c r="N312" s="636" t="s">
        <v>46</v>
      </c>
      <c r="O312" s="799" t="s">
        <v>46</v>
      </c>
      <c r="P312" s="799"/>
      <c r="Q312" s="636"/>
      <c r="R312" s="636" t="s">
        <v>46</v>
      </c>
      <c r="S312" s="636" t="s">
        <v>46</v>
      </c>
      <c r="T312" s="636" t="s">
        <v>46</v>
      </c>
      <c r="U312" s="636" t="s">
        <v>46</v>
      </c>
      <c r="V312" s="799" t="s">
        <v>46</v>
      </c>
      <c r="W312" s="799"/>
      <c r="X312" s="636"/>
      <c r="Y312" s="636" t="s">
        <v>46</v>
      </c>
      <c r="Z312" s="636"/>
      <c r="AA312" s="636"/>
      <c r="AB312" s="636"/>
      <c r="AC312" s="799" t="s">
        <v>46</v>
      </c>
      <c r="AD312" s="799"/>
      <c r="AE312" s="636"/>
      <c r="AF312" s="636" t="s">
        <v>46</v>
      </c>
      <c r="AG312" s="3092"/>
      <c r="AH312" s="211"/>
      <c r="AI312" s="212"/>
      <c r="AJ312" s="123"/>
    </row>
    <row r="313" spans="1:36" ht="18" customHeight="1" x14ac:dyDescent="0.2">
      <c r="A313" s="1042"/>
      <c r="B313" s="748" t="s">
        <v>388</v>
      </c>
      <c r="C313" s="636"/>
      <c r="D313" s="636" t="s">
        <v>46</v>
      </c>
      <c r="E313" s="636" t="s">
        <v>46</v>
      </c>
      <c r="F313" s="636" t="s">
        <v>46</v>
      </c>
      <c r="G313" s="636" t="s">
        <v>46</v>
      </c>
      <c r="H313" s="636" t="s">
        <v>46</v>
      </c>
      <c r="I313" s="636"/>
      <c r="J313" s="636"/>
      <c r="K313" s="636" t="s">
        <v>46</v>
      </c>
      <c r="L313" s="636" t="s">
        <v>46</v>
      </c>
      <c r="M313" s="636" t="s">
        <v>46</v>
      </c>
      <c r="N313" s="636" t="s">
        <v>46</v>
      </c>
      <c r="O313" s="636" t="s">
        <v>46</v>
      </c>
      <c r="P313" s="636"/>
      <c r="Q313" s="636"/>
      <c r="R313" s="636" t="s">
        <v>46</v>
      </c>
      <c r="S313" s="636" t="s">
        <v>46</v>
      </c>
      <c r="T313" s="636" t="s">
        <v>46</v>
      </c>
      <c r="U313" s="636" t="s">
        <v>46</v>
      </c>
      <c r="V313" s="636" t="s">
        <v>46</v>
      </c>
      <c r="W313" s="636"/>
      <c r="X313" s="636"/>
      <c r="Y313" s="636" t="s">
        <v>46</v>
      </c>
      <c r="Z313" s="636"/>
      <c r="AA313" s="636"/>
      <c r="AB313" s="636"/>
      <c r="AC313" s="636" t="s">
        <v>46</v>
      </c>
      <c r="AD313" s="636"/>
      <c r="AE313" s="636"/>
      <c r="AF313" s="636" t="s">
        <v>46</v>
      </c>
      <c r="AG313" s="1543"/>
      <c r="AH313" s="211"/>
      <c r="AI313" s="212"/>
      <c r="AJ313" s="123"/>
    </row>
    <row r="314" spans="1:36" ht="18" customHeight="1" x14ac:dyDescent="0.2">
      <c r="A314" s="1042"/>
      <c r="B314" s="748" t="s">
        <v>389</v>
      </c>
      <c r="C314" s="636"/>
      <c r="D314" s="636" t="s">
        <v>46</v>
      </c>
      <c r="E314" s="636" t="s">
        <v>46</v>
      </c>
      <c r="F314" s="636" t="s">
        <v>46</v>
      </c>
      <c r="G314" s="636" t="s">
        <v>46</v>
      </c>
      <c r="H314" s="636" t="s">
        <v>46</v>
      </c>
      <c r="I314" s="636"/>
      <c r="J314" s="636"/>
      <c r="K314" s="636" t="s">
        <v>46</v>
      </c>
      <c r="L314" s="636" t="s">
        <v>46</v>
      </c>
      <c r="M314" s="636" t="s">
        <v>46</v>
      </c>
      <c r="N314" s="636" t="s">
        <v>46</v>
      </c>
      <c r="O314" s="636" t="s">
        <v>46</v>
      </c>
      <c r="P314" s="636"/>
      <c r="Q314" s="636"/>
      <c r="R314" s="636" t="s">
        <v>46</v>
      </c>
      <c r="S314" s="636" t="s">
        <v>46</v>
      </c>
      <c r="T314" s="636" t="s">
        <v>46</v>
      </c>
      <c r="U314" s="636" t="s">
        <v>46</v>
      </c>
      <c r="V314" s="636" t="s">
        <v>46</v>
      </c>
      <c r="W314" s="636"/>
      <c r="X314" s="636"/>
      <c r="Y314" s="636" t="s">
        <v>46</v>
      </c>
      <c r="Z314" s="636"/>
      <c r="AA314" s="636"/>
      <c r="AB314" s="636"/>
      <c r="AC314" s="636" t="s">
        <v>46</v>
      </c>
      <c r="AD314" s="636"/>
      <c r="AE314" s="636"/>
      <c r="AF314" s="636" t="s">
        <v>46</v>
      </c>
      <c r="AG314" s="801"/>
      <c r="AH314" s="211"/>
      <c r="AI314" s="212"/>
      <c r="AJ314" s="123"/>
    </row>
    <row r="315" spans="1:36" ht="18" customHeight="1" x14ac:dyDescent="0.2">
      <c r="A315" s="1042"/>
      <c r="B315" s="748" t="s">
        <v>390</v>
      </c>
      <c r="C315" s="636"/>
      <c r="D315" s="636" t="s">
        <v>46</v>
      </c>
      <c r="E315" s="636" t="s">
        <v>46</v>
      </c>
      <c r="F315" s="636" t="s">
        <v>46</v>
      </c>
      <c r="G315" s="636" t="s">
        <v>46</v>
      </c>
      <c r="H315" s="636" t="s">
        <v>46</v>
      </c>
      <c r="I315" s="636"/>
      <c r="J315" s="636"/>
      <c r="K315" s="636" t="s">
        <v>46</v>
      </c>
      <c r="L315" s="636" t="s">
        <v>46</v>
      </c>
      <c r="M315" s="636" t="s">
        <v>46</v>
      </c>
      <c r="N315" s="636" t="s">
        <v>46</v>
      </c>
      <c r="O315" s="636" t="s">
        <v>46</v>
      </c>
      <c r="P315" s="636"/>
      <c r="Q315" s="636"/>
      <c r="R315" s="636" t="s">
        <v>46</v>
      </c>
      <c r="S315" s="636" t="s">
        <v>46</v>
      </c>
      <c r="T315" s="636" t="s">
        <v>46</v>
      </c>
      <c r="U315" s="636" t="s">
        <v>46</v>
      </c>
      <c r="V315" s="636" t="s">
        <v>46</v>
      </c>
      <c r="W315" s="636"/>
      <c r="X315" s="636"/>
      <c r="Y315" s="636" t="s">
        <v>46</v>
      </c>
      <c r="Z315" s="636"/>
      <c r="AA315" s="636"/>
      <c r="AB315" s="636"/>
      <c r="AC315" s="636" t="s">
        <v>46</v>
      </c>
      <c r="AD315" s="636"/>
      <c r="AE315" s="636"/>
      <c r="AF315" s="636" t="s">
        <v>46</v>
      </c>
      <c r="AG315" s="801"/>
      <c r="AH315" s="211"/>
      <c r="AI315" s="212"/>
      <c r="AJ315" s="123"/>
    </row>
    <row r="316" spans="1:36" ht="18" customHeight="1" x14ac:dyDescent="0.2">
      <c r="A316" s="1042"/>
      <c r="B316" s="748" t="s">
        <v>391</v>
      </c>
      <c r="C316" s="636"/>
      <c r="D316" s="636" t="s">
        <v>46</v>
      </c>
      <c r="E316" s="636" t="s">
        <v>46</v>
      </c>
      <c r="F316" s="636" t="s">
        <v>46</v>
      </c>
      <c r="G316" s="636" t="s">
        <v>46</v>
      </c>
      <c r="H316" s="636" t="s">
        <v>46</v>
      </c>
      <c r="I316" s="636"/>
      <c r="J316" s="636"/>
      <c r="K316" s="636" t="s">
        <v>46</v>
      </c>
      <c r="L316" s="636" t="s">
        <v>46</v>
      </c>
      <c r="M316" s="636" t="s">
        <v>46</v>
      </c>
      <c r="N316" s="636" t="s">
        <v>46</v>
      </c>
      <c r="O316" s="636" t="s">
        <v>46</v>
      </c>
      <c r="P316" s="636"/>
      <c r="Q316" s="636"/>
      <c r="R316" s="636" t="s">
        <v>46</v>
      </c>
      <c r="S316" s="636" t="s">
        <v>46</v>
      </c>
      <c r="T316" s="636" t="s">
        <v>46</v>
      </c>
      <c r="U316" s="636" t="s">
        <v>46</v>
      </c>
      <c r="V316" s="636" t="s">
        <v>46</v>
      </c>
      <c r="W316" s="636"/>
      <c r="X316" s="636"/>
      <c r="Y316" s="636" t="s">
        <v>46</v>
      </c>
      <c r="Z316" s="636"/>
      <c r="AA316" s="636"/>
      <c r="AB316" s="636"/>
      <c r="AC316" s="636" t="s">
        <v>46</v>
      </c>
      <c r="AD316" s="636"/>
      <c r="AE316" s="636"/>
      <c r="AF316" s="636" t="s">
        <v>46</v>
      </c>
      <c r="AG316" s="801"/>
      <c r="AH316" s="211"/>
      <c r="AI316" s="212"/>
      <c r="AJ316" s="123"/>
    </row>
    <row r="317" spans="1:36" ht="18" customHeight="1" x14ac:dyDescent="0.2">
      <c r="A317" s="1042"/>
      <c r="B317" s="748" t="s">
        <v>392</v>
      </c>
      <c r="C317" s="636"/>
      <c r="D317" s="636" t="s">
        <v>46</v>
      </c>
      <c r="E317" s="636" t="s">
        <v>46</v>
      </c>
      <c r="F317" s="636" t="s">
        <v>46</v>
      </c>
      <c r="G317" s="636" t="s">
        <v>46</v>
      </c>
      <c r="H317" s="636" t="s">
        <v>46</v>
      </c>
      <c r="I317" s="636"/>
      <c r="J317" s="636"/>
      <c r="K317" s="636" t="s">
        <v>46</v>
      </c>
      <c r="L317" s="636" t="s">
        <v>46</v>
      </c>
      <c r="M317" s="636" t="s">
        <v>46</v>
      </c>
      <c r="N317" s="636" t="s">
        <v>46</v>
      </c>
      <c r="O317" s="636" t="s">
        <v>46</v>
      </c>
      <c r="P317" s="636"/>
      <c r="Q317" s="636"/>
      <c r="R317" s="636" t="s">
        <v>46</v>
      </c>
      <c r="S317" s="636" t="s">
        <v>46</v>
      </c>
      <c r="T317" s="636" t="s">
        <v>46</v>
      </c>
      <c r="U317" s="636" t="s">
        <v>46</v>
      </c>
      <c r="V317" s="636" t="s">
        <v>46</v>
      </c>
      <c r="W317" s="636"/>
      <c r="X317" s="636"/>
      <c r="Y317" s="636" t="s">
        <v>46</v>
      </c>
      <c r="Z317" s="636"/>
      <c r="AA317" s="636"/>
      <c r="AB317" s="636"/>
      <c r="AC317" s="636" t="s">
        <v>46</v>
      </c>
      <c r="AD317" s="636"/>
      <c r="AE317" s="636"/>
      <c r="AF317" s="636" t="s">
        <v>46</v>
      </c>
      <c r="AG317" s="801"/>
      <c r="AH317" s="211"/>
      <c r="AI317" s="212"/>
      <c r="AJ317" s="123"/>
    </row>
    <row r="318" spans="1:36" ht="18" customHeight="1" x14ac:dyDescent="0.2">
      <c r="A318" s="1042"/>
      <c r="B318" s="748" t="s">
        <v>393</v>
      </c>
      <c r="C318" s="3094"/>
      <c r="D318" s="636" t="s">
        <v>46</v>
      </c>
      <c r="E318" s="636" t="s">
        <v>46</v>
      </c>
      <c r="F318" s="636" t="s">
        <v>46</v>
      </c>
      <c r="G318" s="636" t="s">
        <v>46</v>
      </c>
      <c r="H318" s="636" t="s">
        <v>46</v>
      </c>
      <c r="I318" s="636"/>
      <c r="J318" s="3094"/>
      <c r="K318" s="636" t="s">
        <v>46</v>
      </c>
      <c r="L318" s="636" t="s">
        <v>46</v>
      </c>
      <c r="M318" s="636" t="s">
        <v>46</v>
      </c>
      <c r="N318" s="636" t="s">
        <v>46</v>
      </c>
      <c r="O318" s="636" t="s">
        <v>46</v>
      </c>
      <c r="P318" s="636"/>
      <c r="Q318" s="3094"/>
      <c r="R318" s="636" t="s">
        <v>46</v>
      </c>
      <c r="S318" s="636" t="s">
        <v>46</v>
      </c>
      <c r="T318" s="636" t="s">
        <v>46</v>
      </c>
      <c r="U318" s="636" t="s">
        <v>46</v>
      </c>
      <c r="V318" s="636" t="s">
        <v>46</v>
      </c>
      <c r="W318" s="636"/>
      <c r="X318" s="3094"/>
      <c r="Y318" s="636" t="s">
        <v>46</v>
      </c>
      <c r="Z318" s="636"/>
      <c r="AA318" s="636"/>
      <c r="AB318" s="636"/>
      <c r="AC318" s="636" t="s">
        <v>46</v>
      </c>
      <c r="AD318" s="636"/>
      <c r="AE318" s="3094"/>
      <c r="AF318" s="636" t="s">
        <v>46</v>
      </c>
      <c r="AG318" s="801"/>
      <c r="AH318" s="211"/>
      <c r="AI318" s="212"/>
      <c r="AJ318" s="123"/>
    </row>
    <row r="319" spans="1:36" ht="18" customHeight="1" x14ac:dyDescent="0.2">
      <c r="A319" s="1544"/>
      <c r="B319" s="2478" t="s">
        <v>394</v>
      </c>
      <c r="C319" s="2518"/>
      <c r="D319" s="2518" t="s">
        <v>46</v>
      </c>
      <c r="E319" s="2518" t="s">
        <v>46</v>
      </c>
      <c r="F319" s="2518" t="s">
        <v>46</v>
      </c>
      <c r="G319" s="2518" t="s">
        <v>46</v>
      </c>
      <c r="H319" s="2518" t="s">
        <v>46</v>
      </c>
      <c r="I319" s="2518"/>
      <c r="J319" s="2518"/>
      <c r="K319" s="2518" t="s">
        <v>46</v>
      </c>
      <c r="L319" s="2518" t="s">
        <v>46</v>
      </c>
      <c r="M319" s="2518" t="s">
        <v>46</v>
      </c>
      <c r="N319" s="2518" t="s">
        <v>46</v>
      </c>
      <c r="O319" s="2518" t="s">
        <v>46</v>
      </c>
      <c r="P319" s="2518"/>
      <c r="Q319" s="2518"/>
      <c r="R319" s="2518" t="s">
        <v>46</v>
      </c>
      <c r="S319" s="2518" t="s">
        <v>46</v>
      </c>
      <c r="T319" s="2518" t="s">
        <v>46</v>
      </c>
      <c r="U319" s="2518" t="s">
        <v>46</v>
      </c>
      <c r="V319" s="2518" t="s">
        <v>46</v>
      </c>
      <c r="W319" s="2518"/>
      <c r="X319" s="2518"/>
      <c r="Y319" s="2518" t="s">
        <v>46</v>
      </c>
      <c r="Z319" s="2518"/>
      <c r="AA319" s="2518"/>
      <c r="AB319" s="2518"/>
      <c r="AC319" s="2518" t="s">
        <v>46</v>
      </c>
      <c r="AD319" s="2518"/>
      <c r="AE319" s="2518"/>
      <c r="AF319" s="2518" t="s">
        <v>46</v>
      </c>
      <c r="AG319" s="3006"/>
      <c r="AH319" s="211"/>
      <c r="AI319" s="212"/>
      <c r="AJ319" s="123"/>
    </row>
    <row r="320" spans="1:36" ht="18" customHeight="1" x14ac:dyDescent="0.2">
      <c r="A320" s="1042"/>
      <c r="B320" s="748"/>
      <c r="C320" s="636"/>
      <c r="D320" s="813"/>
      <c r="E320" s="636"/>
      <c r="F320" s="636"/>
      <c r="G320" s="636"/>
      <c r="H320" s="636"/>
      <c r="I320" s="636"/>
      <c r="J320" s="636"/>
      <c r="K320" s="636"/>
      <c r="L320" s="636"/>
      <c r="M320" s="636"/>
      <c r="N320" s="636"/>
      <c r="O320" s="636"/>
      <c r="P320" s="636"/>
      <c r="Q320" s="636"/>
      <c r="R320" s="636"/>
      <c r="S320" s="636"/>
      <c r="T320" s="636"/>
      <c r="U320" s="636"/>
      <c r="V320" s="636"/>
      <c r="W320" s="636"/>
      <c r="X320" s="636"/>
      <c r="Y320" s="636"/>
      <c r="Z320" s="636"/>
      <c r="AA320" s="636"/>
      <c r="AB320" s="636"/>
      <c r="AC320" s="636"/>
      <c r="AD320" s="636"/>
      <c r="AE320" s="636"/>
      <c r="AF320" s="636"/>
      <c r="AG320" s="801"/>
      <c r="AH320" s="211"/>
      <c r="AI320" s="212"/>
      <c r="AJ320" s="123"/>
    </row>
    <row r="321" spans="1:36" ht="18" customHeight="1" x14ac:dyDescent="0.2">
      <c r="A321" s="372"/>
      <c r="B321" s="1085"/>
      <c r="C321" s="712"/>
      <c r="D321" s="712"/>
      <c r="E321" s="712"/>
      <c r="F321" s="712"/>
      <c r="G321" s="712"/>
      <c r="H321" s="712"/>
      <c r="I321" s="712"/>
      <c r="J321" s="712"/>
      <c r="K321" s="712"/>
      <c r="L321" s="712"/>
      <c r="M321" s="712"/>
      <c r="N321" s="711"/>
      <c r="O321" s="711"/>
      <c r="P321" s="712"/>
      <c r="Q321" s="712"/>
      <c r="R321" s="712"/>
      <c r="S321" s="712"/>
      <c r="T321" s="712"/>
      <c r="U321" s="712"/>
      <c r="V321" s="712"/>
      <c r="W321" s="712"/>
      <c r="X321" s="712"/>
      <c r="Y321" s="712"/>
      <c r="Z321" s="712"/>
      <c r="AA321" s="712"/>
      <c r="AB321" s="711"/>
      <c r="AC321" s="711"/>
      <c r="AD321" s="712"/>
      <c r="AE321" s="712"/>
      <c r="AF321" s="712"/>
      <c r="AG321" s="1086"/>
      <c r="AH321" s="211"/>
      <c r="AI321" s="213"/>
      <c r="AJ321" s="123"/>
    </row>
    <row r="322" spans="1:36" ht="18" customHeight="1" x14ac:dyDescent="0.2">
      <c r="A322" s="1087"/>
      <c r="B322" s="1088"/>
      <c r="C322" s="2650"/>
      <c r="D322" s="2651"/>
      <c r="E322" s="2651"/>
      <c r="F322" s="2651"/>
      <c r="G322" s="2651"/>
      <c r="H322" s="2651"/>
      <c r="I322" s="2651"/>
      <c r="J322" s="2651"/>
      <c r="K322" s="2651"/>
      <c r="L322" s="2651"/>
      <c r="M322" s="2651"/>
      <c r="N322" s="2652"/>
      <c r="O322" s="2652"/>
      <c r="P322" s="2651"/>
      <c r="Q322" s="2651"/>
      <c r="R322" s="2651"/>
      <c r="S322" s="2651"/>
      <c r="T322" s="2651"/>
      <c r="U322" s="2651"/>
      <c r="V322" s="2651"/>
      <c r="W322" s="2651"/>
      <c r="X322" s="2651"/>
      <c r="Y322" s="2651"/>
      <c r="Z322" s="2651"/>
      <c r="AA322" s="2651"/>
      <c r="AB322" s="2652"/>
      <c r="AC322" s="2652"/>
      <c r="AD322" s="2651"/>
      <c r="AE322" s="2651"/>
      <c r="AF322" s="2651"/>
      <c r="AG322" s="2653"/>
      <c r="AH322" s="211"/>
      <c r="AI322" s="213"/>
      <c r="AJ322" s="123"/>
    </row>
    <row r="323" spans="1:36" ht="18" customHeight="1" x14ac:dyDescent="0.2">
      <c r="AH323" s="123"/>
      <c r="AI323" s="123"/>
      <c r="AJ323" s="123"/>
    </row>
    <row r="324" spans="1:36" x14ac:dyDescent="0.2">
      <c r="AH324" s="123"/>
      <c r="AI324" s="123"/>
      <c r="AJ324" s="123"/>
    </row>
    <row r="325" spans="1:36" x14ac:dyDescent="0.2">
      <c r="AH325" s="123"/>
      <c r="AI325" s="123"/>
      <c r="AJ325" s="123"/>
    </row>
    <row r="326" spans="1:36" x14ac:dyDescent="0.2">
      <c r="AH326" s="123"/>
      <c r="AI326" s="123"/>
      <c r="AJ326" s="123"/>
    </row>
  </sheetData>
  <sheetProtection algorithmName="SHA-512" hashValue="5kG8dy5Lo/lkm6+E94BfmiuqMdDHS8VO2oRuXPXA4UjWt6hN6di2KWZh+eqTS1v4ZKmo28r0KfB3m65BiRjqpA==" saltValue="okuY17ThNB5LtuDyUrQyBQ==" spinCount="100000" sheet="1" objects="1" scenarios="1"/>
  <mergeCells count="1">
    <mergeCell ref="T36:Z36"/>
  </mergeCells>
  <pageMargins left="0.7" right="0.7" top="0.75" bottom="0.75" header="0.3" footer="0.3"/>
  <pageSetup paperSize="9" scale="10" orientation="landscape" r:id="rId1"/>
  <ignoredErrors>
    <ignoredError sqref="L71:N71" numberStoredAsText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24">
    <pageSetUpPr fitToPage="1"/>
  </sheetPr>
  <dimension ref="A1:AN322"/>
  <sheetViews>
    <sheetView topLeftCell="A9" workbookViewId="0">
      <pane xSplit="2" topLeftCell="C1" activePane="topRight" state="frozen"/>
      <selection activeCell="AB61" sqref="AB61"/>
      <selection pane="topRight" activeCell="G83" sqref="G83"/>
    </sheetView>
  </sheetViews>
  <sheetFormatPr defaultRowHeight="12" x14ac:dyDescent="0.2"/>
  <cols>
    <col min="1" max="1" width="5.5703125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9" max="39" width="11.85546875" customWidth="1"/>
    <col min="40" max="40" width="13" customWidth="1"/>
  </cols>
  <sheetData>
    <row r="1" spans="1:38" ht="18" customHeight="1" x14ac:dyDescent="0.2">
      <c r="A1" t="s">
        <v>0</v>
      </c>
      <c r="B1" s="1" t="s">
        <v>1</v>
      </c>
      <c r="U1" t="s">
        <v>433</v>
      </c>
    </row>
    <row r="2" spans="1:38" ht="18" customHeight="1" x14ac:dyDescent="0.2">
      <c r="B2" s="3129" t="s">
        <v>2</v>
      </c>
      <c r="C2" s="2655" t="s">
        <v>3</v>
      </c>
      <c r="D2" s="2656"/>
      <c r="E2" s="2657" t="s">
        <v>4</v>
      </c>
      <c r="F2" s="2658"/>
      <c r="G2" s="2659"/>
      <c r="H2" s="2659"/>
      <c r="I2" s="2659"/>
      <c r="J2" s="2659"/>
      <c r="K2" s="2660"/>
      <c r="L2" s="2661" t="s">
        <v>5</v>
      </c>
      <c r="M2" s="2662"/>
      <c r="N2" s="2663"/>
      <c r="O2" s="2664" t="s">
        <v>6</v>
      </c>
      <c r="P2" s="2665"/>
      <c r="Q2" s="2666"/>
      <c r="R2" s="2667"/>
      <c r="S2" s="2668" t="s">
        <v>7</v>
      </c>
      <c r="T2" s="2669"/>
      <c r="U2" s="2670"/>
      <c r="V2" s="2669"/>
      <c r="W2" s="2671" t="s">
        <v>8</v>
      </c>
      <c r="X2" s="2672"/>
      <c r="Y2" s="2673"/>
      <c r="Z2" s="105" t="s">
        <v>9</v>
      </c>
      <c r="AA2" s="2674"/>
      <c r="AB2" s="2675"/>
      <c r="AC2" s="2676"/>
      <c r="AD2" s="2677" t="s">
        <v>10</v>
      </c>
      <c r="AE2" s="2678"/>
      <c r="AF2" s="2678"/>
      <c r="AG2" s="2679"/>
    </row>
    <row r="3" spans="1:38" ht="18" customHeight="1" x14ac:dyDescent="0.2">
      <c r="A3" s="1"/>
      <c r="B3" s="2680" t="s">
        <v>10</v>
      </c>
      <c r="C3" s="2681" t="s">
        <v>10</v>
      </c>
      <c r="D3" s="2682"/>
      <c r="E3" s="543"/>
      <c r="F3" s="544"/>
      <c r="G3" s="544"/>
      <c r="H3" s="545" t="s">
        <v>10</v>
      </c>
      <c r="I3" s="546"/>
      <c r="J3" s="546"/>
      <c r="K3" s="547"/>
      <c r="L3" s="2683" t="s">
        <v>11</v>
      </c>
      <c r="M3" s="2684"/>
      <c r="N3" s="2685"/>
      <c r="O3" s="546"/>
      <c r="P3" s="546"/>
      <c r="Q3" s="546"/>
      <c r="R3" s="546"/>
      <c r="S3" s="467"/>
      <c r="T3" s="551" t="s">
        <v>12</v>
      </c>
      <c r="U3" s="552"/>
      <c r="V3" s="553"/>
      <c r="W3" s="1728"/>
      <c r="X3" s="1123"/>
      <c r="Y3" s="545" t="s">
        <v>10</v>
      </c>
      <c r="Z3" s="2684"/>
      <c r="AA3" s="2684"/>
      <c r="AB3" s="2686"/>
      <c r="AC3" s="2687"/>
      <c r="AD3" s="2688" t="s">
        <v>13</v>
      </c>
      <c r="AE3" s="2689"/>
      <c r="AF3" s="3130"/>
      <c r="AG3" s="2690"/>
      <c r="AH3" s="2014" t="s">
        <v>14</v>
      </c>
      <c r="AI3" s="2014"/>
      <c r="AJ3" s="2014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2691"/>
      <c r="D5" s="2692" t="s">
        <v>17</v>
      </c>
      <c r="E5" s="2693"/>
      <c r="F5" s="2691"/>
      <c r="G5" s="2692" t="s">
        <v>18</v>
      </c>
      <c r="H5" s="2693"/>
      <c r="I5" s="2691"/>
      <c r="J5" s="2692" t="s">
        <v>19</v>
      </c>
      <c r="K5" s="2693"/>
      <c r="L5" s="2691"/>
      <c r="M5" s="2692" t="s">
        <v>20</v>
      </c>
      <c r="N5" s="2693"/>
      <c r="O5" s="2691"/>
      <c r="P5" s="2692" t="s">
        <v>21</v>
      </c>
      <c r="Q5" s="2693"/>
      <c r="R5" s="2691"/>
      <c r="S5" s="2692" t="s">
        <v>22</v>
      </c>
      <c r="T5" s="2694"/>
      <c r="U5" s="2695"/>
      <c r="V5" s="2696" t="s">
        <v>23</v>
      </c>
      <c r="W5" s="2694"/>
    </row>
    <row r="6" spans="1:38" ht="18" customHeight="1" x14ac:dyDescent="0.2">
      <c r="A6" s="3131"/>
      <c r="B6" s="2367" t="s">
        <v>24</v>
      </c>
      <c r="C6" s="1138" t="s">
        <v>25</v>
      </c>
      <c r="D6" s="3132"/>
      <c r="E6" s="2431"/>
      <c r="F6" s="3133" t="s">
        <v>25</v>
      </c>
      <c r="G6" s="3108"/>
      <c r="H6" s="3108"/>
      <c r="I6" s="1138" t="s">
        <v>26</v>
      </c>
      <c r="J6" s="3108"/>
      <c r="K6" s="2431"/>
      <c r="L6" s="3133" t="s">
        <v>26</v>
      </c>
      <c r="M6" s="3108"/>
      <c r="N6" s="2431"/>
      <c r="O6" s="3133" t="s">
        <v>27</v>
      </c>
      <c r="P6" s="3108"/>
      <c r="Q6" s="2431"/>
      <c r="R6" s="3108"/>
      <c r="S6" s="3108"/>
      <c r="T6" s="3108"/>
      <c r="U6" s="2367"/>
      <c r="V6" s="3108"/>
      <c r="W6" s="2431"/>
      <c r="X6" s="3108"/>
      <c r="Y6" s="3108"/>
      <c r="Z6" s="3108"/>
      <c r="AA6" s="3108"/>
      <c r="AB6" s="3134"/>
      <c r="AC6" s="2431"/>
      <c r="AD6" s="123"/>
      <c r="AE6" s="123"/>
      <c r="AF6" s="123"/>
      <c r="AG6" s="123"/>
    </row>
    <row r="7" spans="1:38" ht="18" customHeight="1" x14ac:dyDescent="0.2">
      <c r="A7" s="3131"/>
      <c r="B7" s="2367" t="s">
        <v>28</v>
      </c>
      <c r="C7" s="1138" t="s">
        <v>29</v>
      </c>
      <c r="D7" s="3108"/>
      <c r="E7" s="2431"/>
      <c r="F7" s="3133" t="s">
        <v>29</v>
      </c>
      <c r="G7" s="3108"/>
      <c r="H7" s="3108"/>
      <c r="I7" s="1138" t="s">
        <v>29</v>
      </c>
      <c r="J7" s="3108"/>
      <c r="K7" s="2431"/>
      <c r="L7" s="3133" t="s">
        <v>29</v>
      </c>
      <c r="M7" s="3108"/>
      <c r="N7" s="2431"/>
      <c r="O7" s="3133" t="s">
        <v>30</v>
      </c>
      <c r="P7" s="3108"/>
      <c r="Q7" s="2431"/>
      <c r="R7" s="3108"/>
      <c r="S7" s="3108"/>
      <c r="T7" s="3108"/>
      <c r="U7" s="2367"/>
      <c r="V7" s="3108"/>
      <c r="W7" s="2431"/>
      <c r="X7" s="3108"/>
      <c r="Y7" s="3108"/>
      <c r="Z7" s="3108"/>
      <c r="AA7" s="3108"/>
      <c r="AB7" s="3135"/>
      <c r="AC7" s="2431"/>
      <c r="AD7" s="123"/>
      <c r="AE7" s="123"/>
      <c r="AF7" s="123"/>
      <c r="AG7" s="123"/>
    </row>
    <row r="8" spans="1:38" ht="18" customHeight="1" x14ac:dyDescent="0.2">
      <c r="A8" s="2367"/>
      <c r="B8" s="2367" t="s">
        <v>31</v>
      </c>
      <c r="C8" s="1552" t="s">
        <v>32</v>
      </c>
      <c r="D8" s="3136"/>
      <c r="E8" s="3137"/>
      <c r="F8" s="3133" t="s">
        <v>33</v>
      </c>
      <c r="G8" s="3136"/>
      <c r="H8" s="3136"/>
      <c r="I8" s="1552" t="s">
        <v>33</v>
      </c>
      <c r="J8" s="3136"/>
      <c r="K8" s="3137"/>
      <c r="L8" s="3133" t="s">
        <v>33</v>
      </c>
      <c r="M8" s="3136"/>
      <c r="N8" s="3136"/>
      <c r="O8" s="1552" t="s">
        <v>34</v>
      </c>
      <c r="P8" s="3136"/>
      <c r="Q8" s="3137"/>
      <c r="R8" s="1148" t="s">
        <v>35</v>
      </c>
      <c r="S8" s="367"/>
      <c r="T8" s="367"/>
      <c r="U8" s="1149" t="s">
        <v>35</v>
      </c>
      <c r="V8" s="367"/>
      <c r="W8" s="1150"/>
      <c r="X8" s="3108"/>
      <c r="Y8" s="3108"/>
      <c r="Z8" s="3108"/>
      <c r="AA8" s="3108"/>
      <c r="AB8" s="3135"/>
      <c r="AC8" s="2431"/>
      <c r="AD8" s="123"/>
      <c r="AE8" s="123"/>
      <c r="AF8" s="123"/>
      <c r="AG8" s="123"/>
    </row>
    <row r="9" spans="1:38" ht="18" customHeight="1" x14ac:dyDescent="0.2">
      <c r="A9" s="2367"/>
      <c r="B9" s="2367" t="s">
        <v>36</v>
      </c>
      <c r="C9" s="1138" t="s">
        <v>37</v>
      </c>
      <c r="D9" s="3136"/>
      <c r="E9" s="3137"/>
      <c r="F9" s="3133" t="s">
        <v>37</v>
      </c>
      <c r="G9" s="3108"/>
      <c r="H9" s="3108"/>
      <c r="I9" s="1138" t="s">
        <v>37</v>
      </c>
      <c r="J9" s="3108"/>
      <c r="K9" s="2431"/>
      <c r="L9" s="3133" t="s">
        <v>37</v>
      </c>
      <c r="M9" s="3108"/>
      <c r="N9" s="2431"/>
      <c r="O9" s="3133" t="s">
        <v>38</v>
      </c>
      <c r="P9" s="3108"/>
      <c r="Q9" s="2431"/>
      <c r="R9" s="3133" t="s">
        <v>39</v>
      </c>
      <c r="S9" s="3108"/>
      <c r="T9" s="3108"/>
      <c r="U9" s="1138" t="s">
        <v>40</v>
      </c>
      <c r="V9" s="3108"/>
      <c r="W9" s="2431"/>
      <c r="X9" s="3108"/>
      <c r="Y9" s="3108"/>
      <c r="Z9" s="3108"/>
      <c r="AA9" s="3108"/>
      <c r="AB9" s="3135"/>
      <c r="AC9" s="2431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H11" s="244"/>
      <c r="AI11" s="111"/>
      <c r="AJ11" s="1151" t="s">
        <v>41</v>
      </c>
    </row>
    <row r="12" spans="1:38" ht="18" customHeight="1" x14ac:dyDescent="0.2">
      <c r="AH12" s="116"/>
      <c r="AI12" s="116"/>
      <c r="AJ12" s="1151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114"/>
    </row>
    <row r="14" spans="1:38" ht="18" customHeight="1" x14ac:dyDescent="0.2">
      <c r="A14" s="3138" t="s">
        <v>43</v>
      </c>
      <c r="B14" s="3139" t="s">
        <v>44</v>
      </c>
      <c r="C14" s="3140">
        <v>1</v>
      </c>
      <c r="D14" s="3141">
        <v>2</v>
      </c>
      <c r="E14" s="3141">
        <v>3</v>
      </c>
      <c r="F14" s="3140">
        <v>4</v>
      </c>
      <c r="G14" s="3140">
        <v>5</v>
      </c>
      <c r="H14" s="3141">
        <v>6</v>
      </c>
      <c r="I14" s="3141">
        <v>7</v>
      </c>
      <c r="J14" s="3141">
        <v>8</v>
      </c>
      <c r="K14" s="3141">
        <v>9</v>
      </c>
      <c r="L14" s="3141">
        <v>10</v>
      </c>
      <c r="M14" s="3140">
        <v>11</v>
      </c>
      <c r="N14" s="3140">
        <v>12</v>
      </c>
      <c r="O14" s="3141">
        <v>13</v>
      </c>
      <c r="P14" s="3141">
        <v>14</v>
      </c>
      <c r="Q14" s="3141">
        <v>15</v>
      </c>
      <c r="R14" s="3141">
        <v>16</v>
      </c>
      <c r="S14" s="3141">
        <v>17</v>
      </c>
      <c r="T14" s="3140">
        <v>18</v>
      </c>
      <c r="U14" s="3140">
        <v>19</v>
      </c>
      <c r="V14" s="3141">
        <v>20</v>
      </c>
      <c r="W14" s="3141">
        <v>21</v>
      </c>
      <c r="X14" s="3141">
        <v>22</v>
      </c>
      <c r="Y14" s="3141">
        <v>23</v>
      </c>
      <c r="Z14" s="3141">
        <v>24</v>
      </c>
      <c r="AA14" s="3140">
        <v>25</v>
      </c>
      <c r="AB14" s="3140">
        <v>26</v>
      </c>
      <c r="AC14" s="3141">
        <v>27</v>
      </c>
      <c r="AD14" s="3141">
        <v>28</v>
      </c>
      <c r="AE14" s="3141">
        <v>29</v>
      </c>
      <c r="AF14" s="3141">
        <v>30</v>
      </c>
      <c r="AG14" s="3141">
        <v>31</v>
      </c>
      <c r="AH14" s="116"/>
      <c r="AI14" s="116"/>
    </row>
    <row r="15" spans="1:38" ht="18" customHeight="1" x14ac:dyDescent="0.2">
      <c r="A15" s="3142">
        <v>8500</v>
      </c>
      <c r="B15" s="3143" t="s">
        <v>45</v>
      </c>
      <c r="C15" s="3144"/>
      <c r="D15" s="1160" t="s">
        <v>46</v>
      </c>
      <c r="E15" s="3145" t="s">
        <v>46</v>
      </c>
      <c r="F15" s="3145"/>
      <c r="G15" s="3146"/>
      <c r="H15" s="3146" t="s">
        <v>46</v>
      </c>
      <c r="I15" s="3147" t="s">
        <v>46</v>
      </c>
      <c r="J15" s="3144" t="s">
        <v>46</v>
      </c>
      <c r="K15" s="3145" t="s">
        <v>46</v>
      </c>
      <c r="L15" s="3145" t="s">
        <v>46</v>
      </c>
      <c r="M15" s="3145"/>
      <c r="N15" s="3146"/>
      <c r="O15" s="3146" t="s">
        <v>46</v>
      </c>
      <c r="P15" s="3145" t="s">
        <v>46</v>
      </c>
      <c r="Q15" s="3144" t="s">
        <v>46</v>
      </c>
      <c r="R15" s="3145" t="s">
        <v>46</v>
      </c>
      <c r="S15" s="3145" t="s">
        <v>46</v>
      </c>
      <c r="T15" s="3145"/>
      <c r="U15" s="3146"/>
      <c r="V15" s="3146" t="s">
        <v>46</v>
      </c>
      <c r="W15" s="3145" t="s">
        <v>46</v>
      </c>
      <c r="X15" s="3144" t="s">
        <v>46</v>
      </c>
      <c r="Y15" s="3145" t="s">
        <v>46</v>
      </c>
      <c r="Z15" s="3145" t="s">
        <v>46</v>
      </c>
      <c r="AA15" s="3145"/>
      <c r="AB15" s="3146"/>
      <c r="AC15" s="3146" t="s">
        <v>46</v>
      </c>
      <c r="AD15" s="3145" t="s">
        <v>46</v>
      </c>
      <c r="AE15" s="3144" t="s">
        <v>46</v>
      </c>
      <c r="AF15" s="1160" t="s">
        <v>46</v>
      </c>
      <c r="AG15" s="3145" t="s">
        <v>46</v>
      </c>
      <c r="AH15" s="116"/>
      <c r="AI15" s="116"/>
      <c r="AL15" t="s">
        <v>0</v>
      </c>
    </row>
    <row r="16" spans="1:38" ht="18" customHeight="1" x14ac:dyDescent="0.2">
      <c r="A16" s="2713" t="s">
        <v>47</v>
      </c>
      <c r="B16" s="2714"/>
      <c r="C16" s="2714"/>
      <c r="D16" s="2714"/>
      <c r="E16" s="2714"/>
      <c r="F16" s="2714"/>
      <c r="G16" s="2714"/>
      <c r="H16" s="2714"/>
      <c r="I16" s="2714"/>
      <c r="J16" s="2714"/>
      <c r="K16" s="2714"/>
      <c r="L16" s="2714"/>
      <c r="M16" s="2714"/>
      <c r="N16" s="2714"/>
      <c r="O16" s="2714"/>
      <c r="P16" s="2714"/>
      <c r="Q16" s="2714"/>
      <c r="R16" s="2714"/>
      <c r="S16" s="2714"/>
      <c r="T16" s="2714"/>
      <c r="U16" s="2714"/>
      <c r="V16" s="2714"/>
      <c r="W16" s="2714"/>
      <c r="X16" s="2714"/>
      <c r="Y16" s="2714"/>
      <c r="Z16" s="2714"/>
      <c r="AA16" s="2714"/>
      <c r="AB16" s="2714"/>
      <c r="AC16" s="2714"/>
      <c r="AD16" s="2714"/>
      <c r="AE16" s="2714"/>
      <c r="AF16" s="2714"/>
      <c r="AG16" s="2714"/>
      <c r="AH16" s="116"/>
      <c r="AI16" s="116"/>
    </row>
    <row r="17" spans="1:40" ht="18" customHeight="1" x14ac:dyDescent="0.2">
      <c r="A17" s="3148">
        <v>8546</v>
      </c>
      <c r="B17" s="594" t="s">
        <v>48</v>
      </c>
      <c r="C17" s="596" t="s">
        <v>50</v>
      </c>
      <c r="D17" s="595" t="s">
        <v>50</v>
      </c>
      <c r="E17" s="595" t="s">
        <v>50</v>
      </c>
      <c r="F17" s="597" t="s">
        <v>53</v>
      </c>
      <c r="G17" s="597" t="s">
        <v>53</v>
      </c>
      <c r="H17" s="597" t="s">
        <v>49</v>
      </c>
      <c r="I17" s="595" t="s">
        <v>49</v>
      </c>
      <c r="J17" s="596" t="s">
        <v>49</v>
      </c>
      <c r="K17" s="597" t="s">
        <v>49</v>
      </c>
      <c r="L17" s="595" t="s">
        <v>49</v>
      </c>
      <c r="M17" s="595"/>
      <c r="N17" s="595"/>
      <c r="O17" s="595" t="s">
        <v>50</v>
      </c>
      <c r="P17" s="595" t="s">
        <v>50</v>
      </c>
      <c r="Q17" s="595" t="s">
        <v>50</v>
      </c>
      <c r="R17" s="595" t="s">
        <v>50</v>
      </c>
      <c r="S17" s="595" t="s">
        <v>50</v>
      </c>
      <c r="T17" s="595" t="s">
        <v>0</v>
      </c>
      <c r="U17" s="595"/>
      <c r="V17" s="3149" t="s">
        <v>51</v>
      </c>
      <c r="W17" s="3149" t="s">
        <v>51</v>
      </c>
      <c r="X17" s="3149" t="s">
        <v>424</v>
      </c>
      <c r="Y17" s="3150" t="s">
        <v>51</v>
      </c>
      <c r="Z17" s="595" t="s">
        <v>51</v>
      </c>
      <c r="AA17" s="595" t="s">
        <v>52</v>
      </c>
      <c r="AB17" s="595" t="s">
        <v>52</v>
      </c>
      <c r="AC17" s="595" t="s">
        <v>50</v>
      </c>
      <c r="AD17" s="595" t="s">
        <v>50</v>
      </c>
      <c r="AE17" s="596" t="s">
        <v>50</v>
      </c>
      <c r="AF17" s="595" t="s">
        <v>50</v>
      </c>
      <c r="AG17" s="595" t="s">
        <v>50</v>
      </c>
      <c r="AH17" s="116"/>
      <c r="AI17" s="116"/>
    </row>
    <row r="18" spans="1:40" ht="18" customHeight="1" x14ac:dyDescent="0.2">
      <c r="A18" s="2716">
        <v>8500</v>
      </c>
      <c r="B18" s="2717" t="s">
        <v>54</v>
      </c>
      <c r="C18" s="2718" t="s">
        <v>49</v>
      </c>
      <c r="D18" s="2718" t="s">
        <v>49</v>
      </c>
      <c r="E18" s="2718" t="s">
        <v>49</v>
      </c>
      <c r="F18" s="2718"/>
      <c r="G18" s="2718"/>
      <c r="H18" s="2695" t="s">
        <v>50</v>
      </c>
      <c r="I18" s="2695" t="s">
        <v>50</v>
      </c>
      <c r="J18" s="2695" t="s">
        <v>50</v>
      </c>
      <c r="K18" s="2718" t="s">
        <v>50</v>
      </c>
      <c r="L18" s="2718" t="s">
        <v>50</v>
      </c>
      <c r="M18" s="2718"/>
      <c r="N18" s="2718"/>
      <c r="O18" s="2718" t="s">
        <v>51</v>
      </c>
      <c r="P18" s="2718" t="s">
        <v>51</v>
      </c>
      <c r="Q18" s="2718" t="s">
        <v>51</v>
      </c>
      <c r="R18" s="2718" t="s">
        <v>51</v>
      </c>
      <c r="S18" s="2718" t="s">
        <v>51</v>
      </c>
      <c r="T18" s="2718" t="s">
        <v>52</v>
      </c>
      <c r="U18" s="2718" t="s">
        <v>52</v>
      </c>
      <c r="V18" s="2718" t="s">
        <v>50</v>
      </c>
      <c r="W18" s="2718" t="s">
        <v>50</v>
      </c>
      <c r="X18" s="2719" t="s">
        <v>50</v>
      </c>
      <c r="Y18" s="2718" t="s">
        <v>50</v>
      </c>
      <c r="Z18" s="2718" t="s">
        <v>50</v>
      </c>
      <c r="AA18" s="2718" t="s">
        <v>53</v>
      </c>
      <c r="AB18" s="2718" t="s">
        <v>53</v>
      </c>
      <c r="AC18" s="2718" t="s">
        <v>49</v>
      </c>
      <c r="AD18" s="2718" t="s">
        <v>49</v>
      </c>
      <c r="AE18" s="2718" t="s">
        <v>49</v>
      </c>
      <c r="AF18" s="2718" t="s">
        <v>49</v>
      </c>
      <c r="AG18" s="2718" t="s">
        <v>49</v>
      </c>
      <c r="AH18" s="116"/>
      <c r="AI18" s="116"/>
    </row>
    <row r="19" spans="1:40" ht="18" customHeight="1" x14ac:dyDescent="0.2">
      <c r="A19" s="2716">
        <v>8500</v>
      </c>
      <c r="B19" s="2722" t="s">
        <v>55</v>
      </c>
      <c r="C19" s="2723" t="s">
        <v>50</v>
      </c>
      <c r="D19" s="2724" t="s">
        <v>50</v>
      </c>
      <c r="E19" s="2724" t="s">
        <v>50</v>
      </c>
      <c r="F19" s="2724"/>
      <c r="G19" s="2724"/>
      <c r="H19" s="2724" t="s">
        <v>51</v>
      </c>
      <c r="I19" s="2725" t="s">
        <v>51</v>
      </c>
      <c r="J19" s="2724" t="s">
        <v>51</v>
      </c>
      <c r="K19" s="2724" t="s">
        <v>51</v>
      </c>
      <c r="L19" s="2724" t="s">
        <v>51</v>
      </c>
      <c r="M19" s="2724" t="s">
        <v>52</v>
      </c>
      <c r="N19" s="2718" t="s">
        <v>52</v>
      </c>
      <c r="O19" s="2718" t="s">
        <v>50</v>
      </c>
      <c r="P19" s="2723" t="s">
        <v>50</v>
      </c>
      <c r="Q19" s="2723" t="s">
        <v>50</v>
      </c>
      <c r="R19" s="2723" t="s">
        <v>50</v>
      </c>
      <c r="S19" s="2724" t="s">
        <v>50</v>
      </c>
      <c r="T19" s="2724" t="s">
        <v>53</v>
      </c>
      <c r="U19" s="2724" t="s">
        <v>53</v>
      </c>
      <c r="V19" s="2724" t="s">
        <v>49</v>
      </c>
      <c r="W19" s="2726" t="s">
        <v>49</v>
      </c>
      <c r="X19" s="2727" t="s">
        <v>49</v>
      </c>
      <c r="Y19" s="2767" t="s">
        <v>49</v>
      </c>
      <c r="Z19" s="2767" t="s">
        <v>49</v>
      </c>
      <c r="AA19" s="2723"/>
      <c r="AB19" s="2723"/>
      <c r="AC19" s="2723" t="s">
        <v>50</v>
      </c>
      <c r="AD19" s="2724" t="s">
        <v>50</v>
      </c>
      <c r="AE19" s="2723" t="s">
        <v>50</v>
      </c>
      <c r="AF19" s="2719" t="s">
        <v>50</v>
      </c>
      <c r="AG19" s="2719" t="s">
        <v>50</v>
      </c>
      <c r="AH19" s="114"/>
      <c r="AI19" s="114"/>
      <c r="AJ19" s="241"/>
      <c r="AK19" s="241"/>
      <c r="AL19" s="241"/>
      <c r="AM19" s="241"/>
      <c r="AN19" s="241"/>
    </row>
    <row r="20" spans="1:40" ht="18" customHeight="1" x14ac:dyDescent="0.2">
      <c r="A20" s="2716">
        <v>8546</v>
      </c>
      <c r="B20" s="2733" t="s">
        <v>10</v>
      </c>
      <c r="C20" s="2726" t="s">
        <v>51</v>
      </c>
      <c r="D20" s="2734" t="s">
        <v>51</v>
      </c>
      <c r="E20" s="2734" t="s">
        <v>51</v>
      </c>
      <c r="F20" s="2724" t="s">
        <v>52</v>
      </c>
      <c r="G20" s="2724" t="s">
        <v>52</v>
      </c>
      <c r="H20" s="2724" t="s">
        <v>50</v>
      </c>
      <c r="I20" s="2724" t="s">
        <v>50</v>
      </c>
      <c r="J20" s="2723" t="s">
        <v>50</v>
      </c>
      <c r="K20" s="2723" t="s">
        <v>50</v>
      </c>
      <c r="L20" s="2724" t="s">
        <v>50</v>
      </c>
      <c r="M20" s="2723" t="s">
        <v>53</v>
      </c>
      <c r="N20" s="2723" t="s">
        <v>53</v>
      </c>
      <c r="O20" s="2724" t="s">
        <v>49</v>
      </c>
      <c r="P20" s="2723" t="s">
        <v>49</v>
      </c>
      <c r="Q20" s="2723" t="s">
        <v>49</v>
      </c>
      <c r="R20" s="2723" t="s">
        <v>49</v>
      </c>
      <c r="S20" s="2723" t="s">
        <v>49</v>
      </c>
      <c r="T20" s="2723"/>
      <c r="U20" s="2718"/>
      <c r="V20" s="2718" t="s">
        <v>50</v>
      </c>
      <c r="W20" s="2724" t="s">
        <v>50</v>
      </c>
      <c r="X20" s="2724" t="s">
        <v>50</v>
      </c>
      <c r="Y20" s="2724" t="s">
        <v>50</v>
      </c>
      <c r="Z20" s="2724" t="s">
        <v>50</v>
      </c>
      <c r="AA20" s="2724"/>
      <c r="AB20" s="2724"/>
      <c r="AC20" s="2736" t="s">
        <v>51</v>
      </c>
      <c r="AD20" s="2724" t="s">
        <v>51</v>
      </c>
      <c r="AE20" s="2726" t="s">
        <v>51</v>
      </c>
      <c r="AF20" s="2734" t="s">
        <v>51</v>
      </c>
      <c r="AG20" s="2734" t="s">
        <v>51</v>
      </c>
      <c r="AH20" s="116"/>
      <c r="AI20" s="116"/>
      <c r="AJ20" s="123"/>
      <c r="AK20" s="123"/>
      <c r="AL20" s="123"/>
      <c r="AM20" s="215"/>
      <c r="AN20" s="215"/>
    </row>
    <row r="21" spans="1:40" ht="18" customHeight="1" x14ac:dyDescent="0.2">
      <c r="A21" s="2716">
        <v>8546</v>
      </c>
      <c r="B21" s="2722" t="s">
        <v>58</v>
      </c>
      <c r="C21" s="2724" t="s">
        <v>28</v>
      </c>
      <c r="D21" s="2726" t="s">
        <v>28</v>
      </c>
      <c r="E21" s="2724" t="s">
        <v>28</v>
      </c>
      <c r="F21" s="2723"/>
      <c r="G21" s="2724"/>
      <c r="H21" s="2724" t="s">
        <v>24</v>
      </c>
      <c r="I21" s="2726" t="s">
        <v>24</v>
      </c>
      <c r="J21" s="2724" t="s">
        <v>24</v>
      </c>
      <c r="K21" s="2724" t="s">
        <v>24</v>
      </c>
      <c r="L21" s="2724" t="s">
        <v>24</v>
      </c>
      <c r="M21" s="2719" t="s">
        <v>53</v>
      </c>
      <c r="N21" s="2738"/>
      <c r="O21" s="2725" t="s">
        <v>28</v>
      </c>
      <c r="P21" s="2725" t="s">
        <v>28</v>
      </c>
      <c r="Q21" s="2725" t="s">
        <v>28</v>
      </c>
      <c r="R21" s="2725" t="s">
        <v>28</v>
      </c>
      <c r="S21" s="2725" t="s">
        <v>28</v>
      </c>
      <c r="T21" s="2724"/>
      <c r="U21" s="2724"/>
      <c r="V21" s="2724" t="s">
        <v>24</v>
      </c>
      <c r="W21" s="2719" t="s">
        <v>24</v>
      </c>
      <c r="X21" s="2726" t="s">
        <v>24</v>
      </c>
      <c r="Y21" s="2724" t="s">
        <v>24</v>
      </c>
      <c r="Z21" s="2724" t="s">
        <v>24</v>
      </c>
      <c r="AA21" s="2741"/>
      <c r="AB21" s="2741"/>
      <c r="AC21" s="2741" t="s">
        <v>28</v>
      </c>
      <c r="AD21" s="2741" t="s">
        <v>28</v>
      </c>
      <c r="AE21" s="2724" t="s">
        <v>28</v>
      </c>
      <c r="AF21" s="2726" t="s">
        <v>28</v>
      </c>
      <c r="AG21" s="2724" t="s">
        <v>28</v>
      </c>
      <c r="AH21" s="116"/>
      <c r="AI21" s="116"/>
      <c r="AJ21" s="123"/>
      <c r="AK21" s="123"/>
      <c r="AL21" s="123"/>
      <c r="AM21" s="215"/>
      <c r="AN21" s="215"/>
    </row>
    <row r="22" spans="1:40" ht="18" customHeight="1" x14ac:dyDescent="0.2">
      <c r="A22" s="3151">
        <v>8546</v>
      </c>
      <c r="B22" s="2942" t="s">
        <v>470</v>
      </c>
      <c r="C22" s="3152" t="s">
        <v>24</v>
      </c>
      <c r="D22" s="3152" t="s">
        <v>24</v>
      </c>
      <c r="E22" s="3153" t="s">
        <v>24</v>
      </c>
      <c r="F22" s="3154" t="s">
        <v>0</v>
      </c>
      <c r="G22" s="3154" t="s">
        <v>0</v>
      </c>
      <c r="H22" s="3155" t="s">
        <v>28</v>
      </c>
      <c r="I22" s="3155" t="s">
        <v>28</v>
      </c>
      <c r="J22" s="3155" t="s">
        <v>28</v>
      </c>
      <c r="K22" s="3155" t="s">
        <v>28</v>
      </c>
      <c r="L22" s="3156" t="s">
        <v>28</v>
      </c>
      <c r="M22" s="3157"/>
      <c r="N22" s="3158" t="s">
        <v>53</v>
      </c>
      <c r="O22" s="3154" t="s">
        <v>24</v>
      </c>
      <c r="P22" s="2481" t="s">
        <v>24</v>
      </c>
      <c r="Q22" s="2481" t="s">
        <v>24</v>
      </c>
      <c r="R22" s="3159" t="s">
        <v>24</v>
      </c>
      <c r="S22" s="3153" t="s">
        <v>24</v>
      </c>
      <c r="T22" s="2481"/>
      <c r="U22" s="2481"/>
      <c r="V22" s="3160" t="s">
        <v>28</v>
      </c>
      <c r="W22" s="3159" t="s">
        <v>28</v>
      </c>
      <c r="X22" s="3159" t="s">
        <v>28</v>
      </c>
      <c r="Y22" s="3159" t="s">
        <v>28</v>
      </c>
      <c r="Z22" s="3159" t="s">
        <v>28</v>
      </c>
      <c r="AA22" s="3159"/>
      <c r="AB22" s="3159"/>
      <c r="AC22" s="3155" t="s">
        <v>24</v>
      </c>
      <c r="AD22" s="3155" t="s">
        <v>24</v>
      </c>
      <c r="AE22" s="3152" t="s">
        <v>24</v>
      </c>
      <c r="AF22" s="3152" t="s">
        <v>24</v>
      </c>
      <c r="AG22" s="3153" t="s">
        <v>24</v>
      </c>
      <c r="AH22" s="116"/>
      <c r="AI22" s="116"/>
      <c r="AJ22" s="123"/>
      <c r="AK22" s="123"/>
      <c r="AL22" s="123"/>
      <c r="AM22" s="215"/>
      <c r="AN22" s="215"/>
    </row>
    <row r="23" spans="1:40" ht="18" customHeight="1" thickBot="1" x14ac:dyDescent="0.25">
      <c r="A23" s="2742"/>
      <c r="B23" s="2743" t="s">
        <v>519</v>
      </c>
      <c r="C23" s="2744"/>
      <c r="D23" s="2744" t="s">
        <v>28</v>
      </c>
      <c r="E23" s="2744" t="s">
        <v>28</v>
      </c>
      <c r="F23" s="2745"/>
      <c r="G23" s="2745"/>
      <c r="H23" s="2744" t="s">
        <v>28</v>
      </c>
      <c r="I23" s="2744" t="s">
        <v>28</v>
      </c>
      <c r="J23" s="2744" t="s">
        <v>28</v>
      </c>
      <c r="K23" s="2744" t="s">
        <v>28</v>
      </c>
      <c r="L23" s="2744" t="s">
        <v>28</v>
      </c>
      <c r="M23" s="2783"/>
      <c r="N23" s="2748"/>
      <c r="O23" s="2744" t="s">
        <v>28</v>
      </c>
      <c r="P23" s="2744" t="s">
        <v>28</v>
      </c>
      <c r="Q23" s="2744" t="s">
        <v>28</v>
      </c>
      <c r="R23" s="2744" t="s">
        <v>28</v>
      </c>
      <c r="S23" s="2744" t="s">
        <v>28</v>
      </c>
      <c r="T23" s="2751"/>
      <c r="U23" s="2751"/>
      <c r="V23" s="2755" t="s">
        <v>49</v>
      </c>
      <c r="W23" s="2744" t="s">
        <v>28</v>
      </c>
      <c r="X23" s="2744" t="s">
        <v>28</v>
      </c>
      <c r="Y23" s="2744" t="s">
        <v>28</v>
      </c>
      <c r="Z23" s="2744" t="s">
        <v>28</v>
      </c>
      <c r="AA23" s="2755"/>
      <c r="AB23" s="2755"/>
      <c r="AC23" s="2744" t="s">
        <v>28</v>
      </c>
      <c r="AD23" s="2744" t="s">
        <v>28</v>
      </c>
      <c r="AE23" s="2744" t="s">
        <v>28</v>
      </c>
      <c r="AF23" s="2744" t="s">
        <v>28</v>
      </c>
      <c r="AG23" s="2744" t="s">
        <v>28</v>
      </c>
      <c r="AH23" s="116"/>
      <c r="AI23" s="116"/>
      <c r="AJ23" s="123"/>
      <c r="AK23" s="123"/>
      <c r="AL23" s="123"/>
      <c r="AM23" s="215"/>
      <c r="AN23" s="215"/>
    </row>
    <row r="24" spans="1:40" ht="18" customHeight="1" thickBot="1" x14ac:dyDescent="0.25">
      <c r="A24" s="348" t="s">
        <v>60</v>
      </c>
      <c r="B24" s="349"/>
      <c r="C24" s="349"/>
      <c r="D24" s="349"/>
      <c r="E24" s="349"/>
      <c r="F24" s="349"/>
      <c r="G24" s="349"/>
      <c r="H24" s="349"/>
      <c r="I24" s="349"/>
      <c r="J24" s="349"/>
      <c r="K24" s="349"/>
      <c r="L24" s="349"/>
      <c r="M24" s="349"/>
      <c r="N24" s="349"/>
      <c r="O24" s="349"/>
      <c r="P24" s="349"/>
      <c r="Q24" s="349"/>
      <c r="R24" s="349"/>
      <c r="S24" s="349"/>
      <c r="T24" s="349"/>
      <c r="U24" s="349"/>
      <c r="V24" s="349"/>
      <c r="W24" s="349"/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J24" s="123"/>
      <c r="AK24" s="123"/>
      <c r="AL24" s="123"/>
      <c r="AM24" s="215"/>
      <c r="AN24" s="215"/>
    </row>
    <row r="25" spans="1:40" ht="18" customHeight="1" x14ac:dyDescent="0.2">
      <c r="A25" s="626">
        <v>8500</v>
      </c>
      <c r="B25" s="3161" t="s">
        <v>61</v>
      </c>
      <c r="C25" s="3162"/>
      <c r="D25" s="3163" t="s">
        <v>46</v>
      </c>
      <c r="E25" s="3163" t="s">
        <v>46</v>
      </c>
      <c r="F25" s="3163"/>
      <c r="G25" s="3164"/>
      <c r="H25" s="3164" t="s">
        <v>46</v>
      </c>
      <c r="I25" s="3165" t="s">
        <v>46</v>
      </c>
      <c r="J25" s="3162" t="s">
        <v>46</v>
      </c>
      <c r="K25" s="3162" t="s">
        <v>46</v>
      </c>
      <c r="L25" s="3163" t="s">
        <v>46</v>
      </c>
      <c r="M25" s="3163"/>
      <c r="N25" s="3166"/>
      <c r="O25" s="3164" t="s">
        <v>46</v>
      </c>
      <c r="P25" s="3163" t="s">
        <v>46</v>
      </c>
      <c r="Q25" s="3162" t="s">
        <v>46</v>
      </c>
      <c r="R25" s="3163" t="s">
        <v>46</v>
      </c>
      <c r="S25" s="3163" t="s">
        <v>46</v>
      </c>
      <c r="T25" s="3163"/>
      <c r="U25" s="3164"/>
      <c r="V25" s="3167" t="s">
        <v>46</v>
      </c>
      <c r="W25" s="3163" t="s">
        <v>46</v>
      </c>
      <c r="X25" s="3163" t="s">
        <v>46</v>
      </c>
      <c r="Y25" s="3163" t="s">
        <v>46</v>
      </c>
      <c r="Z25" s="3163" t="s">
        <v>46</v>
      </c>
      <c r="AA25" s="3163"/>
      <c r="AB25" s="3164"/>
      <c r="AC25" s="3164" t="s">
        <v>46</v>
      </c>
      <c r="AD25" s="3163" t="s">
        <v>46</v>
      </c>
      <c r="AE25" s="3162" t="s">
        <v>46</v>
      </c>
      <c r="AF25" s="3163" t="s">
        <v>46</v>
      </c>
      <c r="AG25" s="3168" t="s">
        <v>46</v>
      </c>
      <c r="AJ25" s="1151" t="s">
        <v>41</v>
      </c>
      <c r="AK25" s="1151" t="s">
        <v>62</v>
      </c>
      <c r="AL25" s="1151" t="s">
        <v>63</v>
      </c>
      <c r="AM25" s="1151" t="s">
        <v>64</v>
      </c>
      <c r="AN25" s="1151" t="s">
        <v>65</v>
      </c>
    </row>
    <row r="26" spans="1:40" ht="18" customHeight="1" x14ac:dyDescent="0.2">
      <c r="A26" s="626">
        <v>8500</v>
      </c>
      <c r="B26" s="2722" t="s">
        <v>67</v>
      </c>
      <c r="C26" s="2724" t="s">
        <v>51</v>
      </c>
      <c r="D26" s="2724" t="s">
        <v>51</v>
      </c>
      <c r="E26" s="2724" t="s">
        <v>51</v>
      </c>
      <c r="F26" s="2725" t="s">
        <v>52</v>
      </c>
      <c r="G26" s="2718" t="s">
        <v>52</v>
      </c>
      <c r="H26" s="2724" t="s">
        <v>50</v>
      </c>
      <c r="I26" s="2724" t="s">
        <v>50</v>
      </c>
      <c r="J26" s="2723" t="s">
        <v>50</v>
      </c>
      <c r="K26" s="2723" t="s">
        <v>50</v>
      </c>
      <c r="L26" s="2724" t="s">
        <v>50</v>
      </c>
      <c r="M26" s="2723" t="s">
        <v>68</v>
      </c>
      <c r="N26" s="2723" t="s">
        <v>68</v>
      </c>
      <c r="O26" s="2724" t="s">
        <v>49</v>
      </c>
      <c r="P26" s="2723" t="s">
        <v>49</v>
      </c>
      <c r="Q26" s="2723" t="s">
        <v>49</v>
      </c>
      <c r="R26" s="2723" t="s">
        <v>49</v>
      </c>
      <c r="S26" s="2723" t="s">
        <v>49</v>
      </c>
      <c r="T26" s="2723"/>
      <c r="U26" s="2718"/>
      <c r="V26" s="2718" t="s">
        <v>50</v>
      </c>
      <c r="W26" s="2724" t="s">
        <v>50</v>
      </c>
      <c r="X26" s="2724" t="s">
        <v>50</v>
      </c>
      <c r="Y26" s="2724" t="s">
        <v>50</v>
      </c>
      <c r="Z26" s="2724" t="s">
        <v>50</v>
      </c>
      <c r="AA26" s="2724"/>
      <c r="AB26" s="2724"/>
      <c r="AC26" s="2736" t="s">
        <v>51</v>
      </c>
      <c r="AD26" s="2724" t="s">
        <v>51</v>
      </c>
      <c r="AE26" s="2726" t="s">
        <v>51</v>
      </c>
      <c r="AF26" s="2444" t="s">
        <v>51</v>
      </c>
      <c r="AG26" s="2444" t="s">
        <v>51</v>
      </c>
      <c r="AH26" s="123"/>
      <c r="AJ26" s="638">
        <f>$AJ$12</f>
        <v>160.33000000000001</v>
      </c>
      <c r="AK26" s="638"/>
      <c r="AL26" s="638">
        <f>IF(AJ26="","",SUM(AJ26:AK26))</f>
        <v>160.33000000000001</v>
      </c>
      <c r="AM26" s="639">
        <f>IF(AJ26="","",AL26-_xlfn.SINGLE(NormTid))</f>
        <v>0</v>
      </c>
      <c r="AN26" s="639">
        <f>IF(AM26="","",AM26)</f>
        <v>0</v>
      </c>
    </row>
    <row r="27" spans="1:40" ht="18" customHeight="1" thickBot="1" x14ac:dyDescent="0.25">
      <c r="A27" s="2778"/>
      <c r="B27" s="2722" t="s">
        <v>75</v>
      </c>
      <c r="C27" s="2767"/>
      <c r="D27" s="2767" t="s">
        <v>46</v>
      </c>
      <c r="E27" s="2767" t="s">
        <v>46</v>
      </c>
      <c r="F27" s="2734"/>
      <c r="G27" s="2734"/>
      <c r="H27" s="2718" t="s">
        <v>46</v>
      </c>
      <c r="I27" s="2718" t="s">
        <v>46</v>
      </c>
      <c r="J27" s="2734" t="s">
        <v>46</v>
      </c>
      <c r="K27" s="2734" t="s">
        <v>46</v>
      </c>
      <c r="L27" s="2734" t="s">
        <v>46</v>
      </c>
      <c r="M27" s="2734"/>
      <c r="N27" s="2734"/>
      <c r="O27" s="2718" t="s">
        <v>46</v>
      </c>
      <c r="P27" s="2718" t="s">
        <v>46</v>
      </c>
      <c r="Q27" s="2734" t="s">
        <v>46</v>
      </c>
      <c r="R27" s="2734" t="s">
        <v>46</v>
      </c>
      <c r="S27" s="2723" t="s">
        <v>46</v>
      </c>
      <c r="T27" s="2738"/>
      <c r="U27" s="2738"/>
      <c r="V27" s="2718" t="s">
        <v>46</v>
      </c>
      <c r="W27" s="2718" t="s">
        <v>46</v>
      </c>
      <c r="X27" s="2718" t="s">
        <v>46</v>
      </c>
      <c r="Y27" s="2718" t="s">
        <v>46</v>
      </c>
      <c r="Z27" s="2734" t="s">
        <v>46</v>
      </c>
      <c r="AA27" s="2734"/>
      <c r="AB27" s="2734"/>
      <c r="AC27" s="2718" t="s">
        <v>46</v>
      </c>
      <c r="AD27" s="3169" t="s">
        <v>458</v>
      </c>
      <c r="AE27" s="2718" t="s">
        <v>46</v>
      </c>
      <c r="AF27" s="2718" t="s">
        <v>46</v>
      </c>
      <c r="AG27" s="2767" t="s">
        <v>46</v>
      </c>
      <c r="AH27" s="123"/>
    </row>
    <row r="28" spans="1:40" ht="18" customHeight="1" thickBot="1" x14ac:dyDescent="0.25">
      <c r="A28" s="646"/>
      <c r="B28" s="2781" t="s">
        <v>78</v>
      </c>
      <c r="C28" s="2782"/>
      <c r="D28" s="2745" t="s">
        <v>46</v>
      </c>
      <c r="E28" s="2745" t="s">
        <v>46</v>
      </c>
      <c r="F28" s="2745"/>
      <c r="G28" s="2783"/>
      <c r="H28" s="2783" t="s">
        <v>46</v>
      </c>
      <c r="I28" s="2745" t="s">
        <v>46</v>
      </c>
      <c r="J28" s="2782" t="s">
        <v>46</v>
      </c>
      <c r="K28" s="2745" t="s">
        <v>46</v>
      </c>
      <c r="L28" s="2745" t="s">
        <v>46</v>
      </c>
      <c r="M28" s="2745"/>
      <c r="N28" s="2748"/>
      <c r="O28" s="2783" t="s">
        <v>46</v>
      </c>
      <c r="P28" s="2745" t="s">
        <v>46</v>
      </c>
      <c r="Q28" s="2782" t="s">
        <v>46</v>
      </c>
      <c r="R28" s="2745" t="s">
        <v>46</v>
      </c>
      <c r="S28" s="2745" t="s">
        <v>46</v>
      </c>
      <c r="T28" s="2745"/>
      <c r="U28" s="2783"/>
      <c r="V28" s="2783" t="s">
        <v>46</v>
      </c>
      <c r="W28" s="2752" t="s">
        <v>46</v>
      </c>
      <c r="X28" s="2718" t="s">
        <v>50</v>
      </c>
      <c r="Y28" s="2718" t="s">
        <v>46</v>
      </c>
      <c r="Z28" s="2745" t="s">
        <v>46</v>
      </c>
      <c r="AA28" s="3022"/>
      <c r="AB28" s="2749"/>
      <c r="AC28" s="2783" t="s">
        <v>46</v>
      </c>
      <c r="AD28" s="3022" t="s">
        <v>46</v>
      </c>
      <c r="AE28" s="2782" t="s">
        <v>46</v>
      </c>
      <c r="AF28" s="2745" t="s">
        <v>46</v>
      </c>
      <c r="AG28" s="3168" t="s">
        <v>46</v>
      </c>
      <c r="AH28" s="123"/>
    </row>
    <row r="29" spans="1:40" ht="18" customHeight="1" x14ac:dyDescent="0.2">
      <c r="A29" s="245"/>
      <c r="B29" s="246"/>
      <c r="C29" s="247"/>
      <c r="D29" s="248"/>
      <c r="E29" s="248"/>
      <c r="F29" s="248"/>
      <c r="G29" s="246"/>
      <c r="H29" s="246"/>
      <c r="I29" s="248"/>
      <c r="J29" s="247"/>
      <c r="K29" s="248"/>
      <c r="L29" s="246"/>
      <c r="M29" s="246"/>
      <c r="N29" s="246"/>
      <c r="O29" s="246"/>
      <c r="P29" s="248"/>
      <c r="Q29" s="247"/>
      <c r="R29" s="248"/>
      <c r="S29" s="248"/>
      <c r="T29" s="246"/>
      <c r="U29" s="246"/>
      <c r="V29" s="246"/>
      <c r="W29" s="248"/>
      <c r="X29" s="247"/>
      <c r="Y29" s="248"/>
      <c r="Z29" s="248"/>
      <c r="AA29" s="246"/>
      <c r="AB29" s="246"/>
      <c r="AC29" s="246"/>
      <c r="AD29" s="248"/>
      <c r="AE29" s="247"/>
      <c r="AF29" s="248"/>
      <c r="AG29" s="246"/>
      <c r="AH29" s="123"/>
    </row>
    <row r="30" spans="1:40" ht="18" customHeight="1" x14ac:dyDescent="0.2">
      <c r="A30" s="249"/>
      <c r="B30" s="250"/>
      <c r="C30" s="251"/>
      <c r="D30" s="252"/>
      <c r="E30" s="252"/>
      <c r="F30" s="252"/>
      <c r="G30" s="250"/>
      <c r="H30" s="250"/>
      <c r="I30" s="252"/>
      <c r="J30" s="251"/>
      <c r="K30" s="252"/>
      <c r="L30" s="250"/>
      <c r="M30" s="250"/>
      <c r="N30" s="250"/>
      <c r="O30" s="250"/>
      <c r="P30" s="252"/>
      <c r="Q30" s="251"/>
      <c r="R30" s="252"/>
      <c r="S30" s="252"/>
      <c r="T30" s="252"/>
      <c r="U30" s="250"/>
      <c r="V30" s="250"/>
      <c r="W30" s="252"/>
      <c r="X30" s="251"/>
      <c r="Y30" s="252"/>
      <c r="Z30" s="252"/>
      <c r="AA30" s="252"/>
      <c r="AB30" s="250"/>
      <c r="AC30" s="250"/>
      <c r="AD30" s="252"/>
      <c r="AE30" s="251"/>
      <c r="AF30" s="252"/>
      <c r="AG30" s="250"/>
      <c r="AH30" s="123"/>
    </row>
    <row r="31" spans="1:40" ht="18" customHeight="1" x14ac:dyDescent="0.2">
      <c r="A31" s="249"/>
      <c r="B31" s="250"/>
      <c r="C31" s="251"/>
      <c r="D31" s="252"/>
      <c r="E31" s="252"/>
      <c r="F31" s="252"/>
      <c r="G31" s="250"/>
      <c r="H31" s="250"/>
      <c r="I31" s="252"/>
      <c r="J31" s="251"/>
      <c r="K31" s="252"/>
      <c r="L31" s="250"/>
      <c r="M31" s="250"/>
      <c r="N31" s="250"/>
      <c r="O31" s="250"/>
      <c r="P31" s="252"/>
      <c r="Q31" s="251"/>
      <c r="R31" s="252"/>
      <c r="S31" s="252"/>
      <c r="T31" s="252"/>
      <c r="U31" s="250"/>
      <c r="V31" s="250"/>
      <c r="W31" s="252"/>
      <c r="X31" s="251"/>
      <c r="Y31" s="252"/>
      <c r="Z31" s="252"/>
      <c r="AA31" s="252"/>
      <c r="AB31" s="250"/>
      <c r="AC31" s="250"/>
      <c r="AD31" s="252"/>
      <c r="AE31" s="251"/>
      <c r="AF31" s="252"/>
      <c r="AG31" s="250"/>
      <c r="AH31" s="123"/>
    </row>
    <row r="32" spans="1:40" ht="18" customHeight="1" x14ac:dyDescent="0.2">
      <c r="A32" s="249"/>
      <c r="B32" s="250"/>
      <c r="C32" s="251"/>
      <c r="D32" s="252"/>
      <c r="E32" s="252"/>
      <c r="F32" s="252"/>
      <c r="G32" s="250"/>
      <c r="H32" s="250"/>
      <c r="I32" s="252"/>
      <c r="J32" s="251"/>
      <c r="K32" s="252"/>
      <c r="L32" s="250"/>
      <c r="M32" s="250"/>
      <c r="N32" s="250"/>
      <c r="O32" s="250"/>
      <c r="P32" s="252"/>
      <c r="Q32" s="251"/>
      <c r="R32" s="252"/>
      <c r="S32" s="252"/>
      <c r="T32" s="252"/>
      <c r="U32" s="250"/>
      <c r="V32" s="250"/>
      <c r="W32" s="252"/>
      <c r="X32" s="251"/>
      <c r="Y32" s="252"/>
      <c r="Z32" s="252"/>
      <c r="AA32" s="252"/>
      <c r="AB32" s="250"/>
      <c r="AC32" s="250"/>
      <c r="AD32" s="252"/>
      <c r="AE32" s="251"/>
      <c r="AF32" s="252"/>
      <c r="AG32" s="250"/>
      <c r="AH32" s="123"/>
      <c r="AI32" t="s">
        <v>0</v>
      </c>
    </row>
    <row r="33" spans="1:38" ht="18" customHeight="1" x14ac:dyDescent="0.2">
      <c r="A33" s="249"/>
      <c r="B33" s="250"/>
      <c r="C33" s="251"/>
      <c r="D33" s="252"/>
      <c r="E33" s="252"/>
      <c r="F33" s="252"/>
      <c r="G33" s="250"/>
      <c r="H33" s="250"/>
      <c r="I33" s="252"/>
      <c r="J33" s="251"/>
      <c r="K33" s="252"/>
      <c r="L33" s="250"/>
      <c r="M33" s="250"/>
      <c r="N33" s="250"/>
      <c r="O33" s="250"/>
      <c r="P33" s="252"/>
      <c r="Q33" s="251"/>
      <c r="R33" s="252"/>
      <c r="S33" s="252"/>
      <c r="T33" s="252"/>
      <c r="U33" s="250"/>
      <c r="V33" s="250"/>
      <c r="W33" s="252"/>
      <c r="X33" s="251"/>
      <c r="Y33" s="252"/>
      <c r="Z33" s="252"/>
      <c r="AA33" s="252"/>
      <c r="AB33" s="250"/>
      <c r="AC33" s="250"/>
      <c r="AD33" s="252"/>
      <c r="AE33" s="251"/>
      <c r="AF33" s="252"/>
      <c r="AG33" s="250"/>
      <c r="AH33" s="123"/>
    </row>
    <row r="34" spans="1:38" ht="18" customHeight="1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</row>
    <row r="35" spans="1:38" ht="18" customHeight="1" x14ac:dyDescent="0.2">
      <c r="A35" s="249"/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  <c r="AB35" s="250"/>
      <c r="AC35" s="250"/>
      <c r="AD35" s="250"/>
      <c r="AE35" s="250"/>
      <c r="AF35" s="250"/>
      <c r="AG35" s="250"/>
    </row>
    <row r="36" spans="1:38" ht="18" customHeight="1" x14ac:dyDescent="0.2">
      <c r="A36" s="103" t="s">
        <v>82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 t="s">
        <v>0</v>
      </c>
      <c r="P36" s="48"/>
      <c r="Q36" s="48" t="s">
        <v>83</v>
      </c>
      <c r="R36" s="48" t="s">
        <v>0</v>
      </c>
      <c r="S36" s="48" t="s">
        <v>84</v>
      </c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K36" s="1"/>
    </row>
    <row r="37" spans="1:38" ht="18" customHeight="1" x14ac:dyDescent="0.2">
      <c r="A37" s="3170" t="s">
        <v>85</v>
      </c>
      <c r="B37" s="3171"/>
      <c r="C37" s="3171"/>
      <c r="D37" s="3172" t="s">
        <v>86</v>
      </c>
      <c r="E37" s="3173"/>
      <c r="F37" s="3173"/>
      <c r="G37" s="3173"/>
      <c r="H37" s="3173"/>
      <c r="I37" s="3173"/>
      <c r="J37" s="3173"/>
      <c r="K37" s="3173"/>
      <c r="L37" s="3173"/>
      <c r="M37" s="3174" t="s">
        <v>87</v>
      </c>
      <c r="N37" s="3173"/>
      <c r="O37" s="3173"/>
      <c r="P37" s="3173"/>
      <c r="Q37" s="3173"/>
      <c r="R37" s="3173"/>
      <c r="S37" s="3175"/>
      <c r="T37" s="4984" t="s">
        <v>520</v>
      </c>
      <c r="U37" s="4985"/>
      <c r="V37" s="4985"/>
      <c r="W37" s="4985"/>
      <c r="X37" s="4985"/>
      <c r="Y37" s="4985"/>
      <c r="Z37" s="4985"/>
      <c r="AA37" s="3176" t="s">
        <v>89</v>
      </c>
      <c r="AB37" s="3177"/>
      <c r="AC37" s="3177"/>
      <c r="AD37" s="3177"/>
      <c r="AE37" s="3177"/>
      <c r="AF37" s="3177"/>
      <c r="AG37" s="3178"/>
      <c r="AK37" s="1"/>
    </row>
    <row r="38" spans="1:38" ht="18" customHeight="1" x14ac:dyDescent="0.2">
      <c r="A38" s="2794" t="s">
        <v>90</v>
      </c>
      <c r="B38" s="2795"/>
      <c r="C38" s="2795"/>
      <c r="D38" s="2796" t="s">
        <v>91</v>
      </c>
      <c r="E38" s="2797"/>
      <c r="F38" s="2684"/>
      <c r="G38" s="2684"/>
      <c r="H38" s="2684"/>
      <c r="I38" s="2684"/>
      <c r="J38" s="2684"/>
      <c r="K38" s="2684"/>
      <c r="L38" s="2798"/>
      <c r="M38" s="2799" t="s">
        <v>92</v>
      </c>
      <c r="N38" s="2795"/>
      <c r="O38" s="2800"/>
      <c r="P38" s="2795"/>
      <c r="Q38" s="2795"/>
      <c r="R38" s="2795"/>
      <c r="S38" s="2801"/>
      <c r="T38" s="2796" t="s">
        <v>93</v>
      </c>
      <c r="U38" s="2684"/>
      <c r="V38" s="2797"/>
      <c r="W38" s="2684"/>
      <c r="X38" s="2684"/>
      <c r="Y38" s="2684"/>
      <c r="Z38" s="2798"/>
      <c r="AA38" s="104" t="s">
        <v>94</v>
      </c>
      <c r="AD38" s="60"/>
      <c r="AG38" s="63"/>
      <c r="AK38" s="1"/>
    </row>
    <row r="39" spans="1:38" ht="18" customHeight="1" x14ac:dyDescent="0.2">
      <c r="A39" s="2802" t="s">
        <v>95</v>
      </c>
      <c r="B39" s="2684"/>
      <c r="C39" s="2684"/>
      <c r="D39" s="2803"/>
      <c r="E39" s="2684"/>
      <c r="F39" s="2684"/>
      <c r="G39" s="2798"/>
      <c r="H39" s="2804" t="s">
        <v>96</v>
      </c>
      <c r="I39" s="2684"/>
      <c r="J39" s="2684"/>
      <c r="K39" s="2684"/>
      <c r="L39" s="2684"/>
      <c r="M39" s="2805"/>
      <c r="N39" s="2684"/>
      <c r="O39" s="2684"/>
      <c r="P39" s="2684"/>
      <c r="Q39" s="2684"/>
      <c r="R39" s="2684"/>
      <c r="S39" s="2684"/>
      <c r="T39" s="2803"/>
      <c r="U39" s="103" t="s">
        <v>97</v>
      </c>
      <c r="AA39" s="2800"/>
      <c r="AB39" s="2795"/>
      <c r="AC39" s="2795"/>
      <c r="AD39" s="2795"/>
      <c r="AE39" s="2795"/>
      <c r="AF39" s="2795"/>
      <c r="AG39" s="2806"/>
      <c r="AK39" s="42"/>
    </row>
    <row r="40" spans="1:38" ht="18" customHeight="1" x14ac:dyDescent="0.2">
      <c r="A40" s="2807" t="s">
        <v>98</v>
      </c>
      <c r="B40" s="2808"/>
      <c r="C40" s="2808"/>
      <c r="D40" s="2809"/>
      <c r="E40" s="2808"/>
      <c r="F40" s="2808"/>
      <c r="G40" s="2810"/>
      <c r="H40" s="2811" t="s">
        <v>99</v>
      </c>
      <c r="I40" s="2810"/>
      <c r="J40" s="2808"/>
      <c r="K40" s="2808"/>
      <c r="L40" s="2808"/>
      <c r="M40" s="2812"/>
      <c r="N40" s="2808"/>
      <c r="O40" s="2808"/>
      <c r="P40" s="2808"/>
      <c r="Q40" s="2813"/>
      <c r="R40" s="2813"/>
      <c r="S40" s="2813"/>
      <c r="T40" s="2809"/>
      <c r="U40" s="2814" t="s">
        <v>100</v>
      </c>
      <c r="V40" s="2808"/>
      <c r="W40" s="2808"/>
      <c r="X40" s="2808"/>
      <c r="Y40" s="2808"/>
      <c r="Z40" s="2808"/>
      <c r="AA40" s="2808"/>
      <c r="AB40" s="2808"/>
      <c r="AC40" s="2808"/>
      <c r="AD40" s="2808"/>
      <c r="AE40" s="2808"/>
      <c r="AF40" s="2808"/>
      <c r="AG40" s="2815"/>
      <c r="AK40" s="1"/>
    </row>
    <row r="41" spans="1:38" ht="18" customHeight="1" x14ac:dyDescent="0.2">
      <c r="B41" s="64" t="s">
        <v>42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1"/>
    </row>
    <row r="42" spans="1:38" ht="18" customHeight="1" thickBot="1" x14ac:dyDescent="0.25">
      <c r="A42" s="2816" t="s">
        <v>43</v>
      </c>
      <c r="B42" s="2817" t="s">
        <v>44</v>
      </c>
      <c r="C42" s="3140">
        <v>1</v>
      </c>
      <c r="D42" s="3141">
        <v>2</v>
      </c>
      <c r="E42" s="3141">
        <v>3</v>
      </c>
      <c r="F42" s="3140">
        <v>4</v>
      </c>
      <c r="G42" s="3140">
        <v>5</v>
      </c>
      <c r="H42" s="3141">
        <v>6</v>
      </c>
      <c r="I42" s="3141">
        <v>7</v>
      </c>
      <c r="J42" s="3141">
        <v>8</v>
      </c>
      <c r="K42" s="3141">
        <v>9</v>
      </c>
      <c r="L42" s="3141">
        <v>10</v>
      </c>
      <c r="M42" s="3140">
        <v>11</v>
      </c>
      <c r="N42" s="3140">
        <v>12</v>
      </c>
      <c r="O42" s="3141">
        <v>13</v>
      </c>
      <c r="P42" s="3141">
        <v>14</v>
      </c>
      <c r="Q42" s="3141">
        <v>15</v>
      </c>
      <c r="R42" s="3141">
        <v>16</v>
      </c>
      <c r="S42" s="3141">
        <v>17</v>
      </c>
      <c r="T42" s="3140">
        <v>18</v>
      </c>
      <c r="U42" s="3140">
        <v>19</v>
      </c>
      <c r="V42" s="3141">
        <v>20</v>
      </c>
      <c r="W42" s="3141">
        <v>21</v>
      </c>
      <c r="X42" s="3141">
        <v>22</v>
      </c>
      <c r="Y42" s="3141">
        <v>23</v>
      </c>
      <c r="Z42" s="3141">
        <v>24</v>
      </c>
      <c r="AA42" s="3140">
        <v>25</v>
      </c>
      <c r="AB42" s="3140">
        <v>26</v>
      </c>
      <c r="AC42" s="3141">
        <v>27</v>
      </c>
      <c r="AD42" s="3141">
        <v>28</v>
      </c>
      <c r="AE42" s="3141">
        <v>29</v>
      </c>
      <c r="AF42" s="3141">
        <v>30</v>
      </c>
      <c r="AG42" s="3141">
        <v>31</v>
      </c>
      <c r="AH42" s="110"/>
      <c r="AI42" s="111"/>
      <c r="AL42" t="s">
        <v>0</v>
      </c>
    </row>
    <row r="43" spans="1:38" ht="18" customHeight="1" x14ac:dyDescent="0.2">
      <c r="A43" s="3179">
        <v>1</v>
      </c>
      <c r="B43" s="1552" t="s">
        <v>178</v>
      </c>
      <c r="C43" s="3166"/>
      <c r="D43" s="3164">
        <v>5</v>
      </c>
      <c r="E43" s="3166">
        <v>5</v>
      </c>
      <c r="F43" s="3166"/>
      <c r="G43" s="3166"/>
      <c r="H43" s="3180">
        <v>10</v>
      </c>
      <c r="I43" s="3180">
        <v>10</v>
      </c>
      <c r="J43" s="3180">
        <v>10</v>
      </c>
      <c r="K43" s="3180">
        <v>10</v>
      </c>
      <c r="L43" s="3180">
        <v>10</v>
      </c>
      <c r="M43" s="3180" t="s">
        <v>106</v>
      </c>
      <c r="N43" s="3181" t="s">
        <v>106</v>
      </c>
      <c r="O43" s="3164" t="s">
        <v>50</v>
      </c>
      <c r="P43" s="3166" t="s">
        <v>50</v>
      </c>
      <c r="Q43" s="3165" t="s">
        <v>50</v>
      </c>
      <c r="R43" s="3164" t="s">
        <v>50</v>
      </c>
      <c r="S43" s="3166" t="s">
        <v>50</v>
      </c>
      <c r="T43" s="3166" t="s">
        <v>107</v>
      </c>
      <c r="U43" s="3166" t="s">
        <v>107</v>
      </c>
      <c r="V43" s="3166">
        <v>7</v>
      </c>
      <c r="W43" s="3182">
        <v>7</v>
      </c>
      <c r="X43" s="3183">
        <v>7</v>
      </c>
      <c r="Y43" s="3183">
        <v>7</v>
      </c>
      <c r="Z43" s="3183">
        <v>7</v>
      </c>
      <c r="AA43" s="3166"/>
      <c r="AB43" s="3165"/>
      <c r="AC43" s="3165">
        <v>4</v>
      </c>
      <c r="AD43" s="3165">
        <v>4</v>
      </c>
      <c r="AE43" s="3166">
        <v>4</v>
      </c>
      <c r="AF43" s="3166">
        <v>4</v>
      </c>
      <c r="AG43" s="3184">
        <v>4</v>
      </c>
      <c r="AH43" s="115"/>
      <c r="AI43" s="116"/>
    </row>
    <row r="44" spans="1:38" ht="18" customHeight="1" x14ac:dyDescent="0.2">
      <c r="A44" s="2820">
        <v>6</v>
      </c>
      <c r="B44" s="2722" t="s">
        <v>105</v>
      </c>
      <c r="C44" s="2695">
        <v>3</v>
      </c>
      <c r="D44" s="2695">
        <v>3</v>
      </c>
      <c r="E44" s="2695">
        <v>3</v>
      </c>
      <c r="F44" s="2767"/>
      <c r="G44" s="2767"/>
      <c r="H44" s="2695">
        <v>11</v>
      </c>
      <c r="I44" s="2695">
        <v>11</v>
      </c>
      <c r="J44" s="2695">
        <v>11</v>
      </c>
      <c r="K44" s="2695">
        <v>11</v>
      </c>
      <c r="L44" s="2695">
        <v>11</v>
      </c>
      <c r="M44" s="2695" t="s">
        <v>109</v>
      </c>
      <c r="N44" s="2695" t="s">
        <v>109</v>
      </c>
      <c r="O44" s="2767" t="s">
        <v>50</v>
      </c>
      <c r="P44" s="2767" t="s">
        <v>50</v>
      </c>
      <c r="Q44" s="2767" t="s">
        <v>50</v>
      </c>
      <c r="R44" s="2767" t="s">
        <v>50</v>
      </c>
      <c r="S44" s="2767" t="s">
        <v>50</v>
      </c>
      <c r="T44" s="3042" t="s">
        <v>104</v>
      </c>
      <c r="U44" s="3042" t="s">
        <v>104</v>
      </c>
      <c r="V44" s="2879">
        <v>8</v>
      </c>
      <c r="W44" s="2879">
        <v>8</v>
      </c>
      <c r="X44" s="2879">
        <v>8</v>
      </c>
      <c r="Y44" s="2879">
        <v>8</v>
      </c>
      <c r="Z44" s="2879">
        <v>8</v>
      </c>
      <c r="AA44" s="2767"/>
      <c r="AB44" s="2767"/>
      <c r="AC44" s="2767" t="s">
        <v>50</v>
      </c>
      <c r="AD44" s="2767" t="s">
        <v>50</v>
      </c>
      <c r="AE44" s="2767" t="s">
        <v>50</v>
      </c>
      <c r="AF44" s="2767" t="s">
        <v>50</v>
      </c>
      <c r="AG44" s="2721" t="s">
        <v>50</v>
      </c>
      <c r="AH44" s="115"/>
      <c r="AI44" s="116"/>
    </row>
    <row r="45" spans="1:38" ht="18" customHeight="1" thickBot="1" x14ac:dyDescent="0.25">
      <c r="A45" s="2823">
        <v>11</v>
      </c>
      <c r="B45" s="2743" t="s">
        <v>108</v>
      </c>
      <c r="C45" s="2748">
        <v>1</v>
      </c>
      <c r="D45" s="2748">
        <v>1</v>
      </c>
      <c r="E45" s="2824">
        <v>1</v>
      </c>
      <c r="F45" s="2748"/>
      <c r="G45" s="2748"/>
      <c r="H45" s="2748">
        <v>9</v>
      </c>
      <c r="I45" s="2748">
        <v>9</v>
      </c>
      <c r="J45" s="2748">
        <v>9</v>
      </c>
      <c r="K45" s="2748">
        <v>9</v>
      </c>
      <c r="L45" s="2748">
        <v>9</v>
      </c>
      <c r="M45" s="2828" t="s">
        <v>70</v>
      </c>
      <c r="N45" s="2828" t="s">
        <v>70</v>
      </c>
      <c r="O45" s="2748" t="s">
        <v>50</v>
      </c>
      <c r="P45" s="2748" t="s">
        <v>50</v>
      </c>
      <c r="Q45" s="2748" t="s">
        <v>50</v>
      </c>
      <c r="R45" s="2748" t="s">
        <v>50</v>
      </c>
      <c r="S45" s="2748" t="s">
        <v>50</v>
      </c>
      <c r="T45" s="2745" t="s">
        <v>103</v>
      </c>
      <c r="U45" s="2748" t="s">
        <v>104</v>
      </c>
      <c r="V45" s="2835">
        <v>6</v>
      </c>
      <c r="W45" s="2835">
        <v>6</v>
      </c>
      <c r="X45" s="2835">
        <v>6</v>
      </c>
      <c r="Y45" s="2835">
        <v>6</v>
      </c>
      <c r="Z45" s="2835">
        <v>6</v>
      </c>
      <c r="AA45" s="2748"/>
      <c r="AB45" s="2748"/>
      <c r="AC45" s="2748" t="s">
        <v>50</v>
      </c>
      <c r="AD45" s="2748" t="s">
        <v>50</v>
      </c>
      <c r="AE45" s="2748" t="s">
        <v>50</v>
      </c>
      <c r="AF45" s="2748" t="s">
        <v>50</v>
      </c>
      <c r="AG45" s="2825" t="s">
        <v>50</v>
      </c>
      <c r="AH45" s="115"/>
      <c r="AI45" s="116"/>
    </row>
    <row r="46" spans="1:38" ht="18" customHeight="1" x14ac:dyDescent="0.2">
      <c r="A46" s="3179">
        <v>2</v>
      </c>
      <c r="B46" s="2187" t="s">
        <v>156</v>
      </c>
      <c r="C46" s="3163">
        <v>10</v>
      </c>
      <c r="D46" s="3163">
        <v>10</v>
      </c>
      <c r="E46" s="3163">
        <v>10</v>
      </c>
      <c r="F46" s="3185" t="s">
        <v>106</v>
      </c>
      <c r="G46" s="3185" t="s">
        <v>106</v>
      </c>
      <c r="H46" s="3166" t="s">
        <v>50</v>
      </c>
      <c r="I46" s="3166" t="s">
        <v>50</v>
      </c>
      <c r="J46" s="3164" t="s">
        <v>50</v>
      </c>
      <c r="K46" s="3164" t="s">
        <v>50</v>
      </c>
      <c r="L46" s="3166" t="s">
        <v>50</v>
      </c>
      <c r="M46" s="3166" t="s">
        <v>107</v>
      </c>
      <c r="N46" s="3166" t="s">
        <v>107</v>
      </c>
      <c r="O46" s="3180">
        <v>7</v>
      </c>
      <c r="P46" s="3180">
        <v>7</v>
      </c>
      <c r="Q46" s="3180">
        <v>7</v>
      </c>
      <c r="R46" s="3180">
        <v>7</v>
      </c>
      <c r="S46" s="3180">
        <v>7</v>
      </c>
      <c r="T46" s="3165"/>
      <c r="U46" s="3165"/>
      <c r="V46" s="3165">
        <v>4</v>
      </c>
      <c r="W46" s="3186">
        <v>4</v>
      </c>
      <c r="X46" s="3186">
        <v>4</v>
      </c>
      <c r="Y46" s="3187">
        <v>4</v>
      </c>
      <c r="Z46" s="3187" t="s">
        <v>512</v>
      </c>
      <c r="AA46" s="3166"/>
      <c r="AB46" s="3166"/>
      <c r="AC46" s="3165">
        <v>3</v>
      </c>
      <c r="AD46" s="3165">
        <v>3</v>
      </c>
      <c r="AE46" s="3166">
        <v>3</v>
      </c>
      <c r="AF46" s="3180">
        <v>3</v>
      </c>
      <c r="AG46" s="3188">
        <v>3</v>
      </c>
      <c r="AH46" s="115"/>
      <c r="AI46" s="116"/>
    </row>
    <row r="47" spans="1:38" ht="18" customHeight="1" x14ac:dyDescent="0.2">
      <c r="A47" s="2820">
        <v>7</v>
      </c>
      <c r="B47" s="2722" t="s">
        <v>114</v>
      </c>
      <c r="C47" s="3189">
        <v>11</v>
      </c>
      <c r="D47" s="2730">
        <v>11</v>
      </c>
      <c r="E47" s="2730">
        <v>11</v>
      </c>
      <c r="F47" s="2730" t="s">
        <v>109</v>
      </c>
      <c r="G47" s="2445" t="s">
        <v>109</v>
      </c>
      <c r="H47" s="2731" t="s">
        <v>50</v>
      </c>
      <c r="I47" s="2731" t="s">
        <v>50</v>
      </c>
      <c r="J47" s="2731" t="s">
        <v>50</v>
      </c>
      <c r="K47" s="2731" t="s">
        <v>50</v>
      </c>
      <c r="L47" s="2731" t="s">
        <v>50</v>
      </c>
      <c r="M47" s="2731" t="s">
        <v>53</v>
      </c>
      <c r="N47" s="2731" t="s">
        <v>53</v>
      </c>
      <c r="O47" s="2731">
        <v>8</v>
      </c>
      <c r="P47" s="2731">
        <v>8</v>
      </c>
      <c r="Q47" s="2731">
        <v>8</v>
      </c>
      <c r="R47" s="2731">
        <v>8</v>
      </c>
      <c r="S47" s="2731">
        <v>8</v>
      </c>
      <c r="T47" s="2731"/>
      <c r="U47" s="2731"/>
      <c r="V47" s="2731" t="s">
        <v>50</v>
      </c>
      <c r="W47" s="2731" t="s">
        <v>50</v>
      </c>
      <c r="X47" s="2731" t="s">
        <v>50</v>
      </c>
      <c r="Y47" s="2731" t="s">
        <v>50</v>
      </c>
      <c r="Z47" s="2731" t="s">
        <v>102</v>
      </c>
      <c r="AA47" s="3068"/>
      <c r="AB47" s="3068"/>
      <c r="AC47" s="3068">
        <v>1</v>
      </c>
      <c r="AD47" s="3068">
        <v>1</v>
      </c>
      <c r="AE47" s="3068">
        <v>1</v>
      </c>
      <c r="AF47" s="3068">
        <v>1</v>
      </c>
      <c r="AG47" s="3190" t="s">
        <v>50</v>
      </c>
      <c r="AH47" s="115"/>
      <c r="AI47" s="116"/>
    </row>
    <row r="48" spans="1:38" ht="18" customHeight="1" x14ac:dyDescent="0.2">
      <c r="A48" s="2823">
        <v>12</v>
      </c>
      <c r="B48" s="2830" t="s">
        <v>115</v>
      </c>
      <c r="C48" s="2828">
        <v>9</v>
      </c>
      <c r="D48" s="2828">
        <v>9</v>
      </c>
      <c r="E48" s="2828">
        <v>9</v>
      </c>
      <c r="F48" s="2828" t="s">
        <v>70</v>
      </c>
      <c r="G48" s="2828" t="s">
        <v>70</v>
      </c>
      <c r="H48" s="2828" t="s">
        <v>50</v>
      </c>
      <c r="I48" s="2828" t="s">
        <v>50</v>
      </c>
      <c r="J48" s="2828" t="s">
        <v>50</v>
      </c>
      <c r="K48" s="2828" t="s">
        <v>50</v>
      </c>
      <c r="L48" s="2828" t="s">
        <v>50</v>
      </c>
      <c r="M48" s="2828" t="s">
        <v>103</v>
      </c>
      <c r="N48" s="2828" t="s">
        <v>104</v>
      </c>
      <c r="O48" s="2828">
        <v>6</v>
      </c>
      <c r="P48" s="2828">
        <v>6</v>
      </c>
      <c r="Q48" s="2828">
        <v>6</v>
      </c>
      <c r="R48" s="2828">
        <v>6</v>
      </c>
      <c r="S48" s="2749">
        <v>6</v>
      </c>
      <c r="T48" s="2749" t="s">
        <v>109</v>
      </c>
      <c r="U48" s="2749" t="s">
        <v>109</v>
      </c>
      <c r="V48" s="2828" t="s">
        <v>50</v>
      </c>
      <c r="W48" s="2828" t="s">
        <v>50</v>
      </c>
      <c r="X48" s="2828" t="s">
        <v>50</v>
      </c>
      <c r="Y48" s="2828" t="s">
        <v>50</v>
      </c>
      <c r="Z48" s="2828" t="s">
        <v>50</v>
      </c>
      <c r="AA48" s="2828"/>
      <c r="AB48" s="2828"/>
      <c r="AC48" s="2828">
        <v>5</v>
      </c>
      <c r="AD48" s="2828">
        <v>5</v>
      </c>
      <c r="AE48" s="2828">
        <v>5</v>
      </c>
      <c r="AF48" s="2828">
        <v>5</v>
      </c>
      <c r="AG48" s="3028">
        <v>5</v>
      </c>
      <c r="AH48" s="115"/>
      <c r="AI48" s="116"/>
    </row>
    <row r="49" spans="1:40" ht="18" customHeight="1" x14ac:dyDescent="0.2">
      <c r="A49" s="3179">
        <v>3</v>
      </c>
      <c r="B49" s="3191" t="s">
        <v>116</v>
      </c>
      <c r="C49" s="711" t="s">
        <v>50</v>
      </c>
      <c r="D49" s="597" t="s">
        <v>50</v>
      </c>
      <c r="E49" s="712" t="s">
        <v>50</v>
      </c>
      <c r="F49" s="712" t="s">
        <v>107</v>
      </c>
      <c r="G49" s="712" t="s">
        <v>107</v>
      </c>
      <c r="H49" s="712">
        <v>7</v>
      </c>
      <c r="I49" s="712">
        <v>7</v>
      </c>
      <c r="J49" s="597">
        <v>7</v>
      </c>
      <c r="K49" s="597">
        <v>7</v>
      </c>
      <c r="L49" s="597">
        <v>7</v>
      </c>
      <c r="M49" s="597"/>
      <c r="N49" s="597"/>
      <c r="O49" s="597">
        <v>4</v>
      </c>
      <c r="P49" s="597">
        <v>4</v>
      </c>
      <c r="Q49" s="597">
        <v>4</v>
      </c>
      <c r="R49" s="712">
        <v>4</v>
      </c>
      <c r="S49" s="712">
        <v>4</v>
      </c>
      <c r="T49" s="712"/>
      <c r="U49" s="712"/>
      <c r="V49" s="597">
        <v>3</v>
      </c>
      <c r="W49" s="597">
        <v>3</v>
      </c>
      <c r="X49" s="711">
        <v>3</v>
      </c>
      <c r="Y49" s="712">
        <v>3</v>
      </c>
      <c r="Z49" s="712">
        <v>3</v>
      </c>
      <c r="AA49" s="712"/>
      <c r="AB49" s="712"/>
      <c r="AC49" s="1784">
        <v>11</v>
      </c>
      <c r="AD49" s="1784">
        <v>11</v>
      </c>
      <c r="AE49" s="1784">
        <v>11</v>
      </c>
      <c r="AF49" s="1784">
        <v>11</v>
      </c>
      <c r="AG49" s="3192">
        <v>11</v>
      </c>
      <c r="AH49" s="115"/>
      <c r="AI49" s="116"/>
    </row>
    <row r="50" spans="1:40" ht="18" customHeight="1" x14ac:dyDescent="0.2">
      <c r="A50" s="2820">
        <v>8</v>
      </c>
      <c r="B50" s="2722" t="s">
        <v>117</v>
      </c>
      <c r="C50" s="2734" t="s">
        <v>50</v>
      </c>
      <c r="D50" s="2734" t="s">
        <v>50</v>
      </c>
      <c r="E50" s="2734" t="s">
        <v>50</v>
      </c>
      <c r="F50" s="2734" t="s">
        <v>104</v>
      </c>
      <c r="G50" s="2734" t="s">
        <v>104</v>
      </c>
      <c r="H50" s="2734">
        <v>8</v>
      </c>
      <c r="I50" s="2725">
        <v>8</v>
      </c>
      <c r="J50" s="2734">
        <v>8</v>
      </c>
      <c r="K50" s="2444">
        <v>8</v>
      </c>
      <c r="L50" s="2444">
        <v>8</v>
      </c>
      <c r="M50" s="2444" t="s">
        <v>405</v>
      </c>
      <c r="N50" s="2879"/>
      <c r="O50" s="2734" t="s">
        <v>50</v>
      </c>
      <c r="P50" s="2734" t="s">
        <v>50</v>
      </c>
      <c r="Q50" s="2734" t="s">
        <v>50</v>
      </c>
      <c r="R50" s="2734" t="s">
        <v>50</v>
      </c>
      <c r="S50" s="2734" t="s">
        <v>50</v>
      </c>
      <c r="T50" s="2734"/>
      <c r="U50" s="2734"/>
      <c r="V50" s="2738">
        <v>1</v>
      </c>
      <c r="W50" s="2738">
        <v>1</v>
      </c>
      <c r="X50" s="2718">
        <v>1</v>
      </c>
      <c r="Y50" s="2738">
        <v>1</v>
      </c>
      <c r="Z50" s="2738">
        <v>1</v>
      </c>
      <c r="AA50" s="2738"/>
      <c r="AB50" s="2738"/>
      <c r="AC50" s="2738">
        <v>9</v>
      </c>
      <c r="AD50" s="2723">
        <v>9</v>
      </c>
      <c r="AE50" s="2723">
        <v>9</v>
      </c>
      <c r="AF50" s="2827">
        <v>9</v>
      </c>
      <c r="AG50" s="2829">
        <v>9</v>
      </c>
      <c r="AH50" s="115"/>
      <c r="AI50" s="116"/>
    </row>
    <row r="51" spans="1:40" ht="18" customHeight="1" x14ac:dyDescent="0.2">
      <c r="A51" s="2823">
        <v>13</v>
      </c>
      <c r="B51" s="2743" t="s">
        <v>118</v>
      </c>
      <c r="C51" s="2783" t="s">
        <v>50</v>
      </c>
      <c r="D51" s="2783" t="s">
        <v>50</v>
      </c>
      <c r="E51" s="2748" t="s">
        <v>50</v>
      </c>
      <c r="F51" s="2748" t="s">
        <v>103</v>
      </c>
      <c r="G51" s="2748" t="s">
        <v>104</v>
      </c>
      <c r="H51" s="2835">
        <v>6</v>
      </c>
      <c r="I51" s="2835">
        <v>6</v>
      </c>
      <c r="J51" s="2835">
        <v>6</v>
      </c>
      <c r="K51" s="2835">
        <v>6</v>
      </c>
      <c r="L51" s="2835">
        <v>6</v>
      </c>
      <c r="M51" s="2748"/>
      <c r="N51" s="2751"/>
      <c r="O51" s="2751" t="s">
        <v>50</v>
      </c>
      <c r="P51" s="2751" t="s">
        <v>50</v>
      </c>
      <c r="Q51" s="2748" t="s">
        <v>50</v>
      </c>
      <c r="R51" s="2748" t="s">
        <v>50</v>
      </c>
      <c r="S51" s="2748" t="s">
        <v>50</v>
      </c>
      <c r="T51" s="2748"/>
      <c r="U51" s="2748"/>
      <c r="V51" s="2748">
        <v>5</v>
      </c>
      <c r="W51" s="2748">
        <v>5</v>
      </c>
      <c r="X51" s="2748">
        <v>5</v>
      </c>
      <c r="Y51" s="2783">
        <v>5</v>
      </c>
      <c r="Z51" s="2748">
        <v>5</v>
      </c>
      <c r="AA51" s="2748"/>
      <c r="AB51" s="2748"/>
      <c r="AC51" s="2835">
        <v>10</v>
      </c>
      <c r="AD51" s="2835">
        <v>10</v>
      </c>
      <c r="AE51" s="2835">
        <v>10</v>
      </c>
      <c r="AF51" s="2835">
        <v>10</v>
      </c>
      <c r="AG51" s="2837">
        <v>10</v>
      </c>
      <c r="AH51" s="115"/>
      <c r="AI51" s="116"/>
    </row>
    <row r="52" spans="1:40" ht="18" customHeight="1" x14ac:dyDescent="0.2">
      <c r="A52" s="3179">
        <v>4</v>
      </c>
      <c r="B52" s="3161" t="s">
        <v>119</v>
      </c>
      <c r="C52" s="3166">
        <v>7</v>
      </c>
      <c r="D52" s="3165">
        <v>7</v>
      </c>
      <c r="E52" s="3166">
        <v>7</v>
      </c>
      <c r="F52" s="3164"/>
      <c r="G52" s="3164"/>
      <c r="H52" s="3193">
        <v>4</v>
      </c>
      <c r="I52" s="3193">
        <v>4</v>
      </c>
      <c r="J52" s="3193">
        <v>4</v>
      </c>
      <c r="K52" s="3193">
        <v>4</v>
      </c>
      <c r="L52" s="3193">
        <v>4</v>
      </c>
      <c r="M52" s="3164"/>
      <c r="N52" s="3166"/>
      <c r="O52" s="3194">
        <v>3</v>
      </c>
      <c r="P52" s="3194">
        <v>3</v>
      </c>
      <c r="Q52" s="3194">
        <v>3</v>
      </c>
      <c r="R52" s="3194">
        <v>3</v>
      </c>
      <c r="S52" s="3194">
        <v>3</v>
      </c>
      <c r="T52" s="3166"/>
      <c r="U52" s="3166"/>
      <c r="V52" s="3185">
        <v>11</v>
      </c>
      <c r="W52" s="3185">
        <v>11</v>
      </c>
      <c r="X52" s="3185">
        <v>11</v>
      </c>
      <c r="Y52" s="3185">
        <v>11</v>
      </c>
      <c r="Z52" s="3185">
        <v>11</v>
      </c>
      <c r="AA52" s="2738" t="s">
        <v>109</v>
      </c>
      <c r="AB52" s="2738" t="s">
        <v>109</v>
      </c>
      <c r="AC52" s="3166" t="s">
        <v>50</v>
      </c>
      <c r="AD52" s="3166" t="s">
        <v>50</v>
      </c>
      <c r="AE52" s="3165" t="s">
        <v>50</v>
      </c>
      <c r="AF52" s="3166" t="s">
        <v>50</v>
      </c>
      <c r="AG52" s="3184" t="s">
        <v>50</v>
      </c>
      <c r="AH52" s="115"/>
      <c r="AI52" s="116"/>
    </row>
    <row r="53" spans="1:40" ht="18" customHeight="1" x14ac:dyDescent="0.2">
      <c r="A53" s="2820">
        <v>9</v>
      </c>
      <c r="B53" s="2722" t="s">
        <v>120</v>
      </c>
      <c r="C53" s="2738">
        <v>8</v>
      </c>
      <c r="D53" s="2738">
        <v>8</v>
      </c>
      <c r="E53" s="2738">
        <v>8</v>
      </c>
      <c r="F53" s="2738"/>
      <c r="G53" s="2738"/>
      <c r="H53" s="2738" t="s">
        <v>50</v>
      </c>
      <c r="I53" s="2738" t="s">
        <v>50</v>
      </c>
      <c r="J53" s="2738" t="s">
        <v>50</v>
      </c>
      <c r="K53" s="2738" t="s">
        <v>50</v>
      </c>
      <c r="L53" s="2738" t="s">
        <v>50</v>
      </c>
      <c r="M53" s="2738"/>
      <c r="N53" s="2738"/>
      <c r="O53" s="3029">
        <v>1</v>
      </c>
      <c r="P53" s="3029">
        <v>1</v>
      </c>
      <c r="Q53" s="2451">
        <v>1</v>
      </c>
      <c r="R53" s="3195">
        <v>1</v>
      </c>
      <c r="S53" s="3195">
        <v>1</v>
      </c>
      <c r="T53" s="2739"/>
      <c r="U53" s="2739"/>
      <c r="V53" s="2738">
        <v>9</v>
      </c>
      <c r="W53" s="2738">
        <v>9</v>
      </c>
      <c r="X53" s="2738">
        <v>9</v>
      </c>
      <c r="Y53" s="2738">
        <v>9</v>
      </c>
      <c r="Z53" s="2738">
        <v>9</v>
      </c>
      <c r="AA53" s="2738" t="s">
        <v>70</v>
      </c>
      <c r="AB53" s="2828" t="s">
        <v>70</v>
      </c>
      <c r="AC53" s="2738" t="s">
        <v>50</v>
      </c>
      <c r="AD53" s="2738" t="s">
        <v>50</v>
      </c>
      <c r="AE53" s="2738" t="s">
        <v>50</v>
      </c>
      <c r="AF53" s="2738" t="s">
        <v>50</v>
      </c>
      <c r="AG53" s="2829" t="s">
        <v>50</v>
      </c>
      <c r="AH53" s="115"/>
      <c r="AI53" s="116"/>
    </row>
    <row r="54" spans="1:40" ht="18" customHeight="1" x14ac:dyDescent="0.2">
      <c r="A54" s="2823">
        <v>14</v>
      </c>
      <c r="B54" s="2743" t="s">
        <v>121</v>
      </c>
      <c r="C54" s="3021">
        <v>6</v>
      </c>
      <c r="D54" s="2748">
        <v>6</v>
      </c>
      <c r="E54" s="2748">
        <v>6</v>
      </c>
      <c r="F54" s="3032" t="s">
        <v>109</v>
      </c>
      <c r="G54" s="3031" t="s">
        <v>109</v>
      </c>
      <c r="H54" s="2751" t="s">
        <v>50</v>
      </c>
      <c r="I54" s="2751" t="s">
        <v>50</v>
      </c>
      <c r="J54" s="2748" t="s">
        <v>50</v>
      </c>
      <c r="K54" s="2748" t="s">
        <v>50</v>
      </c>
      <c r="L54" s="2748" t="s">
        <v>50</v>
      </c>
      <c r="M54" s="2748"/>
      <c r="N54" s="2748"/>
      <c r="O54" s="2783">
        <v>5</v>
      </c>
      <c r="P54" s="2783">
        <v>5</v>
      </c>
      <c r="Q54" s="2783">
        <v>5</v>
      </c>
      <c r="R54" s="2783">
        <v>5</v>
      </c>
      <c r="S54" s="2783">
        <v>5</v>
      </c>
      <c r="T54" s="2748"/>
      <c r="U54" s="2748"/>
      <c r="V54" s="2748">
        <v>10</v>
      </c>
      <c r="W54" s="2748">
        <v>10</v>
      </c>
      <c r="X54" s="2783">
        <v>10</v>
      </c>
      <c r="Y54" s="2748">
        <v>10</v>
      </c>
      <c r="Z54" s="2748">
        <v>10</v>
      </c>
      <c r="AA54" s="2748" t="s">
        <v>106</v>
      </c>
      <c r="AB54" s="2748" t="s">
        <v>106</v>
      </c>
      <c r="AC54" s="2783" t="s">
        <v>50</v>
      </c>
      <c r="AD54" s="2748" t="s">
        <v>50</v>
      </c>
      <c r="AE54" s="2748" t="s">
        <v>50</v>
      </c>
      <c r="AF54" s="2783" t="s">
        <v>50</v>
      </c>
      <c r="AG54" s="2784" t="s">
        <v>50</v>
      </c>
      <c r="AH54" s="115"/>
      <c r="AI54" s="116"/>
      <c r="AK54" t="s">
        <v>0</v>
      </c>
    </row>
    <row r="55" spans="1:40" ht="18" customHeight="1" x14ac:dyDescent="0.2">
      <c r="A55" s="3179">
        <v>5</v>
      </c>
      <c r="B55" s="2722" t="s">
        <v>122</v>
      </c>
      <c r="C55" s="3164">
        <v>4</v>
      </c>
      <c r="D55" s="3164">
        <v>4</v>
      </c>
      <c r="E55" s="3164">
        <v>4</v>
      </c>
      <c r="F55" s="3185"/>
      <c r="G55" s="3165"/>
      <c r="H55" s="3165">
        <v>3</v>
      </c>
      <c r="I55" s="3165">
        <v>3</v>
      </c>
      <c r="J55" s="3165">
        <v>3</v>
      </c>
      <c r="K55" s="3166">
        <v>3</v>
      </c>
      <c r="L55" s="3166">
        <v>3</v>
      </c>
      <c r="M55" s="3166"/>
      <c r="N55" s="3196"/>
      <c r="O55" s="3164">
        <v>11</v>
      </c>
      <c r="P55" s="3166">
        <v>11</v>
      </c>
      <c r="Q55" s="3166">
        <v>11</v>
      </c>
      <c r="R55" s="3164">
        <v>11</v>
      </c>
      <c r="S55" s="3187">
        <v>11</v>
      </c>
      <c r="T55" s="3187" t="s">
        <v>109</v>
      </c>
      <c r="U55" s="3186" t="s">
        <v>109</v>
      </c>
      <c r="V55" s="3197" t="s">
        <v>50</v>
      </c>
      <c r="W55" s="3197" t="s">
        <v>50</v>
      </c>
      <c r="X55" s="3197" t="s">
        <v>50</v>
      </c>
      <c r="Y55" s="3198" t="s">
        <v>102</v>
      </c>
      <c r="Z55" s="3165" t="s">
        <v>50</v>
      </c>
      <c r="AA55" s="3165" t="s">
        <v>104</v>
      </c>
      <c r="AB55" s="3165" t="s">
        <v>104</v>
      </c>
      <c r="AC55" s="3165">
        <v>8</v>
      </c>
      <c r="AD55" s="3180">
        <v>8</v>
      </c>
      <c r="AE55" s="3180">
        <v>8</v>
      </c>
      <c r="AF55" s="3180">
        <v>8</v>
      </c>
      <c r="AG55" s="3188">
        <v>8</v>
      </c>
      <c r="AH55" s="115"/>
      <c r="AI55" s="116"/>
    </row>
    <row r="56" spans="1:40" ht="18" customHeight="1" x14ac:dyDescent="0.2">
      <c r="A56" s="2820">
        <v>10</v>
      </c>
      <c r="B56" s="2722" t="s">
        <v>123</v>
      </c>
      <c r="C56" s="2723" t="s">
        <v>50</v>
      </c>
      <c r="D56" s="2723" t="s">
        <v>50</v>
      </c>
      <c r="E56" s="2723" t="s">
        <v>50</v>
      </c>
      <c r="F56" s="2723"/>
      <c r="G56" s="2725"/>
      <c r="H56" s="2779">
        <v>1</v>
      </c>
      <c r="I56" s="2779">
        <v>1</v>
      </c>
      <c r="J56" s="2779">
        <v>1</v>
      </c>
      <c r="K56" s="2725">
        <v>1</v>
      </c>
      <c r="L56" s="2725">
        <v>1</v>
      </c>
      <c r="M56" s="2725"/>
      <c r="N56" s="2725"/>
      <c r="O56" s="2779">
        <v>9</v>
      </c>
      <c r="P56" s="2779">
        <v>9</v>
      </c>
      <c r="Q56" s="2779">
        <v>9</v>
      </c>
      <c r="R56" s="2779">
        <v>9</v>
      </c>
      <c r="S56" s="2779">
        <v>9</v>
      </c>
      <c r="T56" s="2779" t="s">
        <v>70</v>
      </c>
      <c r="U56" s="2835" t="s">
        <v>70</v>
      </c>
      <c r="V56" s="2734" t="s">
        <v>50</v>
      </c>
      <c r="W56" s="2734" t="s">
        <v>50</v>
      </c>
      <c r="X56" s="2734" t="s">
        <v>50</v>
      </c>
      <c r="Y56" s="2734" t="s">
        <v>50</v>
      </c>
      <c r="Z56" s="2734" t="s">
        <v>50</v>
      </c>
      <c r="AA56" s="2734" t="s">
        <v>103</v>
      </c>
      <c r="AB56" s="2734" t="s">
        <v>104</v>
      </c>
      <c r="AC56" s="2739">
        <v>6</v>
      </c>
      <c r="AD56" s="2739">
        <v>6</v>
      </c>
      <c r="AE56" s="2739">
        <v>6</v>
      </c>
      <c r="AF56" s="2739">
        <v>6</v>
      </c>
      <c r="AG56" s="2822">
        <v>6</v>
      </c>
      <c r="AH56" s="115"/>
      <c r="AI56" s="116"/>
    </row>
    <row r="57" spans="1:40" ht="18" customHeight="1" x14ac:dyDescent="0.2">
      <c r="A57" s="2823">
        <v>15</v>
      </c>
      <c r="B57" s="2743" t="s">
        <v>124</v>
      </c>
      <c r="C57" s="2748" t="s">
        <v>50</v>
      </c>
      <c r="D57" s="2748" t="s">
        <v>50</v>
      </c>
      <c r="E57" s="2748" t="s">
        <v>50</v>
      </c>
      <c r="F57" s="2751"/>
      <c r="G57" s="2751"/>
      <c r="H57" s="2751">
        <v>5</v>
      </c>
      <c r="I57" s="2751">
        <v>5</v>
      </c>
      <c r="J57" s="2751">
        <v>5</v>
      </c>
      <c r="K57" s="2783">
        <v>5</v>
      </c>
      <c r="L57" s="2748">
        <v>5</v>
      </c>
      <c r="M57" s="2748"/>
      <c r="N57" s="2748"/>
      <c r="O57" s="2828">
        <v>10</v>
      </c>
      <c r="P57" s="2828">
        <v>10</v>
      </c>
      <c r="Q57" s="2828">
        <v>10</v>
      </c>
      <c r="R57" s="2828">
        <v>10</v>
      </c>
      <c r="S57" s="2828">
        <v>10</v>
      </c>
      <c r="T57" s="2828" t="s">
        <v>106</v>
      </c>
      <c r="U57" s="2828" t="s">
        <v>106</v>
      </c>
      <c r="V57" s="2748" t="s">
        <v>50</v>
      </c>
      <c r="W57" s="2748" t="s">
        <v>50</v>
      </c>
      <c r="X57" s="2748" t="s">
        <v>50</v>
      </c>
      <c r="Y57" s="2783" t="s">
        <v>50</v>
      </c>
      <c r="Z57" s="2748" t="s">
        <v>50</v>
      </c>
      <c r="AA57" s="2748" t="s">
        <v>107</v>
      </c>
      <c r="AB57" s="2748" t="s">
        <v>107</v>
      </c>
      <c r="AC57" s="2748">
        <v>7</v>
      </c>
      <c r="AD57" s="2748">
        <v>7</v>
      </c>
      <c r="AE57" s="2783">
        <v>7</v>
      </c>
      <c r="AF57" s="2783">
        <v>7</v>
      </c>
      <c r="AG57" s="3005">
        <v>7</v>
      </c>
      <c r="AH57" s="115"/>
      <c r="AI57" s="116"/>
    </row>
    <row r="58" spans="1:40" ht="18" customHeight="1" x14ac:dyDescent="0.2">
      <c r="A58" s="62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1"/>
    </row>
    <row r="59" spans="1:40" ht="18" customHeight="1" x14ac:dyDescent="0.2">
      <c r="A59" s="69"/>
      <c r="B59" s="42" t="s">
        <v>125</v>
      </c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1"/>
    </row>
    <row r="60" spans="1:40" ht="18" customHeight="1" x14ac:dyDescent="0.2">
      <c r="A60" s="2696" t="s">
        <v>43</v>
      </c>
      <c r="B60" s="2696"/>
      <c r="C60" s="2695"/>
      <c r="D60" s="2696" t="s">
        <v>17</v>
      </c>
      <c r="E60" s="2694"/>
      <c r="F60" s="2691"/>
      <c r="G60" s="2696" t="s">
        <v>18</v>
      </c>
      <c r="H60" s="2694"/>
      <c r="I60" s="2691"/>
      <c r="J60" s="2696" t="s">
        <v>19</v>
      </c>
      <c r="K60" s="2694"/>
      <c r="L60" s="2695"/>
      <c r="M60" s="2696" t="s">
        <v>20</v>
      </c>
      <c r="N60" s="2694"/>
      <c r="O60" s="2695"/>
      <c r="P60" s="2696" t="s">
        <v>21</v>
      </c>
      <c r="Q60" s="2694"/>
      <c r="R60" s="2691"/>
      <c r="S60" s="2692" t="s">
        <v>22</v>
      </c>
      <c r="T60" s="2694"/>
      <c r="U60" s="2695"/>
      <c r="V60" s="2696" t="s">
        <v>23</v>
      </c>
      <c r="W60" s="2694"/>
      <c r="X60" s="2851" t="s">
        <v>126</v>
      </c>
      <c r="Y60" s="2694"/>
      <c r="Z60" s="2694"/>
      <c r="AA60" s="2852"/>
      <c r="AB60" s="2686"/>
      <c r="AC60" s="2686"/>
      <c r="AD60" s="2686"/>
      <c r="AE60" s="2686"/>
      <c r="AF60" s="2686"/>
      <c r="AG60" s="2687"/>
      <c r="AH60" s="1"/>
    </row>
    <row r="61" spans="1:40" ht="18" customHeight="1" x14ac:dyDescent="0.2">
      <c r="B61" s="2854" t="s">
        <v>131</v>
      </c>
      <c r="C61" s="3199" t="s">
        <v>132</v>
      </c>
      <c r="D61" s="2856"/>
      <c r="E61" s="2856"/>
      <c r="F61" s="3199" t="s">
        <v>132</v>
      </c>
      <c r="G61" s="2856"/>
      <c r="H61" s="2856"/>
      <c r="I61" s="3199" t="s">
        <v>132</v>
      </c>
      <c r="J61" s="2856"/>
      <c r="K61" s="2861"/>
      <c r="L61" s="2855" t="s">
        <v>132</v>
      </c>
      <c r="M61" s="2856"/>
      <c r="N61" s="2861"/>
      <c r="O61" s="2855" t="s">
        <v>133</v>
      </c>
      <c r="P61" s="2856"/>
      <c r="Q61" s="2685"/>
      <c r="R61" s="2862" t="s">
        <v>0</v>
      </c>
      <c r="S61" s="2856"/>
      <c r="T61" s="2861"/>
      <c r="U61" s="2856" t="s">
        <v>0</v>
      </c>
      <c r="V61" s="2856"/>
      <c r="W61" s="2685"/>
      <c r="X61" s="2176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40" ht="18" customHeight="1" thickBot="1" x14ac:dyDescent="0.25">
      <c r="A62" s="37"/>
      <c r="B62" s="62"/>
      <c r="C62" s="46"/>
      <c r="D62" s="46"/>
      <c r="E62" s="6"/>
      <c r="F62" s="46"/>
      <c r="G62" s="46"/>
      <c r="H62" s="6"/>
      <c r="I62" s="46"/>
      <c r="J62" s="46"/>
      <c r="K62" s="6"/>
      <c r="L62" s="46"/>
      <c r="M62" s="46"/>
      <c r="N62" s="6"/>
      <c r="O62" s="46"/>
      <c r="P62" s="46"/>
      <c r="Q62" s="6"/>
      <c r="R62" s="46"/>
      <c r="S62" s="46"/>
      <c r="T62" s="6"/>
      <c r="U62" s="46"/>
      <c r="V62" s="46"/>
      <c r="W62" s="6"/>
      <c r="X62" s="6"/>
      <c r="Y62" s="48"/>
      <c r="Z62" s="48"/>
      <c r="AA62" s="48"/>
      <c r="AB62" s="48"/>
      <c r="AC62" s="48"/>
      <c r="AD62" s="48"/>
      <c r="AE62" s="48"/>
      <c r="AF62" s="48"/>
      <c r="AG62" s="48"/>
      <c r="AH62" s="1"/>
    </row>
    <row r="63" spans="1:40" ht="18" customHeight="1" thickBot="1" x14ac:dyDescent="0.25">
      <c r="A63" s="2435"/>
      <c r="B63" s="2436" t="s">
        <v>44</v>
      </c>
      <c r="C63" s="3140">
        <v>1</v>
      </c>
      <c r="D63" s="3141">
        <v>2</v>
      </c>
      <c r="E63" s="3141">
        <v>3</v>
      </c>
      <c r="F63" s="3140">
        <v>4</v>
      </c>
      <c r="G63" s="3140">
        <v>5</v>
      </c>
      <c r="H63" s="3141">
        <v>6</v>
      </c>
      <c r="I63" s="3141">
        <v>7</v>
      </c>
      <c r="J63" s="3141">
        <v>8</v>
      </c>
      <c r="K63" s="3141">
        <v>9</v>
      </c>
      <c r="L63" s="3141">
        <v>10</v>
      </c>
      <c r="M63" s="3140">
        <v>11</v>
      </c>
      <c r="N63" s="3140">
        <v>12</v>
      </c>
      <c r="O63" s="3141">
        <v>13</v>
      </c>
      <c r="P63" s="3141">
        <v>14</v>
      </c>
      <c r="Q63" s="3141">
        <v>15</v>
      </c>
      <c r="R63" s="3141">
        <v>16</v>
      </c>
      <c r="S63" s="3141">
        <v>17</v>
      </c>
      <c r="T63" s="3140">
        <v>18</v>
      </c>
      <c r="U63" s="3140">
        <v>19</v>
      </c>
      <c r="V63" s="3141">
        <v>20</v>
      </c>
      <c r="W63" s="3141">
        <v>21</v>
      </c>
      <c r="X63" s="3141">
        <v>22</v>
      </c>
      <c r="Y63" s="3141">
        <v>23</v>
      </c>
      <c r="Z63" s="3141">
        <v>24</v>
      </c>
      <c r="AA63" s="3140">
        <v>25</v>
      </c>
      <c r="AB63" s="3140">
        <v>26</v>
      </c>
      <c r="AC63" s="3141">
        <v>27</v>
      </c>
      <c r="AD63" s="3141">
        <v>28</v>
      </c>
      <c r="AE63" s="3141">
        <v>29</v>
      </c>
      <c r="AF63" s="3141">
        <v>30</v>
      </c>
      <c r="AG63" s="3141">
        <v>31</v>
      </c>
      <c r="AH63" s="1"/>
      <c r="AJ63" s="1151" t="s">
        <v>41</v>
      </c>
      <c r="AK63" s="1151" t="s">
        <v>62</v>
      </c>
      <c r="AL63" s="1151" t="s">
        <v>63</v>
      </c>
      <c r="AM63" s="1151" t="s">
        <v>64</v>
      </c>
      <c r="AN63" s="1151" t="s">
        <v>65</v>
      </c>
    </row>
    <row r="64" spans="1:40" ht="18" customHeight="1" x14ac:dyDescent="0.2">
      <c r="A64" s="748"/>
      <c r="B64" s="1912" t="s">
        <v>146</v>
      </c>
      <c r="C64" s="2718"/>
      <c r="D64" s="2718" t="s">
        <v>50</v>
      </c>
      <c r="E64" s="2718" t="s">
        <v>50</v>
      </c>
      <c r="F64" s="2718"/>
      <c r="G64" s="2718"/>
      <c r="H64" s="2731" t="s">
        <v>475</v>
      </c>
      <c r="I64" s="2731" t="s">
        <v>475</v>
      </c>
      <c r="J64" s="2731" t="s">
        <v>475</v>
      </c>
      <c r="K64" s="2731" t="s">
        <v>475</v>
      </c>
      <c r="L64" s="2731" t="s">
        <v>475</v>
      </c>
      <c r="M64" s="2731" t="s">
        <v>475</v>
      </c>
      <c r="N64" s="2731" t="s">
        <v>475</v>
      </c>
      <c r="O64" s="2731" t="s">
        <v>50</v>
      </c>
      <c r="P64" s="2731" t="s">
        <v>50</v>
      </c>
      <c r="Q64" s="2731" t="s">
        <v>50</v>
      </c>
      <c r="R64" s="2731" t="s">
        <v>50</v>
      </c>
      <c r="S64" s="2731" t="s">
        <v>50</v>
      </c>
      <c r="T64" s="2731"/>
      <c r="U64" s="2731"/>
      <c r="V64" s="2731" t="s">
        <v>475</v>
      </c>
      <c r="W64" s="2731" t="s">
        <v>475</v>
      </c>
      <c r="X64" s="2731" t="s">
        <v>475</v>
      </c>
      <c r="Y64" s="2731" t="s">
        <v>475</v>
      </c>
      <c r="Z64" s="2731" t="s">
        <v>475</v>
      </c>
      <c r="AA64" s="2731" t="s">
        <v>0</v>
      </c>
      <c r="AB64" s="2731" t="s">
        <v>0</v>
      </c>
      <c r="AC64" s="2731" t="s">
        <v>50</v>
      </c>
      <c r="AD64" s="2731" t="s">
        <v>50</v>
      </c>
      <c r="AE64" s="2731" t="s">
        <v>50</v>
      </c>
      <c r="AF64" s="2731" t="s">
        <v>50</v>
      </c>
      <c r="AG64" s="2731" t="s">
        <v>50</v>
      </c>
      <c r="AH64" s="1"/>
      <c r="AJ64" s="638">
        <f t="shared" ref="AJ64:AJ84" si="0">$AJ$12</f>
        <v>160.33000000000001</v>
      </c>
      <c r="AK64" s="638"/>
      <c r="AL64" s="638">
        <f t="shared" ref="AL64:AL84" si="1">IF(AJ64="","",SUM(AJ64:AK64))</f>
        <v>160.33000000000001</v>
      </c>
      <c r="AM64" s="639">
        <f t="shared" ref="AM64:AM84" si="2">IF(AJ64="","",AL64-_xlfn.SINGLE(NormTid))</f>
        <v>0</v>
      </c>
      <c r="AN64" s="639">
        <f t="shared" ref="AN64:AN84" si="3">IF(AM64="","",AM64)</f>
        <v>0</v>
      </c>
    </row>
    <row r="65" spans="1:40" ht="18" customHeight="1" thickBot="1" x14ac:dyDescent="0.25">
      <c r="A65" s="748"/>
      <c r="B65" s="1912" t="s">
        <v>151</v>
      </c>
      <c r="C65" s="2718"/>
      <c r="D65" s="2718" t="s">
        <v>50</v>
      </c>
      <c r="E65" s="2738" t="s">
        <v>50</v>
      </c>
      <c r="F65" s="2718">
        <v>89</v>
      </c>
      <c r="G65" s="2738"/>
      <c r="H65" s="2779" t="s">
        <v>142</v>
      </c>
      <c r="I65" s="2779" t="s">
        <v>142</v>
      </c>
      <c r="J65" s="2723" t="s">
        <v>50</v>
      </c>
      <c r="K65" s="2723" t="s">
        <v>50</v>
      </c>
      <c r="L65" s="2723" t="s">
        <v>50</v>
      </c>
      <c r="M65" s="2738" t="s">
        <v>104</v>
      </c>
      <c r="N65" s="2723" t="s">
        <v>104</v>
      </c>
      <c r="O65" s="2723" t="s">
        <v>50</v>
      </c>
      <c r="P65" s="2723" t="s">
        <v>50</v>
      </c>
      <c r="Q65" s="2738" t="s">
        <v>50</v>
      </c>
      <c r="R65" s="2738" t="s">
        <v>50</v>
      </c>
      <c r="S65" s="2738" t="s">
        <v>50</v>
      </c>
      <c r="T65" s="2738"/>
      <c r="U65" s="2738"/>
      <c r="V65" s="2738" t="s">
        <v>46</v>
      </c>
      <c r="W65" s="2738" t="s">
        <v>46</v>
      </c>
      <c r="X65" s="2718" t="s">
        <v>46</v>
      </c>
      <c r="Y65" s="2879" t="s">
        <v>174</v>
      </c>
      <c r="Z65" s="2779" t="s">
        <v>174</v>
      </c>
      <c r="AA65" s="2738"/>
      <c r="AB65" s="2738"/>
      <c r="AC65" s="2739" t="s">
        <v>46</v>
      </c>
      <c r="AD65" s="2739" t="s">
        <v>46</v>
      </c>
      <c r="AE65" s="2739" t="s">
        <v>46</v>
      </c>
      <c r="AF65" s="2739" t="s">
        <v>46</v>
      </c>
      <c r="AG65" s="2822" t="s">
        <v>46</v>
      </c>
      <c r="AH65" s="1"/>
      <c r="AJ65" s="638">
        <f t="shared" si="0"/>
        <v>160.33000000000001</v>
      </c>
      <c r="AK65" s="638"/>
      <c r="AL65" s="638">
        <f t="shared" si="1"/>
        <v>160.33000000000001</v>
      </c>
      <c r="AM65" s="639">
        <f t="shared" si="2"/>
        <v>0</v>
      </c>
      <c r="AN65" s="639">
        <f t="shared" si="3"/>
        <v>0</v>
      </c>
    </row>
    <row r="66" spans="1:40" ht="18" customHeight="1" x14ac:dyDescent="0.2">
      <c r="A66" s="748"/>
      <c r="B66" s="1552" t="s">
        <v>155</v>
      </c>
      <c r="C66" s="2734"/>
      <c r="D66" s="2718" t="s">
        <v>50</v>
      </c>
      <c r="E66" s="2718" t="s">
        <v>50</v>
      </c>
      <c r="F66" s="2734"/>
      <c r="G66" s="2734"/>
      <c r="H66" s="3200" t="s">
        <v>160</v>
      </c>
      <c r="I66" s="2734" t="s">
        <v>50</v>
      </c>
      <c r="J66" s="2734" t="s">
        <v>50</v>
      </c>
      <c r="K66" s="2734" t="s">
        <v>46</v>
      </c>
      <c r="L66" s="2734" t="s">
        <v>46</v>
      </c>
      <c r="M66" s="2734"/>
      <c r="N66" s="2734"/>
      <c r="O66" s="3201" t="s">
        <v>174</v>
      </c>
      <c r="P66" s="3201" t="s">
        <v>458</v>
      </c>
      <c r="Q66" s="3201" t="s">
        <v>458</v>
      </c>
      <c r="R66" s="3202">
        <v>3</v>
      </c>
      <c r="S66" s="3202">
        <v>3</v>
      </c>
      <c r="T66" s="2734"/>
      <c r="U66" s="2734"/>
      <c r="V66" s="2718">
        <v>25</v>
      </c>
      <c r="W66" s="248">
        <v>25</v>
      </c>
      <c r="X66" s="2869">
        <v>25</v>
      </c>
      <c r="Y66" s="2718">
        <v>25</v>
      </c>
      <c r="Z66" s="2734">
        <v>25</v>
      </c>
      <c r="AA66" s="2738" t="s">
        <v>475</v>
      </c>
      <c r="AB66" s="2738" t="s">
        <v>475</v>
      </c>
      <c r="AC66" s="2869" t="s">
        <v>50</v>
      </c>
      <c r="AD66" s="2869" t="s">
        <v>50</v>
      </c>
      <c r="AE66" s="2869" t="s">
        <v>50</v>
      </c>
      <c r="AF66" s="2869" t="s">
        <v>50</v>
      </c>
      <c r="AG66" s="2869" t="s">
        <v>50</v>
      </c>
      <c r="AH66" s="1"/>
      <c r="AJ66" s="638">
        <f t="shared" si="0"/>
        <v>160.33000000000001</v>
      </c>
      <c r="AK66" s="638"/>
      <c r="AL66" s="638">
        <f t="shared" si="1"/>
        <v>160.33000000000001</v>
      </c>
      <c r="AM66" s="639">
        <f t="shared" si="2"/>
        <v>0</v>
      </c>
      <c r="AN66" s="639">
        <f t="shared" si="3"/>
        <v>0</v>
      </c>
    </row>
    <row r="67" spans="1:40" ht="18" customHeight="1" x14ac:dyDescent="0.2">
      <c r="A67" s="368"/>
      <c r="B67" s="2187" t="s">
        <v>159</v>
      </c>
      <c r="C67" s="3157"/>
      <c r="D67" s="3157" t="s">
        <v>50</v>
      </c>
      <c r="E67" s="3157" t="s">
        <v>50</v>
      </c>
      <c r="F67" s="2480"/>
      <c r="G67" s="2480"/>
      <c r="H67" s="3154">
        <v>23</v>
      </c>
      <c r="I67" s="3154">
        <v>23</v>
      </c>
      <c r="J67" s="3154">
        <v>23</v>
      </c>
      <c r="K67" s="3154">
        <v>23</v>
      </c>
      <c r="L67" s="3154">
        <v>23</v>
      </c>
      <c r="M67" s="2480">
        <v>23</v>
      </c>
      <c r="N67" s="2480">
        <v>23</v>
      </c>
      <c r="O67" s="3157" t="s">
        <v>50</v>
      </c>
      <c r="P67" s="3157" t="s">
        <v>50</v>
      </c>
      <c r="Q67" s="3157" t="s">
        <v>50</v>
      </c>
      <c r="R67" s="3157" t="s">
        <v>50</v>
      </c>
      <c r="S67" s="3157" t="s">
        <v>50</v>
      </c>
      <c r="T67" s="3203" t="s">
        <v>209</v>
      </c>
      <c r="U67" s="3203" t="s">
        <v>209</v>
      </c>
      <c r="V67" s="3157" t="s">
        <v>50</v>
      </c>
      <c r="W67" s="3157" t="s">
        <v>50</v>
      </c>
      <c r="X67" s="3204" t="s">
        <v>50</v>
      </c>
      <c r="Y67" s="3204">
        <v>99</v>
      </c>
      <c r="Z67" s="3204" t="s">
        <v>46</v>
      </c>
      <c r="AA67" s="3204"/>
      <c r="AB67" s="3204" t="s">
        <v>405</v>
      </c>
      <c r="AC67" s="3204">
        <v>11</v>
      </c>
      <c r="AD67" s="3204">
        <v>11</v>
      </c>
      <c r="AE67" s="3204">
        <v>11</v>
      </c>
      <c r="AF67" s="3204">
        <v>11</v>
      </c>
      <c r="AG67" s="3205">
        <v>11</v>
      </c>
      <c r="AH67" s="1"/>
      <c r="AJ67" s="638">
        <f t="shared" si="0"/>
        <v>160.33000000000001</v>
      </c>
      <c r="AK67" s="638"/>
      <c r="AL67" s="638">
        <f t="shared" si="1"/>
        <v>160.33000000000001</v>
      </c>
      <c r="AM67" s="639">
        <f t="shared" si="2"/>
        <v>0</v>
      </c>
      <c r="AN67" s="639">
        <f t="shared" si="3"/>
        <v>0</v>
      </c>
    </row>
    <row r="68" spans="1:40" ht="18" customHeight="1" x14ac:dyDescent="0.2">
      <c r="A68" s="764"/>
      <c r="B68" s="1552" t="s">
        <v>165</v>
      </c>
      <c r="C68" s="2734"/>
      <c r="D68" s="2475" t="s">
        <v>142</v>
      </c>
      <c r="E68" s="2475" t="s">
        <v>142</v>
      </c>
      <c r="F68" s="2718"/>
      <c r="G68" s="2718"/>
      <c r="H68" s="3206" t="s">
        <v>142</v>
      </c>
      <c r="I68" s="3206" t="s">
        <v>142</v>
      </c>
      <c r="J68" s="2734" t="s">
        <v>142</v>
      </c>
      <c r="K68" s="2734" t="s">
        <v>142</v>
      </c>
      <c r="L68" s="2734" t="s">
        <v>142</v>
      </c>
      <c r="M68" s="2475" t="s">
        <v>143</v>
      </c>
      <c r="N68" s="2475" t="s">
        <v>143</v>
      </c>
      <c r="O68" s="2718" t="s">
        <v>50</v>
      </c>
      <c r="P68" s="2718" t="s">
        <v>50</v>
      </c>
      <c r="Q68" s="2718" t="s">
        <v>50</v>
      </c>
      <c r="R68" s="2718" t="s">
        <v>152</v>
      </c>
      <c r="S68" s="2718" t="s">
        <v>50</v>
      </c>
      <c r="T68" s="2734"/>
      <c r="U68" s="2734"/>
      <c r="V68" s="2718" t="s">
        <v>50</v>
      </c>
      <c r="W68" s="2718" t="s">
        <v>50</v>
      </c>
      <c r="X68" s="2718" t="s">
        <v>475</v>
      </c>
      <c r="Y68" s="2718" t="s">
        <v>475</v>
      </c>
      <c r="Z68" s="2718" t="s">
        <v>475</v>
      </c>
      <c r="AA68" s="2738" t="s">
        <v>209</v>
      </c>
      <c r="AB68" s="2738" t="s">
        <v>209</v>
      </c>
      <c r="AC68" s="2718" t="s">
        <v>50</v>
      </c>
      <c r="AD68" s="2718" t="s">
        <v>50</v>
      </c>
      <c r="AE68" s="2718" t="s">
        <v>50</v>
      </c>
      <c r="AF68" s="2718" t="s">
        <v>50</v>
      </c>
      <c r="AG68" s="2721" t="s">
        <v>50</v>
      </c>
      <c r="AH68" s="1"/>
      <c r="AJ68" s="638">
        <f t="shared" si="0"/>
        <v>160.33000000000001</v>
      </c>
      <c r="AK68" s="638"/>
      <c r="AL68" s="638">
        <f t="shared" si="1"/>
        <v>160.33000000000001</v>
      </c>
      <c r="AM68" s="639">
        <f t="shared" si="2"/>
        <v>0</v>
      </c>
      <c r="AN68" s="639">
        <f t="shared" si="3"/>
        <v>0</v>
      </c>
    </row>
    <row r="69" spans="1:40" ht="18" customHeight="1" x14ac:dyDescent="0.2">
      <c r="A69" s="768"/>
      <c r="B69" s="2197" t="s">
        <v>170</v>
      </c>
      <c r="C69" s="2734"/>
      <c r="D69" s="2734" t="s">
        <v>50</v>
      </c>
      <c r="E69" s="2723" t="s">
        <v>50</v>
      </c>
      <c r="F69" s="2738"/>
      <c r="G69" s="2738"/>
      <c r="H69" s="3207">
        <v>10</v>
      </c>
      <c r="I69" s="3207">
        <v>10</v>
      </c>
      <c r="J69" s="3207">
        <v>10</v>
      </c>
      <c r="K69" s="3207">
        <v>10</v>
      </c>
      <c r="L69" s="3207">
        <v>10</v>
      </c>
      <c r="M69" s="3207" t="s">
        <v>106</v>
      </c>
      <c r="N69" s="2885" t="s">
        <v>106</v>
      </c>
      <c r="O69" s="2718" t="s">
        <v>50</v>
      </c>
      <c r="P69" s="2718" t="s">
        <v>50</v>
      </c>
      <c r="Q69" s="2718" t="s">
        <v>50</v>
      </c>
      <c r="R69" s="2718" t="s">
        <v>50</v>
      </c>
      <c r="S69" s="2718" t="s">
        <v>50</v>
      </c>
      <c r="T69" s="2734"/>
      <c r="U69" s="2734"/>
      <c r="V69" s="2718" t="s">
        <v>475</v>
      </c>
      <c r="W69" s="2718" t="s">
        <v>475</v>
      </c>
      <c r="X69" s="2738" t="s">
        <v>50</v>
      </c>
      <c r="Y69" s="2738" t="s">
        <v>46</v>
      </c>
      <c r="Z69" s="2738" t="s">
        <v>46</v>
      </c>
      <c r="AA69" s="2734"/>
      <c r="AB69" s="2719">
        <v>26</v>
      </c>
      <c r="AC69" s="2718" t="s">
        <v>174</v>
      </c>
      <c r="AD69" s="2718" t="s">
        <v>309</v>
      </c>
      <c r="AE69" s="2718" t="s">
        <v>46</v>
      </c>
      <c r="AF69" s="2718" t="s">
        <v>46</v>
      </c>
      <c r="AG69" s="2721" t="s">
        <v>46</v>
      </c>
      <c r="AH69" s="1"/>
      <c r="AJ69" s="638">
        <f t="shared" si="0"/>
        <v>160.33000000000001</v>
      </c>
      <c r="AK69" s="638"/>
      <c r="AL69" s="638">
        <f t="shared" si="1"/>
        <v>160.33000000000001</v>
      </c>
      <c r="AM69" s="639">
        <f t="shared" si="2"/>
        <v>0</v>
      </c>
      <c r="AN69" s="639">
        <f t="shared" si="3"/>
        <v>0</v>
      </c>
    </row>
    <row r="70" spans="1:40" ht="18" customHeight="1" x14ac:dyDescent="0.2">
      <c r="A70" s="768"/>
      <c r="B70" s="2203" t="s">
        <v>176</v>
      </c>
      <c r="C70" s="2734"/>
      <c r="D70" s="2718" t="s">
        <v>50</v>
      </c>
      <c r="E70" s="2718" t="s">
        <v>50</v>
      </c>
      <c r="F70" s="2734"/>
      <c r="G70" s="2734"/>
      <c r="H70" s="2718">
        <v>22</v>
      </c>
      <c r="I70" s="2718">
        <v>22</v>
      </c>
      <c r="J70" s="2734">
        <v>22</v>
      </c>
      <c r="K70" s="2734">
        <v>22</v>
      </c>
      <c r="L70" s="2734">
        <v>22</v>
      </c>
      <c r="M70" s="2734" t="s">
        <v>475</v>
      </c>
      <c r="N70" s="2734" t="s">
        <v>475</v>
      </c>
      <c r="O70" s="2718" t="s">
        <v>50</v>
      </c>
      <c r="P70" s="2718" t="s">
        <v>50</v>
      </c>
      <c r="Q70" s="2734" t="s">
        <v>50</v>
      </c>
      <c r="R70" s="2734" t="s">
        <v>50</v>
      </c>
      <c r="S70" s="2734" t="s">
        <v>50</v>
      </c>
      <c r="T70" s="2734"/>
      <c r="U70" s="2734"/>
      <c r="V70" s="2731">
        <v>21</v>
      </c>
      <c r="W70" s="2731" t="s">
        <v>175</v>
      </c>
      <c r="X70" s="2718">
        <v>21</v>
      </c>
      <c r="Y70" s="2718">
        <v>21</v>
      </c>
      <c r="Z70" s="2734">
        <v>21</v>
      </c>
      <c r="AA70" s="2734">
        <v>21</v>
      </c>
      <c r="AB70" s="2734">
        <v>21</v>
      </c>
      <c r="AC70" s="2718" t="s">
        <v>50</v>
      </c>
      <c r="AD70" s="2718" t="s">
        <v>50</v>
      </c>
      <c r="AE70" s="2734" t="s">
        <v>50</v>
      </c>
      <c r="AF70" s="2734" t="s">
        <v>50</v>
      </c>
      <c r="AG70" s="2721" t="s">
        <v>50</v>
      </c>
      <c r="AH70" s="1"/>
      <c r="AJ70" s="638">
        <f t="shared" si="0"/>
        <v>160.33000000000001</v>
      </c>
      <c r="AK70" s="638"/>
      <c r="AL70" s="638">
        <f t="shared" si="1"/>
        <v>160.33000000000001</v>
      </c>
      <c r="AM70" s="639">
        <f t="shared" si="2"/>
        <v>0</v>
      </c>
      <c r="AN70" s="639">
        <f t="shared" si="3"/>
        <v>0</v>
      </c>
    </row>
    <row r="71" spans="1:40" ht="18" customHeight="1" x14ac:dyDescent="0.2">
      <c r="A71" s="768"/>
      <c r="B71" s="2187" t="s">
        <v>180</v>
      </c>
      <c r="C71" s="3208" t="s">
        <v>209</v>
      </c>
      <c r="D71" s="3209" t="s">
        <v>209</v>
      </c>
      <c r="E71" s="3209" t="s">
        <v>209</v>
      </c>
      <c r="F71" s="3209" t="s">
        <v>209</v>
      </c>
      <c r="G71" s="3209" t="s">
        <v>209</v>
      </c>
      <c r="H71" s="3209" t="s">
        <v>50</v>
      </c>
      <c r="I71" s="3210" t="s">
        <v>50</v>
      </c>
      <c r="J71" s="3210" t="s">
        <v>50</v>
      </c>
      <c r="K71" s="3210" t="s">
        <v>50</v>
      </c>
      <c r="L71" s="3210" t="s">
        <v>50</v>
      </c>
      <c r="M71" s="3210"/>
      <c r="N71" s="3210"/>
      <c r="O71" s="3209" t="s">
        <v>209</v>
      </c>
      <c r="P71" s="3210" t="s">
        <v>209</v>
      </c>
      <c r="Q71" s="3210" t="s">
        <v>209</v>
      </c>
      <c r="R71" s="3210" t="s">
        <v>209</v>
      </c>
      <c r="S71" s="3210" t="s">
        <v>209</v>
      </c>
      <c r="T71" s="3209" t="s">
        <v>0</v>
      </c>
      <c r="U71" s="3209" t="s">
        <v>0</v>
      </c>
      <c r="V71" s="3209" t="s">
        <v>50</v>
      </c>
      <c r="W71" s="3209" t="s">
        <v>50</v>
      </c>
      <c r="X71" s="3208" t="s">
        <v>50</v>
      </c>
      <c r="Y71" s="3209" t="s">
        <v>50</v>
      </c>
      <c r="Z71" s="3209" t="s">
        <v>50</v>
      </c>
      <c r="AA71" s="3210"/>
      <c r="AB71" s="3209"/>
      <c r="AC71" s="3209" t="s">
        <v>209</v>
      </c>
      <c r="AD71" s="3209" t="s">
        <v>209</v>
      </c>
      <c r="AE71" s="3208" t="s">
        <v>209</v>
      </c>
      <c r="AF71" s="3209" t="s">
        <v>209</v>
      </c>
      <c r="AG71" s="3211" t="s">
        <v>209</v>
      </c>
      <c r="AH71" s="1"/>
      <c r="AJ71" s="638">
        <f t="shared" si="0"/>
        <v>160.33000000000001</v>
      </c>
      <c r="AK71" s="638"/>
      <c r="AL71" s="638">
        <f t="shared" si="1"/>
        <v>160.33000000000001</v>
      </c>
      <c r="AM71" s="639">
        <f t="shared" si="2"/>
        <v>0</v>
      </c>
      <c r="AN71" s="639">
        <f t="shared" si="3"/>
        <v>0</v>
      </c>
    </row>
    <row r="72" spans="1:40" ht="18" customHeight="1" x14ac:dyDescent="0.2">
      <c r="A72" s="768"/>
      <c r="B72" s="2187" t="s">
        <v>181</v>
      </c>
      <c r="C72" s="2738" t="s">
        <v>475</v>
      </c>
      <c r="D72" s="2738" t="s">
        <v>475</v>
      </c>
      <c r="E72" s="2738" t="s">
        <v>475</v>
      </c>
      <c r="F72" s="2734" t="s">
        <v>475</v>
      </c>
      <c r="G72" s="2734" t="s">
        <v>475</v>
      </c>
      <c r="H72" s="2718" t="s">
        <v>50</v>
      </c>
      <c r="I72" s="2718" t="s">
        <v>50</v>
      </c>
      <c r="J72" s="2718" t="s">
        <v>50</v>
      </c>
      <c r="K72" s="2893" t="s">
        <v>50</v>
      </c>
      <c r="L72" s="2893" t="s">
        <v>50</v>
      </c>
      <c r="M72" s="2718"/>
      <c r="N72" s="2718"/>
      <c r="O72" s="2738" t="s">
        <v>475</v>
      </c>
      <c r="P72" s="2738" t="s">
        <v>475</v>
      </c>
      <c r="Q72" s="2738" t="s">
        <v>475</v>
      </c>
      <c r="R72" s="2738" t="s">
        <v>475</v>
      </c>
      <c r="S72" s="2738" t="s">
        <v>475</v>
      </c>
      <c r="T72" s="2738" t="s">
        <v>0</v>
      </c>
      <c r="U72" s="2738" t="s">
        <v>0</v>
      </c>
      <c r="V72" s="3212" t="s">
        <v>50</v>
      </c>
      <c r="W72" s="3212" t="s">
        <v>50</v>
      </c>
      <c r="X72" s="3212" t="s">
        <v>50</v>
      </c>
      <c r="Y72" s="3212" t="s">
        <v>50</v>
      </c>
      <c r="Z72" s="3212" t="s">
        <v>50</v>
      </c>
      <c r="AA72" s="2734"/>
      <c r="AB72" s="2734"/>
      <c r="AC72" s="2738" t="s">
        <v>475</v>
      </c>
      <c r="AD72" s="2738" t="s">
        <v>475</v>
      </c>
      <c r="AE72" s="2738" t="s">
        <v>475</v>
      </c>
      <c r="AF72" s="2738" t="s">
        <v>475</v>
      </c>
      <c r="AG72" s="2829" t="s">
        <v>475</v>
      </c>
      <c r="AH72" s="1"/>
      <c r="AJ72" s="638">
        <f t="shared" si="0"/>
        <v>160.33000000000001</v>
      </c>
      <c r="AK72" s="638"/>
      <c r="AL72" s="638">
        <f t="shared" si="1"/>
        <v>160.33000000000001</v>
      </c>
      <c r="AM72" s="639">
        <f t="shared" si="2"/>
        <v>0</v>
      </c>
      <c r="AN72" s="639">
        <f t="shared" si="3"/>
        <v>0</v>
      </c>
    </row>
    <row r="73" spans="1:40" ht="18" customHeight="1" x14ac:dyDescent="0.2">
      <c r="A73" s="768"/>
      <c r="B73" s="1552" t="s">
        <v>183</v>
      </c>
      <c r="C73" s="2738"/>
      <c r="D73" s="2738" t="s">
        <v>46</v>
      </c>
      <c r="E73" s="2738" t="s">
        <v>451</v>
      </c>
      <c r="F73" s="2734"/>
      <c r="G73" s="2734"/>
      <c r="H73" s="2718" t="s">
        <v>451</v>
      </c>
      <c r="I73" s="2718" t="s">
        <v>451</v>
      </c>
      <c r="J73" s="2718" t="s">
        <v>451</v>
      </c>
      <c r="K73" s="3213" t="s">
        <v>521</v>
      </c>
      <c r="L73" s="2695" t="s">
        <v>451</v>
      </c>
      <c r="M73" s="2779" t="s">
        <v>143</v>
      </c>
      <c r="N73" s="2779" t="s">
        <v>143</v>
      </c>
      <c r="O73" s="2718" t="s">
        <v>50</v>
      </c>
      <c r="P73" s="2718" t="s">
        <v>50</v>
      </c>
      <c r="Q73" s="2718" t="s">
        <v>50</v>
      </c>
      <c r="R73" s="2718" t="s">
        <v>50</v>
      </c>
      <c r="S73" s="2718" t="s">
        <v>50</v>
      </c>
      <c r="T73" s="2738" t="s">
        <v>475</v>
      </c>
      <c r="U73" s="2738" t="s">
        <v>475</v>
      </c>
      <c r="V73" s="3212" t="s">
        <v>50</v>
      </c>
      <c r="W73" s="3212" t="s">
        <v>50</v>
      </c>
      <c r="X73" s="3212" t="s">
        <v>50</v>
      </c>
      <c r="Y73" s="2738" t="s">
        <v>46</v>
      </c>
      <c r="Z73" s="2738" t="s">
        <v>46</v>
      </c>
      <c r="AA73" s="2734"/>
      <c r="AB73" s="2734"/>
      <c r="AC73" s="2738" t="s">
        <v>186</v>
      </c>
      <c r="AD73" s="2738" t="s">
        <v>186</v>
      </c>
      <c r="AE73" s="2738" t="s">
        <v>186</v>
      </c>
      <c r="AF73" s="3214">
        <v>26</v>
      </c>
      <c r="AG73" s="3215">
        <v>26</v>
      </c>
      <c r="AH73" s="1"/>
      <c r="AJ73" s="638">
        <f t="shared" ref="AJ73:AJ78" si="4">$AJ$12</f>
        <v>160.33000000000001</v>
      </c>
      <c r="AK73" s="638"/>
      <c r="AL73" s="638">
        <f t="shared" ref="AL73:AL78" si="5">IF(AJ73="","",SUM(AJ73:AK73))</f>
        <v>160.33000000000001</v>
      </c>
      <c r="AM73" s="639">
        <f t="shared" ref="AM73:AM78" si="6">IF(AJ73="","",AL73-_xlfn.SINGLE(NormTid))</f>
        <v>0</v>
      </c>
      <c r="AN73" s="639">
        <f t="shared" ref="AN73:AN78" si="7">IF(AM73="","",AM73)</f>
        <v>0</v>
      </c>
    </row>
    <row r="74" spans="1:40" ht="18" customHeight="1" x14ac:dyDescent="0.2">
      <c r="A74" s="768"/>
      <c r="B74" s="2187" t="s">
        <v>477</v>
      </c>
      <c r="C74" s="3029"/>
      <c r="D74" s="3029" t="s">
        <v>46</v>
      </c>
      <c r="E74" s="3029" t="s">
        <v>46</v>
      </c>
      <c r="F74" s="2882"/>
      <c r="G74" s="2882"/>
      <c r="H74" s="2475" t="s">
        <v>209</v>
      </c>
      <c r="I74" s="2475" t="s">
        <v>209</v>
      </c>
      <c r="J74" s="2475" t="s">
        <v>72</v>
      </c>
      <c r="K74" s="2475" t="s">
        <v>162</v>
      </c>
      <c r="L74" s="2767" t="s">
        <v>50</v>
      </c>
      <c r="M74" s="2718"/>
      <c r="N74" s="2718"/>
      <c r="O74" s="2475">
        <v>26</v>
      </c>
      <c r="P74" s="2475">
        <v>26</v>
      </c>
      <c r="Q74" s="2475">
        <v>26</v>
      </c>
      <c r="R74" s="2731">
        <v>26</v>
      </c>
      <c r="S74" s="2731" t="s">
        <v>50</v>
      </c>
      <c r="T74" s="2731" t="s">
        <v>104</v>
      </c>
      <c r="U74" s="2731" t="s">
        <v>457</v>
      </c>
      <c r="V74" s="2734" t="s">
        <v>50</v>
      </c>
      <c r="W74" s="2734" t="s">
        <v>50</v>
      </c>
      <c r="X74" s="2718" t="s">
        <v>50</v>
      </c>
      <c r="Y74" s="2718" t="s">
        <v>50</v>
      </c>
      <c r="Z74" s="2734" t="s">
        <v>50</v>
      </c>
      <c r="AA74" s="2734"/>
      <c r="AB74" s="2734"/>
      <c r="AC74" s="2726">
        <v>6</v>
      </c>
      <c r="AD74" s="2718">
        <v>6</v>
      </c>
      <c r="AE74" s="2718">
        <v>6</v>
      </c>
      <c r="AF74" s="2718">
        <v>6</v>
      </c>
      <c r="AG74" s="2466">
        <v>6</v>
      </c>
      <c r="AH74" s="1"/>
      <c r="AJ74" s="638">
        <f t="shared" si="4"/>
        <v>160.33000000000001</v>
      </c>
      <c r="AK74" s="638"/>
      <c r="AL74" s="638">
        <f t="shared" si="5"/>
        <v>160.33000000000001</v>
      </c>
      <c r="AM74" s="639">
        <f t="shared" si="6"/>
        <v>0</v>
      </c>
      <c r="AN74" s="639">
        <f t="shared" si="7"/>
        <v>0</v>
      </c>
    </row>
    <row r="75" spans="1:40" ht="18" customHeight="1" x14ac:dyDescent="0.2">
      <c r="A75" s="768"/>
      <c r="B75" s="2187" t="s">
        <v>479</v>
      </c>
      <c r="C75" s="2738"/>
      <c r="D75" s="2718">
        <v>99</v>
      </c>
      <c r="E75" s="2738" t="s">
        <v>46</v>
      </c>
      <c r="F75" s="2695"/>
      <c r="G75" s="2695"/>
      <c r="H75" s="2475">
        <v>25</v>
      </c>
      <c r="I75" s="2475">
        <v>25</v>
      </c>
      <c r="J75" s="2475">
        <v>25</v>
      </c>
      <c r="K75" s="2475">
        <v>25</v>
      </c>
      <c r="L75" s="2475">
        <v>25</v>
      </c>
      <c r="M75" s="2695"/>
      <c r="N75" s="2695"/>
      <c r="O75" s="2734" t="s">
        <v>50</v>
      </c>
      <c r="P75" s="2734" t="s">
        <v>50</v>
      </c>
      <c r="Q75" s="2734" t="s">
        <v>50</v>
      </c>
      <c r="R75" s="2734" t="s">
        <v>50</v>
      </c>
      <c r="S75" s="2734" t="s">
        <v>50</v>
      </c>
      <c r="T75" s="2718" t="s">
        <v>162</v>
      </c>
      <c r="U75" s="2718" t="s">
        <v>162</v>
      </c>
      <c r="V75" s="2695" t="s">
        <v>110</v>
      </c>
      <c r="W75" s="2695">
        <v>21</v>
      </c>
      <c r="X75" s="2695">
        <v>21</v>
      </c>
      <c r="Y75" s="2734" t="s">
        <v>50</v>
      </c>
      <c r="Z75" s="2734" t="s">
        <v>50</v>
      </c>
      <c r="AA75" s="2695"/>
      <c r="AB75" s="2695"/>
      <c r="AC75" s="2738" t="s">
        <v>46</v>
      </c>
      <c r="AD75" s="2738" t="s">
        <v>46</v>
      </c>
      <c r="AE75" s="2738" t="s">
        <v>152</v>
      </c>
      <c r="AF75" s="2738" t="s">
        <v>152</v>
      </c>
      <c r="AG75" s="2721">
        <v>79</v>
      </c>
      <c r="AH75" s="1"/>
      <c r="AJ75" s="638">
        <f t="shared" si="4"/>
        <v>160.33000000000001</v>
      </c>
      <c r="AK75" s="638"/>
      <c r="AL75" s="638">
        <f t="shared" si="5"/>
        <v>160.33000000000001</v>
      </c>
      <c r="AM75" s="639">
        <f t="shared" si="6"/>
        <v>0</v>
      </c>
      <c r="AN75" s="639">
        <f t="shared" si="7"/>
        <v>0</v>
      </c>
    </row>
    <row r="76" spans="1:40" ht="18" customHeight="1" x14ac:dyDescent="0.2">
      <c r="A76" s="768"/>
      <c r="B76" s="1807" t="s">
        <v>514</v>
      </c>
      <c r="C76" s="2718"/>
      <c r="D76" s="2738" t="s">
        <v>77</v>
      </c>
      <c r="E76" s="2738" t="s">
        <v>77</v>
      </c>
      <c r="F76" s="2695"/>
      <c r="G76" s="2695"/>
      <c r="H76" s="3216">
        <v>6</v>
      </c>
      <c r="I76" s="3216">
        <v>6</v>
      </c>
      <c r="J76" s="3216">
        <v>6</v>
      </c>
      <c r="K76" s="3216">
        <v>6</v>
      </c>
      <c r="L76" s="3216">
        <v>6</v>
      </c>
      <c r="M76" s="2695"/>
      <c r="N76" s="2695"/>
      <c r="O76" s="3217" t="s">
        <v>322</v>
      </c>
      <c r="P76" s="3217" t="s">
        <v>322</v>
      </c>
      <c r="Q76" s="3217" t="s">
        <v>309</v>
      </c>
      <c r="R76" s="3206">
        <v>1</v>
      </c>
      <c r="S76" s="3206">
        <v>1</v>
      </c>
      <c r="T76" s="2734"/>
      <c r="U76" s="2695"/>
      <c r="V76" s="2718">
        <v>23</v>
      </c>
      <c r="W76" s="2718">
        <v>23</v>
      </c>
      <c r="X76" s="2718">
        <v>23</v>
      </c>
      <c r="Y76" s="2718">
        <v>23</v>
      </c>
      <c r="Z76" s="2718">
        <v>23</v>
      </c>
      <c r="AA76" s="2695">
        <v>23</v>
      </c>
      <c r="AB76" s="2695">
        <v>23</v>
      </c>
      <c r="AC76" s="2738" t="s">
        <v>50</v>
      </c>
      <c r="AD76" s="2738" t="s">
        <v>50</v>
      </c>
      <c r="AE76" s="2738" t="s">
        <v>50</v>
      </c>
      <c r="AF76" s="2738" t="s">
        <v>50</v>
      </c>
      <c r="AG76" s="2829" t="s">
        <v>50</v>
      </c>
      <c r="AH76" s="1"/>
      <c r="AJ76" s="638">
        <f t="shared" si="4"/>
        <v>160.33000000000001</v>
      </c>
      <c r="AK76" s="638"/>
      <c r="AL76" s="638">
        <f t="shared" si="5"/>
        <v>160.33000000000001</v>
      </c>
      <c r="AM76" s="639">
        <f t="shared" si="6"/>
        <v>0</v>
      </c>
      <c r="AN76" s="639">
        <f t="shared" si="7"/>
        <v>0</v>
      </c>
    </row>
    <row r="77" spans="1:40" ht="18" customHeight="1" x14ac:dyDescent="0.2">
      <c r="A77" s="2902"/>
      <c r="B77" s="3063" t="s">
        <v>515</v>
      </c>
      <c r="C77" s="2718"/>
      <c r="D77" s="2879" t="s">
        <v>174</v>
      </c>
      <c r="E77" s="2879" t="s">
        <v>174</v>
      </c>
      <c r="F77" s="2695"/>
      <c r="G77" s="2695"/>
      <c r="H77" s="2879" t="s">
        <v>174</v>
      </c>
      <c r="I77" s="2879" t="s">
        <v>174</v>
      </c>
      <c r="J77" s="2879" t="s">
        <v>174</v>
      </c>
      <c r="K77" s="2879" t="s">
        <v>174</v>
      </c>
      <c r="L77" s="2879" t="s">
        <v>174</v>
      </c>
      <c r="M77" s="2695"/>
      <c r="N77" s="2695"/>
      <c r="O77" s="2695" t="s">
        <v>174</v>
      </c>
      <c r="P77" s="2695" t="s">
        <v>174</v>
      </c>
      <c r="Q77" s="2695" t="s">
        <v>174</v>
      </c>
      <c r="R77" s="2695" t="s">
        <v>174</v>
      </c>
      <c r="S77" s="2695" t="s">
        <v>174</v>
      </c>
      <c r="T77" s="2695"/>
      <c r="U77" s="2695"/>
      <c r="V77" s="2738" t="s">
        <v>174</v>
      </c>
      <c r="W77" s="2738" t="s">
        <v>174</v>
      </c>
      <c r="X77" s="2738" t="s">
        <v>174</v>
      </c>
      <c r="Y77" s="2695" t="s">
        <v>50</v>
      </c>
      <c r="Z77" s="3206" t="s">
        <v>162</v>
      </c>
      <c r="AA77" s="2718" t="s">
        <v>162</v>
      </c>
      <c r="AB77" s="2718" t="s">
        <v>162</v>
      </c>
      <c r="AC77" s="2738" t="s">
        <v>50</v>
      </c>
      <c r="AD77" s="2738" t="s">
        <v>174</v>
      </c>
      <c r="AE77" s="2738" t="s">
        <v>174</v>
      </c>
      <c r="AF77" s="2695" t="s">
        <v>174</v>
      </c>
      <c r="AG77" s="3218" t="s">
        <v>174</v>
      </c>
      <c r="AH77" s="1"/>
      <c r="AJ77" s="638">
        <f>$AJ$12</f>
        <v>160.33000000000001</v>
      </c>
      <c r="AK77" s="638"/>
      <c r="AL77" s="638">
        <f>IF(AJ77="","",SUM(AJ77:AK77))</f>
        <v>160.33000000000001</v>
      </c>
      <c r="AM77" s="639">
        <f>IF(AJ77="","",AL77-_xlfn.SINGLE(NormTid))</f>
        <v>0</v>
      </c>
      <c r="AN77" s="639">
        <f>IF(AM77="","",AM77)</f>
        <v>0</v>
      </c>
    </row>
    <row r="78" spans="1:40" ht="18" customHeight="1" x14ac:dyDescent="0.2">
      <c r="A78" s="2902"/>
      <c r="B78" s="1807" t="s">
        <v>522</v>
      </c>
      <c r="C78" s="2738"/>
      <c r="D78" s="2738" t="s">
        <v>46</v>
      </c>
      <c r="E78" s="2475">
        <v>69</v>
      </c>
      <c r="F78" s="2695"/>
      <c r="G78" s="2695"/>
      <c r="H78" s="2475">
        <v>1</v>
      </c>
      <c r="I78" s="2475">
        <v>1</v>
      </c>
      <c r="J78" s="2475">
        <v>1</v>
      </c>
      <c r="K78" s="2879">
        <v>99</v>
      </c>
      <c r="L78" s="2879">
        <v>3</v>
      </c>
      <c r="M78" s="2695"/>
      <c r="N78" s="2695"/>
      <c r="O78" s="2718">
        <v>1</v>
      </c>
      <c r="P78" s="2718">
        <v>1</v>
      </c>
      <c r="Q78" s="2718">
        <v>1</v>
      </c>
      <c r="R78" s="2718">
        <v>1</v>
      </c>
      <c r="S78" s="2718">
        <v>1</v>
      </c>
      <c r="T78" s="2695"/>
      <c r="U78" s="2695"/>
      <c r="V78" s="2475" t="s">
        <v>154</v>
      </c>
      <c r="W78" s="2475" t="s">
        <v>154</v>
      </c>
      <c r="X78" s="2475" t="s">
        <v>168</v>
      </c>
      <c r="Y78" s="2879">
        <v>99</v>
      </c>
      <c r="Z78" s="2475" t="s">
        <v>174</v>
      </c>
      <c r="AA78" s="2734"/>
      <c r="AB78" s="2695"/>
      <c r="AC78" s="3206">
        <v>23</v>
      </c>
      <c r="AD78" s="3206">
        <v>23</v>
      </c>
      <c r="AE78" s="3206">
        <v>23</v>
      </c>
      <c r="AF78" s="3206">
        <v>23</v>
      </c>
      <c r="AG78" s="3218">
        <v>23</v>
      </c>
      <c r="AH78" s="1"/>
      <c r="AJ78" s="638">
        <f t="shared" si="4"/>
        <v>160.33000000000001</v>
      </c>
      <c r="AK78" s="638"/>
      <c r="AL78" s="638">
        <f t="shared" si="5"/>
        <v>160.33000000000001</v>
      </c>
      <c r="AM78" s="639">
        <f t="shared" si="6"/>
        <v>0</v>
      </c>
      <c r="AN78" s="639">
        <f t="shared" si="7"/>
        <v>0</v>
      </c>
    </row>
    <row r="79" spans="1:40" ht="18" customHeight="1" x14ac:dyDescent="0.2">
      <c r="A79" s="3219"/>
      <c r="B79" s="1807"/>
      <c r="C79" s="2695"/>
      <c r="D79" s="2738"/>
      <c r="E79" s="2738"/>
      <c r="F79" s="2695"/>
      <c r="G79" s="2695"/>
      <c r="H79" s="2738"/>
      <c r="I79" s="2738"/>
      <c r="J79" s="2738"/>
      <c r="K79" s="2738"/>
      <c r="L79" s="2738"/>
      <c r="M79" s="2695"/>
      <c r="N79" s="2695"/>
      <c r="O79" s="2738"/>
      <c r="P79" s="2738"/>
      <c r="Q79" s="2738"/>
      <c r="R79" s="2738"/>
      <c r="S79" s="2738"/>
      <c r="T79" s="2695"/>
      <c r="U79" s="2695"/>
      <c r="V79" s="2738"/>
      <c r="W79" s="2738"/>
      <c r="X79" s="2718"/>
      <c r="Y79" s="2718"/>
      <c r="Z79" s="2738"/>
      <c r="AA79" s="2695"/>
      <c r="AB79" s="2695"/>
      <c r="AC79" s="2738"/>
      <c r="AD79" s="2738"/>
      <c r="AE79" s="2738"/>
      <c r="AF79" s="2738"/>
      <c r="AG79" s="2829"/>
      <c r="AH79" s="1"/>
      <c r="AJ79" s="638">
        <f>$AJ$12</f>
        <v>160.33000000000001</v>
      </c>
      <c r="AK79" s="638"/>
      <c r="AL79" s="638">
        <f>IF(AJ79="","",SUM(AJ79:AK79))</f>
        <v>160.33000000000001</v>
      </c>
      <c r="AM79" s="639">
        <f>IF(AJ79="","",AL79-_xlfn.SINGLE(NormTid))</f>
        <v>0</v>
      </c>
      <c r="AN79" s="639">
        <f>IF(AM79="","",AM79)</f>
        <v>0</v>
      </c>
    </row>
    <row r="80" spans="1:40" ht="18" customHeight="1" thickBot="1" x14ac:dyDescent="0.25">
      <c r="A80" s="3219"/>
      <c r="B80" s="2367"/>
      <c r="C80" s="2752"/>
      <c r="D80" s="2748"/>
      <c r="E80" s="2748"/>
      <c r="F80" s="2783"/>
      <c r="G80" s="2783"/>
      <c r="H80" s="2748"/>
      <c r="I80" s="2748"/>
      <c r="J80" s="2748"/>
      <c r="K80" s="2748"/>
      <c r="L80" s="2748"/>
      <c r="M80" s="2752"/>
      <c r="N80" s="2752"/>
      <c r="O80" s="2748"/>
      <c r="P80" s="2748"/>
      <c r="Q80" s="2748"/>
      <c r="R80" s="2748"/>
      <c r="S80" s="2748"/>
      <c r="T80" s="2752"/>
      <c r="U80" s="2752"/>
      <c r="V80" s="2748"/>
      <c r="W80" s="2748"/>
      <c r="X80" s="2783"/>
      <c r="Y80" s="2783"/>
      <c r="Z80" s="2748"/>
      <c r="AA80" s="2752"/>
      <c r="AB80" s="2752"/>
      <c r="AC80" s="2748"/>
      <c r="AD80" s="2748"/>
      <c r="AE80" s="2748"/>
      <c r="AF80" s="2748"/>
      <c r="AG80" s="2825"/>
      <c r="AH80" s="1"/>
      <c r="AJ80" s="638">
        <f>$AJ$12</f>
        <v>160.33000000000001</v>
      </c>
      <c r="AK80" s="638"/>
      <c r="AL80" s="638">
        <f>IF(AJ80="","",SUM(AJ80:AK80))</f>
        <v>160.33000000000001</v>
      </c>
      <c r="AM80" s="639">
        <f>IF(AJ80="","",AL80-_xlfn.SINGLE(NormTid))</f>
        <v>0</v>
      </c>
      <c r="AN80" s="639">
        <f>IF(AM80="","",AM80)</f>
        <v>0</v>
      </c>
    </row>
    <row r="81" spans="1:40" ht="18" customHeight="1" thickBot="1" x14ac:dyDescent="0.25">
      <c r="A81" s="242"/>
      <c r="B81" s="243" t="s">
        <v>182</v>
      </c>
      <c r="C81" s="3220">
        <v>1</v>
      </c>
      <c r="D81" s="3146">
        <v>2</v>
      </c>
      <c r="E81" s="3146">
        <v>3</v>
      </c>
      <c r="F81" s="3220">
        <v>4</v>
      </c>
      <c r="G81" s="3220">
        <v>5</v>
      </c>
      <c r="H81" s="3146">
        <v>6</v>
      </c>
      <c r="I81" s="3146">
        <v>7</v>
      </c>
      <c r="J81" s="3146">
        <v>8</v>
      </c>
      <c r="K81" s="3146">
        <v>9</v>
      </c>
      <c r="L81" s="3146">
        <v>10</v>
      </c>
      <c r="M81" s="3220">
        <v>11</v>
      </c>
      <c r="N81" s="3220">
        <v>12</v>
      </c>
      <c r="O81" s="3146">
        <v>13</v>
      </c>
      <c r="P81" s="3146">
        <v>14</v>
      </c>
      <c r="Q81" s="3146">
        <v>15</v>
      </c>
      <c r="R81" s="3146">
        <v>16</v>
      </c>
      <c r="S81" s="3146">
        <v>17</v>
      </c>
      <c r="T81" s="3220">
        <v>18</v>
      </c>
      <c r="U81" s="3220">
        <v>19</v>
      </c>
      <c r="V81" s="3146">
        <v>20</v>
      </c>
      <c r="W81" s="3146">
        <v>21</v>
      </c>
      <c r="X81" s="3146">
        <v>22</v>
      </c>
      <c r="Y81" s="3146">
        <v>23</v>
      </c>
      <c r="Z81" s="3146">
        <v>24</v>
      </c>
      <c r="AA81" s="3220">
        <v>25</v>
      </c>
      <c r="AB81" s="3220">
        <v>26</v>
      </c>
      <c r="AC81" s="3146">
        <v>27</v>
      </c>
      <c r="AD81" s="3146">
        <v>28</v>
      </c>
      <c r="AE81" s="3146">
        <v>29</v>
      </c>
      <c r="AF81" s="3146">
        <v>30</v>
      </c>
      <c r="AG81" s="3146">
        <v>31</v>
      </c>
      <c r="AH81" s="1"/>
      <c r="AJ81" s="638"/>
      <c r="AK81" s="638"/>
      <c r="AL81" s="638"/>
      <c r="AM81" s="639"/>
      <c r="AN81" s="639"/>
    </row>
    <row r="82" spans="1:40" ht="18" customHeight="1" x14ac:dyDescent="0.2">
      <c r="A82" s="369"/>
      <c r="B82" s="2489" t="s">
        <v>409</v>
      </c>
      <c r="C82" s="3221"/>
      <c r="D82" s="3221" t="s">
        <v>50</v>
      </c>
      <c r="E82" s="3221" t="s">
        <v>50</v>
      </c>
      <c r="F82" s="3221"/>
      <c r="G82" s="3221"/>
      <c r="H82" s="3202">
        <v>4</v>
      </c>
      <c r="I82" s="3202">
        <v>4</v>
      </c>
      <c r="J82" s="3202">
        <v>4</v>
      </c>
      <c r="K82" s="3222">
        <v>4</v>
      </c>
      <c r="L82" s="3222">
        <v>4</v>
      </c>
      <c r="M82" s="3221"/>
      <c r="N82" s="3221"/>
      <c r="O82" s="3202">
        <v>3</v>
      </c>
      <c r="P82" s="3202">
        <v>3</v>
      </c>
      <c r="Q82" s="3202" t="s">
        <v>154</v>
      </c>
      <c r="R82" s="3202" t="s">
        <v>154</v>
      </c>
      <c r="S82" s="3202" t="s">
        <v>154</v>
      </c>
      <c r="T82" s="636" t="s">
        <v>72</v>
      </c>
      <c r="U82" s="636" t="s">
        <v>72</v>
      </c>
      <c r="V82" s="3202" t="s">
        <v>50</v>
      </c>
      <c r="W82" s="3202" t="s">
        <v>50</v>
      </c>
      <c r="X82" s="2718" t="s">
        <v>50</v>
      </c>
      <c r="Y82" s="2718" t="s">
        <v>50</v>
      </c>
      <c r="Z82" s="3202" t="s">
        <v>50</v>
      </c>
      <c r="AA82" s="636" t="s">
        <v>72</v>
      </c>
      <c r="AB82" s="636" t="s">
        <v>72</v>
      </c>
      <c r="AC82" s="3202" t="s">
        <v>50</v>
      </c>
      <c r="AD82" s="3202" t="s">
        <v>50</v>
      </c>
      <c r="AE82" s="3202" t="s">
        <v>50</v>
      </c>
      <c r="AF82" s="3202" t="s">
        <v>50</v>
      </c>
      <c r="AG82" s="3223" t="s">
        <v>50</v>
      </c>
      <c r="AH82" s="1"/>
      <c r="AJ82" s="638">
        <f t="shared" si="0"/>
        <v>160.33000000000001</v>
      </c>
      <c r="AK82" s="638"/>
      <c r="AL82" s="638">
        <f t="shared" si="1"/>
        <v>160.33000000000001</v>
      </c>
      <c r="AM82" s="639">
        <f t="shared" si="2"/>
        <v>0</v>
      </c>
      <c r="AN82" s="639">
        <f t="shared" si="3"/>
        <v>0</v>
      </c>
    </row>
    <row r="83" spans="1:40" ht="18" customHeight="1" x14ac:dyDescent="0.2">
      <c r="A83" s="768"/>
      <c r="B83" s="2187" t="s">
        <v>480</v>
      </c>
      <c r="C83" s="802" t="s">
        <v>523</v>
      </c>
      <c r="D83" s="802">
        <v>22</v>
      </c>
      <c r="E83" s="802">
        <v>22</v>
      </c>
      <c r="F83" s="802">
        <v>22</v>
      </c>
      <c r="G83" s="802">
        <v>22</v>
      </c>
      <c r="H83" s="636" t="s">
        <v>50</v>
      </c>
      <c r="I83" s="636" t="s">
        <v>50</v>
      </c>
      <c r="J83" s="799" t="s">
        <v>50</v>
      </c>
      <c r="K83" s="799" t="s">
        <v>50</v>
      </c>
      <c r="L83" s="799" t="s">
        <v>50</v>
      </c>
      <c r="M83" s="799"/>
      <c r="N83" s="799"/>
      <c r="O83" s="636">
        <v>23</v>
      </c>
      <c r="P83" s="636">
        <v>23</v>
      </c>
      <c r="Q83" s="799">
        <v>23</v>
      </c>
      <c r="R83" s="799">
        <v>23</v>
      </c>
      <c r="S83" s="799">
        <v>23</v>
      </c>
      <c r="T83" s="799">
        <v>23</v>
      </c>
      <c r="U83" s="806">
        <v>23</v>
      </c>
      <c r="V83" s="805" t="s">
        <v>50</v>
      </c>
      <c r="W83" s="805" t="s">
        <v>102</v>
      </c>
      <c r="X83" s="3224" t="s">
        <v>50</v>
      </c>
      <c r="Y83" s="799" t="s">
        <v>50</v>
      </c>
      <c r="Z83" s="799" t="s">
        <v>50</v>
      </c>
      <c r="AA83" s="799"/>
      <c r="AB83" s="799"/>
      <c r="AC83" s="636">
        <v>21</v>
      </c>
      <c r="AD83" s="636">
        <v>21</v>
      </c>
      <c r="AE83" s="799">
        <v>21</v>
      </c>
      <c r="AF83" s="799">
        <v>21</v>
      </c>
      <c r="AG83" s="801" t="s">
        <v>50</v>
      </c>
      <c r="AH83" s="1"/>
      <c r="AJ83" s="638">
        <f t="shared" si="0"/>
        <v>160.33000000000001</v>
      </c>
      <c r="AK83" s="638"/>
      <c r="AL83" s="638">
        <f t="shared" si="1"/>
        <v>160.33000000000001</v>
      </c>
      <c r="AM83" s="639">
        <f t="shared" si="2"/>
        <v>0</v>
      </c>
      <c r="AN83" s="639">
        <f t="shared" si="3"/>
        <v>0</v>
      </c>
    </row>
    <row r="84" spans="1:40" ht="18" customHeight="1" x14ac:dyDescent="0.2">
      <c r="A84" s="768"/>
      <c r="B84" s="3225"/>
      <c r="C84" s="799"/>
      <c r="D84" s="799"/>
      <c r="E84" s="799"/>
      <c r="F84" s="799"/>
      <c r="G84" s="799"/>
      <c r="H84" s="636"/>
      <c r="I84" s="636"/>
      <c r="J84" s="799"/>
      <c r="K84" s="799"/>
      <c r="L84" s="799"/>
      <c r="M84" s="799"/>
      <c r="N84" s="799"/>
      <c r="O84" s="636"/>
      <c r="P84" s="636"/>
      <c r="Q84" s="799"/>
      <c r="R84" s="799"/>
      <c r="S84" s="799"/>
      <c r="T84" s="799"/>
      <c r="U84" s="799"/>
      <c r="V84" s="636"/>
      <c r="W84" s="636"/>
      <c r="X84" s="799"/>
      <c r="Y84" s="799"/>
      <c r="Z84" s="799"/>
      <c r="AA84" s="799"/>
      <c r="AB84" s="799"/>
      <c r="AC84" s="636"/>
      <c r="AD84" s="636"/>
      <c r="AE84" s="799"/>
      <c r="AF84" s="799"/>
      <c r="AG84" s="801"/>
      <c r="AH84" s="1"/>
      <c r="AJ84" s="638">
        <f t="shared" si="0"/>
        <v>160.33000000000001</v>
      </c>
      <c r="AK84" s="638"/>
      <c r="AL84" s="638">
        <f t="shared" si="1"/>
        <v>160.33000000000001</v>
      </c>
      <c r="AM84" s="639">
        <f t="shared" si="2"/>
        <v>0</v>
      </c>
      <c r="AN84" s="639">
        <f t="shared" si="3"/>
        <v>0</v>
      </c>
    </row>
    <row r="85" spans="1:40" ht="18" customHeight="1" x14ac:dyDescent="0.2">
      <c r="A85" s="768"/>
      <c r="B85" s="2367"/>
      <c r="C85" s="636"/>
      <c r="D85" s="636"/>
      <c r="E85" s="635"/>
      <c r="F85" s="636"/>
      <c r="G85" s="636"/>
      <c r="H85" s="636"/>
      <c r="I85" s="636"/>
      <c r="J85" s="636"/>
      <c r="K85" s="636"/>
      <c r="L85" s="636"/>
      <c r="M85" s="636"/>
      <c r="N85" s="636"/>
      <c r="O85" s="799"/>
      <c r="P85" s="799"/>
      <c r="Q85" s="799"/>
      <c r="R85" s="799"/>
      <c r="S85" s="799"/>
      <c r="T85" s="799"/>
      <c r="U85" s="799"/>
      <c r="V85" s="799"/>
      <c r="W85" s="636"/>
      <c r="X85" s="636"/>
      <c r="Y85" s="636"/>
      <c r="Z85" s="636"/>
      <c r="AA85" s="636"/>
      <c r="AB85" s="636"/>
      <c r="AC85" s="636"/>
      <c r="AD85" s="635"/>
      <c r="AE85" s="636"/>
      <c r="AF85" s="636"/>
      <c r="AG85" s="801"/>
      <c r="AH85" s="1"/>
      <c r="AJ85" s="638">
        <f>$AJ$12</f>
        <v>160.33000000000001</v>
      </c>
      <c r="AK85" s="638"/>
      <c r="AL85" s="638">
        <f>IF(AJ85="","",SUM(AJ85:AK85))</f>
        <v>160.33000000000001</v>
      </c>
      <c r="AM85" s="639">
        <f>IF(AJ85="","",AL85-_xlfn.SINGLE(NormTid))</f>
        <v>0</v>
      </c>
      <c r="AN85" s="639">
        <f>IF(AM85="","",AM85)</f>
        <v>0</v>
      </c>
    </row>
    <row r="86" spans="1:40" ht="18" customHeight="1" thickBot="1" x14ac:dyDescent="0.25">
      <c r="A86" s="2474"/>
      <c r="B86" s="2478" t="s">
        <v>0</v>
      </c>
      <c r="C86" s="2492"/>
      <c r="D86" s="1363"/>
      <c r="E86" s="1363"/>
      <c r="F86" s="820"/>
      <c r="G86" s="820"/>
      <c r="H86" s="655"/>
      <c r="I86" s="655"/>
      <c r="J86" s="655"/>
      <c r="K86" s="655"/>
      <c r="L86" s="655"/>
      <c r="M86" s="655"/>
      <c r="N86" s="655"/>
      <c r="O86" s="655"/>
      <c r="P86" s="655"/>
      <c r="Q86" s="655"/>
      <c r="R86" s="655"/>
      <c r="S86" s="655"/>
      <c r="T86" s="655"/>
      <c r="U86" s="655"/>
      <c r="V86" s="655"/>
      <c r="W86" s="655"/>
      <c r="X86" s="655"/>
      <c r="Y86" s="655"/>
      <c r="Z86" s="655"/>
      <c r="AA86" s="655"/>
      <c r="AB86" s="655"/>
      <c r="AC86" s="655"/>
      <c r="AD86" s="655"/>
      <c r="AE86" s="655"/>
      <c r="AF86" s="655"/>
      <c r="AG86" s="821"/>
      <c r="AH86" s="1"/>
      <c r="AJ86" s="638">
        <f>$AJ$12</f>
        <v>160.33000000000001</v>
      </c>
      <c r="AK86" s="638"/>
      <c r="AL86" s="638">
        <f>IF(AJ86="","",SUM(AJ86:AK86))</f>
        <v>160.33000000000001</v>
      </c>
      <c r="AM86" s="639">
        <f>IF(AJ86="","",AL86-_xlfn.SINGLE(NormTid))</f>
        <v>0</v>
      </c>
      <c r="AN86" s="639">
        <f>IF(AM86="","",AM86)</f>
        <v>0</v>
      </c>
    </row>
    <row r="87" spans="1:40" ht="18" customHeight="1" thickBot="1" x14ac:dyDescent="0.25">
      <c r="A87" s="339"/>
      <c r="B87" s="3226" t="s">
        <v>191</v>
      </c>
      <c r="C87" s="334">
        <v>1</v>
      </c>
      <c r="D87" s="389">
        <v>2</v>
      </c>
      <c r="E87" s="389">
        <v>3</v>
      </c>
      <c r="F87" s="390">
        <v>4</v>
      </c>
      <c r="G87" s="390">
        <v>5</v>
      </c>
      <c r="H87" s="389">
        <v>6</v>
      </c>
      <c r="I87" s="389">
        <v>7</v>
      </c>
      <c r="J87" s="389">
        <v>8</v>
      </c>
      <c r="K87" s="389">
        <v>9</v>
      </c>
      <c r="L87" s="389">
        <v>10</v>
      </c>
      <c r="M87" s="390">
        <v>11</v>
      </c>
      <c r="N87" s="390">
        <v>12</v>
      </c>
      <c r="O87" s="389">
        <v>13</v>
      </c>
      <c r="P87" s="389">
        <v>14</v>
      </c>
      <c r="Q87" s="389">
        <v>15</v>
      </c>
      <c r="R87" s="389">
        <v>16</v>
      </c>
      <c r="S87" s="389">
        <v>17</v>
      </c>
      <c r="T87" s="390">
        <v>18</v>
      </c>
      <c r="U87" s="390">
        <v>19</v>
      </c>
      <c r="V87" s="389">
        <v>20</v>
      </c>
      <c r="W87" s="389">
        <v>21</v>
      </c>
      <c r="X87" s="389">
        <v>22</v>
      </c>
      <c r="Y87" s="389">
        <v>23</v>
      </c>
      <c r="Z87" s="389">
        <v>24</v>
      </c>
      <c r="AA87" s="390">
        <v>25</v>
      </c>
      <c r="AB87" s="390">
        <v>26</v>
      </c>
      <c r="AC87" s="389">
        <v>27</v>
      </c>
      <c r="AD87" s="389">
        <v>28</v>
      </c>
      <c r="AE87" s="389">
        <v>29</v>
      </c>
      <c r="AF87" s="389">
        <v>30</v>
      </c>
      <c r="AG87" s="389">
        <v>31</v>
      </c>
      <c r="AH87" s="1" t="s">
        <v>0</v>
      </c>
      <c r="AJ87" s="2513"/>
      <c r="AK87" s="2513"/>
      <c r="AL87" s="2513"/>
      <c r="AM87" s="2514"/>
      <c r="AN87" s="2514"/>
    </row>
    <row r="88" spans="1:40" ht="18" customHeight="1" x14ac:dyDescent="0.2">
      <c r="A88" s="3066"/>
      <c r="B88" s="3227" t="s">
        <v>194</v>
      </c>
      <c r="C88" s="3228"/>
      <c r="D88" s="3229">
        <v>26</v>
      </c>
      <c r="E88" s="3202">
        <v>26</v>
      </c>
      <c r="F88" s="3201"/>
      <c r="G88" s="3201"/>
      <c r="H88" s="3202">
        <v>25</v>
      </c>
      <c r="I88" s="3201" t="s">
        <v>46</v>
      </c>
      <c r="J88" s="3201" t="s">
        <v>46</v>
      </c>
      <c r="K88" s="3201" t="s">
        <v>46</v>
      </c>
      <c r="L88" s="3201" t="s">
        <v>46</v>
      </c>
      <c r="M88" s="3230"/>
      <c r="N88" s="3230"/>
      <c r="O88" s="3202">
        <v>8</v>
      </c>
      <c r="P88" s="3202">
        <v>8</v>
      </c>
      <c r="Q88" s="3202">
        <v>8</v>
      </c>
      <c r="R88" s="3202">
        <v>8</v>
      </c>
      <c r="S88" s="3202">
        <v>8</v>
      </c>
      <c r="T88" s="3231"/>
      <c r="U88" s="3231"/>
      <c r="V88" s="3201" t="s">
        <v>46</v>
      </c>
      <c r="W88" s="3202">
        <v>25</v>
      </c>
      <c r="X88" s="3201" t="s">
        <v>50</v>
      </c>
      <c r="Y88" s="3201" t="s">
        <v>46</v>
      </c>
      <c r="Z88" s="3201" t="s">
        <v>46</v>
      </c>
      <c r="AA88" s="3221"/>
      <c r="AB88" s="3221"/>
      <c r="AC88" s="3202">
        <v>1</v>
      </c>
      <c r="AD88" s="3202">
        <v>1</v>
      </c>
      <c r="AE88" s="3202">
        <v>1</v>
      </c>
      <c r="AF88" s="3202">
        <v>1</v>
      </c>
      <c r="AG88" s="3202">
        <v>1</v>
      </c>
      <c r="AH88" s="1"/>
      <c r="AJ88" s="123"/>
      <c r="AK88" s="123"/>
      <c r="AL88" s="123"/>
      <c r="AM88" s="215"/>
      <c r="AN88" s="215"/>
    </row>
    <row r="89" spans="1:40" ht="18" customHeight="1" x14ac:dyDescent="0.2">
      <c r="A89" s="2496"/>
      <c r="B89" s="3137" t="s">
        <v>431</v>
      </c>
      <c r="C89" s="2930">
        <v>22</v>
      </c>
      <c r="D89" s="803">
        <v>22</v>
      </c>
      <c r="E89" s="803">
        <v>22</v>
      </c>
      <c r="F89" s="803">
        <v>22</v>
      </c>
      <c r="G89" s="803">
        <v>22</v>
      </c>
      <c r="H89" s="636" t="s">
        <v>50</v>
      </c>
      <c r="I89" s="636" t="s">
        <v>50</v>
      </c>
      <c r="J89" s="636" t="s">
        <v>50</v>
      </c>
      <c r="K89" s="812" t="s">
        <v>50</v>
      </c>
      <c r="L89" s="812" t="s">
        <v>50</v>
      </c>
      <c r="M89" s="636"/>
      <c r="N89" s="636"/>
      <c r="O89" s="803">
        <v>7</v>
      </c>
      <c r="P89" s="803">
        <v>7</v>
      </c>
      <c r="Q89" s="803">
        <v>7</v>
      </c>
      <c r="R89" s="803">
        <v>7</v>
      </c>
      <c r="S89" s="803">
        <v>7</v>
      </c>
      <c r="T89" s="3232"/>
      <c r="U89" s="3232"/>
      <c r="V89" s="803">
        <v>6</v>
      </c>
      <c r="W89" s="803">
        <v>6</v>
      </c>
      <c r="X89" s="803">
        <v>6</v>
      </c>
      <c r="Y89" s="804">
        <v>6</v>
      </c>
      <c r="Z89" s="804">
        <v>6</v>
      </c>
      <c r="AA89" s="806" t="s">
        <v>68</v>
      </c>
      <c r="AB89" s="806" t="s">
        <v>403</v>
      </c>
      <c r="AC89" s="3233">
        <v>10</v>
      </c>
      <c r="AD89" s="803">
        <v>10</v>
      </c>
      <c r="AE89" s="803">
        <v>10</v>
      </c>
      <c r="AF89" s="803">
        <v>10</v>
      </c>
      <c r="AG89" s="3234">
        <v>21</v>
      </c>
      <c r="AH89" s="1"/>
      <c r="AJ89" s="123"/>
      <c r="AK89" s="123"/>
      <c r="AL89" s="123"/>
      <c r="AM89" s="123"/>
      <c r="AN89" s="123"/>
    </row>
    <row r="90" spans="1:40" ht="18" customHeight="1" thickBot="1" x14ac:dyDescent="0.25">
      <c r="A90" s="2435"/>
      <c r="B90" s="3070" t="s">
        <v>482</v>
      </c>
      <c r="C90" s="711" t="s">
        <v>50</v>
      </c>
      <c r="D90" s="597" t="s">
        <v>50</v>
      </c>
      <c r="E90" s="712" t="s">
        <v>50</v>
      </c>
      <c r="F90" s="712" t="s">
        <v>107</v>
      </c>
      <c r="G90" s="712" t="s">
        <v>107</v>
      </c>
      <c r="H90" s="712">
        <v>7</v>
      </c>
      <c r="I90" s="712">
        <v>7</v>
      </c>
      <c r="J90" s="597">
        <v>7</v>
      </c>
      <c r="K90" s="597">
        <v>7</v>
      </c>
      <c r="L90" s="597">
        <v>7</v>
      </c>
      <c r="M90" s="597"/>
      <c r="N90" s="597"/>
      <c r="O90" s="597">
        <v>4</v>
      </c>
      <c r="P90" s="597">
        <v>4</v>
      </c>
      <c r="Q90" s="597">
        <v>4</v>
      </c>
      <c r="R90" s="597" t="s">
        <v>46</v>
      </c>
      <c r="S90" s="714">
        <v>3</v>
      </c>
      <c r="T90" s="714"/>
      <c r="U90" s="714"/>
      <c r="V90" s="714">
        <v>3</v>
      </c>
      <c r="W90" s="714">
        <v>3</v>
      </c>
      <c r="X90" s="1282">
        <v>99</v>
      </c>
      <c r="Y90" s="714">
        <v>3</v>
      </c>
      <c r="Z90" s="714" t="s">
        <v>395</v>
      </c>
      <c r="AA90" s="3235"/>
      <c r="AB90" s="3235"/>
      <c r="AC90" s="1363" t="s">
        <v>46</v>
      </c>
      <c r="AD90" s="3236">
        <v>8</v>
      </c>
      <c r="AE90" s="3236">
        <v>8</v>
      </c>
      <c r="AF90" s="3236">
        <v>8</v>
      </c>
      <c r="AG90" s="3237" t="s">
        <v>398</v>
      </c>
      <c r="AH90" s="1"/>
      <c r="AJ90" s="123"/>
      <c r="AK90" s="123"/>
      <c r="AL90" s="123"/>
      <c r="AM90" s="123"/>
      <c r="AN90" s="123"/>
    </row>
    <row r="91" spans="1:40" ht="18" customHeight="1" thickBot="1" x14ac:dyDescent="0.25">
      <c r="A91" s="841"/>
      <c r="B91" s="392" t="s">
        <v>44</v>
      </c>
      <c r="C91" s="272">
        <v>1</v>
      </c>
      <c r="D91" s="273">
        <v>2</v>
      </c>
      <c r="E91" s="273">
        <v>3</v>
      </c>
      <c r="F91" s="272">
        <v>4</v>
      </c>
      <c r="G91" s="272">
        <v>5</v>
      </c>
      <c r="H91" s="273">
        <v>6</v>
      </c>
      <c r="I91" s="273">
        <v>7</v>
      </c>
      <c r="J91" s="273">
        <v>8</v>
      </c>
      <c r="K91" s="273">
        <v>9</v>
      </c>
      <c r="L91" s="273">
        <v>10</v>
      </c>
      <c r="M91" s="272">
        <v>11</v>
      </c>
      <c r="N91" s="272">
        <v>12</v>
      </c>
      <c r="O91" s="273">
        <v>13</v>
      </c>
      <c r="P91" s="273">
        <v>14</v>
      </c>
      <c r="Q91" s="273">
        <v>15</v>
      </c>
      <c r="R91" s="273">
        <v>16</v>
      </c>
      <c r="S91" s="273">
        <v>17</v>
      </c>
      <c r="T91" s="272">
        <v>18</v>
      </c>
      <c r="U91" s="272">
        <v>19</v>
      </c>
      <c r="V91" s="273">
        <v>20</v>
      </c>
      <c r="W91" s="273">
        <v>21</v>
      </c>
      <c r="X91" s="273">
        <v>22</v>
      </c>
      <c r="Y91" s="273">
        <v>23</v>
      </c>
      <c r="Z91" s="273">
        <v>24</v>
      </c>
      <c r="AA91" s="272">
        <v>25</v>
      </c>
      <c r="AB91" s="272">
        <v>26</v>
      </c>
      <c r="AC91" s="273">
        <v>27</v>
      </c>
      <c r="AD91" s="273">
        <v>28</v>
      </c>
      <c r="AE91" s="273">
        <v>29</v>
      </c>
      <c r="AF91" s="273">
        <v>30</v>
      </c>
      <c r="AG91" s="273">
        <v>31</v>
      </c>
      <c r="AH91" s="1"/>
    </row>
    <row r="92" spans="1:40" ht="18" customHeight="1" x14ac:dyDescent="0.2">
      <c r="A92" s="2496"/>
      <c r="B92" s="2942" t="s">
        <v>195</v>
      </c>
      <c r="C92" s="3164"/>
      <c r="D92" s="3238"/>
      <c r="E92" s="3164"/>
      <c r="F92" s="3164"/>
      <c r="G92" s="3164"/>
      <c r="H92" s="3164"/>
      <c r="I92" s="3164"/>
      <c r="J92" s="3164"/>
      <c r="K92" s="3164"/>
      <c r="L92" s="3164"/>
      <c r="M92" s="3164"/>
      <c r="N92" s="3164"/>
      <c r="O92" s="3164"/>
      <c r="P92" s="3164"/>
      <c r="Q92" s="3164"/>
      <c r="R92" s="3164"/>
      <c r="S92" s="3164"/>
      <c r="T92" s="3164"/>
      <c r="U92" s="3164"/>
      <c r="V92" s="3164"/>
      <c r="W92" s="3164"/>
      <c r="X92" s="3164"/>
      <c r="Y92" s="3164"/>
      <c r="Z92" s="3164"/>
      <c r="AA92" s="3164"/>
      <c r="AB92" s="3164"/>
      <c r="AC92" s="3164"/>
      <c r="AD92" s="3164"/>
      <c r="AE92" s="3164"/>
      <c r="AF92" s="3164"/>
      <c r="AG92" s="3239"/>
      <c r="AH92" s="1"/>
    </row>
    <row r="93" spans="1:40" ht="18" customHeight="1" x14ac:dyDescent="0.2">
      <c r="A93" s="2496"/>
      <c r="B93" s="2722" t="s">
        <v>524</v>
      </c>
      <c r="C93" s="3240"/>
      <c r="D93" s="3240"/>
      <c r="E93" s="3240"/>
      <c r="F93" s="2725"/>
      <c r="G93" s="2725"/>
      <c r="H93" s="3240"/>
      <c r="I93" s="3240"/>
      <c r="J93" s="3240"/>
      <c r="K93" s="3240"/>
      <c r="L93" s="3240"/>
      <c r="M93" s="3240"/>
      <c r="N93" s="3240"/>
      <c r="O93" s="3240"/>
      <c r="P93" s="3240">
        <v>99</v>
      </c>
      <c r="Q93" s="3240" t="s">
        <v>46</v>
      </c>
      <c r="R93" s="3240" t="s">
        <v>46</v>
      </c>
      <c r="S93" s="3240"/>
      <c r="T93" s="2718"/>
      <c r="U93" s="3240"/>
      <c r="V93" s="3240"/>
      <c r="W93" s="3240"/>
      <c r="X93" s="3240"/>
      <c r="Y93" s="3240"/>
      <c r="Z93" s="3240"/>
      <c r="AA93" s="3240"/>
      <c r="AB93" s="3240"/>
      <c r="AC93" s="3240"/>
      <c r="AD93" s="3240"/>
      <c r="AE93" s="3240"/>
      <c r="AF93" s="3240"/>
      <c r="AG93" s="3241"/>
      <c r="AH93" s="1"/>
    </row>
    <row r="94" spans="1:40" ht="18" customHeight="1" x14ac:dyDescent="0.2">
      <c r="A94" s="2496"/>
      <c r="B94" s="2722" t="s">
        <v>525</v>
      </c>
      <c r="C94" s="2718"/>
      <c r="D94" s="2718"/>
      <c r="E94" s="2718"/>
      <c r="F94" s="2718"/>
      <c r="G94" s="2718"/>
      <c r="H94" s="2718"/>
      <c r="I94" s="2718"/>
      <c r="J94" s="2718"/>
      <c r="K94" s="2718"/>
      <c r="L94" s="2718"/>
      <c r="M94" s="2718"/>
      <c r="N94" s="2718"/>
      <c r="O94" s="2718"/>
      <c r="P94" s="2718">
        <v>79</v>
      </c>
      <c r="Q94" s="3240" t="s">
        <v>46</v>
      </c>
      <c r="R94" s="3240" t="s">
        <v>46</v>
      </c>
      <c r="S94" s="3240"/>
      <c r="T94" s="2718"/>
      <c r="U94" s="2718"/>
      <c r="V94" s="2718"/>
      <c r="W94" s="2718"/>
      <c r="X94" s="2718"/>
      <c r="Y94" s="2718"/>
      <c r="Z94" s="2718"/>
      <c r="AA94" s="2718"/>
      <c r="AB94" s="2718"/>
      <c r="AC94" s="2718"/>
      <c r="AD94" s="2718"/>
      <c r="AE94" s="2718"/>
      <c r="AF94" s="2718"/>
      <c r="AG94" s="2721"/>
      <c r="AH94" s="1"/>
    </row>
    <row r="95" spans="1:40" ht="18" customHeight="1" thickBot="1" x14ac:dyDescent="0.25">
      <c r="A95" s="96"/>
      <c r="B95" s="2743" t="s">
        <v>526</v>
      </c>
      <c r="C95" s="3242"/>
      <c r="D95" s="3242"/>
      <c r="E95" s="3242"/>
      <c r="F95" s="3242"/>
      <c r="G95" s="3242"/>
      <c r="H95" s="3242"/>
      <c r="I95" s="3242"/>
      <c r="J95" s="3242"/>
      <c r="K95" s="3242"/>
      <c r="L95" s="3242"/>
      <c r="M95" s="3242"/>
      <c r="N95" s="3242"/>
      <c r="O95" s="3242" t="s">
        <v>46</v>
      </c>
      <c r="P95" s="3240" t="s">
        <v>46</v>
      </c>
      <c r="Q95" s="2718"/>
      <c r="R95" s="3240"/>
      <c r="S95" s="3240">
        <v>79</v>
      </c>
      <c r="T95" s="3242"/>
      <c r="U95" s="3242"/>
      <c r="V95" s="3242"/>
      <c r="W95" s="3242"/>
      <c r="X95" s="3242"/>
      <c r="Y95" s="3242"/>
      <c r="Z95" s="3242"/>
      <c r="AA95" s="3242"/>
      <c r="AB95" s="3242"/>
      <c r="AC95" s="3242"/>
      <c r="AD95" s="3242"/>
      <c r="AE95" s="3242"/>
      <c r="AF95" s="3242"/>
      <c r="AG95" s="2784"/>
      <c r="AH95" s="1"/>
    </row>
    <row r="96" spans="1:40" ht="18" customHeight="1" x14ac:dyDescent="0.2">
      <c r="A96" s="96"/>
      <c r="B96" s="127"/>
      <c r="C96" s="346"/>
      <c r="D96" s="346"/>
      <c r="E96" s="346"/>
      <c r="F96" s="346"/>
      <c r="G96" s="346"/>
      <c r="H96" s="346"/>
      <c r="I96" s="346"/>
      <c r="J96" s="346"/>
      <c r="K96" s="346"/>
      <c r="L96" s="346"/>
      <c r="M96" s="346"/>
      <c r="N96" s="346"/>
      <c r="O96" s="346"/>
      <c r="P96" s="346"/>
      <c r="Q96" s="346"/>
      <c r="R96" s="346"/>
      <c r="S96" s="346"/>
      <c r="T96" s="346"/>
      <c r="U96" s="346"/>
      <c r="V96" s="346"/>
      <c r="W96" s="346"/>
      <c r="X96" s="346"/>
      <c r="Y96" s="346"/>
      <c r="Z96" s="346"/>
      <c r="AA96" s="346"/>
      <c r="AB96" s="346"/>
      <c r="AC96" s="346"/>
      <c r="AD96" s="346"/>
      <c r="AE96" s="346"/>
      <c r="AF96" s="346"/>
      <c r="AG96" s="346"/>
      <c r="AH96" s="1"/>
    </row>
    <row r="97" spans="1:40" ht="18" customHeight="1" x14ac:dyDescent="0.3">
      <c r="A97" s="96"/>
      <c r="B97" s="347" t="s">
        <v>232</v>
      </c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"/>
    </row>
    <row r="98" spans="1:40" ht="18" customHeight="1" x14ac:dyDescent="0.2">
      <c r="A98" s="96"/>
      <c r="B98" s="2696"/>
      <c r="C98" s="2695"/>
      <c r="D98" s="2696" t="s">
        <v>17</v>
      </c>
      <c r="E98" s="2695"/>
      <c r="F98" s="2695"/>
      <c r="G98" s="2696" t="s">
        <v>18</v>
      </c>
      <c r="H98" s="2695"/>
      <c r="I98" s="2695"/>
      <c r="J98" s="2696" t="s">
        <v>19</v>
      </c>
      <c r="K98" s="2695"/>
      <c r="L98" s="2695"/>
      <c r="M98" s="2696" t="s">
        <v>20</v>
      </c>
      <c r="N98" s="2695"/>
      <c r="O98" s="2695"/>
      <c r="P98" s="2696" t="s">
        <v>21</v>
      </c>
      <c r="Q98" s="2695"/>
      <c r="R98" s="2691"/>
      <c r="S98" s="2692" t="s">
        <v>22</v>
      </c>
      <c r="T98" s="2695"/>
      <c r="U98" s="2695"/>
      <c r="V98" s="2696" t="s">
        <v>23</v>
      </c>
      <c r="W98" s="2695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1"/>
    </row>
    <row r="99" spans="1:40" ht="18" customHeight="1" x14ac:dyDescent="0.2">
      <c r="A99" s="96"/>
      <c r="B99" s="2854" t="s">
        <v>127</v>
      </c>
      <c r="C99" s="3243" t="s">
        <v>527</v>
      </c>
      <c r="D99" s="2856"/>
      <c r="E99" s="2856"/>
      <c r="F99" s="3243" t="s">
        <v>527</v>
      </c>
      <c r="G99" s="2856"/>
      <c r="H99" s="2856"/>
      <c r="I99" s="3243" t="s">
        <v>527</v>
      </c>
      <c r="J99" s="2856"/>
      <c r="K99" s="2856"/>
      <c r="L99" s="3243" t="s">
        <v>527</v>
      </c>
      <c r="M99" s="2856"/>
      <c r="N99" s="2856"/>
      <c r="O99" s="3243" t="s">
        <v>527</v>
      </c>
      <c r="P99" s="2856"/>
      <c r="Q99" s="2856"/>
      <c r="R99" s="2855"/>
      <c r="S99" s="2856"/>
      <c r="T99" s="2856"/>
      <c r="U99" s="2855" t="s">
        <v>256</v>
      </c>
      <c r="V99" s="2856"/>
      <c r="W99" s="3244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1"/>
    </row>
    <row r="100" spans="1:40" ht="18" customHeight="1" x14ac:dyDescent="0.2">
      <c r="A100" s="96"/>
      <c r="B100" s="2854" t="s">
        <v>528</v>
      </c>
      <c r="C100" s="3245" t="s">
        <v>529</v>
      </c>
      <c r="D100" s="3246"/>
      <c r="E100" s="3246"/>
      <c r="F100" s="3245" t="s">
        <v>529</v>
      </c>
      <c r="G100" s="3246"/>
      <c r="H100" s="3246"/>
      <c r="I100" s="3245" t="s">
        <v>529</v>
      </c>
      <c r="J100" s="3246"/>
      <c r="K100" s="3246"/>
      <c r="L100" s="3245" t="s">
        <v>529</v>
      </c>
      <c r="M100" s="3246"/>
      <c r="N100" s="3246"/>
      <c r="O100" s="3245" t="s">
        <v>530</v>
      </c>
      <c r="P100" s="3246"/>
      <c r="Q100" s="3246"/>
      <c r="R100" s="387"/>
      <c r="S100" s="46"/>
      <c r="T100" s="3244"/>
      <c r="U100" s="387"/>
      <c r="V100" s="46"/>
      <c r="W100" s="3244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1"/>
    </row>
    <row r="101" spans="1:40" ht="18" customHeight="1" x14ac:dyDescent="0.2">
      <c r="A101" s="96"/>
      <c r="B101" s="2854" t="s">
        <v>472</v>
      </c>
      <c r="C101" s="3247" t="s">
        <v>531</v>
      </c>
      <c r="D101" s="2684"/>
      <c r="E101" s="2684"/>
      <c r="F101" s="3247" t="s">
        <v>531</v>
      </c>
      <c r="G101" s="2805"/>
      <c r="H101" s="2684"/>
      <c r="I101" s="2187" t="s">
        <v>531</v>
      </c>
      <c r="J101" s="3108"/>
      <c r="K101" s="2431"/>
      <c r="L101" s="2187" t="s">
        <v>532</v>
      </c>
      <c r="M101" s="3108"/>
      <c r="N101" s="3248"/>
      <c r="O101" s="3247" t="s">
        <v>532</v>
      </c>
      <c r="P101" s="2684"/>
      <c r="Q101" s="2684"/>
      <c r="R101" s="2187" t="s">
        <v>533</v>
      </c>
      <c r="S101" s="3108"/>
      <c r="T101" s="2431"/>
      <c r="U101" s="2187" t="s">
        <v>533</v>
      </c>
      <c r="V101" s="3108"/>
      <c r="W101" s="2431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1"/>
    </row>
    <row r="102" spans="1:40" ht="18" customHeight="1" x14ac:dyDescent="0.2">
      <c r="A102" s="96"/>
      <c r="B102" s="2854" t="s">
        <v>534</v>
      </c>
      <c r="C102" s="3247" t="s">
        <v>50</v>
      </c>
      <c r="D102" s="2684"/>
      <c r="E102" s="2684"/>
      <c r="F102" s="3247" t="s">
        <v>50</v>
      </c>
      <c r="G102" s="2805"/>
      <c r="H102" s="2684"/>
      <c r="I102" s="2187" t="s">
        <v>50</v>
      </c>
      <c r="J102" s="3108"/>
      <c r="K102" s="2431"/>
      <c r="L102" s="2187" t="s">
        <v>50</v>
      </c>
      <c r="M102" s="3108"/>
      <c r="N102" s="3248"/>
      <c r="O102" s="3247" t="s">
        <v>50</v>
      </c>
      <c r="P102" s="2684"/>
      <c r="Q102" s="2684"/>
      <c r="R102" s="2187"/>
      <c r="S102" s="3108"/>
      <c r="T102" s="2431"/>
      <c r="U102" s="2187"/>
      <c r="V102" s="3108"/>
      <c r="W102" s="2431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1"/>
    </row>
    <row r="103" spans="1:40" ht="18" customHeight="1" thickBot="1" x14ac:dyDescent="0.25">
      <c r="A103" s="96"/>
      <c r="B103" s="392" t="s">
        <v>44</v>
      </c>
      <c r="C103" s="272">
        <v>1</v>
      </c>
      <c r="D103" s="273">
        <v>2</v>
      </c>
      <c r="E103" s="273">
        <v>3</v>
      </c>
      <c r="F103" s="272">
        <v>4</v>
      </c>
      <c r="G103" s="272">
        <v>5</v>
      </c>
      <c r="H103" s="273">
        <v>6</v>
      </c>
      <c r="I103" s="273">
        <v>7</v>
      </c>
      <c r="J103" s="273">
        <v>8</v>
      </c>
      <c r="K103" s="273">
        <v>9</v>
      </c>
      <c r="L103" s="273">
        <v>10</v>
      </c>
      <c r="M103" s="272">
        <v>11</v>
      </c>
      <c r="N103" s="272">
        <v>12</v>
      </c>
      <c r="O103" s="273">
        <v>13</v>
      </c>
      <c r="P103" s="273">
        <v>14</v>
      </c>
      <c r="Q103" s="273">
        <v>15</v>
      </c>
      <c r="R103" s="273">
        <v>16</v>
      </c>
      <c r="S103" s="273">
        <v>17</v>
      </c>
      <c r="T103" s="272">
        <v>18</v>
      </c>
      <c r="U103" s="272">
        <v>19</v>
      </c>
      <c r="V103" s="273">
        <v>20</v>
      </c>
      <c r="W103" s="273">
        <v>21</v>
      </c>
      <c r="X103" s="273">
        <v>22</v>
      </c>
      <c r="Y103" s="273">
        <v>23</v>
      </c>
      <c r="Z103" s="273">
        <v>24</v>
      </c>
      <c r="AA103" s="272">
        <v>25</v>
      </c>
      <c r="AB103" s="272">
        <v>26</v>
      </c>
      <c r="AC103" s="273">
        <v>27</v>
      </c>
      <c r="AD103" s="273">
        <v>28</v>
      </c>
      <c r="AE103" s="273">
        <v>29</v>
      </c>
      <c r="AF103" s="273">
        <v>30</v>
      </c>
      <c r="AG103" s="273">
        <v>31</v>
      </c>
      <c r="AH103" s="1"/>
    </row>
    <row r="104" spans="1:40" ht="18" customHeight="1" x14ac:dyDescent="0.2">
      <c r="A104" s="96"/>
      <c r="B104" s="3249" t="s">
        <v>138</v>
      </c>
      <c r="C104" s="3240" t="s">
        <v>143</v>
      </c>
      <c r="D104" s="2779" t="s">
        <v>142</v>
      </c>
      <c r="E104" s="2779" t="s">
        <v>142</v>
      </c>
      <c r="F104" s="3240" t="s">
        <v>143</v>
      </c>
      <c r="G104" s="3240" t="s">
        <v>143</v>
      </c>
      <c r="H104" s="3240" t="s">
        <v>50</v>
      </c>
      <c r="I104" s="3240" t="s">
        <v>50</v>
      </c>
      <c r="J104" s="3240" t="s">
        <v>50</v>
      </c>
      <c r="K104" s="3240" t="s">
        <v>50</v>
      </c>
      <c r="L104" s="3240" t="s">
        <v>50</v>
      </c>
      <c r="M104" s="3240"/>
      <c r="N104" s="3240"/>
      <c r="O104" s="3240">
        <v>25</v>
      </c>
      <c r="P104" s="3240">
        <v>25</v>
      </c>
      <c r="Q104" s="3240">
        <v>25</v>
      </c>
      <c r="R104" s="3240">
        <v>25</v>
      </c>
      <c r="S104" s="3240">
        <v>25</v>
      </c>
      <c r="T104" s="3240"/>
      <c r="U104" s="2719">
        <v>26</v>
      </c>
      <c r="V104" s="3240">
        <v>26</v>
      </c>
      <c r="W104" s="3240">
        <v>26</v>
      </c>
      <c r="X104" s="3240">
        <v>26</v>
      </c>
      <c r="Y104" s="3240">
        <v>26</v>
      </c>
      <c r="Z104" s="3240">
        <v>26</v>
      </c>
      <c r="AA104" s="3240"/>
      <c r="AB104" s="3240"/>
      <c r="AC104" s="3240" t="s">
        <v>142</v>
      </c>
      <c r="AD104" s="3240" t="s">
        <v>142</v>
      </c>
      <c r="AE104" s="3240" t="s">
        <v>142</v>
      </c>
      <c r="AF104" s="3240" t="s">
        <v>142</v>
      </c>
      <c r="AG104" s="3240" t="s">
        <v>142</v>
      </c>
      <c r="AH104" s="1"/>
    </row>
    <row r="105" spans="1:40" ht="18" customHeight="1" x14ac:dyDescent="0.2">
      <c r="A105" s="96"/>
      <c r="B105" s="2187" t="s">
        <v>144</v>
      </c>
      <c r="C105" s="3240"/>
      <c r="D105" s="3250">
        <v>11</v>
      </c>
      <c r="E105" s="3250">
        <v>11</v>
      </c>
      <c r="F105" s="3240"/>
      <c r="G105" s="3240"/>
      <c r="H105" s="2739">
        <v>25</v>
      </c>
      <c r="I105" s="2779">
        <v>25</v>
      </c>
      <c r="J105" s="2779">
        <v>25</v>
      </c>
      <c r="K105" s="2779">
        <v>25</v>
      </c>
      <c r="L105" s="2779">
        <v>25</v>
      </c>
      <c r="M105" s="3240"/>
      <c r="N105" s="3240">
        <v>26</v>
      </c>
      <c r="O105" s="2779">
        <v>26</v>
      </c>
      <c r="P105" s="2779">
        <v>26</v>
      </c>
      <c r="Q105" s="2779">
        <v>26</v>
      </c>
      <c r="R105" s="2779">
        <v>26</v>
      </c>
      <c r="S105" s="2695">
        <v>26</v>
      </c>
      <c r="T105" s="3250" t="s">
        <v>104</v>
      </c>
      <c r="U105" s="3250" t="s">
        <v>104</v>
      </c>
      <c r="V105" s="3240" t="s">
        <v>142</v>
      </c>
      <c r="W105" s="3240" t="s">
        <v>142</v>
      </c>
      <c r="X105" s="3240" t="s">
        <v>142</v>
      </c>
      <c r="Y105" s="3240" t="s">
        <v>142</v>
      </c>
      <c r="Z105" s="3240" t="s">
        <v>142</v>
      </c>
      <c r="AA105" s="3240" t="s">
        <v>143</v>
      </c>
      <c r="AB105" s="3240" t="s">
        <v>143</v>
      </c>
      <c r="AC105" s="3240" t="s">
        <v>50</v>
      </c>
      <c r="AD105" s="3240" t="s">
        <v>50</v>
      </c>
      <c r="AE105" s="3240" t="s">
        <v>50</v>
      </c>
      <c r="AF105" s="3240" t="s">
        <v>50</v>
      </c>
      <c r="AG105" s="3240" t="s">
        <v>50</v>
      </c>
      <c r="AH105" s="1"/>
    </row>
    <row r="106" spans="1:40" ht="18" customHeight="1" x14ac:dyDescent="0.2">
      <c r="A106" s="96"/>
      <c r="B106" s="2478" t="s">
        <v>513</v>
      </c>
      <c r="C106" s="3240"/>
      <c r="D106" s="3240">
        <v>25</v>
      </c>
      <c r="E106" s="3240">
        <v>25</v>
      </c>
      <c r="F106" s="3240"/>
      <c r="G106" s="2879">
        <v>26</v>
      </c>
      <c r="H106" s="2879">
        <v>26</v>
      </c>
      <c r="I106" s="2879">
        <v>26</v>
      </c>
      <c r="J106" s="2879">
        <v>26</v>
      </c>
      <c r="K106" s="2879">
        <v>26</v>
      </c>
      <c r="L106" s="2879">
        <v>26</v>
      </c>
      <c r="M106" s="3240"/>
      <c r="N106" s="3240"/>
      <c r="O106" s="3240" t="s">
        <v>142</v>
      </c>
      <c r="P106" s="3240" t="s">
        <v>142</v>
      </c>
      <c r="Q106" s="3240" t="s">
        <v>142</v>
      </c>
      <c r="R106" s="3240" t="s">
        <v>142</v>
      </c>
      <c r="S106" s="3240" t="s">
        <v>142</v>
      </c>
      <c r="T106" s="3240" t="s">
        <v>143</v>
      </c>
      <c r="U106" s="3240" t="s">
        <v>143</v>
      </c>
      <c r="V106" s="3240" t="s">
        <v>50</v>
      </c>
      <c r="W106" s="3240" t="s">
        <v>50</v>
      </c>
      <c r="X106" s="3240" t="s">
        <v>50</v>
      </c>
      <c r="Y106" s="3240" t="s">
        <v>50</v>
      </c>
      <c r="Z106" s="3240" t="s">
        <v>50</v>
      </c>
      <c r="AA106" s="3240"/>
      <c r="AB106" s="3240"/>
      <c r="AC106" s="3240">
        <v>25</v>
      </c>
      <c r="AD106" s="3240">
        <v>25</v>
      </c>
      <c r="AE106" s="3240">
        <v>25</v>
      </c>
      <c r="AF106" s="3240">
        <v>25</v>
      </c>
      <c r="AG106" s="3240">
        <v>25</v>
      </c>
      <c r="AH106" s="1"/>
    </row>
    <row r="107" spans="1:40" ht="18" customHeight="1" thickBot="1" x14ac:dyDescent="0.25">
      <c r="A107" s="126"/>
      <c r="B107" s="3070"/>
      <c r="C107" s="3240"/>
      <c r="D107" s="3240">
        <v>26</v>
      </c>
      <c r="E107" s="3240">
        <v>26</v>
      </c>
      <c r="F107" s="3240"/>
      <c r="G107" s="3240"/>
      <c r="H107" s="3240" t="s">
        <v>142</v>
      </c>
      <c r="I107" s="3240" t="s">
        <v>142</v>
      </c>
      <c r="J107" s="3240" t="s">
        <v>142</v>
      </c>
      <c r="K107" s="3240" t="s">
        <v>142</v>
      </c>
      <c r="L107" s="3240" t="s">
        <v>142</v>
      </c>
      <c r="M107" s="3240" t="s">
        <v>143</v>
      </c>
      <c r="N107" s="3240" t="s">
        <v>143</v>
      </c>
      <c r="O107" s="3240" t="s">
        <v>50</v>
      </c>
      <c r="P107" s="3240" t="s">
        <v>50</v>
      </c>
      <c r="Q107" s="3240" t="s">
        <v>50</v>
      </c>
      <c r="R107" s="3240" t="s">
        <v>50</v>
      </c>
      <c r="S107" s="3240" t="s">
        <v>50</v>
      </c>
      <c r="T107" s="3240"/>
      <c r="U107" s="3240"/>
      <c r="V107" s="3240">
        <v>25</v>
      </c>
      <c r="W107" s="3240">
        <v>25</v>
      </c>
      <c r="X107" s="3240">
        <v>25</v>
      </c>
      <c r="Y107" s="3240">
        <v>25</v>
      </c>
      <c r="Z107" s="3240">
        <v>25</v>
      </c>
      <c r="AA107" s="3240"/>
      <c r="AB107" s="3240">
        <v>26</v>
      </c>
      <c r="AC107" s="3240">
        <v>26</v>
      </c>
      <c r="AD107" s="3240">
        <v>26</v>
      </c>
      <c r="AE107" s="3240">
        <v>26</v>
      </c>
      <c r="AF107" s="3240">
        <v>26</v>
      </c>
      <c r="AG107" s="3240">
        <v>26</v>
      </c>
      <c r="AH107" s="1"/>
    </row>
    <row r="108" spans="1:40" ht="18" customHeight="1" thickBot="1" x14ac:dyDescent="0.25">
      <c r="A108" s="216" t="s">
        <v>197</v>
      </c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1"/>
    </row>
    <row r="109" spans="1:40" ht="18" customHeight="1" thickBot="1" x14ac:dyDescent="0.3">
      <c r="A109" s="126"/>
      <c r="B109" s="217"/>
      <c r="C109" s="218"/>
      <c r="D109" s="218"/>
      <c r="E109" s="221" t="s">
        <v>198</v>
      </c>
      <c r="F109" s="218"/>
      <c r="G109" s="218"/>
      <c r="H109" s="218"/>
      <c r="I109" s="218"/>
      <c r="J109" s="218"/>
      <c r="K109" s="226" t="s">
        <v>13</v>
      </c>
      <c r="L109" s="222"/>
      <c r="M109" s="222"/>
      <c r="N109" s="222"/>
      <c r="O109" s="222"/>
      <c r="P109" s="222"/>
      <c r="Q109" s="222"/>
      <c r="R109" s="222"/>
      <c r="S109" s="222"/>
      <c r="T109" s="223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"/>
    </row>
    <row r="110" spans="1:40" ht="18" customHeight="1" thickBot="1" x14ac:dyDescent="0.3">
      <c r="A110" s="126"/>
      <c r="B110" s="217" t="s">
        <v>535</v>
      </c>
      <c r="C110" s="218"/>
      <c r="D110" s="218"/>
      <c r="E110" s="219" t="s">
        <v>200</v>
      </c>
      <c r="F110" s="218"/>
      <c r="G110" s="218"/>
      <c r="H110" s="218"/>
      <c r="I110" s="218"/>
      <c r="J110" s="218"/>
      <c r="K110" s="218" t="s">
        <v>0</v>
      </c>
      <c r="L110" s="218"/>
      <c r="M110" s="218"/>
      <c r="N110" s="218"/>
      <c r="O110" s="218"/>
      <c r="P110" s="218"/>
      <c r="Q110" s="218"/>
      <c r="R110" s="236" t="s">
        <v>0</v>
      </c>
      <c r="S110" s="236"/>
      <c r="T110" s="236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"/>
    </row>
    <row r="111" spans="1:40" ht="18" customHeight="1" thickBot="1" x14ac:dyDescent="0.3">
      <c r="A111" s="126"/>
      <c r="B111" s="227"/>
      <c r="C111" s="227"/>
      <c r="D111" s="227"/>
      <c r="E111" s="228"/>
      <c r="F111" s="227"/>
      <c r="G111" s="227"/>
      <c r="H111" s="227"/>
      <c r="I111" s="227"/>
      <c r="J111" s="227"/>
      <c r="K111" s="227"/>
      <c r="L111" s="231"/>
      <c r="M111" s="231"/>
      <c r="N111" s="231"/>
      <c r="O111" s="231"/>
      <c r="P111" s="231"/>
      <c r="Q111" s="231"/>
      <c r="R111" s="231"/>
      <c r="S111" s="231"/>
      <c r="T111" s="231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"/>
    </row>
    <row r="112" spans="1:40" ht="18" customHeight="1" x14ac:dyDescent="0.25">
      <c r="A112" s="126"/>
      <c r="B112" s="3251" t="s">
        <v>44</v>
      </c>
      <c r="C112" s="3140">
        <v>1</v>
      </c>
      <c r="D112" s="3141">
        <v>2</v>
      </c>
      <c r="E112" s="3141">
        <v>3</v>
      </c>
      <c r="F112" s="3140">
        <v>4</v>
      </c>
      <c r="G112" s="3140">
        <v>5</v>
      </c>
      <c r="H112" s="3141">
        <v>6</v>
      </c>
      <c r="I112" s="3141">
        <v>7</v>
      </c>
      <c r="J112" s="3141">
        <v>8</v>
      </c>
      <c r="K112" s="3141">
        <v>9</v>
      </c>
      <c r="L112" s="3141">
        <v>10</v>
      </c>
      <c r="M112" s="3140">
        <v>11</v>
      </c>
      <c r="N112" s="3140">
        <v>12</v>
      </c>
      <c r="O112" s="3141">
        <v>13</v>
      </c>
      <c r="P112" s="3141">
        <v>14</v>
      </c>
      <c r="Q112" s="3141">
        <v>15</v>
      </c>
      <c r="R112" s="3141">
        <v>16</v>
      </c>
      <c r="S112" s="3141">
        <v>17</v>
      </c>
      <c r="T112" s="3140">
        <v>18</v>
      </c>
      <c r="U112" s="3140">
        <v>19</v>
      </c>
      <c r="V112" s="3141">
        <v>20</v>
      </c>
      <c r="W112" s="3141">
        <v>21</v>
      </c>
      <c r="X112" s="3141">
        <v>22</v>
      </c>
      <c r="Y112" s="3141">
        <v>23</v>
      </c>
      <c r="Z112" s="3141">
        <v>24</v>
      </c>
      <c r="AA112" s="3140">
        <v>25</v>
      </c>
      <c r="AB112" s="3140">
        <v>26</v>
      </c>
      <c r="AC112" s="3141">
        <v>27</v>
      </c>
      <c r="AD112" s="3141">
        <v>28</v>
      </c>
      <c r="AE112" s="3141">
        <v>29</v>
      </c>
      <c r="AF112" s="3141">
        <v>30</v>
      </c>
      <c r="AG112" s="3141">
        <v>31</v>
      </c>
      <c r="AH112" s="1"/>
      <c r="AJ112" s="1151" t="s">
        <v>41</v>
      </c>
      <c r="AK112" s="1151" t="s">
        <v>62</v>
      </c>
      <c r="AL112" s="1151" t="s">
        <v>63</v>
      </c>
      <c r="AM112" s="1151" t="s">
        <v>64</v>
      </c>
      <c r="AN112" s="1151" t="s">
        <v>65</v>
      </c>
    </row>
    <row r="113" spans="1:40" ht="18" customHeight="1" x14ac:dyDescent="0.2">
      <c r="B113" s="3252" t="s">
        <v>484</v>
      </c>
      <c r="C113" s="3253" t="s">
        <v>209</v>
      </c>
      <c r="D113" s="3254" t="s">
        <v>209</v>
      </c>
      <c r="E113" s="3254" t="s">
        <v>209</v>
      </c>
      <c r="F113" s="3254" t="s">
        <v>209</v>
      </c>
      <c r="G113" s="3254" t="s">
        <v>209</v>
      </c>
      <c r="H113" s="3254" t="s">
        <v>50</v>
      </c>
      <c r="I113" s="3255" t="s">
        <v>50</v>
      </c>
      <c r="J113" s="3255" t="s">
        <v>50</v>
      </c>
      <c r="K113" s="3255" t="s">
        <v>50</v>
      </c>
      <c r="L113" s="3255" t="s">
        <v>50</v>
      </c>
      <c r="M113" s="3255"/>
      <c r="N113" s="3255"/>
      <c r="O113" s="3254" t="s">
        <v>209</v>
      </c>
      <c r="P113" s="3255" t="s">
        <v>209</v>
      </c>
      <c r="Q113" s="3255" t="s">
        <v>209</v>
      </c>
      <c r="R113" s="3255" t="s">
        <v>209</v>
      </c>
      <c r="S113" s="3255" t="s">
        <v>209</v>
      </c>
      <c r="T113" s="3254"/>
      <c r="U113" s="3254"/>
      <c r="V113" s="3254" t="s">
        <v>50</v>
      </c>
      <c r="W113" s="3254" t="s">
        <v>50</v>
      </c>
      <c r="X113" s="3253" t="s">
        <v>50</v>
      </c>
      <c r="Y113" s="3254" t="s">
        <v>50</v>
      </c>
      <c r="Z113" s="3254" t="s">
        <v>50</v>
      </c>
      <c r="AA113" s="3255"/>
      <c r="AB113" s="3254"/>
      <c r="AC113" s="3254" t="s">
        <v>209</v>
      </c>
      <c r="AD113" s="3254" t="s">
        <v>209</v>
      </c>
      <c r="AE113" s="3253" t="s">
        <v>209</v>
      </c>
      <c r="AF113" s="3254" t="s">
        <v>209</v>
      </c>
      <c r="AG113" s="3256" t="s">
        <v>209</v>
      </c>
      <c r="AH113" s="1"/>
      <c r="AJ113" s="638">
        <f>$AJ$12</f>
        <v>160.33000000000001</v>
      </c>
      <c r="AK113" s="638"/>
      <c r="AL113" s="638">
        <f>IF(AJ113="","",SUM(AJ113:AK113))</f>
        <v>160.33000000000001</v>
      </c>
      <c r="AM113" s="639">
        <f t="shared" ref="AM113:AM114" si="8">IF(AJ113="","",AL113-AJ113)</f>
        <v>0</v>
      </c>
      <c r="AN113" s="639">
        <f t="shared" ref="AN113:AN114" si="9">IF(AM113="","",AM113)</f>
        <v>0</v>
      </c>
    </row>
    <row r="114" spans="1:40" ht="18" customHeight="1" thickBot="1" x14ac:dyDescent="0.25">
      <c r="B114" s="3257" t="s">
        <v>212</v>
      </c>
      <c r="C114" s="3258" t="s">
        <v>50</v>
      </c>
      <c r="D114" s="635" t="s">
        <v>50</v>
      </c>
      <c r="E114" s="635" t="s">
        <v>50</v>
      </c>
      <c r="F114" s="636"/>
      <c r="G114" s="635"/>
      <c r="H114" s="802" t="s">
        <v>209</v>
      </c>
      <c r="I114" s="802" t="s">
        <v>209</v>
      </c>
      <c r="J114" s="636" t="s">
        <v>209</v>
      </c>
      <c r="K114" s="636" t="s">
        <v>209</v>
      </c>
      <c r="L114" s="636" t="s">
        <v>209</v>
      </c>
      <c r="M114" s="636" t="s">
        <v>209</v>
      </c>
      <c r="N114" s="636" t="s">
        <v>209</v>
      </c>
      <c r="O114" s="635" t="s">
        <v>50</v>
      </c>
      <c r="P114" s="635" t="s">
        <v>50</v>
      </c>
      <c r="Q114" s="3258" t="s">
        <v>50</v>
      </c>
      <c r="R114" s="635" t="s">
        <v>50</v>
      </c>
      <c r="S114" s="635" t="s">
        <v>50</v>
      </c>
      <c r="T114" s="636"/>
      <c r="U114" s="635"/>
      <c r="V114" s="635" t="s">
        <v>209</v>
      </c>
      <c r="W114" s="636" t="s">
        <v>209</v>
      </c>
      <c r="X114" s="636" t="s">
        <v>209</v>
      </c>
      <c r="Y114" s="636" t="s">
        <v>209</v>
      </c>
      <c r="Z114" s="636" t="s">
        <v>209</v>
      </c>
      <c r="AA114" s="636" t="s">
        <v>0</v>
      </c>
      <c r="AB114" s="636" t="s">
        <v>0</v>
      </c>
      <c r="AC114" s="635" t="s">
        <v>50</v>
      </c>
      <c r="AD114" s="635" t="s">
        <v>50</v>
      </c>
      <c r="AE114" s="3258" t="s">
        <v>50</v>
      </c>
      <c r="AF114" s="635" t="s">
        <v>50</v>
      </c>
      <c r="AG114" s="801" t="s">
        <v>50</v>
      </c>
      <c r="AH114" s="1"/>
      <c r="AJ114" s="3259">
        <f t="shared" ref="AJ114" si="10">$AJ$12</f>
        <v>160.33000000000001</v>
      </c>
      <c r="AK114" s="3259"/>
      <c r="AL114" s="3259">
        <f t="shared" ref="AL114" si="11">IF(AJ114="","",SUM(AJ114:AK114))</f>
        <v>160.33000000000001</v>
      </c>
      <c r="AM114" s="3260">
        <f t="shared" si="8"/>
        <v>0</v>
      </c>
      <c r="AN114" s="639">
        <f t="shared" si="9"/>
        <v>0</v>
      </c>
    </row>
    <row r="115" spans="1:40" ht="18" customHeight="1" x14ac:dyDescent="0.2">
      <c r="B115" s="232"/>
      <c r="C115" s="233"/>
      <c r="D115" s="233"/>
      <c r="E115" s="234"/>
      <c r="F115" s="234"/>
      <c r="G115" s="234"/>
      <c r="H115" s="234"/>
      <c r="I115" s="234"/>
      <c r="J115" s="234"/>
      <c r="K115" s="234"/>
      <c r="L115" s="234"/>
      <c r="M115" s="234"/>
      <c r="N115" s="234"/>
      <c r="O115" s="234"/>
      <c r="P115" s="234"/>
      <c r="Q115" s="234"/>
      <c r="R115" s="234"/>
      <c r="S115" s="234"/>
      <c r="T115" s="234"/>
      <c r="U115" s="234"/>
      <c r="V115" s="234"/>
      <c r="W115" s="234"/>
      <c r="X115" s="234"/>
      <c r="Y115" s="234"/>
      <c r="Z115" s="234"/>
      <c r="AA115" s="234"/>
      <c r="AB115" s="234"/>
      <c r="AC115" s="234"/>
      <c r="AD115" s="234"/>
      <c r="AE115" s="234"/>
      <c r="AF115" s="234"/>
      <c r="AG115" s="234"/>
      <c r="AH115" s="1"/>
      <c r="AJ115" s="123"/>
      <c r="AK115" s="123"/>
      <c r="AL115" s="123"/>
      <c r="AM115" s="215"/>
      <c r="AN115" s="215"/>
    </row>
    <row r="116" spans="1:40" ht="18" customHeight="1" x14ac:dyDescent="0.2">
      <c r="A116" s="3" t="s">
        <v>213</v>
      </c>
      <c r="AH116" s="1"/>
      <c r="AJ116" s="123"/>
      <c r="AK116" s="123"/>
      <c r="AL116" s="123"/>
      <c r="AM116" s="215"/>
      <c r="AN116" s="215"/>
    </row>
    <row r="117" spans="1:40" ht="18" customHeight="1" x14ac:dyDescent="0.25">
      <c r="B117" s="217"/>
      <c r="C117" s="218"/>
      <c r="D117" s="218"/>
      <c r="E117" s="221" t="s">
        <v>198</v>
      </c>
      <c r="F117" s="218"/>
      <c r="G117" s="218"/>
      <c r="H117" s="218"/>
      <c r="I117" s="218"/>
      <c r="J117" s="218"/>
      <c r="K117" s="226" t="s">
        <v>13</v>
      </c>
      <c r="L117" s="222"/>
      <c r="M117" s="222"/>
      <c r="N117" s="222"/>
      <c r="O117" s="222"/>
      <c r="P117" s="222"/>
      <c r="Q117" s="222"/>
      <c r="R117" s="222"/>
      <c r="S117" s="222"/>
      <c r="T117" s="223"/>
      <c r="AH117" s="1"/>
      <c r="AJ117" s="123"/>
      <c r="AK117" s="123"/>
      <c r="AL117" s="123"/>
      <c r="AM117" s="215"/>
      <c r="AN117" s="215"/>
    </row>
    <row r="118" spans="1:40" ht="18" customHeight="1" thickBot="1" x14ac:dyDescent="0.3">
      <c r="B118" s="217" t="s">
        <v>487</v>
      </c>
      <c r="C118" s="218"/>
      <c r="D118" s="218"/>
      <c r="E118" s="219" t="s">
        <v>214</v>
      </c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36"/>
      <c r="S118" s="236"/>
      <c r="T118" s="236"/>
      <c r="AH118" s="1"/>
      <c r="AJ118" s="123"/>
      <c r="AK118" s="123"/>
      <c r="AL118" s="123"/>
      <c r="AM118" s="215"/>
      <c r="AN118" s="215"/>
    </row>
    <row r="119" spans="1:40" ht="18" customHeight="1" thickBot="1" x14ac:dyDescent="0.25">
      <c r="T119" s="108"/>
      <c r="U119" s="108"/>
      <c r="V119" s="108"/>
      <c r="AH119" s="1"/>
      <c r="AJ119" s="123"/>
      <c r="AK119" s="123"/>
      <c r="AL119" s="123"/>
      <c r="AM119" s="215"/>
      <c r="AN119" s="215"/>
    </row>
    <row r="120" spans="1:40" ht="18" customHeight="1" x14ac:dyDescent="0.2">
      <c r="B120" s="3261" t="s">
        <v>44</v>
      </c>
      <c r="C120" s="3140">
        <v>1</v>
      </c>
      <c r="D120" s="3141">
        <v>2</v>
      </c>
      <c r="E120" s="3141">
        <v>3</v>
      </c>
      <c r="F120" s="3140">
        <v>4</v>
      </c>
      <c r="G120" s="3140">
        <v>5</v>
      </c>
      <c r="H120" s="3141">
        <v>6</v>
      </c>
      <c r="I120" s="3141">
        <v>7</v>
      </c>
      <c r="J120" s="3141">
        <v>8</v>
      </c>
      <c r="K120" s="3141">
        <v>9</v>
      </c>
      <c r="L120" s="3141">
        <v>10</v>
      </c>
      <c r="M120" s="3140">
        <v>11</v>
      </c>
      <c r="N120" s="3140">
        <v>12</v>
      </c>
      <c r="O120" s="3141">
        <v>13</v>
      </c>
      <c r="P120" s="3141">
        <v>14</v>
      </c>
      <c r="Q120" s="3141">
        <v>15</v>
      </c>
      <c r="R120" s="3141">
        <v>16</v>
      </c>
      <c r="S120" s="3141">
        <v>17</v>
      </c>
      <c r="T120" s="3140">
        <v>18</v>
      </c>
      <c r="U120" s="3140">
        <v>19</v>
      </c>
      <c r="V120" s="3141">
        <v>20</v>
      </c>
      <c r="W120" s="3141">
        <v>21</v>
      </c>
      <c r="X120" s="3141">
        <v>22</v>
      </c>
      <c r="Y120" s="3141">
        <v>23</v>
      </c>
      <c r="Z120" s="3141">
        <v>24</v>
      </c>
      <c r="AA120" s="3140">
        <v>25</v>
      </c>
      <c r="AB120" s="3140">
        <v>26</v>
      </c>
      <c r="AC120" s="3141">
        <v>27</v>
      </c>
      <c r="AD120" s="3141">
        <v>28</v>
      </c>
      <c r="AE120" s="3141">
        <v>29</v>
      </c>
      <c r="AF120" s="3141">
        <v>30</v>
      </c>
      <c r="AG120" s="3141">
        <v>31</v>
      </c>
      <c r="AH120" s="1"/>
      <c r="AJ120" s="1151" t="s">
        <v>41</v>
      </c>
      <c r="AK120" s="1151" t="s">
        <v>62</v>
      </c>
      <c r="AL120" s="1151" t="s">
        <v>63</v>
      </c>
      <c r="AM120" s="1151" t="s">
        <v>64</v>
      </c>
      <c r="AN120" s="1151" t="s">
        <v>65</v>
      </c>
    </row>
    <row r="121" spans="1:40" ht="18" customHeight="1" x14ac:dyDescent="0.2">
      <c r="B121" s="3262" t="s">
        <v>221</v>
      </c>
      <c r="C121" s="370" t="s">
        <v>72</v>
      </c>
      <c r="D121" s="370" t="s">
        <v>72</v>
      </c>
      <c r="E121" s="370" t="s">
        <v>72</v>
      </c>
      <c r="F121" s="370" t="s">
        <v>72</v>
      </c>
      <c r="G121" s="370" t="s">
        <v>72</v>
      </c>
      <c r="H121" s="373" t="s">
        <v>50</v>
      </c>
      <c r="I121" s="373" t="s">
        <v>50</v>
      </c>
      <c r="J121" s="373" t="s">
        <v>50</v>
      </c>
      <c r="K121" s="373" t="s">
        <v>50</v>
      </c>
      <c r="L121" s="373" t="s">
        <v>50</v>
      </c>
      <c r="M121" s="370"/>
      <c r="N121" s="370"/>
      <c r="O121" s="370" t="s">
        <v>72</v>
      </c>
      <c r="P121" s="370" t="s">
        <v>72</v>
      </c>
      <c r="Q121" s="370" t="s">
        <v>72</v>
      </c>
      <c r="R121" s="370" t="s">
        <v>72</v>
      </c>
      <c r="S121" s="370" t="s">
        <v>72</v>
      </c>
      <c r="T121" s="370" t="s">
        <v>0</v>
      </c>
      <c r="U121" s="370" t="s">
        <v>0</v>
      </c>
      <c r="V121" s="373" t="s">
        <v>50</v>
      </c>
      <c r="W121" s="373" t="s">
        <v>50</v>
      </c>
      <c r="X121" s="373" t="s">
        <v>50</v>
      </c>
      <c r="Y121" s="373" t="s">
        <v>50</v>
      </c>
      <c r="Z121" s="373" t="s">
        <v>50</v>
      </c>
      <c r="AA121" s="370"/>
      <c r="AB121" s="370"/>
      <c r="AC121" s="370" t="s">
        <v>72</v>
      </c>
      <c r="AD121" s="370" t="s">
        <v>72</v>
      </c>
      <c r="AE121" s="370" t="s">
        <v>72</v>
      </c>
      <c r="AF121" s="370" t="s">
        <v>72</v>
      </c>
      <c r="AG121" s="3202" t="s">
        <v>72</v>
      </c>
      <c r="AH121" s="1"/>
      <c r="AJ121" s="638">
        <f>$AJ$12</f>
        <v>160.33000000000001</v>
      </c>
      <c r="AK121" s="638"/>
      <c r="AL121" s="638">
        <f>IF(AJ121="","",SUM(AJ121:AK121))</f>
        <v>160.33000000000001</v>
      </c>
      <c r="AM121" s="639">
        <f>IF(AJ121="","",AL121-AJ121)</f>
        <v>0</v>
      </c>
      <c r="AN121" s="639">
        <f t="shared" ref="AN121:AN122" si="12">IF(AM121="","",AM121)</f>
        <v>0</v>
      </c>
    </row>
    <row r="122" spans="1:40" ht="18" customHeight="1" thickBot="1" x14ac:dyDescent="0.25">
      <c r="B122" s="3263" t="s">
        <v>222</v>
      </c>
      <c r="C122" s="635" t="s">
        <v>50</v>
      </c>
      <c r="D122" s="635" t="s">
        <v>50</v>
      </c>
      <c r="E122" s="635" t="s">
        <v>50</v>
      </c>
      <c r="F122" s="636"/>
      <c r="G122" s="636"/>
      <c r="H122" s="636" t="s">
        <v>72</v>
      </c>
      <c r="I122" s="636" t="s">
        <v>72</v>
      </c>
      <c r="J122" s="802" t="s">
        <v>72</v>
      </c>
      <c r="K122" s="636" t="s">
        <v>72</v>
      </c>
      <c r="L122" s="636" t="s">
        <v>72</v>
      </c>
      <c r="M122" s="370" t="s">
        <v>72</v>
      </c>
      <c r="N122" s="370" t="s">
        <v>72</v>
      </c>
      <c r="O122" s="635" t="s">
        <v>50</v>
      </c>
      <c r="P122" s="635" t="s">
        <v>50</v>
      </c>
      <c r="Q122" s="635" t="s">
        <v>50</v>
      </c>
      <c r="R122" s="635" t="s">
        <v>50</v>
      </c>
      <c r="S122" s="635" t="s">
        <v>50</v>
      </c>
      <c r="T122" s="636"/>
      <c r="U122" s="636"/>
      <c r="V122" s="636" t="s">
        <v>72</v>
      </c>
      <c r="W122" s="636" t="s">
        <v>72</v>
      </c>
      <c r="X122" s="636" t="s">
        <v>72</v>
      </c>
      <c r="Y122" s="636" t="s">
        <v>72</v>
      </c>
      <c r="Z122" s="636" t="s">
        <v>72</v>
      </c>
      <c r="AA122" s="370" t="s">
        <v>0</v>
      </c>
      <c r="AB122" s="370" t="s">
        <v>0</v>
      </c>
      <c r="AC122" s="635" t="s">
        <v>50</v>
      </c>
      <c r="AD122" s="635" t="s">
        <v>50</v>
      </c>
      <c r="AE122" s="635" t="s">
        <v>50</v>
      </c>
      <c r="AF122" s="635" t="s">
        <v>50</v>
      </c>
      <c r="AG122" s="636" t="s">
        <v>50</v>
      </c>
      <c r="AH122" s="1"/>
      <c r="AJ122" s="638">
        <f>$AJ$12</f>
        <v>160.33000000000001</v>
      </c>
      <c r="AK122" s="638"/>
      <c r="AL122" s="638">
        <f>IF(AJ122="","",SUM(AJ122:AK122))</f>
        <v>160.33000000000001</v>
      </c>
      <c r="AM122" s="639">
        <f>IF(AJ122="","",AL122-AJ122)</f>
        <v>0</v>
      </c>
      <c r="AN122" s="639">
        <f t="shared" si="12"/>
        <v>0</v>
      </c>
    </row>
    <row r="123" spans="1:40" ht="18" customHeight="1" x14ac:dyDescent="0.2">
      <c r="B123" s="235" t="s">
        <v>0</v>
      </c>
      <c r="C123" s="234" t="s">
        <v>0</v>
      </c>
      <c r="D123" s="234" t="s">
        <v>0</v>
      </c>
      <c r="E123" s="234" t="s">
        <v>0</v>
      </c>
      <c r="F123" s="234" t="s">
        <v>0</v>
      </c>
      <c r="G123" s="234" t="s">
        <v>0</v>
      </c>
      <c r="H123" s="234" t="s">
        <v>0</v>
      </c>
      <c r="I123" s="234" t="s">
        <v>0</v>
      </c>
      <c r="J123" s="234" t="s">
        <v>0</v>
      </c>
      <c r="K123" s="234" t="s">
        <v>0</v>
      </c>
      <c r="L123" s="234" t="s">
        <v>0</v>
      </c>
      <c r="M123" s="234" t="s">
        <v>0</v>
      </c>
      <c r="N123" s="234" t="s">
        <v>0</v>
      </c>
      <c r="O123" s="234" t="s">
        <v>0</v>
      </c>
      <c r="P123" s="234" t="s">
        <v>0</v>
      </c>
      <c r="Q123" s="234" t="s">
        <v>0</v>
      </c>
      <c r="R123" s="234" t="s">
        <v>0</v>
      </c>
      <c r="S123" s="234" t="s">
        <v>0</v>
      </c>
      <c r="T123" s="234" t="s">
        <v>0</v>
      </c>
      <c r="U123" s="234" t="s">
        <v>0</v>
      </c>
      <c r="V123" s="234" t="s">
        <v>0</v>
      </c>
      <c r="W123" s="234" t="s">
        <v>0</v>
      </c>
      <c r="X123" s="234" t="s">
        <v>0</v>
      </c>
      <c r="Y123" s="234" t="s">
        <v>0</v>
      </c>
      <c r="Z123" s="234" t="s">
        <v>0</v>
      </c>
      <c r="AA123" s="234" t="s">
        <v>0</v>
      </c>
      <c r="AB123" s="234" t="s">
        <v>0</v>
      </c>
      <c r="AC123" s="234" t="s">
        <v>0</v>
      </c>
      <c r="AD123" s="234" t="s">
        <v>0</v>
      </c>
      <c r="AE123" s="234" t="s">
        <v>0</v>
      </c>
      <c r="AF123" s="234" t="s">
        <v>0</v>
      </c>
      <c r="AG123" s="234" t="s">
        <v>0</v>
      </c>
      <c r="AH123" s="1"/>
      <c r="AJ123" s="123"/>
      <c r="AK123" s="123"/>
      <c r="AL123" s="123"/>
      <c r="AM123" s="215"/>
      <c r="AN123" s="215"/>
    </row>
    <row r="124" spans="1:40" ht="18" customHeight="1" x14ac:dyDescent="0.2">
      <c r="A124" s="3" t="s">
        <v>223</v>
      </c>
      <c r="AH124" s="1"/>
      <c r="AJ124" s="123"/>
      <c r="AK124" s="123"/>
      <c r="AL124" s="123"/>
      <c r="AM124" s="215"/>
      <c r="AN124" s="215"/>
    </row>
    <row r="125" spans="1:40" ht="18" customHeight="1" x14ac:dyDescent="0.25">
      <c r="B125" s="217"/>
      <c r="C125" s="218"/>
      <c r="D125" s="218"/>
      <c r="E125" s="221" t="s">
        <v>198</v>
      </c>
      <c r="F125" s="218"/>
      <c r="G125" s="218"/>
      <c r="H125" s="218"/>
      <c r="I125" s="218"/>
      <c r="J125" s="218"/>
      <c r="K125" s="226" t="s">
        <v>13</v>
      </c>
      <c r="L125" s="222"/>
      <c r="M125" s="222"/>
      <c r="N125" s="222"/>
      <c r="O125" s="222"/>
      <c r="P125" s="222"/>
      <c r="Q125" s="222"/>
      <c r="R125" s="222"/>
      <c r="S125" s="222"/>
      <c r="T125" s="223"/>
      <c r="AH125" s="1"/>
      <c r="AJ125" s="123"/>
      <c r="AK125" s="123"/>
      <c r="AL125" s="123"/>
      <c r="AM125" s="215"/>
      <c r="AN125" s="215"/>
    </row>
    <row r="126" spans="1:40" ht="18" customHeight="1" thickBot="1" x14ac:dyDescent="0.3">
      <c r="B126" s="217" t="s">
        <v>536</v>
      </c>
      <c r="C126" s="218"/>
      <c r="D126" s="218"/>
      <c r="E126" s="219" t="s">
        <v>224</v>
      </c>
      <c r="F126" s="218"/>
      <c r="G126" s="218"/>
      <c r="H126" s="218"/>
      <c r="I126" s="218"/>
      <c r="J126" s="218"/>
      <c r="K126" s="218" t="s">
        <v>0</v>
      </c>
      <c r="L126" s="218"/>
      <c r="M126" s="218"/>
      <c r="N126" s="218"/>
      <c r="O126" s="218"/>
      <c r="P126" s="218"/>
      <c r="Q126" s="218"/>
      <c r="R126" s="236" t="s">
        <v>0</v>
      </c>
      <c r="S126" s="236"/>
      <c r="T126" s="236"/>
      <c r="AH126" s="1"/>
      <c r="AJ126" s="123"/>
      <c r="AK126" s="123"/>
      <c r="AL126" s="123"/>
      <c r="AM126" s="215"/>
      <c r="AN126" s="215"/>
    </row>
    <row r="127" spans="1:40" ht="18" customHeight="1" thickBot="1" x14ac:dyDescent="0.25">
      <c r="T127" s="108"/>
      <c r="U127" s="108"/>
      <c r="V127" s="108"/>
      <c r="AH127" s="1"/>
      <c r="AJ127" s="123"/>
      <c r="AK127" s="123"/>
      <c r="AL127" s="123"/>
      <c r="AM127" s="215"/>
      <c r="AN127" s="215"/>
    </row>
    <row r="128" spans="1:40" ht="18" customHeight="1" x14ac:dyDescent="0.2">
      <c r="B128" s="3261" t="s">
        <v>44</v>
      </c>
      <c r="C128" s="3140">
        <v>1</v>
      </c>
      <c r="D128" s="3141">
        <v>2</v>
      </c>
      <c r="E128" s="3141">
        <v>3</v>
      </c>
      <c r="F128" s="3140">
        <v>4</v>
      </c>
      <c r="G128" s="3140">
        <v>5</v>
      </c>
      <c r="H128" s="3141">
        <v>6</v>
      </c>
      <c r="I128" s="3141">
        <v>7</v>
      </c>
      <c r="J128" s="3141">
        <v>8</v>
      </c>
      <c r="K128" s="3141">
        <v>9</v>
      </c>
      <c r="L128" s="3141">
        <v>10</v>
      </c>
      <c r="M128" s="3140">
        <v>11</v>
      </c>
      <c r="N128" s="3140">
        <v>12</v>
      </c>
      <c r="O128" s="3141">
        <v>13</v>
      </c>
      <c r="P128" s="3141">
        <v>14</v>
      </c>
      <c r="Q128" s="3141">
        <v>15</v>
      </c>
      <c r="R128" s="3141">
        <v>16</v>
      </c>
      <c r="S128" s="3141">
        <v>17</v>
      </c>
      <c r="T128" s="3140">
        <v>18</v>
      </c>
      <c r="U128" s="3140">
        <v>19</v>
      </c>
      <c r="V128" s="3141">
        <v>20</v>
      </c>
      <c r="W128" s="3141">
        <v>21</v>
      </c>
      <c r="X128" s="3141">
        <v>22</v>
      </c>
      <c r="Y128" s="3141">
        <v>23</v>
      </c>
      <c r="Z128" s="3141">
        <v>24</v>
      </c>
      <c r="AA128" s="3140">
        <v>25</v>
      </c>
      <c r="AB128" s="3140">
        <v>26</v>
      </c>
      <c r="AC128" s="3141">
        <v>27</v>
      </c>
      <c r="AD128" s="3141">
        <v>28</v>
      </c>
      <c r="AE128" s="3141">
        <v>29</v>
      </c>
      <c r="AF128" s="3141">
        <v>30</v>
      </c>
      <c r="AG128" s="3141">
        <v>31</v>
      </c>
      <c r="AH128" s="1"/>
      <c r="AJ128" s="1151" t="s">
        <v>41</v>
      </c>
      <c r="AK128" s="1151" t="s">
        <v>62</v>
      </c>
      <c r="AL128" s="1151" t="s">
        <v>63</v>
      </c>
      <c r="AM128" s="1151" t="s">
        <v>64</v>
      </c>
      <c r="AN128" s="1151" t="s">
        <v>65</v>
      </c>
    </row>
    <row r="129" spans="1:40" ht="18" customHeight="1" thickBot="1" x14ac:dyDescent="0.25">
      <c r="B129" s="3264" t="s">
        <v>502</v>
      </c>
      <c r="C129" s="3202" t="s">
        <v>162</v>
      </c>
      <c r="D129" s="3202" t="s">
        <v>162</v>
      </c>
      <c r="E129" s="3202" t="s">
        <v>162</v>
      </c>
      <c r="F129" s="3202" t="s">
        <v>162</v>
      </c>
      <c r="G129" s="3202" t="s">
        <v>162</v>
      </c>
      <c r="H129" s="3201" t="s">
        <v>50</v>
      </c>
      <c r="I129" s="3201" t="s">
        <v>50</v>
      </c>
      <c r="J129" s="3201" t="s">
        <v>50</v>
      </c>
      <c r="K129" s="3201" t="s">
        <v>50</v>
      </c>
      <c r="L129" s="3201" t="s">
        <v>50</v>
      </c>
      <c r="M129" s="3202"/>
      <c r="N129" s="3202"/>
      <c r="O129" s="3202" t="s">
        <v>162</v>
      </c>
      <c r="P129" s="3202" t="s">
        <v>162</v>
      </c>
      <c r="Q129" s="3202" t="s">
        <v>162</v>
      </c>
      <c r="R129" s="3202" t="s">
        <v>162</v>
      </c>
      <c r="S129" s="3202" t="s">
        <v>162</v>
      </c>
      <c r="T129" s="3202" t="s">
        <v>0</v>
      </c>
      <c r="U129" s="3202" t="s">
        <v>0</v>
      </c>
      <c r="V129" s="3201" t="s">
        <v>50</v>
      </c>
      <c r="W129" s="3201" t="s">
        <v>50</v>
      </c>
      <c r="X129" s="3201" t="s">
        <v>50</v>
      </c>
      <c r="Y129" s="3201" t="s">
        <v>50</v>
      </c>
      <c r="Z129" s="3201" t="s">
        <v>50</v>
      </c>
      <c r="AA129" s="3202"/>
      <c r="AB129" s="3202"/>
      <c r="AC129" s="3202" t="s">
        <v>162</v>
      </c>
      <c r="AD129" s="3202" t="s">
        <v>162</v>
      </c>
      <c r="AE129" s="3202" t="s">
        <v>162</v>
      </c>
      <c r="AF129" s="3202" t="s">
        <v>162</v>
      </c>
      <c r="AG129" s="3202" t="s">
        <v>162</v>
      </c>
      <c r="AH129" s="1"/>
      <c r="AJ129" s="638">
        <f>$AJ$12</f>
        <v>160.33000000000001</v>
      </c>
      <c r="AK129" s="638"/>
      <c r="AL129" s="638">
        <f>IF(AJ129="","",SUM(AJ129:AK129))</f>
        <v>160.33000000000001</v>
      </c>
      <c r="AM129" s="639">
        <f>IF(AJ129="","",AL129-AJ129)</f>
        <v>0</v>
      </c>
      <c r="AN129" s="639">
        <f t="shared" ref="AN129:AN130" si="13">IF(AM129="","",AM129)</f>
        <v>0</v>
      </c>
    </row>
    <row r="130" spans="1:40" ht="18" customHeight="1" x14ac:dyDescent="0.2">
      <c r="B130" s="1552" t="s">
        <v>161</v>
      </c>
      <c r="C130" s="635" t="s">
        <v>50</v>
      </c>
      <c r="D130" s="635" t="s">
        <v>50</v>
      </c>
      <c r="E130" s="635" t="s">
        <v>50</v>
      </c>
      <c r="F130" s="636"/>
      <c r="G130" s="636"/>
      <c r="H130" s="636" t="s">
        <v>162</v>
      </c>
      <c r="I130" s="636" t="s">
        <v>162</v>
      </c>
      <c r="J130" s="636" t="s">
        <v>162</v>
      </c>
      <c r="K130" s="802" t="s">
        <v>162</v>
      </c>
      <c r="L130" s="636" t="s">
        <v>162</v>
      </c>
      <c r="M130" s="3202" t="s">
        <v>162</v>
      </c>
      <c r="N130" s="3202" t="s">
        <v>162</v>
      </c>
      <c r="O130" s="635" t="s">
        <v>50</v>
      </c>
      <c r="P130" s="635" t="s">
        <v>50</v>
      </c>
      <c r="Q130" s="635" t="s">
        <v>50</v>
      </c>
      <c r="R130" s="635" t="s">
        <v>50</v>
      </c>
      <c r="S130" s="635" t="s">
        <v>50</v>
      </c>
      <c r="T130" s="636"/>
      <c r="U130" s="636"/>
      <c r="V130" s="636" t="s">
        <v>162</v>
      </c>
      <c r="W130" s="636" t="s">
        <v>162</v>
      </c>
      <c r="X130" s="636" t="s">
        <v>162</v>
      </c>
      <c r="Y130" s="802" t="s">
        <v>162</v>
      </c>
      <c r="Z130" s="802" t="s">
        <v>162</v>
      </c>
      <c r="AA130" s="3202" t="s">
        <v>0</v>
      </c>
      <c r="AB130" s="3202" t="s">
        <v>0</v>
      </c>
      <c r="AC130" s="635" t="s">
        <v>50</v>
      </c>
      <c r="AD130" s="635" t="s">
        <v>50</v>
      </c>
      <c r="AE130" s="635" t="s">
        <v>50</v>
      </c>
      <c r="AF130" s="635" t="s">
        <v>50</v>
      </c>
      <c r="AG130" s="636" t="s">
        <v>50</v>
      </c>
      <c r="AH130" s="1"/>
      <c r="AJ130" s="638">
        <f>$AJ$12</f>
        <v>160.33000000000001</v>
      </c>
      <c r="AK130" s="638"/>
      <c r="AL130" s="638">
        <f>IF(AJ130="","",SUM(AJ130:AK130))</f>
        <v>160.33000000000001</v>
      </c>
      <c r="AM130" s="639">
        <f>IF(AJ130="","",AL130-AJ130)</f>
        <v>0</v>
      </c>
      <c r="AN130" s="639">
        <f t="shared" si="13"/>
        <v>0</v>
      </c>
    </row>
    <row r="131" spans="1:40" ht="18" customHeight="1" x14ac:dyDescent="0.2">
      <c r="B131" s="227"/>
      <c r="C131" s="128"/>
      <c r="D131" s="128"/>
      <c r="E131" s="128"/>
      <c r="F131" s="128"/>
      <c r="G131" s="128"/>
      <c r="H131" s="128"/>
      <c r="I131" s="128"/>
      <c r="J131" s="128"/>
      <c r="K131" s="128"/>
      <c r="L131" s="128"/>
      <c r="M131" s="128"/>
      <c r="N131" s="128"/>
      <c r="O131" s="128"/>
      <c r="P131" s="128"/>
      <c r="Q131" s="128"/>
      <c r="R131" s="128"/>
      <c r="S131" s="128"/>
      <c r="T131" s="128"/>
      <c r="U131" s="128"/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"/>
      <c r="AJ131" s="123"/>
      <c r="AK131" s="123"/>
      <c r="AL131" s="123"/>
      <c r="AM131" s="215"/>
      <c r="AN131" s="215"/>
    </row>
    <row r="132" spans="1:40" ht="18" customHeight="1" x14ac:dyDescent="0.25">
      <c r="B132" s="227"/>
      <c r="C132" s="227"/>
      <c r="D132" s="227"/>
      <c r="E132" s="228"/>
      <c r="F132" s="227"/>
      <c r="G132" s="227"/>
      <c r="H132" s="227"/>
      <c r="I132" s="227"/>
      <c r="J132" s="227"/>
      <c r="K132" s="227"/>
      <c r="L132" s="231"/>
      <c r="M132" s="231"/>
      <c r="N132" s="231"/>
      <c r="O132" s="231"/>
      <c r="P132" s="231"/>
      <c r="Q132" s="231"/>
      <c r="R132" s="231"/>
      <c r="S132" s="231"/>
      <c r="T132" s="231"/>
      <c r="U132" s="108"/>
      <c r="V132" s="108"/>
      <c r="AH132" s="1"/>
      <c r="AJ132" s="123"/>
      <c r="AK132" s="123"/>
      <c r="AL132" s="123"/>
      <c r="AM132" s="215"/>
      <c r="AN132" s="215"/>
    </row>
    <row r="133" spans="1:40" ht="18" customHeight="1" thickBot="1" x14ac:dyDescent="0.25">
      <c r="B133" s="60" t="s">
        <v>503</v>
      </c>
      <c r="T133" s="108"/>
      <c r="U133" s="108"/>
      <c r="V133" s="108"/>
      <c r="AH133" s="1"/>
      <c r="AJ133" s="123"/>
      <c r="AK133" s="123"/>
      <c r="AL133" s="123"/>
      <c r="AM133" s="215"/>
      <c r="AN133" s="215"/>
    </row>
    <row r="134" spans="1:40" ht="18" customHeight="1" thickBot="1" x14ac:dyDescent="0.3">
      <c r="B134" s="217"/>
      <c r="C134" s="218"/>
      <c r="D134" s="218"/>
      <c r="E134" s="221" t="s">
        <v>198</v>
      </c>
      <c r="F134" s="218"/>
      <c r="G134" s="218"/>
      <c r="H134" s="218"/>
      <c r="I134" s="218"/>
      <c r="J134" s="218"/>
      <c r="K134" s="226" t="s">
        <v>13</v>
      </c>
      <c r="L134" s="222"/>
      <c r="M134" s="222"/>
      <c r="N134" s="222"/>
      <c r="O134" s="222"/>
      <c r="P134" s="222"/>
      <c r="Q134" s="222"/>
      <c r="R134" s="222"/>
      <c r="S134" s="222"/>
      <c r="T134" s="223"/>
      <c r="U134" s="108"/>
      <c r="V134" s="108"/>
      <c r="AH134" s="1"/>
      <c r="AJ134" s="123"/>
      <c r="AK134" s="123"/>
      <c r="AL134" s="123"/>
      <c r="AM134" s="215"/>
      <c r="AN134" s="215"/>
    </row>
    <row r="135" spans="1:40" ht="18" customHeight="1" thickBot="1" x14ac:dyDescent="0.3">
      <c r="B135" s="217" t="s">
        <v>487</v>
      </c>
      <c r="C135" s="218"/>
      <c r="D135" s="218"/>
      <c r="E135" s="219" t="s">
        <v>488</v>
      </c>
      <c r="F135" s="218"/>
      <c r="G135" s="218"/>
      <c r="H135" s="218"/>
      <c r="I135" s="218"/>
      <c r="J135" s="218"/>
      <c r="K135" s="218"/>
      <c r="L135" s="218"/>
      <c r="M135" s="218"/>
      <c r="N135" s="218"/>
      <c r="O135" s="218"/>
      <c r="P135" s="218"/>
      <c r="Q135" s="218"/>
      <c r="R135" s="236"/>
      <c r="S135" s="236"/>
      <c r="T135" s="236"/>
      <c r="U135" s="108"/>
      <c r="V135" s="108"/>
      <c r="AH135" s="1"/>
      <c r="AJ135" s="123"/>
      <c r="AK135" s="123"/>
      <c r="AL135" s="123"/>
      <c r="AM135" s="215"/>
      <c r="AN135" s="215"/>
    </row>
    <row r="136" spans="1:40" ht="18" customHeight="1" thickBot="1" x14ac:dyDescent="0.25">
      <c r="B136" s="60"/>
      <c r="T136" s="108"/>
      <c r="U136" s="108"/>
      <c r="V136" s="108"/>
      <c r="AH136" s="1"/>
      <c r="AJ136" s="123"/>
      <c r="AK136" s="123"/>
      <c r="AL136" s="123"/>
      <c r="AM136" s="215"/>
      <c r="AN136" s="215"/>
    </row>
    <row r="137" spans="1:40" ht="18" customHeight="1" thickBot="1" x14ac:dyDescent="0.25">
      <c r="B137" s="3261" t="s">
        <v>44</v>
      </c>
      <c r="C137" s="3140">
        <v>1</v>
      </c>
      <c r="D137" s="3141">
        <v>2</v>
      </c>
      <c r="E137" s="3141">
        <v>3</v>
      </c>
      <c r="F137" s="3140">
        <v>4</v>
      </c>
      <c r="G137" s="3140">
        <v>5</v>
      </c>
      <c r="H137" s="3141">
        <v>6</v>
      </c>
      <c r="I137" s="3141">
        <v>7</v>
      </c>
      <c r="J137" s="3141">
        <v>8</v>
      </c>
      <c r="K137" s="3141">
        <v>9</v>
      </c>
      <c r="L137" s="3141">
        <v>10</v>
      </c>
      <c r="M137" s="3140">
        <v>11</v>
      </c>
      <c r="N137" s="3140">
        <v>12</v>
      </c>
      <c r="O137" s="3141">
        <v>13</v>
      </c>
      <c r="P137" s="3141">
        <v>14</v>
      </c>
      <c r="Q137" s="3141">
        <v>15</v>
      </c>
      <c r="R137" s="3141">
        <v>16</v>
      </c>
      <c r="S137" s="3141">
        <v>17</v>
      </c>
      <c r="T137" s="3140">
        <v>18</v>
      </c>
      <c r="U137" s="3140">
        <v>19</v>
      </c>
      <c r="V137" s="3141">
        <v>20</v>
      </c>
      <c r="W137" s="3141">
        <v>21</v>
      </c>
      <c r="X137" s="3141">
        <v>22</v>
      </c>
      <c r="Y137" s="3141">
        <v>23</v>
      </c>
      <c r="Z137" s="3141">
        <v>24</v>
      </c>
      <c r="AA137" s="3140">
        <v>25</v>
      </c>
      <c r="AB137" s="3140">
        <v>26</v>
      </c>
      <c r="AC137" s="3141">
        <v>27</v>
      </c>
      <c r="AD137" s="3141">
        <v>28</v>
      </c>
      <c r="AE137" s="3141">
        <v>29</v>
      </c>
      <c r="AF137" s="3141">
        <v>30</v>
      </c>
      <c r="AG137" s="3141">
        <v>31</v>
      </c>
      <c r="AH137" s="1"/>
      <c r="AJ137" s="123"/>
      <c r="AK137" s="123"/>
      <c r="AL137" s="123"/>
      <c r="AM137" s="215"/>
      <c r="AN137" s="215"/>
    </row>
    <row r="138" spans="1:40" ht="18" customHeight="1" x14ac:dyDescent="0.2">
      <c r="B138" s="3264" t="s">
        <v>0</v>
      </c>
      <c r="C138" s="2734" t="s">
        <v>475</v>
      </c>
      <c r="D138" s="2734" t="s">
        <v>475</v>
      </c>
      <c r="E138" s="2734" t="s">
        <v>475</v>
      </c>
      <c r="F138" s="2734" t="s">
        <v>475</v>
      </c>
      <c r="G138" s="2734" t="s">
        <v>475</v>
      </c>
      <c r="H138" s="3201" t="s">
        <v>50</v>
      </c>
      <c r="I138" s="3201" t="s">
        <v>50</v>
      </c>
      <c r="J138" s="3201" t="s">
        <v>50</v>
      </c>
      <c r="K138" s="3201" t="s">
        <v>50</v>
      </c>
      <c r="L138" s="3201" t="s">
        <v>50</v>
      </c>
      <c r="M138" s="3202"/>
      <c r="N138" s="3202"/>
      <c r="O138" s="2734" t="s">
        <v>475</v>
      </c>
      <c r="P138" s="2734" t="s">
        <v>475</v>
      </c>
      <c r="Q138" s="2734" t="s">
        <v>475</v>
      </c>
      <c r="R138" s="2734" t="s">
        <v>475</v>
      </c>
      <c r="S138" s="2734" t="s">
        <v>475</v>
      </c>
      <c r="T138" s="2734" t="s">
        <v>0</v>
      </c>
      <c r="U138" s="2734" t="s">
        <v>0</v>
      </c>
      <c r="V138" s="3201" t="s">
        <v>50</v>
      </c>
      <c r="W138" s="3201" t="s">
        <v>50</v>
      </c>
      <c r="X138" s="3201" t="s">
        <v>50</v>
      </c>
      <c r="Y138" s="3201" t="s">
        <v>50</v>
      </c>
      <c r="Z138" s="3201" t="s">
        <v>50</v>
      </c>
      <c r="AA138" s="3202"/>
      <c r="AB138" s="3202"/>
      <c r="AC138" s="2734" t="s">
        <v>475</v>
      </c>
      <c r="AD138" s="2734" t="s">
        <v>475</v>
      </c>
      <c r="AE138" s="2734" t="s">
        <v>475</v>
      </c>
      <c r="AF138" s="2734" t="s">
        <v>475</v>
      </c>
      <c r="AG138" s="2734" t="s">
        <v>475</v>
      </c>
      <c r="AH138" s="1"/>
      <c r="AJ138" s="123"/>
      <c r="AK138" s="123"/>
      <c r="AL138" s="123"/>
      <c r="AM138" s="215"/>
      <c r="AN138" s="215"/>
    </row>
    <row r="139" spans="1:40" ht="18" customHeight="1" x14ac:dyDescent="0.2">
      <c r="B139" s="1552" t="s">
        <v>0</v>
      </c>
      <c r="C139" s="635" t="s">
        <v>50</v>
      </c>
      <c r="D139" s="635" t="s">
        <v>50</v>
      </c>
      <c r="E139" s="635" t="s">
        <v>50</v>
      </c>
      <c r="F139" s="636"/>
      <c r="G139" s="636"/>
      <c r="H139" s="2734" t="s">
        <v>475</v>
      </c>
      <c r="I139" s="2734" t="s">
        <v>475</v>
      </c>
      <c r="J139" s="2734" t="s">
        <v>475</v>
      </c>
      <c r="K139" s="2734" t="s">
        <v>475</v>
      </c>
      <c r="L139" s="2734" t="s">
        <v>475</v>
      </c>
      <c r="M139" s="2734" t="s">
        <v>475</v>
      </c>
      <c r="N139" s="2734" t="s">
        <v>475</v>
      </c>
      <c r="O139" s="635" t="s">
        <v>50</v>
      </c>
      <c r="P139" s="635" t="s">
        <v>50</v>
      </c>
      <c r="Q139" s="635" t="s">
        <v>50</v>
      </c>
      <c r="R139" s="635" t="s">
        <v>50</v>
      </c>
      <c r="S139" s="635" t="s">
        <v>50</v>
      </c>
      <c r="T139" s="636"/>
      <c r="U139" s="636"/>
      <c r="V139" s="2734" t="s">
        <v>475</v>
      </c>
      <c r="W139" s="2734" t="s">
        <v>475</v>
      </c>
      <c r="X139" s="2734" t="s">
        <v>475</v>
      </c>
      <c r="Y139" s="2734" t="s">
        <v>475</v>
      </c>
      <c r="Z139" s="2734" t="s">
        <v>475</v>
      </c>
      <c r="AA139" s="2734" t="s">
        <v>0</v>
      </c>
      <c r="AB139" s="2734" t="s">
        <v>0</v>
      </c>
      <c r="AC139" s="635" t="s">
        <v>50</v>
      </c>
      <c r="AD139" s="635" t="s">
        <v>50</v>
      </c>
      <c r="AE139" s="635" t="s">
        <v>50</v>
      </c>
      <c r="AF139" s="635" t="s">
        <v>50</v>
      </c>
      <c r="AG139" s="636" t="s">
        <v>50</v>
      </c>
      <c r="AH139" s="1"/>
      <c r="AJ139" s="123"/>
      <c r="AK139" s="123"/>
      <c r="AL139" s="123"/>
      <c r="AM139" s="215"/>
      <c r="AN139" s="215"/>
    </row>
    <row r="140" spans="1:40" ht="18" customHeight="1" x14ac:dyDescent="0.2">
      <c r="B140" s="127"/>
      <c r="C140" s="128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28"/>
      <c r="AH140" s="1"/>
    </row>
    <row r="141" spans="1:40" ht="18" customHeight="1" thickBot="1" x14ac:dyDescent="0.25">
      <c r="A141" s="129"/>
      <c r="B141" s="123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  <c r="Y141" s="130"/>
      <c r="Z141" s="130"/>
      <c r="AA141" s="130"/>
      <c r="AB141" s="130"/>
      <c r="AC141" s="130"/>
      <c r="AD141" s="130"/>
      <c r="AE141" s="130"/>
      <c r="AF141" s="130"/>
      <c r="AG141" s="131"/>
      <c r="AH141" s="132"/>
      <c r="AI141" s="116"/>
    </row>
    <row r="142" spans="1:40" ht="18" customHeight="1" x14ac:dyDescent="0.2">
      <c r="A142" s="48"/>
      <c r="B142" s="3265" t="s">
        <v>247</v>
      </c>
      <c r="C142" s="3266"/>
      <c r="D142" s="3267" t="s">
        <v>17</v>
      </c>
      <c r="E142" s="3268"/>
      <c r="F142" s="3266"/>
      <c r="G142" s="3269" t="s">
        <v>18</v>
      </c>
      <c r="H142" s="3270"/>
      <c r="I142" s="3271"/>
      <c r="J142" s="3269" t="s">
        <v>19</v>
      </c>
      <c r="K142" s="3272"/>
      <c r="L142" s="3271"/>
      <c r="M142" s="3273" t="s">
        <v>20</v>
      </c>
      <c r="N142" s="3272"/>
      <c r="O142" s="3271"/>
      <c r="P142" s="3269" t="s">
        <v>21</v>
      </c>
      <c r="Q142" s="3274"/>
      <c r="R142" s="3271"/>
      <c r="S142" s="3269" t="s">
        <v>22</v>
      </c>
      <c r="T142" s="3275"/>
      <c r="U142" s="3271"/>
      <c r="V142" s="3269" t="s">
        <v>23</v>
      </c>
      <c r="W142" s="3274"/>
      <c r="X142" s="3276" t="s">
        <v>234</v>
      </c>
      <c r="Y142" s="3277"/>
      <c r="Z142" s="3277"/>
      <c r="AA142" s="3278"/>
      <c r="AB142" s="3279" t="s">
        <v>126</v>
      </c>
      <c r="AC142" s="3280"/>
      <c r="AD142" s="3280"/>
      <c r="AE142" s="3281"/>
      <c r="AF142" s="3281"/>
      <c r="AG142" s="3282"/>
      <c r="AH142" s="132"/>
      <c r="AI142" s="116"/>
    </row>
    <row r="143" spans="1:40" ht="18" customHeight="1" x14ac:dyDescent="0.2">
      <c r="A143" s="48"/>
      <c r="B143" s="3283" t="s">
        <v>248</v>
      </c>
      <c r="C143" s="3284" t="s">
        <v>249</v>
      </c>
      <c r="D143" s="2686"/>
      <c r="E143" s="2687"/>
      <c r="F143" s="3284" t="s">
        <v>249</v>
      </c>
      <c r="G143" s="2686"/>
      <c r="H143" s="2687"/>
      <c r="I143" s="3284" t="s">
        <v>249</v>
      </c>
      <c r="J143" s="2686"/>
      <c r="K143" s="2687"/>
      <c r="L143" s="3284" t="s">
        <v>249</v>
      </c>
      <c r="M143" s="2686"/>
      <c r="N143" s="2687"/>
      <c r="O143" s="3284" t="s">
        <v>250</v>
      </c>
      <c r="P143" s="2686"/>
      <c r="Q143" s="2687"/>
      <c r="R143" s="3284"/>
      <c r="S143" s="2686"/>
      <c r="T143" s="2687"/>
      <c r="U143" s="3284"/>
      <c r="V143" s="2686"/>
      <c r="W143" s="2687"/>
      <c r="X143" s="3284"/>
      <c r="Y143" s="3285"/>
      <c r="Z143" s="3285"/>
      <c r="AA143" s="3285"/>
      <c r="AB143" s="2683"/>
      <c r="AC143" s="3285"/>
      <c r="AD143" s="3285"/>
      <c r="AE143" s="3285"/>
      <c r="AF143" s="3285"/>
      <c r="AG143" s="3286"/>
      <c r="AH143" s="132"/>
      <c r="AI143" s="116"/>
    </row>
    <row r="144" spans="1:40" ht="18" customHeight="1" x14ac:dyDescent="0.2">
      <c r="A144" s="48"/>
      <c r="B144" s="4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132"/>
      <c r="AI144" s="116"/>
    </row>
    <row r="145" spans="1:35" ht="18" customHeight="1" x14ac:dyDescent="0.2">
      <c r="A145" s="3287" t="s">
        <v>43</v>
      </c>
      <c r="B145" s="2817" t="s">
        <v>44</v>
      </c>
      <c r="C145" s="3140">
        <v>1</v>
      </c>
      <c r="D145" s="3141">
        <v>2</v>
      </c>
      <c r="E145" s="3141">
        <v>3</v>
      </c>
      <c r="F145" s="3140">
        <v>4</v>
      </c>
      <c r="G145" s="3140">
        <v>5</v>
      </c>
      <c r="H145" s="3141">
        <v>6</v>
      </c>
      <c r="I145" s="3141">
        <v>7</v>
      </c>
      <c r="J145" s="3141">
        <v>8</v>
      </c>
      <c r="K145" s="3141">
        <v>9</v>
      </c>
      <c r="L145" s="3141">
        <v>10</v>
      </c>
      <c r="M145" s="3140">
        <v>11</v>
      </c>
      <c r="N145" s="3140">
        <v>12</v>
      </c>
      <c r="O145" s="3141">
        <v>13</v>
      </c>
      <c r="P145" s="3141">
        <v>14</v>
      </c>
      <c r="Q145" s="3141">
        <v>15</v>
      </c>
      <c r="R145" s="3141">
        <v>16</v>
      </c>
      <c r="S145" s="3141">
        <v>17</v>
      </c>
      <c r="T145" s="3140">
        <v>18</v>
      </c>
      <c r="U145" s="3140">
        <v>19</v>
      </c>
      <c r="V145" s="3141">
        <v>20</v>
      </c>
      <c r="W145" s="3141">
        <v>21</v>
      </c>
      <c r="X145" s="3141">
        <v>22</v>
      </c>
      <c r="Y145" s="3141">
        <v>23</v>
      </c>
      <c r="Z145" s="3141">
        <v>24</v>
      </c>
      <c r="AA145" s="3140">
        <v>25</v>
      </c>
      <c r="AB145" s="3140">
        <v>26</v>
      </c>
      <c r="AC145" s="3141">
        <v>27</v>
      </c>
      <c r="AD145" s="3141">
        <v>28</v>
      </c>
      <c r="AE145" s="3141">
        <v>29</v>
      </c>
      <c r="AF145" s="3141">
        <v>30</v>
      </c>
      <c r="AG145" s="3141">
        <v>31</v>
      </c>
      <c r="AH145" s="132"/>
      <c r="AI145" s="116"/>
    </row>
    <row r="146" spans="1:35" ht="18" customHeight="1" x14ac:dyDescent="0.2">
      <c r="A146" s="3288">
        <v>8520</v>
      </c>
      <c r="B146" s="3289" t="s">
        <v>251</v>
      </c>
      <c r="C146" s="3164"/>
      <c r="D146" s="3164" t="s">
        <v>252</v>
      </c>
      <c r="E146" s="3164" t="s">
        <v>252</v>
      </c>
      <c r="F146" s="3164"/>
      <c r="G146" s="3164"/>
      <c r="H146" s="3164" t="s">
        <v>252</v>
      </c>
      <c r="I146" s="3164" t="s">
        <v>252</v>
      </c>
      <c r="J146" s="3164" t="s">
        <v>252</v>
      </c>
      <c r="K146" s="3164" t="s">
        <v>252</v>
      </c>
      <c r="L146" s="3164" t="s">
        <v>252</v>
      </c>
      <c r="M146" s="3164"/>
      <c r="N146" s="3164"/>
      <c r="O146" s="3164" t="s">
        <v>252</v>
      </c>
      <c r="P146" s="3164" t="s">
        <v>252</v>
      </c>
      <c r="Q146" s="3164" t="s">
        <v>252</v>
      </c>
      <c r="R146" s="3164" t="s">
        <v>252</v>
      </c>
      <c r="S146" s="3164" t="s">
        <v>252</v>
      </c>
      <c r="T146" s="3164"/>
      <c r="U146" s="3164"/>
      <c r="V146" s="3164" t="s">
        <v>252</v>
      </c>
      <c r="W146" s="3164" t="s">
        <v>252</v>
      </c>
      <c r="X146" s="3164" t="s">
        <v>252</v>
      </c>
      <c r="Y146" s="3164" t="s">
        <v>252</v>
      </c>
      <c r="Z146" s="3164" t="s">
        <v>252</v>
      </c>
      <c r="AA146" s="3164"/>
      <c r="AB146" s="3164"/>
      <c r="AC146" s="3164" t="s">
        <v>252</v>
      </c>
      <c r="AD146" s="3164" t="s">
        <v>252</v>
      </c>
      <c r="AE146" s="3164" t="s">
        <v>252</v>
      </c>
      <c r="AF146" s="3164" t="s">
        <v>252</v>
      </c>
      <c r="AG146" s="3164" t="s">
        <v>252</v>
      </c>
      <c r="AH146" s="132"/>
      <c r="AI146" s="116"/>
    </row>
    <row r="147" spans="1:35" ht="18" customHeight="1" x14ac:dyDescent="0.2">
      <c r="A147" s="136"/>
      <c r="B147" s="135"/>
      <c r="C147" s="128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32"/>
      <c r="AI147" s="116"/>
    </row>
    <row r="148" spans="1:35" ht="18" customHeight="1" x14ac:dyDescent="0.2">
      <c r="AH148" s="67"/>
      <c r="AI148" s="67"/>
    </row>
    <row r="149" spans="1:35" ht="18" customHeight="1" x14ac:dyDescent="0.2">
      <c r="A149" s="107" t="s">
        <v>254</v>
      </c>
      <c r="B149" s="108"/>
      <c r="C149" s="108"/>
      <c r="D149" s="109"/>
      <c r="E149" s="109"/>
      <c r="F149" s="109"/>
      <c r="G149" s="65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8"/>
      <c r="AI149" s="108"/>
    </row>
    <row r="150" spans="1:35" ht="18" customHeight="1" x14ac:dyDescent="0.2">
      <c r="A150" s="107"/>
      <c r="B150" s="3265" t="s">
        <v>255</v>
      </c>
      <c r="C150" s="3290"/>
      <c r="D150" s="3291" t="s">
        <v>17</v>
      </c>
      <c r="E150" s="3292"/>
      <c r="F150" s="3293"/>
      <c r="G150" s="3290"/>
      <c r="H150" s="3291" t="s">
        <v>18</v>
      </c>
      <c r="I150" s="3292"/>
      <c r="J150" s="3293"/>
      <c r="K150" s="3290"/>
      <c r="L150" s="3291" t="s">
        <v>19</v>
      </c>
      <c r="M150" s="3292"/>
      <c r="N150" s="3293"/>
      <c r="O150" s="3290"/>
      <c r="P150" s="3291" t="s">
        <v>20</v>
      </c>
      <c r="Q150" s="3292"/>
      <c r="R150" s="3293"/>
      <c r="S150" s="3290"/>
      <c r="T150" s="3291" t="s">
        <v>21</v>
      </c>
      <c r="U150" s="3292"/>
      <c r="V150" s="3293"/>
      <c r="W150" s="3290"/>
      <c r="X150" s="3291" t="s">
        <v>22</v>
      </c>
      <c r="Y150" s="3292"/>
      <c r="Z150" s="3293"/>
      <c r="AA150" s="3290"/>
      <c r="AB150" s="3291" t="s">
        <v>23</v>
      </c>
      <c r="AC150" s="3292"/>
      <c r="AD150" s="3292"/>
      <c r="AE150" s="3294" t="s">
        <v>126</v>
      </c>
      <c r="AF150" s="3292"/>
      <c r="AG150" s="3292"/>
      <c r="AH150" s="3292"/>
      <c r="AI150" s="3295"/>
    </row>
    <row r="151" spans="1:35" ht="18" customHeight="1" x14ac:dyDescent="0.2">
      <c r="A151" s="107"/>
      <c r="B151" s="3296" t="s">
        <v>235</v>
      </c>
      <c r="C151" s="3297">
        <v>69</v>
      </c>
      <c r="D151" s="3298" t="s">
        <v>256</v>
      </c>
      <c r="E151" s="3298"/>
      <c r="F151" s="3299"/>
      <c r="G151" s="3297">
        <v>69</v>
      </c>
      <c r="H151" s="3298" t="s">
        <v>256</v>
      </c>
      <c r="I151" s="3298"/>
      <c r="J151" s="3299"/>
      <c r="K151" s="3297">
        <v>69</v>
      </c>
      <c r="L151" s="3298" t="s">
        <v>256</v>
      </c>
      <c r="M151" s="3298"/>
      <c r="N151" s="3299"/>
      <c r="O151" s="3297">
        <v>69</v>
      </c>
      <c r="P151" s="3298" t="s">
        <v>256</v>
      </c>
      <c r="Q151" s="3298"/>
      <c r="R151" s="3299"/>
      <c r="S151" s="3297">
        <v>69</v>
      </c>
      <c r="T151" s="3298" t="s">
        <v>256</v>
      </c>
      <c r="U151" s="3298"/>
      <c r="V151" s="3299"/>
      <c r="W151" s="3297"/>
      <c r="X151" s="3300"/>
      <c r="Y151" s="3300"/>
      <c r="Z151" s="3301"/>
      <c r="AA151" s="3297"/>
      <c r="AB151" s="3298"/>
      <c r="AC151" s="3298"/>
      <c r="AD151" s="2856"/>
      <c r="AE151" s="3302">
        <v>35</v>
      </c>
      <c r="AF151" s="3298"/>
      <c r="AG151" s="3298"/>
      <c r="AH151" s="2856"/>
      <c r="AI151" s="3303"/>
    </row>
    <row r="152" spans="1:35" ht="18" customHeight="1" x14ac:dyDescent="0.2">
      <c r="A152" s="107"/>
      <c r="B152" s="3296" t="s">
        <v>236</v>
      </c>
      <c r="C152" s="3297">
        <v>79</v>
      </c>
      <c r="D152" s="3298" t="s">
        <v>257</v>
      </c>
      <c r="E152" s="3298"/>
      <c r="F152" s="3299"/>
      <c r="G152" s="3297">
        <v>79</v>
      </c>
      <c r="H152" s="3298" t="s">
        <v>257</v>
      </c>
      <c r="I152" s="3298"/>
      <c r="J152" s="3299"/>
      <c r="K152" s="3297">
        <v>79</v>
      </c>
      <c r="L152" s="3298" t="s">
        <v>257</v>
      </c>
      <c r="M152" s="3298"/>
      <c r="N152" s="3299"/>
      <c r="O152" s="3297">
        <v>79</v>
      </c>
      <c r="P152" s="3298" t="s">
        <v>257</v>
      </c>
      <c r="Q152" s="3298"/>
      <c r="R152" s="3299"/>
      <c r="S152" s="3297">
        <v>79</v>
      </c>
      <c r="T152" s="3298" t="s">
        <v>257</v>
      </c>
      <c r="U152" s="3298"/>
      <c r="V152" s="3299"/>
      <c r="W152" s="3297"/>
      <c r="X152" s="3298"/>
      <c r="Y152" s="3298"/>
      <c r="Z152" s="3299"/>
      <c r="AA152" s="3298"/>
      <c r="AB152" s="3298"/>
      <c r="AC152" s="3298"/>
      <c r="AD152" s="2856"/>
      <c r="AE152" s="3302">
        <v>40</v>
      </c>
      <c r="AF152" s="3298"/>
      <c r="AG152" s="3298"/>
      <c r="AH152" s="2856"/>
      <c r="AI152" s="3303"/>
    </row>
    <row r="153" spans="1:35" ht="18" customHeight="1" x14ac:dyDescent="0.2">
      <c r="A153" s="107"/>
      <c r="B153" s="3296" t="s">
        <v>243</v>
      </c>
      <c r="C153" s="3297">
        <v>89</v>
      </c>
      <c r="D153" s="3298" t="s">
        <v>258</v>
      </c>
      <c r="E153" s="3298"/>
      <c r="F153" s="3299"/>
      <c r="G153" s="3297">
        <v>89</v>
      </c>
      <c r="H153" s="3298" t="s">
        <v>258</v>
      </c>
      <c r="I153" s="3298"/>
      <c r="J153" s="3299"/>
      <c r="K153" s="3297">
        <v>89</v>
      </c>
      <c r="L153" s="3298" t="s">
        <v>258</v>
      </c>
      <c r="M153" s="3298"/>
      <c r="N153" s="3299"/>
      <c r="O153" s="3297">
        <v>89</v>
      </c>
      <c r="P153" s="3298" t="s">
        <v>258</v>
      </c>
      <c r="Q153" s="3298"/>
      <c r="R153" s="3299"/>
      <c r="S153" s="3297">
        <v>89</v>
      </c>
      <c r="T153" s="3298" t="s">
        <v>259</v>
      </c>
      <c r="U153" s="3298"/>
      <c r="V153" s="3299"/>
      <c r="W153" s="3304"/>
      <c r="X153" s="3305" t="s">
        <v>260</v>
      </c>
      <c r="Y153" s="3305"/>
      <c r="Z153" s="3244"/>
      <c r="AA153" s="3304"/>
      <c r="AB153" s="3305"/>
      <c r="AC153" s="3305"/>
      <c r="AD153" s="3246"/>
      <c r="AE153" s="3302">
        <v>44</v>
      </c>
      <c r="AF153" s="3298"/>
      <c r="AG153" s="3298"/>
      <c r="AH153" s="2856"/>
      <c r="AI153" s="3303"/>
    </row>
    <row r="154" spans="1:35" ht="18" customHeight="1" x14ac:dyDescent="0.2">
      <c r="A154" s="107"/>
      <c r="B154" s="19" t="s">
        <v>245</v>
      </c>
      <c r="C154" s="3304">
        <v>99</v>
      </c>
      <c r="D154" s="3305" t="s">
        <v>261</v>
      </c>
      <c r="E154" s="3305"/>
      <c r="F154" s="3244"/>
      <c r="G154" s="3304">
        <v>99</v>
      </c>
      <c r="H154" s="3305" t="s">
        <v>261</v>
      </c>
      <c r="I154" s="3305"/>
      <c r="J154" s="3244"/>
      <c r="K154" s="3304">
        <v>99</v>
      </c>
      <c r="L154" s="3305" t="s">
        <v>261</v>
      </c>
      <c r="M154" s="3305"/>
      <c r="N154" s="3244"/>
      <c r="O154" s="3304">
        <v>99</v>
      </c>
      <c r="P154" s="3305" t="s">
        <v>261</v>
      </c>
      <c r="Q154" s="3305"/>
      <c r="R154" s="3244"/>
      <c r="S154" s="3304">
        <v>99</v>
      </c>
      <c r="T154" s="3305" t="s">
        <v>244</v>
      </c>
      <c r="U154" s="3305"/>
      <c r="V154" s="3246"/>
      <c r="W154" s="3245"/>
      <c r="X154" s="3246"/>
      <c r="Y154" s="3305"/>
      <c r="Z154" s="3244"/>
      <c r="AA154" s="3245"/>
      <c r="AB154" s="3246"/>
      <c r="AC154" s="3305"/>
      <c r="AD154" s="3244"/>
      <c r="AE154" s="3306">
        <v>28</v>
      </c>
      <c r="AF154" s="3305"/>
      <c r="AG154" s="3305"/>
      <c r="AH154" s="3246"/>
      <c r="AI154" s="3307"/>
    </row>
    <row r="155" spans="1:35" ht="18" customHeight="1" x14ac:dyDescent="0.2">
      <c r="A155" s="107"/>
      <c r="B155" s="3308" t="s">
        <v>262</v>
      </c>
      <c r="C155" s="3309" t="s">
        <v>77</v>
      </c>
      <c r="D155" s="3310" t="s">
        <v>263</v>
      </c>
      <c r="E155" s="3311"/>
      <c r="F155" s="2810"/>
      <c r="G155" s="3309" t="s">
        <v>77</v>
      </c>
      <c r="H155" s="3310" t="s">
        <v>263</v>
      </c>
      <c r="I155" s="2808"/>
      <c r="J155" s="3311"/>
      <c r="K155" s="3309" t="s">
        <v>77</v>
      </c>
      <c r="L155" s="3310" t="s">
        <v>263</v>
      </c>
      <c r="M155" s="3311"/>
      <c r="N155" s="3312"/>
      <c r="O155" s="3309" t="s">
        <v>77</v>
      </c>
      <c r="P155" s="3310" t="s">
        <v>263</v>
      </c>
      <c r="Q155" s="3311"/>
      <c r="R155" s="3310"/>
      <c r="S155" s="3309" t="s">
        <v>77</v>
      </c>
      <c r="T155" s="2812" t="s">
        <v>264</v>
      </c>
      <c r="U155" s="3310"/>
      <c r="V155" s="3312"/>
      <c r="W155" s="3311"/>
      <c r="X155" s="3310"/>
      <c r="Y155" s="3310"/>
      <c r="Z155" s="3310"/>
      <c r="AA155" s="3313"/>
      <c r="AB155" s="3314"/>
      <c r="AC155" s="3310"/>
      <c r="AD155" s="3315"/>
      <c r="AE155" s="3310"/>
      <c r="AF155" s="3310"/>
      <c r="AG155" s="3310"/>
      <c r="AH155" s="3316"/>
      <c r="AI155" s="3317"/>
    </row>
    <row r="156" spans="1:35" ht="18" customHeight="1" x14ac:dyDescent="0.2">
      <c r="A156" s="68"/>
      <c r="B156" s="107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8"/>
      <c r="AI156" s="108"/>
    </row>
    <row r="157" spans="1:35" ht="18" customHeight="1" x14ac:dyDescent="0.2">
      <c r="A157" s="3287"/>
      <c r="B157" s="2817" t="s">
        <v>44</v>
      </c>
      <c r="C157" s="3140">
        <v>1</v>
      </c>
      <c r="D157" s="3141">
        <v>2</v>
      </c>
      <c r="E157" s="3141">
        <v>3</v>
      </c>
      <c r="F157" s="3140">
        <v>4</v>
      </c>
      <c r="G157" s="3140">
        <v>5</v>
      </c>
      <c r="H157" s="3141">
        <v>6</v>
      </c>
      <c r="I157" s="3141">
        <v>7</v>
      </c>
      <c r="J157" s="3141">
        <v>8</v>
      </c>
      <c r="K157" s="3141">
        <v>9</v>
      </c>
      <c r="L157" s="3141">
        <v>10</v>
      </c>
      <c r="M157" s="3140">
        <v>11</v>
      </c>
      <c r="N157" s="3140">
        <v>12</v>
      </c>
      <c r="O157" s="3141">
        <v>13</v>
      </c>
      <c r="P157" s="3141">
        <v>14</v>
      </c>
      <c r="Q157" s="3141">
        <v>15</v>
      </c>
      <c r="R157" s="3141">
        <v>16</v>
      </c>
      <c r="S157" s="3141">
        <v>17</v>
      </c>
      <c r="T157" s="3140">
        <v>18</v>
      </c>
      <c r="U157" s="3140">
        <v>19</v>
      </c>
      <c r="V157" s="3141">
        <v>20</v>
      </c>
      <c r="W157" s="3141">
        <v>21</v>
      </c>
      <c r="X157" s="3141">
        <v>22</v>
      </c>
      <c r="Y157" s="3141">
        <v>23</v>
      </c>
      <c r="Z157" s="3141">
        <v>24</v>
      </c>
      <c r="AA157" s="3140">
        <v>25</v>
      </c>
      <c r="AB157" s="3140">
        <v>26</v>
      </c>
      <c r="AC157" s="3141">
        <v>27</v>
      </c>
      <c r="AD157" s="3141">
        <v>28</v>
      </c>
      <c r="AE157" s="3141">
        <v>29</v>
      </c>
      <c r="AF157" s="3141">
        <v>30</v>
      </c>
      <c r="AG157" s="3141">
        <v>31</v>
      </c>
      <c r="AH157" s="110"/>
      <c r="AI157" s="111"/>
    </row>
    <row r="158" spans="1:35" ht="18" customHeight="1" x14ac:dyDescent="0.2">
      <c r="A158" s="3318">
        <v>1</v>
      </c>
      <c r="B158" s="3319" t="s">
        <v>265</v>
      </c>
      <c r="C158" s="3166"/>
      <c r="D158" s="3194">
        <v>99</v>
      </c>
      <c r="E158" s="3164" t="s">
        <v>50</v>
      </c>
      <c r="F158" s="3164"/>
      <c r="G158" s="3165"/>
      <c r="H158" s="3166" t="s">
        <v>77</v>
      </c>
      <c r="I158" s="3165" t="s">
        <v>77</v>
      </c>
      <c r="J158" s="3165" t="s">
        <v>77</v>
      </c>
      <c r="K158" s="3166" t="s">
        <v>77</v>
      </c>
      <c r="L158" s="3165" t="s">
        <v>77</v>
      </c>
      <c r="M158" s="3164"/>
      <c r="N158" s="3166"/>
      <c r="O158" s="3166">
        <v>69</v>
      </c>
      <c r="P158" s="3166">
        <v>69</v>
      </c>
      <c r="Q158" s="3166">
        <v>69</v>
      </c>
      <c r="R158" s="3166">
        <v>69</v>
      </c>
      <c r="S158" s="3164">
        <v>69</v>
      </c>
      <c r="T158" s="3164"/>
      <c r="U158" s="3166"/>
      <c r="V158" s="3166">
        <v>79</v>
      </c>
      <c r="W158" s="3320">
        <v>79</v>
      </c>
      <c r="X158" s="3166">
        <v>79</v>
      </c>
      <c r="Y158" s="3166">
        <v>79</v>
      </c>
      <c r="Z158" s="3166">
        <v>79</v>
      </c>
      <c r="AA158" s="3165"/>
      <c r="AB158" s="3166"/>
      <c r="AC158" s="3197">
        <v>89</v>
      </c>
      <c r="AD158" s="3197">
        <v>89</v>
      </c>
      <c r="AE158" s="3197" t="s">
        <v>268</v>
      </c>
      <c r="AF158" s="3321">
        <v>89</v>
      </c>
      <c r="AG158" s="3184">
        <v>89</v>
      </c>
      <c r="AH158" s="124"/>
      <c r="AI158" s="67"/>
    </row>
    <row r="159" spans="1:35" ht="18" customHeight="1" x14ac:dyDescent="0.2">
      <c r="A159" s="3322">
        <v>2</v>
      </c>
      <c r="B159" s="3323" t="s">
        <v>266</v>
      </c>
      <c r="C159" s="2725"/>
      <c r="D159" s="2451" t="s">
        <v>77</v>
      </c>
      <c r="E159" s="3324" t="s">
        <v>77</v>
      </c>
      <c r="F159" s="2725"/>
      <c r="G159" s="2725"/>
      <c r="H159" s="2738">
        <v>69</v>
      </c>
      <c r="I159" s="2723">
        <v>69</v>
      </c>
      <c r="J159" s="2738">
        <v>69</v>
      </c>
      <c r="K159" s="2738">
        <v>69</v>
      </c>
      <c r="L159" s="2718">
        <v>69</v>
      </c>
      <c r="M159" s="2718"/>
      <c r="N159" s="2738"/>
      <c r="O159" s="2738">
        <v>79</v>
      </c>
      <c r="P159" s="2738">
        <v>79</v>
      </c>
      <c r="Q159" s="2738">
        <v>79</v>
      </c>
      <c r="R159" s="2723">
        <v>79</v>
      </c>
      <c r="S159" s="2738">
        <v>79</v>
      </c>
      <c r="T159" s="2718"/>
      <c r="U159" s="2738"/>
      <c r="V159" s="2738">
        <v>89</v>
      </c>
      <c r="W159" s="2738">
        <v>89</v>
      </c>
      <c r="X159" s="2738">
        <v>89</v>
      </c>
      <c r="Y159" s="2738">
        <v>89</v>
      </c>
      <c r="Z159" s="2738">
        <v>89</v>
      </c>
      <c r="AA159" s="2718">
        <v>89</v>
      </c>
      <c r="AB159" s="2723"/>
      <c r="AC159" s="2734">
        <v>99</v>
      </c>
      <c r="AD159" s="2734">
        <v>99</v>
      </c>
      <c r="AE159" s="2734">
        <v>99</v>
      </c>
      <c r="AF159" s="2734">
        <v>99</v>
      </c>
      <c r="AG159" s="3325" t="s">
        <v>50</v>
      </c>
      <c r="AH159" s="125"/>
      <c r="AI159" s="106"/>
    </row>
    <row r="160" spans="1:35" ht="18" customHeight="1" x14ac:dyDescent="0.2">
      <c r="A160" s="3322">
        <v>3</v>
      </c>
      <c r="B160" s="3323" t="s">
        <v>267</v>
      </c>
      <c r="C160" s="3326"/>
      <c r="D160" s="2718">
        <v>69</v>
      </c>
      <c r="E160" s="2718">
        <v>69</v>
      </c>
      <c r="F160" s="3326"/>
      <c r="G160" s="2723"/>
      <c r="H160" s="3326">
        <v>79</v>
      </c>
      <c r="I160" s="2723">
        <v>79</v>
      </c>
      <c r="J160" s="3326">
        <v>79</v>
      </c>
      <c r="K160" s="3326">
        <v>79</v>
      </c>
      <c r="L160" s="3326">
        <v>79</v>
      </c>
      <c r="M160" s="3326"/>
      <c r="N160" s="2738"/>
      <c r="O160" s="2734">
        <v>89</v>
      </c>
      <c r="P160" s="3240">
        <v>89</v>
      </c>
      <c r="Q160" s="2734">
        <v>89</v>
      </c>
      <c r="R160" s="2734">
        <v>89</v>
      </c>
      <c r="S160" s="2734">
        <v>89</v>
      </c>
      <c r="T160" s="2734">
        <v>89</v>
      </c>
      <c r="U160" s="2734"/>
      <c r="V160" s="2767">
        <v>99</v>
      </c>
      <c r="W160" s="2767">
        <v>99</v>
      </c>
      <c r="X160" s="2767">
        <v>99</v>
      </c>
      <c r="Y160" s="3327">
        <v>99</v>
      </c>
      <c r="Z160" s="3326" t="s">
        <v>50</v>
      </c>
      <c r="AA160" s="3326"/>
      <c r="AB160" s="3326"/>
      <c r="AC160" s="3328" t="s">
        <v>77</v>
      </c>
      <c r="AD160" s="3329" t="s">
        <v>77</v>
      </c>
      <c r="AE160" s="2879" t="s">
        <v>77</v>
      </c>
      <c r="AF160" s="2879" t="s">
        <v>77</v>
      </c>
      <c r="AG160" s="3330" t="s">
        <v>77</v>
      </c>
      <c r="AH160" s="124"/>
      <c r="AI160" s="67"/>
    </row>
    <row r="161" spans="1:37" ht="18" customHeight="1" x14ac:dyDescent="0.2">
      <c r="A161" s="3322">
        <v>4</v>
      </c>
      <c r="B161" s="3323" t="s">
        <v>269</v>
      </c>
      <c r="C161" s="2718"/>
      <c r="D161" s="2718">
        <v>79</v>
      </c>
      <c r="E161" s="2718">
        <v>79</v>
      </c>
      <c r="F161" s="2718"/>
      <c r="G161" s="2718"/>
      <c r="H161" s="2718">
        <v>89</v>
      </c>
      <c r="I161" s="2723">
        <v>89</v>
      </c>
      <c r="J161" s="2718">
        <v>89</v>
      </c>
      <c r="K161" s="2718">
        <v>89</v>
      </c>
      <c r="L161" s="2718">
        <v>89</v>
      </c>
      <c r="M161" s="2718">
        <v>89</v>
      </c>
      <c r="N161" s="2738"/>
      <c r="O161" s="2718">
        <v>99</v>
      </c>
      <c r="P161" s="2718">
        <v>99</v>
      </c>
      <c r="Q161" s="3240">
        <v>99</v>
      </c>
      <c r="R161" s="3240">
        <v>99</v>
      </c>
      <c r="S161" s="2718" t="s">
        <v>50</v>
      </c>
      <c r="T161" s="2718"/>
      <c r="U161" s="2718"/>
      <c r="V161" s="2718" t="s">
        <v>77</v>
      </c>
      <c r="W161" s="2718" t="s">
        <v>77</v>
      </c>
      <c r="X161" s="2718" t="s">
        <v>77</v>
      </c>
      <c r="Y161" s="3240" t="s">
        <v>152</v>
      </c>
      <c r="Z161" s="3240" t="s">
        <v>152</v>
      </c>
      <c r="AA161" s="2718"/>
      <c r="AB161" s="2718"/>
      <c r="AC161" s="2718">
        <v>69</v>
      </c>
      <c r="AD161" s="2718">
        <v>69</v>
      </c>
      <c r="AE161" s="2718">
        <v>69</v>
      </c>
      <c r="AF161" s="3240">
        <v>69</v>
      </c>
      <c r="AG161" s="3325">
        <v>69</v>
      </c>
      <c r="AH161" s="124"/>
      <c r="AI161" s="67"/>
    </row>
    <row r="162" spans="1:37" ht="18" customHeight="1" thickBot="1" x14ac:dyDescent="0.25">
      <c r="A162" s="3331">
        <v>5</v>
      </c>
      <c r="B162" s="2830" t="s">
        <v>270</v>
      </c>
      <c r="C162" s="3242"/>
      <c r="D162" s="3242">
        <v>89</v>
      </c>
      <c r="E162" s="2783">
        <v>89</v>
      </c>
      <c r="F162" s="2828">
        <v>89</v>
      </c>
      <c r="G162" s="3332" t="s">
        <v>0</v>
      </c>
      <c r="H162" s="2748">
        <v>99</v>
      </c>
      <c r="I162" s="2748">
        <v>99</v>
      </c>
      <c r="J162" s="2748">
        <v>99</v>
      </c>
      <c r="K162" s="2748">
        <v>99</v>
      </c>
      <c r="L162" s="2783" t="s">
        <v>50</v>
      </c>
      <c r="M162" s="2783"/>
      <c r="N162" s="2748"/>
      <c r="O162" s="3242" t="s">
        <v>77</v>
      </c>
      <c r="P162" s="3242" t="s">
        <v>77</v>
      </c>
      <c r="Q162" s="3242" t="s">
        <v>77</v>
      </c>
      <c r="R162" s="3242" t="s">
        <v>77</v>
      </c>
      <c r="S162" s="2783" t="s">
        <v>77</v>
      </c>
      <c r="T162" s="2782"/>
      <c r="U162" s="3242"/>
      <c r="V162" s="3242">
        <v>69</v>
      </c>
      <c r="W162" s="3242">
        <v>69</v>
      </c>
      <c r="X162" s="3242">
        <v>69</v>
      </c>
      <c r="Y162" s="3242">
        <v>69</v>
      </c>
      <c r="Z162" s="3242">
        <v>69</v>
      </c>
      <c r="AA162" s="2828"/>
      <c r="AB162" s="3242"/>
      <c r="AC162" s="2783">
        <v>79</v>
      </c>
      <c r="AD162" s="389">
        <v>79</v>
      </c>
      <c r="AE162" s="2783">
        <v>79</v>
      </c>
      <c r="AF162" s="2783">
        <v>79</v>
      </c>
      <c r="AG162" s="3333">
        <v>79</v>
      </c>
      <c r="AH162" s="124"/>
      <c r="AI162" s="67"/>
      <c r="AK162" t="s">
        <v>0</v>
      </c>
    </row>
    <row r="163" spans="1:37" ht="18" customHeight="1" x14ac:dyDescent="0.2">
      <c r="A163" s="129"/>
      <c r="B163" s="141"/>
      <c r="C163" s="142"/>
      <c r="D163" s="142"/>
      <c r="E163" s="142"/>
      <c r="F163" s="128"/>
      <c r="G163" s="140"/>
      <c r="H163" s="140"/>
      <c r="I163" s="140"/>
      <c r="J163" s="140"/>
      <c r="K163" s="140"/>
      <c r="L163" s="128"/>
      <c r="M163" s="128"/>
      <c r="N163" s="142"/>
      <c r="O163" s="142"/>
      <c r="P163" s="142"/>
      <c r="Q163" s="142"/>
      <c r="R163" s="142"/>
      <c r="S163" s="128"/>
      <c r="T163" s="143"/>
      <c r="U163" s="142"/>
      <c r="V163" s="142"/>
      <c r="W163" s="142"/>
      <c r="X163" s="142"/>
      <c r="Y163" s="142"/>
      <c r="Z163" s="144"/>
      <c r="AA163" s="144"/>
      <c r="AB163" s="142"/>
      <c r="AC163" s="142"/>
      <c r="AD163" s="142"/>
      <c r="AE163" s="142"/>
      <c r="AF163" s="142"/>
      <c r="AG163" s="144"/>
      <c r="AH163" s="124"/>
      <c r="AI163" s="3334"/>
    </row>
    <row r="164" spans="1:37" ht="18" customHeight="1" x14ac:dyDescent="0.2">
      <c r="A164" s="69"/>
      <c r="B164" s="70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7"/>
      <c r="AI164" s="67"/>
    </row>
    <row r="165" spans="1:37" ht="18" customHeight="1" x14ac:dyDescent="0.2">
      <c r="A165" s="107" t="s">
        <v>271</v>
      </c>
      <c r="B165" s="108"/>
      <c r="C165" s="108"/>
      <c r="D165" s="109"/>
      <c r="E165" s="109"/>
      <c r="F165" s="109"/>
      <c r="G165" s="65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8"/>
      <c r="AI165" s="108"/>
    </row>
    <row r="166" spans="1:37" ht="18" customHeight="1" x14ac:dyDescent="0.2">
      <c r="A166" s="107"/>
      <c r="B166" s="3265" t="s">
        <v>255</v>
      </c>
      <c r="C166" s="3290"/>
      <c r="D166" s="3291" t="s">
        <v>17</v>
      </c>
      <c r="E166" s="3292"/>
      <c r="F166" s="3293"/>
      <c r="G166" s="3290"/>
      <c r="H166" s="3291" t="s">
        <v>18</v>
      </c>
      <c r="I166" s="3292"/>
      <c r="J166" s="3293"/>
      <c r="K166" s="3290"/>
      <c r="L166" s="3291" t="s">
        <v>19</v>
      </c>
      <c r="M166" s="3292"/>
      <c r="N166" s="3293"/>
      <c r="O166" s="3290"/>
      <c r="P166" s="3291" t="s">
        <v>20</v>
      </c>
      <c r="Q166" s="3292"/>
      <c r="R166" s="3293"/>
      <c r="S166" s="3290"/>
      <c r="T166" s="3291" t="s">
        <v>21</v>
      </c>
      <c r="U166" s="3292"/>
      <c r="V166" s="3293"/>
      <c r="W166" s="3290"/>
      <c r="X166" s="3291" t="s">
        <v>22</v>
      </c>
      <c r="Y166" s="3292"/>
      <c r="Z166" s="3293"/>
      <c r="AA166" s="3290"/>
      <c r="AB166" s="3291" t="s">
        <v>23</v>
      </c>
      <c r="AC166" s="3292"/>
      <c r="AD166" s="3292"/>
      <c r="AE166" s="3294" t="s">
        <v>126</v>
      </c>
      <c r="AF166" s="3292"/>
      <c r="AG166" s="3292"/>
      <c r="AH166" s="3292"/>
      <c r="AI166" s="3295"/>
    </row>
    <row r="167" spans="1:37" ht="18" customHeight="1" x14ac:dyDescent="0.2">
      <c r="A167" s="107"/>
      <c r="B167" s="3296" t="s">
        <v>272</v>
      </c>
      <c r="C167" s="2855" t="s">
        <v>273</v>
      </c>
      <c r="D167" s="3298"/>
      <c r="E167" s="3298"/>
      <c r="F167" s="3299"/>
      <c r="G167" s="2855" t="s">
        <v>273</v>
      </c>
      <c r="H167" s="3298"/>
      <c r="I167" s="3298"/>
      <c r="J167" s="3299"/>
      <c r="K167" s="2855" t="s">
        <v>273</v>
      </c>
      <c r="L167" s="3298"/>
      <c r="M167" s="3298"/>
      <c r="N167" s="3299"/>
      <c r="O167" s="2855" t="s">
        <v>274</v>
      </c>
      <c r="P167" s="3298"/>
      <c r="Q167" s="3298"/>
      <c r="R167" s="3299"/>
      <c r="S167" s="2855" t="s">
        <v>275</v>
      </c>
      <c r="T167" s="3298"/>
      <c r="U167" s="3298"/>
      <c r="V167" s="3299"/>
      <c r="W167" s="2855" t="s">
        <v>276</v>
      </c>
      <c r="X167" s="3300"/>
      <c r="Y167" s="3300"/>
      <c r="Z167" s="3301"/>
      <c r="AA167" s="2855" t="s">
        <v>276</v>
      </c>
      <c r="AB167" s="3298"/>
      <c r="AC167" s="3298"/>
      <c r="AD167" s="2856"/>
      <c r="AE167" s="3302">
        <v>68</v>
      </c>
      <c r="AF167" s="948"/>
      <c r="AG167" s="948"/>
      <c r="AH167" s="948"/>
      <c r="AI167" s="949"/>
    </row>
    <row r="168" spans="1:37" ht="18" customHeight="1" x14ac:dyDescent="0.2">
      <c r="A168" s="107"/>
      <c r="B168" s="3296"/>
      <c r="C168" s="2855" t="s">
        <v>244</v>
      </c>
      <c r="D168" s="3298"/>
      <c r="E168" s="3298"/>
      <c r="F168" s="3299"/>
      <c r="G168" s="2855" t="s">
        <v>244</v>
      </c>
      <c r="H168" s="3298"/>
      <c r="I168" s="3298"/>
      <c r="J168" s="3299"/>
      <c r="K168" s="2855" t="s">
        <v>244</v>
      </c>
      <c r="L168" s="3298"/>
      <c r="M168" s="3298"/>
      <c r="N168" s="3299"/>
      <c r="O168" s="2855" t="s">
        <v>244</v>
      </c>
      <c r="P168" s="3298"/>
      <c r="Q168" s="3298"/>
      <c r="R168" s="3299"/>
      <c r="S168" s="2855" t="s">
        <v>244</v>
      </c>
      <c r="T168" s="3298"/>
      <c r="U168" s="3298"/>
      <c r="V168" s="3299"/>
      <c r="W168" s="2855" t="s">
        <v>244</v>
      </c>
      <c r="X168" s="3298"/>
      <c r="Y168" s="3298"/>
      <c r="Z168" s="3299"/>
      <c r="AA168" s="3298" t="s">
        <v>244</v>
      </c>
      <c r="AB168" s="3298"/>
      <c r="AC168" s="3298"/>
      <c r="AD168" s="2856"/>
      <c r="AE168" s="3302">
        <v>0</v>
      </c>
      <c r="AF168" s="948"/>
      <c r="AG168" s="948"/>
      <c r="AH168" s="948"/>
      <c r="AI168" s="949"/>
    </row>
    <row r="169" spans="1:37" ht="18" customHeight="1" x14ac:dyDescent="0.2">
      <c r="A169" s="107"/>
      <c r="B169" s="3296" t="s">
        <v>277</v>
      </c>
      <c r="C169" s="2855" t="s">
        <v>274</v>
      </c>
      <c r="D169" s="3298"/>
      <c r="E169" s="3298"/>
      <c r="F169" s="3299"/>
      <c r="G169" s="2855" t="s">
        <v>274</v>
      </c>
      <c r="H169" s="3298"/>
      <c r="I169" s="3298"/>
      <c r="J169" s="3299"/>
      <c r="K169" s="2855" t="s">
        <v>274</v>
      </c>
      <c r="L169" s="3298"/>
      <c r="M169" s="3298"/>
      <c r="N169" s="3299"/>
      <c r="O169" s="2855" t="s">
        <v>273</v>
      </c>
      <c r="P169" s="3298"/>
      <c r="Q169" s="3298"/>
      <c r="R169" s="3299"/>
      <c r="S169" s="2855" t="s">
        <v>273</v>
      </c>
      <c r="T169" s="3298"/>
      <c r="U169" s="3298"/>
      <c r="V169" s="3299"/>
      <c r="W169" s="2855" t="s">
        <v>275</v>
      </c>
      <c r="X169" s="3300"/>
      <c r="Y169" s="3300"/>
      <c r="Z169" s="3301"/>
      <c r="AA169" s="2855" t="s">
        <v>275</v>
      </c>
      <c r="AB169" s="3298"/>
      <c r="AC169" s="3298"/>
      <c r="AD169" s="2856"/>
      <c r="AE169" s="3302">
        <v>68</v>
      </c>
      <c r="AF169" s="3298"/>
      <c r="AG169" s="3298" t="s">
        <v>0</v>
      </c>
      <c r="AH169" s="2856"/>
      <c r="AI169" s="3303"/>
    </row>
    <row r="170" spans="1:37" ht="18" customHeight="1" x14ac:dyDescent="0.2">
      <c r="A170" s="107"/>
      <c r="B170" s="3296"/>
      <c r="C170" s="2855" t="s">
        <v>244</v>
      </c>
      <c r="D170" s="3298"/>
      <c r="E170" s="3298"/>
      <c r="F170" s="3299"/>
      <c r="G170" s="2855" t="s">
        <v>244</v>
      </c>
      <c r="H170" s="3298"/>
      <c r="I170" s="3298"/>
      <c r="J170" s="3299"/>
      <c r="K170" s="2855" t="s">
        <v>244</v>
      </c>
      <c r="L170" s="3298"/>
      <c r="M170" s="3298"/>
      <c r="N170" s="3299"/>
      <c r="O170" s="2855" t="s">
        <v>244</v>
      </c>
      <c r="P170" s="3298"/>
      <c r="Q170" s="3298"/>
      <c r="R170" s="3299"/>
      <c r="S170" s="2855" t="s">
        <v>244</v>
      </c>
      <c r="T170" s="3298"/>
      <c r="U170" s="3298"/>
      <c r="V170" s="3299"/>
      <c r="W170" s="2855" t="s">
        <v>244</v>
      </c>
      <c r="X170" s="3298"/>
      <c r="Y170" s="3298"/>
      <c r="Z170" s="3299"/>
      <c r="AA170" s="3298" t="s">
        <v>244</v>
      </c>
      <c r="AB170" s="3298"/>
      <c r="AC170" s="3298"/>
      <c r="AD170" s="2856"/>
      <c r="AE170" s="3302">
        <v>0</v>
      </c>
      <c r="AF170" s="3298"/>
      <c r="AG170" s="3298"/>
      <c r="AH170" s="2856"/>
      <c r="AI170" s="3303"/>
    </row>
    <row r="171" spans="1:37" ht="18" customHeight="1" x14ac:dyDescent="0.2">
      <c r="A171" s="107"/>
      <c r="B171" s="3296" t="s">
        <v>278</v>
      </c>
      <c r="C171" s="2855" t="s">
        <v>273</v>
      </c>
      <c r="D171" s="3298"/>
      <c r="E171" s="3298"/>
      <c r="F171" s="3299"/>
      <c r="G171" s="2855" t="s">
        <v>273</v>
      </c>
      <c r="H171" s="3298"/>
      <c r="I171" s="3298"/>
      <c r="J171" s="3299"/>
      <c r="K171" s="2855" t="s">
        <v>273</v>
      </c>
      <c r="L171" s="3298"/>
      <c r="M171" s="3298"/>
      <c r="N171" s="3299"/>
      <c r="O171" s="2855" t="s">
        <v>273</v>
      </c>
      <c r="P171" s="3298"/>
      <c r="Q171" s="3298"/>
      <c r="R171" s="3299"/>
      <c r="S171" s="2855" t="s">
        <v>273</v>
      </c>
      <c r="T171" s="3298"/>
      <c r="U171" s="3298"/>
      <c r="V171" s="3299"/>
      <c r="W171" s="2855" t="s">
        <v>279</v>
      </c>
      <c r="X171" s="3305"/>
      <c r="Y171" s="3305"/>
      <c r="Z171" s="3244"/>
      <c r="AA171" s="2855" t="s">
        <v>279</v>
      </c>
      <c r="AB171" s="3305"/>
      <c r="AC171" s="3305"/>
      <c r="AD171" s="3246"/>
      <c r="AE171" s="3302">
        <v>68</v>
      </c>
      <c r="AF171" s="3298"/>
      <c r="AG171" s="3298"/>
      <c r="AH171" s="2856"/>
      <c r="AI171" s="3303"/>
    </row>
    <row r="172" spans="1:37" ht="18" customHeight="1" x14ac:dyDescent="0.2">
      <c r="A172" s="107"/>
      <c r="B172" s="3296"/>
      <c r="C172" s="3335" t="s">
        <v>244</v>
      </c>
      <c r="D172" s="3336"/>
      <c r="E172" s="3336"/>
      <c r="F172" s="3337"/>
      <c r="G172" s="3335" t="s">
        <v>244</v>
      </c>
      <c r="H172" s="3336"/>
      <c r="I172" s="3336"/>
      <c r="J172" s="3337"/>
      <c r="K172" s="3335" t="s">
        <v>244</v>
      </c>
      <c r="L172" s="3336"/>
      <c r="M172" s="3336"/>
      <c r="N172" s="3337"/>
      <c r="O172" s="3335" t="s">
        <v>244</v>
      </c>
      <c r="P172" s="3336"/>
      <c r="Q172" s="3336"/>
      <c r="R172" s="3337"/>
      <c r="S172" s="3335" t="s">
        <v>244</v>
      </c>
      <c r="T172" s="3336"/>
      <c r="U172" s="3336"/>
      <c r="V172" s="3316"/>
      <c r="W172" s="3335" t="s">
        <v>244</v>
      </c>
      <c r="X172" s="3316"/>
      <c r="Y172" s="3336"/>
      <c r="Z172" s="3337"/>
      <c r="AA172" s="3335" t="s">
        <v>244</v>
      </c>
      <c r="AB172" s="3316"/>
      <c r="AC172" s="3336"/>
      <c r="AD172" s="3337"/>
      <c r="AE172" s="3338" t="s">
        <v>280</v>
      </c>
      <c r="AF172" s="3336"/>
      <c r="AG172" s="3336"/>
      <c r="AH172" s="3316"/>
      <c r="AI172" s="3317"/>
    </row>
    <row r="173" spans="1:37" ht="18" customHeight="1" x14ac:dyDescent="0.2">
      <c r="A173" s="68"/>
      <c r="B173" s="107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8"/>
      <c r="AI173" s="108"/>
    </row>
    <row r="174" spans="1:37" ht="18" customHeight="1" thickBot="1" x14ac:dyDescent="0.25">
      <c r="A174" s="3287"/>
      <c r="B174" s="2817" t="s">
        <v>44</v>
      </c>
      <c r="C174" s="3140">
        <v>1</v>
      </c>
      <c r="D174" s="3141">
        <v>2</v>
      </c>
      <c r="E174" s="3141">
        <v>3</v>
      </c>
      <c r="F174" s="3140">
        <v>4</v>
      </c>
      <c r="G174" s="3140">
        <v>5</v>
      </c>
      <c r="H174" s="3141">
        <v>6</v>
      </c>
      <c r="I174" s="3141">
        <v>7</v>
      </c>
      <c r="J174" s="3141">
        <v>8</v>
      </c>
      <c r="K174" s="3141">
        <v>9</v>
      </c>
      <c r="L174" s="3141">
        <v>10</v>
      </c>
      <c r="M174" s="3140">
        <v>11</v>
      </c>
      <c r="N174" s="3140">
        <v>12</v>
      </c>
      <c r="O174" s="3141">
        <v>13</v>
      </c>
      <c r="P174" s="3141">
        <v>14</v>
      </c>
      <c r="Q174" s="3141">
        <v>15</v>
      </c>
      <c r="R174" s="3141">
        <v>16</v>
      </c>
      <c r="S174" s="3141">
        <v>17</v>
      </c>
      <c r="T174" s="3140">
        <v>18</v>
      </c>
      <c r="U174" s="3140">
        <v>19</v>
      </c>
      <c r="V174" s="3141">
        <v>20</v>
      </c>
      <c r="W174" s="3141">
        <v>21</v>
      </c>
      <c r="X174" s="3141">
        <v>22</v>
      </c>
      <c r="Y174" s="3141">
        <v>23</v>
      </c>
      <c r="Z174" s="3141">
        <v>24</v>
      </c>
      <c r="AA174" s="3140">
        <v>25</v>
      </c>
      <c r="AB174" s="3140">
        <v>26</v>
      </c>
      <c r="AC174" s="3141">
        <v>27</v>
      </c>
      <c r="AD174" s="3141">
        <v>28</v>
      </c>
      <c r="AE174" s="3141">
        <v>29</v>
      </c>
      <c r="AF174" s="3141">
        <v>30</v>
      </c>
      <c r="AG174" s="3141">
        <v>31</v>
      </c>
      <c r="AH174" s="110"/>
      <c r="AI174" s="111"/>
    </row>
    <row r="175" spans="1:37" ht="18" customHeight="1" x14ac:dyDescent="0.2">
      <c r="A175" s="3339">
        <v>1</v>
      </c>
      <c r="B175" s="748" t="s">
        <v>391</v>
      </c>
      <c r="C175" s="3202">
        <v>23</v>
      </c>
      <c r="D175" s="3202">
        <v>23</v>
      </c>
      <c r="E175" s="3202">
        <v>23</v>
      </c>
      <c r="F175" s="3202">
        <v>23</v>
      </c>
      <c r="G175" s="3229">
        <v>23</v>
      </c>
      <c r="H175" s="636" t="s">
        <v>50</v>
      </c>
      <c r="I175" s="636" t="s">
        <v>50</v>
      </c>
      <c r="J175" s="636" t="s">
        <v>50</v>
      </c>
      <c r="K175" s="636" t="s">
        <v>50</v>
      </c>
      <c r="L175" s="636" t="s">
        <v>50</v>
      </c>
      <c r="M175" s="636"/>
      <c r="N175" s="636"/>
      <c r="O175" s="3340">
        <v>21</v>
      </c>
      <c r="P175" s="3340">
        <v>21</v>
      </c>
      <c r="Q175" s="3340">
        <v>21</v>
      </c>
      <c r="R175" s="3340">
        <v>21</v>
      </c>
      <c r="S175" s="3340">
        <v>21</v>
      </c>
      <c r="T175" s="636">
        <v>21</v>
      </c>
      <c r="U175" s="636">
        <v>21</v>
      </c>
      <c r="V175" s="799" t="s">
        <v>50</v>
      </c>
      <c r="W175" s="636" t="s">
        <v>50</v>
      </c>
      <c r="X175" s="636" t="s">
        <v>50</v>
      </c>
      <c r="Y175" s="636" t="s">
        <v>50</v>
      </c>
      <c r="Z175" s="636" t="s">
        <v>50</v>
      </c>
      <c r="AA175" s="636"/>
      <c r="AB175" s="636"/>
      <c r="AC175" s="3202">
        <v>22</v>
      </c>
      <c r="AD175" s="3202">
        <v>22</v>
      </c>
      <c r="AE175" s="3202">
        <v>22</v>
      </c>
      <c r="AF175" s="3202">
        <v>22</v>
      </c>
      <c r="AG175" s="3341">
        <v>22</v>
      </c>
      <c r="AH175" s="67"/>
      <c r="AI175" s="67"/>
    </row>
    <row r="176" spans="1:37" ht="18" customHeight="1" x14ac:dyDescent="0.2">
      <c r="A176" s="3342">
        <v>2</v>
      </c>
      <c r="B176" s="748" t="s">
        <v>452</v>
      </c>
      <c r="C176" s="636">
        <v>21</v>
      </c>
      <c r="D176" s="636">
        <v>21</v>
      </c>
      <c r="E176" s="636">
        <v>21</v>
      </c>
      <c r="F176" s="636">
        <v>21</v>
      </c>
      <c r="G176" s="636">
        <v>21</v>
      </c>
      <c r="H176" s="636" t="s">
        <v>50</v>
      </c>
      <c r="I176" s="636" t="s">
        <v>50</v>
      </c>
      <c r="J176" s="636" t="s">
        <v>50</v>
      </c>
      <c r="K176" s="636" t="s">
        <v>50</v>
      </c>
      <c r="L176" s="636" t="s">
        <v>50</v>
      </c>
      <c r="M176" s="636"/>
      <c r="N176" s="636"/>
      <c r="O176" s="3343">
        <v>22</v>
      </c>
      <c r="P176" s="635">
        <v>22</v>
      </c>
      <c r="Q176" s="636">
        <v>22</v>
      </c>
      <c r="R176" s="636">
        <v>22</v>
      </c>
      <c r="S176" s="635">
        <v>22</v>
      </c>
      <c r="T176" s="3343">
        <v>22</v>
      </c>
      <c r="U176" s="3343">
        <v>22</v>
      </c>
      <c r="V176" s="799" t="s">
        <v>50</v>
      </c>
      <c r="W176" s="636" t="s">
        <v>50</v>
      </c>
      <c r="X176" s="636" t="s">
        <v>50</v>
      </c>
      <c r="Y176" s="636" t="s">
        <v>50</v>
      </c>
      <c r="Z176" s="636" t="s">
        <v>50</v>
      </c>
      <c r="AA176" s="636"/>
      <c r="AB176" s="636"/>
      <c r="AC176" s="3343">
        <v>23</v>
      </c>
      <c r="AD176" s="3343">
        <v>23</v>
      </c>
      <c r="AE176" s="3343">
        <v>23</v>
      </c>
      <c r="AF176" s="3343">
        <v>23</v>
      </c>
      <c r="AG176" s="3344">
        <v>23</v>
      </c>
      <c r="AH176" s="67"/>
      <c r="AI176" s="67"/>
    </row>
    <row r="177" spans="1:35" ht="18" customHeight="1" x14ac:dyDescent="0.2">
      <c r="A177" s="3342">
        <v>3</v>
      </c>
      <c r="B177" s="748"/>
      <c r="C177" s="636">
        <v>22</v>
      </c>
      <c r="D177" s="636">
        <v>22</v>
      </c>
      <c r="E177" s="636">
        <v>22</v>
      </c>
      <c r="F177" s="636">
        <v>22</v>
      </c>
      <c r="G177" s="3343">
        <v>22</v>
      </c>
      <c r="H177" s="636" t="s">
        <v>50</v>
      </c>
      <c r="I177" s="636" t="s">
        <v>50</v>
      </c>
      <c r="J177" s="636" t="s">
        <v>50</v>
      </c>
      <c r="K177" s="636" t="s">
        <v>50</v>
      </c>
      <c r="L177" s="636" t="s">
        <v>50</v>
      </c>
      <c r="M177" s="636"/>
      <c r="N177" s="636"/>
      <c r="O177" s="3343">
        <v>23</v>
      </c>
      <c r="P177" s="635">
        <v>23</v>
      </c>
      <c r="Q177" s="636">
        <v>23</v>
      </c>
      <c r="R177" s="636">
        <v>23</v>
      </c>
      <c r="S177" s="635">
        <v>23</v>
      </c>
      <c r="T177" s="636">
        <v>23</v>
      </c>
      <c r="U177" s="636">
        <v>23</v>
      </c>
      <c r="V177" s="799" t="s">
        <v>50</v>
      </c>
      <c r="W177" s="636" t="s">
        <v>50</v>
      </c>
      <c r="X177" s="636" t="s">
        <v>50</v>
      </c>
      <c r="Y177" s="636" t="s">
        <v>50</v>
      </c>
      <c r="Z177" s="636" t="s">
        <v>50</v>
      </c>
      <c r="AA177" s="636"/>
      <c r="AB177" s="636"/>
      <c r="AC177" s="636">
        <v>21</v>
      </c>
      <c r="AD177" s="636">
        <v>21</v>
      </c>
      <c r="AE177" s="636">
        <v>21</v>
      </c>
      <c r="AF177" s="636">
        <v>21</v>
      </c>
      <c r="AG177" s="3345">
        <v>21</v>
      </c>
      <c r="AH177" s="67"/>
      <c r="AI177" s="67"/>
    </row>
    <row r="178" spans="1:35" ht="18" customHeight="1" x14ac:dyDescent="0.2">
      <c r="A178" s="3342">
        <v>4</v>
      </c>
      <c r="B178" s="371" t="s">
        <v>281</v>
      </c>
      <c r="C178" s="636" t="s">
        <v>50</v>
      </c>
      <c r="D178" s="636" t="s">
        <v>50</v>
      </c>
      <c r="E178" s="636" t="s">
        <v>50</v>
      </c>
      <c r="F178" s="636"/>
      <c r="G178" s="636"/>
      <c r="H178" s="3346">
        <v>23</v>
      </c>
      <c r="I178" s="3346">
        <v>23</v>
      </c>
      <c r="J178" s="3346">
        <v>23</v>
      </c>
      <c r="K178" s="3346">
        <v>23</v>
      </c>
      <c r="L178" s="3346">
        <v>23</v>
      </c>
      <c r="M178" s="3346">
        <v>23</v>
      </c>
      <c r="N178" s="3346">
        <v>23</v>
      </c>
      <c r="O178" s="3346" t="s">
        <v>50</v>
      </c>
      <c r="P178" s="3347" t="s">
        <v>50</v>
      </c>
      <c r="Q178" s="3347" t="s">
        <v>50</v>
      </c>
      <c r="R178" s="3348" t="s">
        <v>50</v>
      </c>
      <c r="S178" s="3348" t="s">
        <v>50</v>
      </c>
      <c r="T178" s="3347"/>
      <c r="U178" s="3349"/>
      <c r="V178" s="3347">
        <v>21</v>
      </c>
      <c r="W178" s="3350">
        <v>21</v>
      </c>
      <c r="X178" s="3347">
        <v>21</v>
      </c>
      <c r="Y178" s="3347">
        <v>21</v>
      </c>
      <c r="Z178" s="3351">
        <v>21</v>
      </c>
      <c r="AA178" s="3347">
        <v>21</v>
      </c>
      <c r="AB178" s="3347">
        <v>21</v>
      </c>
      <c r="AC178" s="3347" t="s">
        <v>50</v>
      </c>
      <c r="AD178" s="3347" t="s">
        <v>50</v>
      </c>
      <c r="AE178" s="3347" t="s">
        <v>50</v>
      </c>
      <c r="AF178" s="3347" t="s">
        <v>50</v>
      </c>
      <c r="AG178" s="3352" t="s">
        <v>50</v>
      </c>
      <c r="AH178" s="67"/>
      <c r="AI178" s="67"/>
    </row>
    <row r="179" spans="1:35" ht="18" customHeight="1" x14ac:dyDescent="0.2">
      <c r="A179" s="3342">
        <v>5</v>
      </c>
      <c r="B179" s="3262" t="s">
        <v>282</v>
      </c>
      <c r="C179" s="3353" t="s">
        <v>50</v>
      </c>
      <c r="D179" s="3353" t="s">
        <v>50</v>
      </c>
      <c r="E179" s="3353" t="s">
        <v>50</v>
      </c>
      <c r="F179" s="3353"/>
      <c r="G179" s="3353"/>
      <c r="H179" s="3353">
        <v>21</v>
      </c>
      <c r="I179" s="3353">
        <v>21</v>
      </c>
      <c r="J179" s="3353">
        <v>21</v>
      </c>
      <c r="K179" s="636">
        <v>21</v>
      </c>
      <c r="L179" s="635">
        <v>21</v>
      </c>
      <c r="M179" s="636">
        <v>21</v>
      </c>
      <c r="N179" s="636">
        <v>21</v>
      </c>
      <c r="O179" s="799" t="s">
        <v>50</v>
      </c>
      <c r="P179" s="636" t="s">
        <v>50</v>
      </c>
      <c r="Q179" s="636" t="s">
        <v>50</v>
      </c>
      <c r="R179" s="3354" t="s">
        <v>50</v>
      </c>
      <c r="S179" s="3354" t="s">
        <v>50</v>
      </c>
      <c r="T179" s="636"/>
      <c r="U179" s="3343"/>
      <c r="V179" s="3343">
        <v>22</v>
      </c>
      <c r="W179" s="3343">
        <v>22</v>
      </c>
      <c r="X179" s="3343">
        <v>22</v>
      </c>
      <c r="Y179" s="636">
        <v>22</v>
      </c>
      <c r="Z179" s="801">
        <v>22</v>
      </c>
      <c r="AA179" s="636">
        <v>22</v>
      </c>
      <c r="AB179" s="636">
        <v>22</v>
      </c>
      <c r="AC179" s="636" t="s">
        <v>50</v>
      </c>
      <c r="AD179" s="636" t="s">
        <v>50</v>
      </c>
      <c r="AE179" s="636" t="s">
        <v>50</v>
      </c>
      <c r="AF179" s="636" t="s">
        <v>50</v>
      </c>
      <c r="AG179" s="3345" t="s">
        <v>50</v>
      </c>
      <c r="AH179" s="67"/>
      <c r="AI179" s="67"/>
    </row>
    <row r="180" spans="1:35" ht="18" customHeight="1" x14ac:dyDescent="0.2">
      <c r="A180" s="3355">
        <v>6</v>
      </c>
      <c r="B180" s="1912"/>
      <c r="C180" s="1363" t="s">
        <v>50</v>
      </c>
      <c r="D180" s="1363" t="s">
        <v>50</v>
      </c>
      <c r="E180" s="3356" t="s">
        <v>50</v>
      </c>
      <c r="F180" s="1363"/>
      <c r="G180" s="1363"/>
      <c r="H180" s="3235">
        <v>22</v>
      </c>
      <c r="I180" s="3235">
        <v>22</v>
      </c>
      <c r="J180" s="3235">
        <v>22</v>
      </c>
      <c r="K180" s="3235">
        <v>22</v>
      </c>
      <c r="L180" s="3235">
        <v>22</v>
      </c>
      <c r="M180" s="3235">
        <v>22</v>
      </c>
      <c r="N180" s="1363">
        <v>22</v>
      </c>
      <c r="O180" s="799" t="s">
        <v>50</v>
      </c>
      <c r="P180" s="636" t="s">
        <v>50</v>
      </c>
      <c r="Q180" s="636" t="s">
        <v>50</v>
      </c>
      <c r="R180" s="3354" t="s">
        <v>50</v>
      </c>
      <c r="S180" s="3354" t="s">
        <v>50</v>
      </c>
      <c r="T180" s="636"/>
      <c r="U180" s="3343"/>
      <c r="V180" s="3357">
        <v>23</v>
      </c>
      <c r="W180" s="3356">
        <v>23</v>
      </c>
      <c r="X180" s="1363">
        <v>23</v>
      </c>
      <c r="Y180" s="1363">
        <v>23</v>
      </c>
      <c r="Z180" s="3358">
        <v>23</v>
      </c>
      <c r="AA180" s="1363">
        <v>23</v>
      </c>
      <c r="AB180" s="3357">
        <v>23</v>
      </c>
      <c r="AC180" s="636" t="s">
        <v>50</v>
      </c>
      <c r="AD180" s="636" t="s">
        <v>50</v>
      </c>
      <c r="AE180" s="636" t="s">
        <v>50</v>
      </c>
      <c r="AF180" s="636" t="s">
        <v>50</v>
      </c>
      <c r="AG180" s="3345" t="s">
        <v>50</v>
      </c>
      <c r="AH180" s="67"/>
      <c r="AI180" s="67"/>
    </row>
    <row r="181" spans="1:35" ht="18" customHeight="1" x14ac:dyDescent="0.2">
      <c r="A181" s="129"/>
      <c r="B181" s="127"/>
      <c r="C181" s="128"/>
      <c r="D181" s="128"/>
      <c r="E181" s="140"/>
      <c r="F181" s="128"/>
      <c r="G181" s="128"/>
      <c r="H181" s="145"/>
      <c r="I181" s="145"/>
      <c r="J181" s="145"/>
      <c r="K181" s="145"/>
      <c r="L181" s="145"/>
      <c r="M181" s="145"/>
      <c r="N181" s="125"/>
      <c r="O181" s="125"/>
      <c r="P181" s="140"/>
      <c r="Q181" s="128"/>
      <c r="R181" s="128"/>
      <c r="S181" s="140"/>
      <c r="T181" s="128"/>
      <c r="U181" s="128"/>
      <c r="V181" s="128"/>
      <c r="W181" s="128"/>
      <c r="X181" s="128"/>
      <c r="Y181" s="128"/>
      <c r="Z181" s="128"/>
      <c r="AA181" s="128"/>
      <c r="AB181" s="125"/>
      <c r="AC181" s="125"/>
      <c r="AD181" s="140"/>
      <c r="AE181" s="128"/>
      <c r="AF181" s="128"/>
      <c r="AG181" s="140"/>
      <c r="AH181" s="67"/>
      <c r="AI181" s="67"/>
    </row>
    <row r="182" spans="1:35" ht="18" customHeight="1" x14ac:dyDescent="0.2">
      <c r="A182" s="69"/>
      <c r="B182" s="70"/>
      <c r="C182" s="120"/>
      <c r="D182" s="120"/>
      <c r="E182" s="106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106"/>
      <c r="Q182" s="120"/>
      <c r="R182" s="120"/>
      <c r="S182" s="106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1"/>
      <c r="AD182" s="121"/>
      <c r="AE182" s="121"/>
      <c r="AF182" s="120"/>
      <c r="AG182" s="106"/>
      <c r="AH182" s="67"/>
      <c r="AI182" s="67"/>
    </row>
    <row r="183" spans="1:35" ht="18" customHeight="1" x14ac:dyDescent="0.2">
      <c r="A183" s="103" t="s">
        <v>284</v>
      </c>
      <c r="D183" s="48"/>
      <c r="E183" s="48"/>
      <c r="F183" s="48"/>
      <c r="G183" s="65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</row>
    <row r="184" spans="1:35" ht="18" customHeight="1" x14ac:dyDescent="0.2">
      <c r="A184" s="1"/>
      <c r="B184" s="3265" t="s">
        <v>255</v>
      </c>
      <c r="C184" s="3266"/>
      <c r="D184" s="3291" t="s">
        <v>17</v>
      </c>
      <c r="E184" s="3177"/>
      <c r="F184" s="3270"/>
      <c r="G184" s="3266"/>
      <c r="H184" s="3291" t="s">
        <v>18</v>
      </c>
      <c r="I184" s="3177"/>
      <c r="J184" s="3270"/>
      <c r="K184" s="3266"/>
      <c r="L184" s="3291" t="s">
        <v>19</v>
      </c>
      <c r="M184" s="3177"/>
      <c r="N184" s="3270"/>
      <c r="O184" s="3266"/>
      <c r="P184" s="3291" t="s">
        <v>20</v>
      </c>
      <c r="Q184" s="3177"/>
      <c r="R184" s="3270"/>
      <c r="S184" s="3266"/>
      <c r="T184" s="3291" t="s">
        <v>21</v>
      </c>
      <c r="U184" s="3177"/>
      <c r="V184" s="3270"/>
      <c r="W184" s="3266"/>
      <c r="X184" s="3291" t="s">
        <v>22</v>
      </c>
      <c r="Y184" s="3177"/>
      <c r="Z184" s="3270"/>
      <c r="AA184" s="3266"/>
      <c r="AB184" s="3291" t="s">
        <v>23</v>
      </c>
      <c r="AC184" s="3177"/>
      <c r="AD184" s="3177"/>
      <c r="AE184" s="3294" t="s">
        <v>126</v>
      </c>
      <c r="AF184" s="3177"/>
      <c r="AG184" s="3177"/>
      <c r="AH184" s="3177"/>
      <c r="AI184" s="3178"/>
    </row>
    <row r="185" spans="1:35" ht="18" customHeight="1" x14ac:dyDescent="0.2">
      <c r="A185" s="1"/>
      <c r="B185" s="3296" t="s">
        <v>235</v>
      </c>
      <c r="C185" s="2855" t="s">
        <v>256</v>
      </c>
      <c r="D185" s="2684"/>
      <c r="E185" s="2684"/>
      <c r="F185" s="3299"/>
      <c r="G185" s="2855" t="s">
        <v>256</v>
      </c>
      <c r="H185" s="2684"/>
      <c r="I185" s="2684"/>
      <c r="J185" s="3299"/>
      <c r="K185" s="2855" t="s">
        <v>256</v>
      </c>
      <c r="L185" s="2684"/>
      <c r="M185" s="2684"/>
      <c r="N185" s="3299"/>
      <c r="O185" s="2855" t="s">
        <v>285</v>
      </c>
      <c r="P185" s="2684"/>
      <c r="Q185" s="2684"/>
      <c r="R185" s="3299"/>
      <c r="S185" s="2855" t="s">
        <v>244</v>
      </c>
      <c r="T185" s="2684"/>
      <c r="U185" s="2684"/>
      <c r="V185" s="3299"/>
      <c r="W185" s="3359"/>
      <c r="X185" s="3360"/>
      <c r="Y185" s="3360"/>
      <c r="Z185" s="3301"/>
      <c r="AA185" s="3297"/>
      <c r="AB185" s="2684"/>
      <c r="AC185" s="2684"/>
      <c r="AD185" s="2856"/>
      <c r="AE185" s="3302">
        <v>27</v>
      </c>
      <c r="AF185" s="2684"/>
      <c r="AG185" s="2684"/>
      <c r="AH185" s="2856"/>
      <c r="AI185" s="3361"/>
    </row>
    <row r="186" spans="1:35" ht="18" customHeight="1" x14ac:dyDescent="0.2">
      <c r="A186" s="1"/>
      <c r="B186" s="3296" t="s">
        <v>236</v>
      </c>
      <c r="C186" s="2855" t="s">
        <v>286</v>
      </c>
      <c r="D186" s="2684"/>
      <c r="E186" s="2684"/>
      <c r="F186" s="3299"/>
      <c r="G186" s="2855" t="s">
        <v>286</v>
      </c>
      <c r="H186" s="2684"/>
      <c r="I186" s="2684"/>
      <c r="J186" s="3299"/>
      <c r="K186" s="2855" t="s">
        <v>286</v>
      </c>
      <c r="L186" s="2684"/>
      <c r="M186" s="2684"/>
      <c r="N186" s="3299"/>
      <c r="O186" s="2855" t="s">
        <v>286</v>
      </c>
      <c r="P186" s="2684"/>
      <c r="Q186" s="2684"/>
      <c r="R186" s="3299"/>
      <c r="S186" s="2855" t="s">
        <v>256</v>
      </c>
      <c r="T186" s="2684"/>
      <c r="U186" s="2684"/>
      <c r="V186" s="3299"/>
      <c r="W186" s="2855"/>
      <c r="X186" s="2684"/>
      <c r="Y186" s="2684"/>
      <c r="Z186" s="3299"/>
      <c r="AA186" s="2684"/>
      <c r="AB186" s="2684"/>
      <c r="AC186" s="2684"/>
      <c r="AD186" s="2856"/>
      <c r="AE186" s="3302">
        <v>39</v>
      </c>
      <c r="AF186" s="2684"/>
      <c r="AG186" s="2684"/>
      <c r="AH186" s="2856"/>
      <c r="AI186" s="3361"/>
    </row>
    <row r="187" spans="1:35" ht="18" customHeight="1" x14ac:dyDescent="0.2">
      <c r="A187" s="1"/>
      <c r="B187" s="3296" t="s">
        <v>243</v>
      </c>
      <c r="C187" s="2855" t="s">
        <v>286</v>
      </c>
      <c r="D187" s="2684"/>
      <c r="E187" s="2684"/>
      <c r="F187" s="3299"/>
      <c r="G187" s="2855" t="s">
        <v>286</v>
      </c>
      <c r="H187" s="2684"/>
      <c r="I187" s="2684"/>
      <c r="J187" s="3299"/>
      <c r="K187" s="2855" t="s">
        <v>286</v>
      </c>
      <c r="L187" s="2684"/>
      <c r="M187" s="2684"/>
      <c r="N187" s="3299"/>
      <c r="O187" s="2855" t="s">
        <v>286</v>
      </c>
      <c r="P187" s="2684"/>
      <c r="Q187" s="2684"/>
      <c r="R187" s="3299"/>
      <c r="S187" s="2855" t="s">
        <v>286</v>
      </c>
      <c r="T187" s="2684"/>
      <c r="U187" s="2684"/>
      <c r="V187" s="3299"/>
      <c r="W187" s="3245" t="s">
        <v>260</v>
      </c>
      <c r="X187" s="2795"/>
      <c r="Y187" s="2795"/>
      <c r="Z187" s="3244"/>
      <c r="AA187" s="3304"/>
      <c r="AB187" s="2795"/>
      <c r="AC187" s="2795"/>
      <c r="AD187" s="3246"/>
      <c r="AE187" s="3302">
        <v>45</v>
      </c>
      <c r="AF187" s="2684"/>
      <c r="AG187" s="2684"/>
      <c r="AH187" s="2856"/>
      <c r="AI187" s="3361"/>
    </row>
    <row r="188" spans="1:35" ht="18" customHeight="1" x14ac:dyDescent="0.2">
      <c r="A188" s="1"/>
      <c r="B188" s="147" t="s">
        <v>245</v>
      </c>
      <c r="C188" s="3335"/>
      <c r="D188" s="2808"/>
      <c r="E188" s="2808"/>
      <c r="F188" s="3337"/>
      <c r="G188" s="3335"/>
      <c r="H188" s="2808"/>
      <c r="I188" s="2808"/>
      <c r="J188" s="3337"/>
      <c r="K188" s="3335"/>
      <c r="L188" s="2808"/>
      <c r="M188" s="2808"/>
      <c r="N188" s="3337"/>
      <c r="O188" s="3335"/>
      <c r="P188" s="2808"/>
      <c r="Q188" s="2808"/>
      <c r="R188" s="3337"/>
      <c r="S188" s="3335"/>
      <c r="T188" s="2808"/>
      <c r="U188" s="2808"/>
      <c r="V188" s="3316"/>
      <c r="W188" s="3335"/>
      <c r="X188" s="3316"/>
      <c r="Y188" s="2808"/>
      <c r="Z188" s="3337"/>
      <c r="AA188" s="3335"/>
      <c r="AB188" s="3316"/>
      <c r="AC188" s="2808"/>
      <c r="AD188" s="3337"/>
      <c r="AE188" s="3362"/>
      <c r="AF188" s="2808"/>
      <c r="AG188" s="2808"/>
      <c r="AH188" s="3316"/>
      <c r="AI188" s="2815"/>
    </row>
    <row r="189" spans="1:35" ht="18" customHeight="1" x14ac:dyDescent="0.2">
      <c r="A189" s="68"/>
      <c r="B189" s="1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</row>
    <row r="190" spans="1:35" ht="18" customHeight="1" thickBot="1" x14ac:dyDescent="0.25">
      <c r="A190" s="3287"/>
      <c r="B190" s="2817" t="s">
        <v>44</v>
      </c>
      <c r="C190" s="3140">
        <v>1</v>
      </c>
      <c r="D190" s="3141">
        <v>2</v>
      </c>
      <c r="E190" s="3141">
        <v>3</v>
      </c>
      <c r="F190" s="3140">
        <v>4</v>
      </c>
      <c r="G190" s="3140">
        <v>5</v>
      </c>
      <c r="H190" s="3141">
        <v>6</v>
      </c>
      <c r="I190" s="3141">
        <v>7</v>
      </c>
      <c r="J190" s="3141">
        <v>8</v>
      </c>
      <c r="K190" s="3141">
        <v>9</v>
      </c>
      <c r="L190" s="3141">
        <v>10</v>
      </c>
      <c r="M190" s="3140">
        <v>11</v>
      </c>
      <c r="N190" s="3140">
        <v>12</v>
      </c>
      <c r="O190" s="3141">
        <v>13</v>
      </c>
      <c r="P190" s="3141">
        <v>14</v>
      </c>
      <c r="Q190" s="3141">
        <v>15</v>
      </c>
      <c r="R190" s="3141">
        <v>16</v>
      </c>
      <c r="S190" s="3141">
        <v>17</v>
      </c>
      <c r="T190" s="3104">
        <v>18</v>
      </c>
      <c r="U190" s="3104">
        <v>19</v>
      </c>
      <c r="V190" s="3103">
        <v>20</v>
      </c>
      <c r="W190" s="3103">
        <v>21</v>
      </c>
      <c r="X190" s="3103">
        <v>22</v>
      </c>
      <c r="Y190" s="3103">
        <v>23</v>
      </c>
      <c r="Z190" s="3103">
        <v>24</v>
      </c>
      <c r="AA190" s="3140">
        <v>25</v>
      </c>
      <c r="AB190" s="3140">
        <v>26</v>
      </c>
      <c r="AC190" s="3141">
        <v>27</v>
      </c>
      <c r="AD190" s="3141">
        <v>28</v>
      </c>
      <c r="AE190" s="3141">
        <v>29</v>
      </c>
      <c r="AF190" s="3141">
        <v>30</v>
      </c>
      <c r="AG190" s="3141">
        <v>31</v>
      </c>
      <c r="AH190" s="110"/>
      <c r="AI190" s="111"/>
    </row>
    <row r="191" spans="1:35" ht="18" customHeight="1" x14ac:dyDescent="0.2">
      <c r="A191" s="3318">
        <v>1</v>
      </c>
      <c r="B191" s="3363" t="s">
        <v>462</v>
      </c>
      <c r="C191" s="3164"/>
      <c r="D191" s="3164" t="s">
        <v>46</v>
      </c>
      <c r="E191" s="3162" t="s">
        <v>46</v>
      </c>
      <c r="F191" s="3164"/>
      <c r="G191" s="3164"/>
      <c r="H191" s="3164" t="s">
        <v>46</v>
      </c>
      <c r="I191" s="3164" t="s">
        <v>46</v>
      </c>
      <c r="J191" s="3164" t="s">
        <v>46</v>
      </c>
      <c r="K191" s="3164" t="s">
        <v>46</v>
      </c>
      <c r="L191" s="3164" t="s">
        <v>46</v>
      </c>
      <c r="M191" s="2718" t="s">
        <v>290</v>
      </c>
      <c r="N191" s="3164"/>
      <c r="O191" s="3164" t="s">
        <v>46</v>
      </c>
      <c r="P191" s="3165" t="s">
        <v>46</v>
      </c>
      <c r="Q191" s="3164" t="s">
        <v>46</v>
      </c>
      <c r="R191" s="3165" t="s">
        <v>46</v>
      </c>
      <c r="S191" s="3165" t="s">
        <v>46</v>
      </c>
      <c r="T191" s="3165"/>
      <c r="U191" s="2718"/>
      <c r="V191" s="3164" t="s">
        <v>46</v>
      </c>
      <c r="W191" s="3164" t="s">
        <v>46</v>
      </c>
      <c r="X191" s="3164" t="s">
        <v>46</v>
      </c>
      <c r="Y191" s="3164" t="s">
        <v>46</v>
      </c>
      <c r="Z191" s="3162" t="s">
        <v>46</v>
      </c>
      <c r="AA191" s="3164"/>
      <c r="AB191" s="3164"/>
      <c r="AC191" s="3164" t="s">
        <v>46</v>
      </c>
      <c r="AD191" s="3164" t="s">
        <v>46</v>
      </c>
      <c r="AE191" s="3164" t="s">
        <v>46</v>
      </c>
      <c r="AF191" s="3164" t="s">
        <v>46</v>
      </c>
      <c r="AG191" s="3164" t="s">
        <v>46</v>
      </c>
      <c r="AH191" s="132"/>
      <c r="AI191" s="116"/>
    </row>
    <row r="192" spans="1:35" ht="18" customHeight="1" x14ac:dyDescent="0.2">
      <c r="A192" s="3322">
        <v>2</v>
      </c>
      <c r="B192" s="3364" t="s">
        <v>287</v>
      </c>
      <c r="C192" s="2718"/>
      <c r="D192" s="2718" t="s">
        <v>290</v>
      </c>
      <c r="E192" s="2718" t="s">
        <v>290</v>
      </c>
      <c r="F192" s="2718" t="s">
        <v>290</v>
      </c>
      <c r="G192" s="2718"/>
      <c r="H192" s="2718" t="s">
        <v>288</v>
      </c>
      <c r="I192" s="2718" t="s">
        <v>288</v>
      </c>
      <c r="J192" s="2718" t="s">
        <v>288</v>
      </c>
      <c r="K192" s="2718" t="s">
        <v>288</v>
      </c>
      <c r="L192" s="2718" t="s">
        <v>50</v>
      </c>
      <c r="M192" s="2718"/>
      <c r="N192" s="2718"/>
      <c r="O192" s="3365" t="s">
        <v>289</v>
      </c>
      <c r="P192" s="2444" t="s">
        <v>537</v>
      </c>
      <c r="Q192" s="3366" t="s">
        <v>289</v>
      </c>
      <c r="R192" s="3366" t="s">
        <v>289</v>
      </c>
      <c r="S192" s="3366" t="s">
        <v>289</v>
      </c>
      <c r="T192" s="2718"/>
      <c r="U192" s="2718"/>
      <c r="V192" s="2718" t="s">
        <v>290</v>
      </c>
      <c r="W192" s="2718" t="s">
        <v>290</v>
      </c>
      <c r="X192" s="2718" t="s">
        <v>290</v>
      </c>
      <c r="Y192" s="2718" t="s">
        <v>290</v>
      </c>
      <c r="Z192" s="2718" t="s">
        <v>290</v>
      </c>
      <c r="AA192" s="2718" t="s">
        <v>290</v>
      </c>
      <c r="AB192" s="2718"/>
      <c r="AC192" s="2718" t="s">
        <v>288</v>
      </c>
      <c r="AD192" s="2718" t="s">
        <v>288</v>
      </c>
      <c r="AE192" s="2718" t="s">
        <v>288</v>
      </c>
      <c r="AF192" s="2718" t="s">
        <v>288</v>
      </c>
      <c r="AG192" s="2718" t="s">
        <v>50</v>
      </c>
      <c r="AH192" s="132"/>
      <c r="AI192" s="116"/>
    </row>
    <row r="193" spans="1:35" ht="18" customHeight="1" x14ac:dyDescent="0.2">
      <c r="A193" s="3322">
        <v>3</v>
      </c>
      <c r="B193" s="3367" t="s">
        <v>516</v>
      </c>
      <c r="C193" s="2718"/>
      <c r="D193" s="2718" t="s">
        <v>288</v>
      </c>
      <c r="E193" s="2718" t="s">
        <v>50</v>
      </c>
      <c r="F193" s="2718"/>
      <c r="G193" s="2718"/>
      <c r="H193" s="2718" t="s">
        <v>289</v>
      </c>
      <c r="I193" s="2718" t="s">
        <v>289</v>
      </c>
      <c r="J193" s="2718" t="s">
        <v>289</v>
      </c>
      <c r="K193" s="2718" t="s">
        <v>289</v>
      </c>
      <c r="L193" s="2718" t="s">
        <v>289</v>
      </c>
      <c r="M193" s="2718"/>
      <c r="N193" s="2718"/>
      <c r="O193" s="2718" t="s">
        <v>290</v>
      </c>
      <c r="P193" s="2718" t="s">
        <v>290</v>
      </c>
      <c r="Q193" s="2718" t="s">
        <v>290</v>
      </c>
      <c r="R193" s="2718" t="s">
        <v>290</v>
      </c>
      <c r="S193" s="2718" t="s">
        <v>290</v>
      </c>
      <c r="T193" s="2718" t="s">
        <v>290</v>
      </c>
      <c r="U193" s="2718"/>
      <c r="V193" s="2718" t="s">
        <v>288</v>
      </c>
      <c r="W193" s="2718" t="s">
        <v>288</v>
      </c>
      <c r="X193" s="2718" t="s">
        <v>288</v>
      </c>
      <c r="Y193" s="2718" t="s">
        <v>288</v>
      </c>
      <c r="Z193" s="2718" t="s">
        <v>50</v>
      </c>
      <c r="AA193" s="2718"/>
      <c r="AB193" s="2718"/>
      <c r="AC193" s="2718" t="s">
        <v>289</v>
      </c>
      <c r="AD193" s="2718" t="s">
        <v>289</v>
      </c>
      <c r="AE193" s="2718" t="s">
        <v>289</v>
      </c>
      <c r="AF193" s="2718" t="s">
        <v>289</v>
      </c>
      <c r="AG193" s="2718" t="s">
        <v>289</v>
      </c>
      <c r="AH193" s="132"/>
      <c r="AI193" s="116"/>
    </row>
    <row r="194" spans="1:35" ht="18" customHeight="1" x14ac:dyDescent="0.2">
      <c r="A194" s="3322">
        <v>4</v>
      </c>
      <c r="B194" s="3367" t="s">
        <v>517</v>
      </c>
      <c r="C194" s="2718"/>
      <c r="D194" s="2718"/>
      <c r="E194" s="2718"/>
      <c r="F194" s="2718"/>
      <c r="G194" s="2718"/>
      <c r="H194" s="2718"/>
      <c r="I194" s="2718"/>
      <c r="J194" s="2718"/>
      <c r="K194" s="2718"/>
      <c r="L194" s="2725"/>
      <c r="M194" s="2725"/>
      <c r="N194" s="2718"/>
      <c r="O194" s="2718"/>
      <c r="P194" s="2718"/>
      <c r="Q194" s="2718"/>
      <c r="R194" s="2718"/>
      <c r="S194" s="2718"/>
      <c r="T194" s="2718"/>
      <c r="U194" s="2718"/>
      <c r="V194" s="2718"/>
      <c r="W194" s="2718"/>
      <c r="X194" s="2718"/>
      <c r="Y194" s="2718"/>
      <c r="Z194" s="2718"/>
      <c r="AA194" s="2718"/>
      <c r="AB194" s="2718"/>
      <c r="AC194" s="2718"/>
      <c r="AD194" s="2718"/>
      <c r="AE194" s="2718"/>
      <c r="AF194" s="2718"/>
      <c r="AG194" s="2725"/>
      <c r="AH194" s="132"/>
      <c r="AI194" s="116"/>
    </row>
    <row r="195" spans="1:35" ht="18" customHeight="1" x14ac:dyDescent="0.2">
      <c r="A195" s="3322">
        <v>5</v>
      </c>
      <c r="B195" s="3367" t="s">
        <v>292</v>
      </c>
      <c r="C195" s="2718"/>
      <c r="D195" s="2718"/>
      <c r="E195" s="2718"/>
      <c r="F195" s="2718"/>
      <c r="G195" s="2718"/>
      <c r="H195" s="2718"/>
      <c r="I195" s="2718"/>
      <c r="J195" s="2718"/>
      <c r="K195" s="2725"/>
      <c r="L195" s="2718"/>
      <c r="M195" s="2718"/>
      <c r="N195" s="2718"/>
      <c r="O195" s="2718"/>
      <c r="P195" s="2718"/>
      <c r="Q195" s="2718"/>
      <c r="R195" s="2718"/>
      <c r="S195" s="2718"/>
      <c r="T195" s="2718"/>
      <c r="U195" s="2718"/>
      <c r="V195" s="2718"/>
      <c r="W195" s="2718"/>
      <c r="X195" s="2718"/>
      <c r="Y195" s="2718"/>
      <c r="Z195" s="2718"/>
      <c r="AA195" s="2718"/>
      <c r="AB195" s="2718"/>
      <c r="AC195" s="2718"/>
      <c r="AD195" s="2718"/>
      <c r="AE195" s="2718"/>
      <c r="AF195" s="2725"/>
      <c r="AG195" s="2718"/>
      <c r="AH195" s="132"/>
      <c r="AI195" s="116"/>
    </row>
    <row r="196" spans="1:35" ht="18" customHeight="1" x14ac:dyDescent="0.2">
      <c r="A196" s="3322">
        <v>6</v>
      </c>
      <c r="B196" s="2722" t="s">
        <v>293</v>
      </c>
      <c r="C196" s="2718"/>
      <c r="D196" s="2718" t="s">
        <v>46</v>
      </c>
      <c r="E196" s="2718" t="s">
        <v>46</v>
      </c>
      <c r="F196" s="2723"/>
      <c r="G196" s="2718"/>
      <c r="H196" s="2718" t="s">
        <v>46</v>
      </c>
      <c r="I196" s="2718" t="s">
        <v>46</v>
      </c>
      <c r="J196" s="2718" t="s">
        <v>46</v>
      </c>
      <c r="K196" s="2718" t="s">
        <v>46</v>
      </c>
      <c r="L196" s="2718" t="s">
        <v>46</v>
      </c>
      <c r="M196" s="2718"/>
      <c r="N196" s="2738"/>
      <c r="O196" s="2718" t="s">
        <v>46</v>
      </c>
      <c r="P196" s="2725" t="s">
        <v>46</v>
      </c>
      <c r="Q196" s="2725" t="s">
        <v>46</v>
      </c>
      <c r="R196" s="2725" t="s">
        <v>46</v>
      </c>
      <c r="S196" s="2725" t="s">
        <v>46</v>
      </c>
      <c r="T196" s="2718"/>
      <c r="U196" s="2718"/>
      <c r="V196" s="2723" t="s">
        <v>46</v>
      </c>
      <c r="W196" s="2718" t="s">
        <v>46</v>
      </c>
      <c r="X196" s="2718" t="s">
        <v>46</v>
      </c>
      <c r="Y196" s="2718" t="s">
        <v>46</v>
      </c>
      <c r="Z196" s="2718" t="s">
        <v>46</v>
      </c>
      <c r="AA196" s="2723"/>
      <c r="AB196" s="2718"/>
      <c r="AC196" s="2718" t="s">
        <v>46</v>
      </c>
      <c r="AD196" s="2718" t="s">
        <v>46</v>
      </c>
      <c r="AE196" s="2718" t="s">
        <v>46</v>
      </c>
      <c r="AF196" s="2718" t="s">
        <v>46</v>
      </c>
      <c r="AG196" s="2718" t="s">
        <v>46</v>
      </c>
      <c r="AH196" s="124"/>
      <c r="AI196" s="67"/>
    </row>
    <row r="197" spans="1:35" ht="18" customHeight="1" x14ac:dyDescent="0.2">
      <c r="A197" s="3331"/>
      <c r="B197" s="2743"/>
      <c r="C197" s="2783"/>
      <c r="D197" s="2783"/>
      <c r="E197" s="2783"/>
      <c r="F197" s="2783"/>
      <c r="G197" s="2783"/>
      <c r="H197" s="2783"/>
      <c r="I197" s="2783"/>
      <c r="J197" s="2783"/>
      <c r="K197" s="2783"/>
      <c r="L197" s="2783"/>
      <c r="M197" s="2783"/>
      <c r="N197" s="2783"/>
      <c r="O197" s="2783"/>
      <c r="P197" s="2783"/>
      <c r="Q197" s="2783"/>
      <c r="R197" s="2783"/>
      <c r="S197" s="2783"/>
      <c r="T197" s="2783"/>
      <c r="U197" s="2783"/>
      <c r="V197" s="2783"/>
      <c r="W197" s="2783"/>
      <c r="X197" s="2783"/>
      <c r="Y197" s="2783"/>
      <c r="Z197" s="2783"/>
      <c r="AA197" s="2783"/>
      <c r="AB197" s="2783"/>
      <c r="AC197" s="2783"/>
      <c r="AD197" s="2783"/>
      <c r="AE197" s="2783"/>
      <c r="AF197" s="2783"/>
      <c r="AG197" s="2784"/>
      <c r="AH197" s="67"/>
      <c r="AI197" s="67"/>
    </row>
    <row r="198" spans="1:35" ht="18" customHeight="1" x14ac:dyDescent="0.2">
      <c r="A198" s="129"/>
      <c r="B198" s="127"/>
      <c r="C198" s="128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28"/>
      <c r="AH198" s="67"/>
      <c r="AI198" s="67"/>
    </row>
    <row r="199" spans="1:35" ht="18" customHeight="1" x14ac:dyDescent="0.2">
      <c r="A199" s="129"/>
      <c r="B199" s="127"/>
      <c r="C199" s="128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28"/>
      <c r="AH199" s="67"/>
      <c r="AI199" s="67"/>
    </row>
    <row r="200" spans="1:35" ht="18" customHeight="1" x14ac:dyDescent="0.2">
      <c r="A200" s="97" t="s">
        <v>294</v>
      </c>
      <c r="B200" s="48"/>
      <c r="C200" s="66"/>
      <c r="D200" s="48"/>
      <c r="E200" s="48"/>
      <c r="F200" s="66"/>
      <c r="G200" s="48"/>
      <c r="H200" s="48"/>
      <c r="I200" s="66"/>
      <c r="J200" s="66"/>
      <c r="K200" s="48"/>
      <c r="L200" s="66"/>
      <c r="M200" s="48"/>
      <c r="N200" s="48"/>
      <c r="O200" s="66"/>
      <c r="P200" s="48"/>
      <c r="Q200" s="66"/>
      <c r="R200" s="66"/>
      <c r="S200" s="48"/>
      <c r="T200" s="48"/>
      <c r="U200" s="66"/>
      <c r="V200" s="48"/>
      <c r="W200" s="66"/>
      <c r="X200" s="66"/>
      <c r="Y200" s="48"/>
      <c r="Z200" s="48"/>
      <c r="AA200" s="48"/>
      <c r="AB200" s="48"/>
      <c r="AC200" s="48"/>
      <c r="AD200" s="48"/>
      <c r="AE200" s="66"/>
      <c r="AF200" s="48"/>
      <c r="AG200" s="48"/>
      <c r="AH200" s="67"/>
      <c r="AI200" s="67"/>
    </row>
    <row r="201" spans="1:35" ht="18" customHeight="1" x14ac:dyDescent="0.2">
      <c r="A201" s="69"/>
      <c r="B201" s="1509" t="s">
        <v>295</v>
      </c>
      <c r="C201" s="1510"/>
      <c r="D201" s="224" t="s">
        <v>17</v>
      </c>
      <c r="E201" s="225"/>
      <c r="F201" s="1927"/>
      <c r="G201" s="1511"/>
      <c r="H201" s="224" t="s">
        <v>18</v>
      </c>
      <c r="I201" s="225"/>
      <c r="J201" s="1927"/>
      <c r="K201" s="1511"/>
      <c r="L201" s="224" t="s">
        <v>19</v>
      </c>
      <c r="M201" s="225"/>
      <c r="N201" s="1927"/>
      <c r="O201" s="1511"/>
      <c r="P201" s="224" t="s">
        <v>20</v>
      </c>
      <c r="Q201" s="225"/>
      <c r="R201" s="1927"/>
      <c r="S201" s="1511"/>
      <c r="T201" s="224" t="s">
        <v>21</v>
      </c>
      <c r="U201" s="225"/>
      <c r="V201" s="1927"/>
      <c r="W201" s="1511"/>
      <c r="X201" s="224" t="s">
        <v>22</v>
      </c>
      <c r="Y201" s="225"/>
      <c r="Z201" s="1927"/>
      <c r="AA201" s="1511"/>
      <c r="AB201" s="224" t="s">
        <v>23</v>
      </c>
      <c r="AC201" s="225"/>
      <c r="AD201" s="225"/>
      <c r="AE201" s="1512" t="s">
        <v>126</v>
      </c>
      <c r="AF201" s="225"/>
      <c r="AG201" s="225"/>
      <c r="AH201" s="225"/>
      <c r="AI201" s="1928"/>
    </row>
    <row r="202" spans="1:35" ht="18" customHeight="1" x14ac:dyDescent="0.2">
      <c r="A202" s="69"/>
      <c r="B202" s="2367" t="s">
        <v>296</v>
      </c>
      <c r="C202" s="3368" t="s">
        <v>297</v>
      </c>
      <c r="D202" s="3369" t="s">
        <v>298</v>
      </c>
      <c r="E202" s="3370"/>
      <c r="F202" s="3371"/>
      <c r="G202" s="3372"/>
      <c r="H202" s="3373" t="s">
        <v>298</v>
      </c>
      <c r="I202" s="3374"/>
      <c r="J202" s="3371"/>
      <c r="K202" s="3372"/>
      <c r="L202" s="3373" t="s">
        <v>298</v>
      </c>
      <c r="M202" s="3374"/>
      <c r="N202" s="3371"/>
      <c r="O202" s="3372"/>
      <c r="P202" s="3373" t="s">
        <v>299</v>
      </c>
      <c r="Q202" s="3374"/>
      <c r="R202" s="3371"/>
      <c r="S202" s="3372"/>
      <c r="T202" s="3373" t="s">
        <v>300</v>
      </c>
      <c r="U202" s="3374"/>
      <c r="V202" s="3371"/>
      <c r="W202" s="3375"/>
      <c r="X202" s="3376"/>
      <c r="Y202" s="3376"/>
      <c r="Z202" s="3377"/>
      <c r="AA202" s="3375"/>
      <c r="AB202" s="3376"/>
      <c r="AC202" s="3376"/>
      <c r="AD202" s="3376"/>
      <c r="AE202" s="3375"/>
      <c r="AF202" s="3376"/>
      <c r="AG202" s="3376"/>
      <c r="AH202" s="3378"/>
      <c r="AI202" s="3379"/>
    </row>
    <row r="203" spans="1:35" ht="18" customHeight="1" x14ac:dyDescent="0.2">
      <c r="A203" s="69"/>
      <c r="B203" s="2367" t="s">
        <v>538</v>
      </c>
      <c r="C203" s="3368" t="s">
        <v>174</v>
      </c>
      <c r="D203" s="3369" t="s">
        <v>298</v>
      </c>
      <c r="E203" s="3370"/>
      <c r="F203" s="3371"/>
      <c r="G203" s="3372"/>
      <c r="H203" s="3373" t="s">
        <v>298</v>
      </c>
      <c r="I203" s="3374"/>
      <c r="J203" s="3371"/>
      <c r="K203" s="3372"/>
      <c r="L203" s="3373" t="s">
        <v>302</v>
      </c>
      <c r="M203" s="3374"/>
      <c r="N203" s="3371"/>
      <c r="O203" s="3372"/>
      <c r="P203" s="3373" t="s">
        <v>303</v>
      </c>
      <c r="Q203" s="3374"/>
      <c r="R203" s="3371"/>
      <c r="S203" s="3372"/>
      <c r="T203" s="3373" t="s">
        <v>304</v>
      </c>
      <c r="U203" s="3374"/>
      <c r="V203" s="3371"/>
      <c r="W203" s="3375"/>
      <c r="X203" s="3376"/>
      <c r="Y203" s="3376"/>
      <c r="Z203" s="3377"/>
      <c r="AA203" s="3375"/>
      <c r="AB203" s="3376"/>
      <c r="AC203" s="3376"/>
      <c r="AD203" s="3376"/>
      <c r="AE203" s="3375"/>
      <c r="AF203" s="3376"/>
      <c r="AG203" s="3376"/>
      <c r="AH203" s="3378"/>
      <c r="AI203" s="3379"/>
    </row>
    <row r="204" spans="1:35" ht="18" customHeight="1" x14ac:dyDescent="0.2">
      <c r="A204" s="69"/>
      <c r="B204" s="2367" t="s">
        <v>539</v>
      </c>
      <c r="C204" s="3368" t="s">
        <v>154</v>
      </c>
      <c r="D204" s="3369" t="s">
        <v>306</v>
      </c>
      <c r="E204" s="3370"/>
      <c r="F204" s="3371"/>
      <c r="G204" s="3372"/>
      <c r="H204" s="3369" t="s">
        <v>306</v>
      </c>
      <c r="I204" s="3374"/>
      <c r="J204" s="3371"/>
      <c r="K204" s="3372"/>
      <c r="L204" s="3369" t="s">
        <v>306</v>
      </c>
      <c r="M204" s="3374"/>
      <c r="N204" s="3371"/>
      <c r="O204" s="3372"/>
      <c r="P204" s="3373" t="s">
        <v>307</v>
      </c>
      <c r="Q204" s="3374"/>
      <c r="R204" s="3371"/>
      <c r="S204" s="3372"/>
      <c r="T204" s="3373" t="s">
        <v>304</v>
      </c>
      <c r="U204" s="3374"/>
      <c r="V204" s="3371"/>
      <c r="W204" s="3375"/>
      <c r="X204" s="3376"/>
      <c r="Y204" s="3376"/>
      <c r="Z204" s="3377"/>
      <c r="AA204" s="3375"/>
      <c r="AB204" s="3376"/>
      <c r="AC204" s="3376"/>
      <c r="AD204" s="3376"/>
      <c r="AE204" s="3375"/>
      <c r="AF204" s="3376"/>
      <c r="AG204" s="3376"/>
      <c r="AH204" s="3378"/>
      <c r="AI204" s="3379"/>
    </row>
    <row r="205" spans="1:35" ht="18" customHeight="1" x14ac:dyDescent="0.2">
      <c r="A205" s="69"/>
      <c r="B205" s="2367" t="s">
        <v>540</v>
      </c>
      <c r="C205" s="3368" t="s">
        <v>309</v>
      </c>
      <c r="D205" s="3369" t="s">
        <v>310</v>
      </c>
      <c r="E205" s="3370"/>
      <c r="F205" s="3371"/>
      <c r="G205" s="3372"/>
      <c r="H205" s="3373" t="s">
        <v>298</v>
      </c>
      <c r="I205" s="3374"/>
      <c r="J205" s="3371"/>
      <c r="K205" s="3372"/>
      <c r="L205" s="3373" t="s">
        <v>298</v>
      </c>
      <c r="M205" s="3374"/>
      <c r="N205" s="3371"/>
      <c r="O205" s="3372"/>
      <c r="P205" s="3373" t="s">
        <v>311</v>
      </c>
      <c r="Q205" s="3374"/>
      <c r="R205" s="3371"/>
      <c r="S205" s="3372"/>
      <c r="T205" s="3373" t="s">
        <v>312</v>
      </c>
      <c r="U205" s="3374"/>
      <c r="V205" s="3371"/>
      <c r="W205" s="3375"/>
      <c r="X205" s="3376"/>
      <c r="Y205" s="3376"/>
      <c r="Z205" s="3377"/>
      <c r="AA205" s="3375"/>
      <c r="AB205" s="3376"/>
      <c r="AC205" s="3376"/>
      <c r="AD205" s="3376"/>
      <c r="AE205" s="3375"/>
      <c r="AF205" s="3376"/>
      <c r="AG205" s="3376"/>
      <c r="AH205" s="3378"/>
      <c r="AI205" s="3379"/>
    </row>
    <row r="206" spans="1:35" ht="18" customHeight="1" x14ac:dyDescent="0.2">
      <c r="A206" s="69"/>
      <c r="B206" s="3380" t="s">
        <v>313</v>
      </c>
      <c r="C206" s="3368" t="s">
        <v>160</v>
      </c>
      <c r="D206" s="3369" t="s">
        <v>314</v>
      </c>
      <c r="E206" s="3370"/>
      <c r="F206" s="3381"/>
      <c r="G206" s="3382"/>
      <c r="H206" s="3369" t="s">
        <v>314</v>
      </c>
      <c r="I206" s="3383"/>
      <c r="J206" s="3381"/>
      <c r="K206" s="3382"/>
      <c r="L206" s="3369" t="s">
        <v>314</v>
      </c>
      <c r="M206" s="3383"/>
      <c r="N206" s="3381"/>
      <c r="O206" s="3382"/>
      <c r="P206" s="3373" t="s">
        <v>315</v>
      </c>
      <c r="Q206" s="3383"/>
      <c r="R206" s="3381"/>
      <c r="S206" s="3382"/>
      <c r="T206" s="3373" t="s">
        <v>304</v>
      </c>
      <c r="U206" s="3383"/>
      <c r="V206" s="2431"/>
      <c r="W206" s="3384"/>
      <c r="X206" s="2513"/>
      <c r="Y206" s="2513"/>
      <c r="Z206" s="1008"/>
      <c r="AA206" s="3384"/>
      <c r="AB206" s="2513"/>
      <c r="AC206" s="2513"/>
      <c r="AD206" s="2513"/>
      <c r="AE206" s="3384"/>
      <c r="AF206" s="2513"/>
      <c r="AG206" s="2513"/>
      <c r="AH206" s="1524"/>
      <c r="AI206" s="1002"/>
    </row>
    <row r="207" spans="1:35" ht="18" customHeight="1" x14ac:dyDescent="0.2">
      <c r="A207" s="69"/>
      <c r="B207" s="2367" t="s">
        <v>316</v>
      </c>
      <c r="C207" s="3368" t="s">
        <v>168</v>
      </c>
      <c r="D207" s="3369" t="s">
        <v>317</v>
      </c>
      <c r="E207" s="3370"/>
      <c r="F207" s="3371"/>
      <c r="G207" s="3372"/>
      <c r="H207" s="3369" t="s">
        <v>317</v>
      </c>
      <c r="I207" s="3374"/>
      <c r="J207" s="3371"/>
      <c r="K207" s="3372"/>
      <c r="L207" s="3369" t="s">
        <v>317</v>
      </c>
      <c r="M207" s="3374"/>
      <c r="N207" s="3371"/>
      <c r="O207" s="3372"/>
      <c r="P207" s="3373" t="s">
        <v>318</v>
      </c>
      <c r="Q207" s="3374"/>
      <c r="R207" s="3371"/>
      <c r="S207" s="3372"/>
      <c r="T207" s="3373" t="s">
        <v>304</v>
      </c>
      <c r="U207" s="3374"/>
      <c r="V207" s="3371"/>
      <c r="W207" s="3375"/>
      <c r="X207" s="3376"/>
      <c r="Y207" s="3376"/>
      <c r="Z207" s="3108"/>
      <c r="AA207" s="3375"/>
      <c r="AB207" s="3376"/>
      <c r="AC207" s="3376"/>
      <c r="AD207" s="3376"/>
      <c r="AE207" s="3375"/>
      <c r="AF207" s="3376"/>
      <c r="AG207" s="3376"/>
      <c r="AH207" s="3378"/>
      <c r="AI207" s="3379"/>
    </row>
    <row r="208" spans="1:35" ht="18" customHeight="1" x14ac:dyDescent="0.2">
      <c r="A208" s="69"/>
      <c r="B208" s="2367" t="s">
        <v>319</v>
      </c>
      <c r="C208" s="3368" t="s">
        <v>158</v>
      </c>
      <c r="D208" s="3369" t="s">
        <v>320</v>
      </c>
      <c r="E208" s="3370"/>
      <c r="F208" s="3371"/>
      <c r="G208" s="3372"/>
      <c r="H208" s="3373" t="s">
        <v>320</v>
      </c>
      <c r="I208" s="3374"/>
      <c r="J208" s="3371"/>
      <c r="K208" s="3372"/>
      <c r="L208" s="3373" t="s">
        <v>320</v>
      </c>
      <c r="M208" s="3374"/>
      <c r="N208" s="3374"/>
      <c r="O208" s="3372"/>
      <c r="P208" s="3373" t="s">
        <v>320</v>
      </c>
      <c r="Q208" s="3374"/>
      <c r="R208" s="3374"/>
      <c r="S208" s="3372"/>
      <c r="T208" s="3373" t="s">
        <v>304</v>
      </c>
      <c r="U208" s="3374"/>
      <c r="V208" s="3371"/>
      <c r="W208" s="2367"/>
      <c r="X208" s="3376"/>
      <c r="Y208" s="3376"/>
      <c r="Z208" s="3108"/>
      <c r="AA208" s="3375"/>
      <c r="AB208" s="3376"/>
      <c r="AC208" s="3376"/>
      <c r="AD208" s="3376"/>
      <c r="AE208" s="3375"/>
      <c r="AF208" s="3376"/>
      <c r="AG208" s="3376"/>
      <c r="AH208" s="3378"/>
      <c r="AI208" s="3379"/>
    </row>
    <row r="209" spans="1:36" ht="18" customHeight="1" x14ac:dyDescent="0.2">
      <c r="A209" s="69"/>
      <c r="B209" s="2367" t="s">
        <v>321</v>
      </c>
      <c r="C209" s="3368" t="s">
        <v>322</v>
      </c>
      <c r="D209" s="3369" t="s">
        <v>320</v>
      </c>
      <c r="E209" s="3370"/>
      <c r="F209" s="3371"/>
      <c r="G209" s="3372"/>
      <c r="H209" s="3373" t="s">
        <v>320</v>
      </c>
      <c r="I209" s="3374"/>
      <c r="J209" s="3371"/>
      <c r="K209" s="3372"/>
      <c r="L209" s="3373" t="s">
        <v>320</v>
      </c>
      <c r="M209" s="3374"/>
      <c r="N209" s="3374"/>
      <c r="O209" s="3372"/>
      <c r="P209" s="3373" t="s">
        <v>320</v>
      </c>
      <c r="Q209" s="3374"/>
      <c r="R209" s="3374"/>
      <c r="S209" s="3372"/>
      <c r="T209" s="3373" t="s">
        <v>304</v>
      </c>
      <c r="U209" s="3374"/>
      <c r="V209" s="3371"/>
      <c r="W209" s="2367"/>
      <c r="X209" s="3376"/>
      <c r="Y209" s="3376"/>
      <c r="Z209" s="3377"/>
      <c r="AA209" s="3385"/>
      <c r="AB209" s="3376"/>
      <c r="AC209" s="3376"/>
      <c r="AD209" s="3376"/>
      <c r="AE209" s="3375"/>
      <c r="AF209" s="3376"/>
      <c r="AG209" s="3376"/>
      <c r="AH209" s="3378"/>
      <c r="AI209" s="3379"/>
    </row>
    <row r="210" spans="1:36" ht="18" customHeight="1" x14ac:dyDescent="0.2">
      <c r="A210" s="69"/>
      <c r="B210" s="2367" t="s">
        <v>465</v>
      </c>
      <c r="C210" s="3368" t="s">
        <v>451</v>
      </c>
      <c r="D210" s="3369" t="s">
        <v>320</v>
      </c>
      <c r="E210" s="3370"/>
      <c r="F210" s="3371"/>
      <c r="G210" s="3372"/>
      <c r="H210" s="3373" t="s">
        <v>320</v>
      </c>
      <c r="I210" s="3374"/>
      <c r="J210" s="3371"/>
      <c r="K210" s="3372"/>
      <c r="L210" s="3373" t="s">
        <v>320</v>
      </c>
      <c r="M210" s="3374"/>
      <c r="N210" s="3374"/>
      <c r="O210" s="3372"/>
      <c r="P210" s="3373" t="s">
        <v>320</v>
      </c>
      <c r="Q210" s="3374"/>
      <c r="R210" s="3374"/>
      <c r="S210" s="3372"/>
      <c r="T210" s="3373" t="s">
        <v>304</v>
      </c>
      <c r="U210" s="3374"/>
      <c r="V210" s="3371"/>
      <c r="AA210" s="122"/>
      <c r="AE210" s="122"/>
      <c r="AH210" s="67"/>
      <c r="AI210" s="67"/>
    </row>
    <row r="211" spans="1:36" ht="18" customHeight="1" x14ac:dyDescent="0.2">
      <c r="A211" s="69"/>
      <c r="B211" t="s">
        <v>323</v>
      </c>
      <c r="C211" s="122"/>
      <c r="F211" s="122"/>
      <c r="I211" s="122"/>
      <c r="J211" s="122"/>
      <c r="L211" s="122"/>
      <c r="O211" s="122"/>
      <c r="Q211" s="122"/>
      <c r="R211" s="122"/>
      <c r="U211" s="122"/>
      <c r="W211" s="122"/>
      <c r="X211" s="122"/>
      <c r="AE211" s="122"/>
      <c r="AH211" s="67"/>
      <c r="AI211" s="67"/>
      <c r="AJ211" s="123"/>
    </row>
    <row r="212" spans="1:36" ht="18" customHeight="1" x14ac:dyDescent="0.2">
      <c r="A212" s="69"/>
      <c r="B212" s="1509" t="s">
        <v>295</v>
      </c>
      <c r="C212" s="2612"/>
      <c r="D212" s="224" t="s">
        <v>17</v>
      </c>
      <c r="E212" s="225"/>
      <c r="F212" s="1927"/>
      <c r="G212" s="1511"/>
      <c r="H212" s="224" t="s">
        <v>18</v>
      </c>
      <c r="I212" s="225"/>
      <c r="J212" s="1927"/>
      <c r="K212" s="1511"/>
      <c r="L212" s="224" t="s">
        <v>19</v>
      </c>
      <c r="M212" s="225"/>
      <c r="N212" s="1927"/>
      <c r="O212" s="1511"/>
      <c r="P212" s="224" t="s">
        <v>20</v>
      </c>
      <c r="Q212" s="225"/>
      <c r="R212" s="1927"/>
      <c r="S212" s="1511"/>
      <c r="T212" s="224" t="s">
        <v>21</v>
      </c>
      <c r="U212" s="225"/>
      <c r="V212" s="1927"/>
      <c r="W212" s="1511"/>
      <c r="X212" s="224" t="s">
        <v>22</v>
      </c>
      <c r="Y212" s="225"/>
      <c r="Z212" s="1927"/>
      <c r="AA212" s="1511"/>
      <c r="AB212" s="224" t="s">
        <v>23</v>
      </c>
      <c r="AC212" s="225"/>
      <c r="AD212" s="225"/>
      <c r="AE212" s="1512" t="s">
        <v>126</v>
      </c>
      <c r="AF212" s="225"/>
      <c r="AG212" s="225"/>
      <c r="AH212" s="225"/>
      <c r="AI212" s="1928"/>
      <c r="AJ212" s="123"/>
    </row>
    <row r="213" spans="1:36" ht="18" customHeight="1" x14ac:dyDescent="0.2">
      <c r="A213" s="69"/>
      <c r="B213" s="2367" t="s">
        <v>296</v>
      </c>
      <c r="C213" s="3368" t="s">
        <v>297</v>
      </c>
      <c r="D213" s="3369" t="s">
        <v>324</v>
      </c>
      <c r="E213" s="3370"/>
      <c r="F213" s="3371"/>
      <c r="G213" s="3372"/>
      <c r="H213" s="3369" t="s">
        <v>324</v>
      </c>
      <c r="I213" s="3374"/>
      <c r="J213" s="3371"/>
      <c r="K213" s="3372"/>
      <c r="L213" s="3369" t="s">
        <v>324</v>
      </c>
      <c r="M213" s="3374"/>
      <c r="N213" s="3371"/>
      <c r="O213" s="3372"/>
      <c r="P213" s="3373" t="s">
        <v>325</v>
      </c>
      <c r="Q213" s="3374"/>
      <c r="R213" s="3371"/>
      <c r="S213" s="3372"/>
      <c r="T213" s="3373" t="s">
        <v>326</v>
      </c>
      <c r="U213" s="3374"/>
      <c r="V213" s="3371"/>
      <c r="W213" s="3386"/>
      <c r="X213" s="3108"/>
      <c r="Y213" s="3108"/>
      <c r="Z213" s="2431"/>
      <c r="AA213" s="3386"/>
      <c r="AB213" s="3108"/>
      <c r="AC213" s="3108"/>
      <c r="AD213" s="3108"/>
      <c r="AE213" s="3386"/>
      <c r="AF213" s="3108"/>
      <c r="AG213" s="3108"/>
      <c r="AH213" s="3378"/>
      <c r="AI213" s="3379"/>
      <c r="AJ213" s="123"/>
    </row>
    <row r="214" spans="1:36" ht="18" customHeight="1" x14ac:dyDescent="0.2">
      <c r="A214" s="69"/>
      <c r="B214" s="2367" t="s">
        <v>301</v>
      </c>
      <c r="C214" s="3368" t="s">
        <v>174</v>
      </c>
      <c r="D214" s="3369" t="s">
        <v>324</v>
      </c>
      <c r="E214" s="3370"/>
      <c r="F214" s="3371"/>
      <c r="G214" s="3372"/>
      <c r="H214" s="3369" t="s">
        <v>324</v>
      </c>
      <c r="I214" s="3374"/>
      <c r="J214" s="3371"/>
      <c r="K214" s="3372"/>
      <c r="L214" s="3373" t="s">
        <v>302</v>
      </c>
      <c r="M214" s="3374"/>
      <c r="N214" s="3371"/>
      <c r="O214" s="3372"/>
      <c r="P214" s="3373" t="s">
        <v>327</v>
      </c>
      <c r="Q214" s="3374"/>
      <c r="R214" s="3371"/>
      <c r="S214" s="3372"/>
      <c r="T214" s="3373" t="s">
        <v>328</v>
      </c>
      <c r="U214" s="3374"/>
      <c r="V214" s="3371"/>
      <c r="W214" s="3386"/>
      <c r="X214" s="3108"/>
      <c r="Y214" s="3108"/>
      <c r="Z214" s="2431"/>
      <c r="AA214" s="3386"/>
      <c r="AB214" s="3108"/>
      <c r="AC214" s="3108"/>
      <c r="AD214" s="3108"/>
      <c r="AE214" s="3386"/>
      <c r="AF214" s="3108"/>
      <c r="AG214" s="3108"/>
      <c r="AH214" s="3378"/>
      <c r="AI214" s="3379"/>
      <c r="AJ214" s="123"/>
    </row>
    <row r="215" spans="1:36" ht="18" customHeight="1" x14ac:dyDescent="0.2">
      <c r="A215" s="69"/>
      <c r="B215" s="2367" t="s">
        <v>305</v>
      </c>
      <c r="C215" s="3368" t="s">
        <v>154</v>
      </c>
      <c r="D215" s="3369" t="s">
        <v>324</v>
      </c>
      <c r="E215" s="3370"/>
      <c r="F215" s="3371"/>
      <c r="G215" s="3372"/>
      <c r="H215" s="3369" t="s">
        <v>324</v>
      </c>
      <c r="I215" s="3374"/>
      <c r="J215" s="3371"/>
      <c r="K215" s="3372"/>
      <c r="L215" s="3369" t="s">
        <v>324</v>
      </c>
      <c r="M215" s="3374"/>
      <c r="N215" s="3371"/>
      <c r="O215" s="3372"/>
      <c r="P215" s="3373" t="s">
        <v>329</v>
      </c>
      <c r="Q215" s="3374"/>
      <c r="R215" s="3371"/>
      <c r="S215" s="3372"/>
      <c r="T215" s="3373" t="s">
        <v>328</v>
      </c>
      <c r="U215" s="3374"/>
      <c r="V215" s="3371"/>
      <c r="W215" s="3386"/>
      <c r="X215" s="3108"/>
      <c r="Y215" s="3108"/>
      <c r="Z215" s="2431"/>
      <c r="AA215" s="3386"/>
      <c r="AB215" s="3108"/>
      <c r="AC215" s="3108"/>
      <c r="AD215" s="3108"/>
      <c r="AE215" s="3386"/>
      <c r="AF215" s="3108"/>
      <c r="AG215" s="3108"/>
      <c r="AH215" s="3378"/>
      <c r="AI215" s="3379"/>
      <c r="AJ215" s="123"/>
    </row>
    <row r="216" spans="1:36" ht="18" customHeight="1" x14ac:dyDescent="0.2">
      <c r="A216" s="69"/>
      <c r="B216" s="2367" t="s">
        <v>308</v>
      </c>
      <c r="C216" s="3368" t="s">
        <v>309</v>
      </c>
      <c r="D216" s="3369" t="s">
        <v>330</v>
      </c>
      <c r="E216" s="3370"/>
      <c r="F216" s="3371"/>
      <c r="G216" s="3372"/>
      <c r="H216" s="3369" t="s">
        <v>330</v>
      </c>
      <c r="I216" s="3374"/>
      <c r="J216" s="3371"/>
      <c r="K216" s="3372"/>
      <c r="L216" s="3369" t="s">
        <v>314</v>
      </c>
      <c r="M216" s="3374"/>
      <c r="N216" s="3371"/>
      <c r="O216" s="3372"/>
      <c r="P216" s="3373" t="s">
        <v>331</v>
      </c>
      <c r="Q216" s="3374"/>
      <c r="R216" s="3371"/>
      <c r="S216" s="3372"/>
      <c r="T216" s="3373" t="s">
        <v>326</v>
      </c>
      <c r="U216" s="3374"/>
      <c r="V216" s="3371"/>
      <c r="W216" s="3386"/>
      <c r="X216" s="3108"/>
      <c r="Y216" s="3108"/>
      <c r="Z216" s="2431"/>
      <c r="AA216" s="3386"/>
      <c r="AB216" s="3108"/>
      <c r="AC216" s="3108"/>
      <c r="AD216" s="3108"/>
      <c r="AE216" s="3386"/>
      <c r="AF216" s="3108"/>
      <c r="AG216" s="3108"/>
      <c r="AH216" s="3378"/>
      <c r="AI216" s="3379"/>
      <c r="AJ216" s="123"/>
    </row>
    <row r="217" spans="1:36" ht="18" customHeight="1" x14ac:dyDescent="0.2">
      <c r="A217" s="69"/>
      <c r="B217" s="3380" t="s">
        <v>313</v>
      </c>
      <c r="C217" s="3368" t="s">
        <v>160</v>
      </c>
      <c r="D217" s="3369" t="s">
        <v>324</v>
      </c>
      <c r="E217" s="3370"/>
      <c r="F217" s="3371"/>
      <c r="G217" s="3372"/>
      <c r="H217" s="3369" t="s">
        <v>324</v>
      </c>
      <c r="I217" s="3374"/>
      <c r="J217" s="3371"/>
      <c r="K217" s="3372"/>
      <c r="L217" s="3369" t="s">
        <v>324</v>
      </c>
      <c r="M217" s="3374"/>
      <c r="N217" s="3371"/>
      <c r="O217" s="3372"/>
      <c r="P217" s="3373" t="s">
        <v>329</v>
      </c>
      <c r="Q217" s="3374"/>
      <c r="R217" s="3371"/>
      <c r="S217" s="3372"/>
      <c r="T217" s="3373" t="s">
        <v>328</v>
      </c>
      <c r="U217" s="3374"/>
      <c r="V217" s="3371"/>
      <c r="W217" s="3384"/>
      <c r="X217" s="2513"/>
      <c r="Y217" s="2513"/>
      <c r="Z217" s="1008"/>
      <c r="AA217" s="3384"/>
      <c r="AB217" s="2513"/>
      <c r="AC217" s="2513"/>
      <c r="AD217" s="2513"/>
      <c r="AE217" s="3384"/>
      <c r="AF217" s="2513"/>
      <c r="AG217" s="2513"/>
      <c r="AH217" s="1524"/>
      <c r="AI217" s="1002"/>
      <c r="AJ217" s="123"/>
    </row>
    <row r="218" spans="1:36" ht="18" customHeight="1" x14ac:dyDescent="0.2">
      <c r="A218" s="69"/>
      <c r="B218" s="2367" t="s">
        <v>316</v>
      </c>
      <c r="C218" s="3368" t="s">
        <v>168</v>
      </c>
      <c r="D218" s="3369" t="s">
        <v>324</v>
      </c>
      <c r="E218" s="3370"/>
      <c r="F218" s="3371"/>
      <c r="G218" s="3372"/>
      <c r="H218" s="3369" t="s">
        <v>324</v>
      </c>
      <c r="I218" s="3374"/>
      <c r="J218" s="3371"/>
      <c r="K218" s="3372"/>
      <c r="L218" s="3369" t="s">
        <v>324</v>
      </c>
      <c r="M218" s="3374"/>
      <c r="N218" s="3371"/>
      <c r="O218" s="3372"/>
      <c r="P218" s="3373" t="s">
        <v>325</v>
      </c>
      <c r="Q218" s="3374"/>
      <c r="R218" s="3371"/>
      <c r="S218" s="3372"/>
      <c r="T218" s="3373" t="s">
        <v>326</v>
      </c>
      <c r="U218" s="3374"/>
      <c r="V218" s="3371"/>
      <c r="W218" s="3386"/>
      <c r="X218" s="3108"/>
      <c r="Y218" s="3108"/>
      <c r="Z218" s="3108"/>
      <c r="AA218" s="3386"/>
      <c r="AB218" s="3108"/>
      <c r="AC218" s="3108"/>
      <c r="AD218" s="3108"/>
      <c r="AE218" s="3386"/>
      <c r="AF218" s="3108"/>
      <c r="AG218" s="3108"/>
      <c r="AH218" s="3378"/>
      <c r="AI218" s="3379"/>
      <c r="AJ218" s="123"/>
    </row>
    <row r="219" spans="1:36" ht="18" customHeight="1" x14ac:dyDescent="0.2">
      <c r="A219" s="69"/>
      <c r="B219" s="2367" t="s">
        <v>321</v>
      </c>
      <c r="C219" s="3368" t="s">
        <v>322</v>
      </c>
      <c r="D219" s="3369" t="s">
        <v>320</v>
      </c>
      <c r="E219" s="3370"/>
      <c r="F219" s="3371"/>
      <c r="G219" s="3372"/>
      <c r="H219" s="3373" t="s">
        <v>320</v>
      </c>
      <c r="I219" s="3374"/>
      <c r="J219" s="3371"/>
      <c r="K219" s="3372"/>
      <c r="L219" s="3373" t="s">
        <v>320</v>
      </c>
      <c r="M219" s="3374"/>
      <c r="N219" s="3374"/>
      <c r="O219" s="3372"/>
      <c r="P219" s="3373" t="s">
        <v>320</v>
      </c>
      <c r="Q219" s="3374"/>
      <c r="R219" s="3374"/>
      <c r="S219" s="3372"/>
      <c r="T219" s="3373" t="s">
        <v>304</v>
      </c>
      <c r="U219" s="3374"/>
      <c r="V219" s="3371"/>
      <c r="W219" s="2367"/>
      <c r="X219" s="3108"/>
      <c r="Y219" s="3108"/>
      <c r="Z219" s="2431"/>
      <c r="AA219" s="3385"/>
      <c r="AB219" s="3108"/>
      <c r="AC219" s="3108"/>
      <c r="AD219" s="3108"/>
      <c r="AE219" s="3386"/>
      <c r="AF219" s="3108"/>
      <c r="AG219" s="3108"/>
      <c r="AH219" s="3378"/>
      <c r="AI219" s="3379"/>
      <c r="AJ219" s="123"/>
    </row>
    <row r="220" spans="1:36" ht="18" customHeight="1" x14ac:dyDescent="0.2">
      <c r="A220" s="69"/>
      <c r="B220" s="2367" t="s">
        <v>465</v>
      </c>
      <c r="C220" s="3368" t="s">
        <v>451</v>
      </c>
      <c r="D220" s="3369" t="s">
        <v>320</v>
      </c>
      <c r="E220" s="3370"/>
      <c r="F220" s="3371"/>
      <c r="G220" s="3372"/>
      <c r="H220" s="3373" t="s">
        <v>320</v>
      </c>
      <c r="I220" s="3374"/>
      <c r="J220" s="3371"/>
      <c r="K220" s="3372"/>
      <c r="L220" s="3373" t="s">
        <v>320</v>
      </c>
      <c r="M220" s="3374"/>
      <c r="N220" s="3374"/>
      <c r="O220" s="3372"/>
      <c r="P220" s="3373" t="s">
        <v>320</v>
      </c>
      <c r="Q220" s="3374"/>
      <c r="R220" s="3374"/>
      <c r="S220" s="3372"/>
      <c r="T220" s="3373" t="s">
        <v>304</v>
      </c>
      <c r="U220" s="3374"/>
      <c r="V220" s="3371"/>
      <c r="W220" s="2367"/>
      <c r="X220" s="3108"/>
      <c r="Y220" s="3108"/>
      <c r="Z220" s="2431"/>
      <c r="AA220" s="3385"/>
      <c r="AB220" s="3108"/>
      <c r="AC220" s="3108"/>
      <c r="AD220" s="3108"/>
      <c r="AE220" s="3386"/>
      <c r="AF220" s="3108"/>
      <c r="AG220" s="3108"/>
      <c r="AH220" s="3378"/>
      <c r="AI220" s="3379"/>
      <c r="AJ220" s="123"/>
    </row>
    <row r="221" spans="1:36" ht="18" customHeight="1" thickBot="1" x14ac:dyDescent="0.25">
      <c r="A221" s="69"/>
      <c r="B221" s="133"/>
      <c r="C221" s="134"/>
      <c r="D221" s="135"/>
      <c r="E221" s="136"/>
      <c r="F221" s="136"/>
      <c r="G221" s="137"/>
      <c r="H221" s="135"/>
      <c r="I221" s="136"/>
      <c r="J221" s="136"/>
      <c r="K221" s="137"/>
      <c r="L221" s="135"/>
      <c r="M221" s="136"/>
      <c r="N221" s="136"/>
      <c r="O221" s="137"/>
      <c r="P221" s="127"/>
      <c r="Q221" s="136"/>
      <c r="R221" s="136"/>
      <c r="S221" s="137"/>
      <c r="T221" s="127"/>
      <c r="U221" s="136"/>
      <c r="V221" s="136"/>
      <c r="W221" s="136"/>
      <c r="X221" s="136"/>
      <c r="Y221" s="136"/>
      <c r="Z221" s="136"/>
      <c r="AA221" s="137"/>
      <c r="AB221" s="136"/>
      <c r="AC221" s="136"/>
      <c r="AD221" s="136"/>
      <c r="AE221" s="137"/>
      <c r="AF221" s="136"/>
      <c r="AG221" s="136"/>
      <c r="AH221" s="124"/>
      <c r="AI221" s="124"/>
      <c r="AJ221" s="123"/>
    </row>
    <row r="222" spans="1:36" ht="18" customHeight="1" thickBot="1" x14ac:dyDescent="0.25">
      <c r="A222" s="96"/>
      <c r="B222" s="3387" t="s">
        <v>44</v>
      </c>
      <c r="C222" s="3140">
        <v>1</v>
      </c>
      <c r="D222" s="3141">
        <v>2</v>
      </c>
      <c r="E222" s="3141">
        <v>3</v>
      </c>
      <c r="F222" s="3140">
        <v>4</v>
      </c>
      <c r="G222" s="3140">
        <v>5</v>
      </c>
      <c r="H222" s="3141">
        <v>6</v>
      </c>
      <c r="I222" s="3141">
        <v>7</v>
      </c>
      <c r="J222" s="3141">
        <v>8</v>
      </c>
      <c r="K222" s="3141">
        <v>9</v>
      </c>
      <c r="L222" s="3141">
        <v>10</v>
      </c>
      <c r="M222" s="3140">
        <v>11</v>
      </c>
      <c r="N222" s="3140">
        <v>12</v>
      </c>
      <c r="O222" s="3141">
        <v>13</v>
      </c>
      <c r="P222" s="3141">
        <v>14</v>
      </c>
      <c r="Q222" s="3141">
        <v>15</v>
      </c>
      <c r="R222" s="3141">
        <v>16</v>
      </c>
      <c r="S222" s="3141">
        <v>17</v>
      </c>
      <c r="T222" s="3140">
        <v>18</v>
      </c>
      <c r="U222" s="3140">
        <v>19</v>
      </c>
      <c r="V222" s="3141">
        <v>20</v>
      </c>
      <c r="W222" s="3141">
        <v>21</v>
      </c>
      <c r="X222" s="3141">
        <v>22</v>
      </c>
      <c r="Y222" s="3141">
        <v>23</v>
      </c>
      <c r="Z222" s="3141">
        <v>24</v>
      </c>
      <c r="AA222" s="3140">
        <v>25</v>
      </c>
      <c r="AB222" s="3140">
        <v>26</v>
      </c>
      <c r="AC222" s="3141">
        <v>27</v>
      </c>
      <c r="AD222" s="3141">
        <v>28</v>
      </c>
      <c r="AE222" s="3141">
        <v>29</v>
      </c>
      <c r="AF222" s="3141">
        <v>30</v>
      </c>
      <c r="AG222" s="3141">
        <v>31</v>
      </c>
      <c r="AH222" s="117"/>
      <c r="AI222" s="111"/>
    </row>
    <row r="223" spans="1:36" ht="18" customHeight="1" x14ac:dyDescent="0.2">
      <c r="A223" s="69"/>
      <c r="B223" s="748" t="s">
        <v>453</v>
      </c>
      <c r="C223" s="635"/>
      <c r="D223" s="635" t="s">
        <v>297</v>
      </c>
      <c r="E223" s="635" t="s">
        <v>297</v>
      </c>
      <c r="F223" s="635"/>
      <c r="G223" s="635"/>
      <c r="H223" s="635" t="s">
        <v>297</v>
      </c>
      <c r="I223" s="635" t="s">
        <v>297</v>
      </c>
      <c r="J223" s="635" t="s">
        <v>297</v>
      </c>
      <c r="K223" s="635" t="s">
        <v>297</v>
      </c>
      <c r="L223" s="635" t="s">
        <v>297</v>
      </c>
      <c r="M223" s="635"/>
      <c r="N223" s="635"/>
      <c r="O223" s="635" t="s">
        <v>297</v>
      </c>
      <c r="P223" s="635" t="s">
        <v>297</v>
      </c>
      <c r="Q223" s="635" t="s">
        <v>297</v>
      </c>
      <c r="R223" s="635" t="s">
        <v>297</v>
      </c>
      <c r="S223" s="635" t="s">
        <v>297</v>
      </c>
      <c r="T223" s="635"/>
      <c r="U223" s="635"/>
      <c r="V223" s="635" t="s">
        <v>297</v>
      </c>
      <c r="W223" s="635" t="s">
        <v>297</v>
      </c>
      <c r="X223" s="635" t="s">
        <v>297</v>
      </c>
      <c r="Y223" s="635" t="s">
        <v>297</v>
      </c>
      <c r="Z223" s="635" t="s">
        <v>297</v>
      </c>
      <c r="AA223" s="635"/>
      <c r="AB223" s="635"/>
      <c r="AC223" s="635" t="s">
        <v>297</v>
      </c>
      <c r="AD223" s="635" t="s">
        <v>297</v>
      </c>
      <c r="AE223" s="635" t="s">
        <v>297</v>
      </c>
      <c r="AF223" s="635" t="s">
        <v>297</v>
      </c>
      <c r="AG223" s="635" t="s">
        <v>297</v>
      </c>
      <c r="AH223" s="116"/>
      <c r="AI223" s="116"/>
    </row>
    <row r="224" spans="1:36" ht="18" customHeight="1" x14ac:dyDescent="0.2">
      <c r="A224" s="69"/>
      <c r="B224" s="3388" t="s">
        <v>333</v>
      </c>
      <c r="C224" s="3389"/>
      <c r="D224" s="3389" t="s">
        <v>174</v>
      </c>
      <c r="E224" s="3389" t="s">
        <v>174</v>
      </c>
      <c r="F224" s="3389"/>
      <c r="G224" s="3389"/>
      <c r="H224" s="3389" t="s">
        <v>174</v>
      </c>
      <c r="I224" s="3389" t="s">
        <v>174</v>
      </c>
      <c r="J224" s="3389" t="s">
        <v>174</v>
      </c>
      <c r="K224" s="3389" t="s">
        <v>174</v>
      </c>
      <c r="L224" s="3389" t="s">
        <v>174</v>
      </c>
      <c r="M224" s="3389"/>
      <c r="N224" s="3389"/>
      <c r="O224" s="3389" t="s">
        <v>174</v>
      </c>
      <c r="P224" s="3389" t="s">
        <v>174</v>
      </c>
      <c r="Q224" s="3389" t="s">
        <v>174</v>
      </c>
      <c r="R224" s="3389" t="s">
        <v>174</v>
      </c>
      <c r="S224" s="3389" t="s">
        <v>174</v>
      </c>
      <c r="T224" s="3389"/>
      <c r="U224" s="3389"/>
      <c r="V224" s="3389" t="s">
        <v>174</v>
      </c>
      <c r="W224" s="3389" t="s">
        <v>174</v>
      </c>
      <c r="X224" s="3389" t="s">
        <v>174</v>
      </c>
      <c r="Y224" s="805" t="s">
        <v>174</v>
      </c>
      <c r="Z224" s="805" t="s">
        <v>174</v>
      </c>
      <c r="AA224" s="805"/>
      <c r="AB224" s="805"/>
      <c r="AC224" s="805" t="s">
        <v>174</v>
      </c>
      <c r="AD224" s="805" t="s">
        <v>174</v>
      </c>
      <c r="AE224" s="805" t="s">
        <v>174</v>
      </c>
      <c r="AF224" s="805" t="s">
        <v>174</v>
      </c>
      <c r="AG224" s="3390" t="s">
        <v>174</v>
      </c>
      <c r="AH224" s="116"/>
      <c r="AI224" s="116"/>
    </row>
    <row r="225" spans="1:37" ht="18" customHeight="1" x14ac:dyDescent="0.2">
      <c r="A225" s="69"/>
      <c r="B225" s="3391" t="s">
        <v>334</v>
      </c>
      <c r="C225" s="635"/>
      <c r="D225" s="635" t="s">
        <v>154</v>
      </c>
      <c r="E225" s="635" t="s">
        <v>154</v>
      </c>
      <c r="F225" s="635"/>
      <c r="G225" s="635"/>
      <c r="H225" s="635" t="s">
        <v>154</v>
      </c>
      <c r="I225" s="799" t="s">
        <v>154</v>
      </c>
      <c r="J225" s="635" t="s">
        <v>154</v>
      </c>
      <c r="K225" s="635" t="s">
        <v>154</v>
      </c>
      <c r="L225" s="635" t="s">
        <v>154</v>
      </c>
      <c r="M225" s="635"/>
      <c r="N225" s="635"/>
      <c r="O225" s="635" t="s">
        <v>154</v>
      </c>
      <c r="P225" s="806" t="s">
        <v>154</v>
      </c>
      <c r="Q225" s="3392" t="s">
        <v>154</v>
      </c>
      <c r="R225" s="3392" t="s">
        <v>154</v>
      </c>
      <c r="S225" s="3392" t="s">
        <v>154</v>
      </c>
      <c r="T225" s="805"/>
      <c r="U225" s="805" t="s">
        <v>405</v>
      </c>
      <c r="V225" s="802" t="s">
        <v>154</v>
      </c>
      <c r="W225" s="802" t="s">
        <v>154</v>
      </c>
      <c r="X225" s="635" t="s">
        <v>154</v>
      </c>
      <c r="Y225" s="635" t="s">
        <v>154</v>
      </c>
      <c r="Z225" s="635" t="s">
        <v>154</v>
      </c>
      <c r="AA225" s="635"/>
      <c r="AB225" s="635"/>
      <c r="AC225" s="635" t="s">
        <v>154</v>
      </c>
      <c r="AD225" s="799" t="s">
        <v>154</v>
      </c>
      <c r="AE225" s="635" t="s">
        <v>154</v>
      </c>
      <c r="AF225" s="635" t="s">
        <v>154</v>
      </c>
      <c r="AG225" s="801" t="s">
        <v>154</v>
      </c>
      <c r="AH225" s="116"/>
      <c r="AI225" s="116"/>
      <c r="AK225" t="s">
        <v>0</v>
      </c>
    </row>
    <row r="226" spans="1:37" ht="18" customHeight="1" x14ac:dyDescent="0.2">
      <c r="A226" s="69"/>
      <c r="B226" s="3388" t="s">
        <v>332</v>
      </c>
      <c r="C226" s="635"/>
      <c r="D226" s="635" t="s">
        <v>309</v>
      </c>
      <c r="E226" s="635" t="s">
        <v>309</v>
      </c>
      <c r="F226" s="635"/>
      <c r="G226" s="635"/>
      <c r="H226" s="635" t="s">
        <v>309</v>
      </c>
      <c r="I226" s="635" t="s">
        <v>309</v>
      </c>
      <c r="J226" s="635" t="s">
        <v>309</v>
      </c>
      <c r="K226" s="635" t="s">
        <v>309</v>
      </c>
      <c r="L226" s="635" t="s">
        <v>309</v>
      </c>
      <c r="M226" s="635"/>
      <c r="N226" s="635"/>
      <c r="O226" s="635" t="s">
        <v>309</v>
      </c>
      <c r="P226" s="635" t="s">
        <v>309</v>
      </c>
      <c r="Q226" s="802" t="s">
        <v>309</v>
      </c>
      <c r="R226" s="635" t="s">
        <v>309</v>
      </c>
      <c r="S226" s="635" t="s">
        <v>309</v>
      </c>
      <c r="T226" s="635"/>
      <c r="U226" s="635"/>
      <c r="V226" s="635" t="s">
        <v>309</v>
      </c>
      <c r="W226" s="635" t="s">
        <v>309</v>
      </c>
      <c r="X226" s="635" t="s">
        <v>309</v>
      </c>
      <c r="Y226" s="635" t="s">
        <v>309</v>
      </c>
      <c r="Z226" s="799" t="s">
        <v>309</v>
      </c>
      <c r="AA226" s="635"/>
      <c r="AB226" s="635"/>
      <c r="AC226" s="635" t="s">
        <v>309</v>
      </c>
      <c r="AD226" s="3393" t="s">
        <v>309</v>
      </c>
      <c r="AE226" s="635" t="s">
        <v>309</v>
      </c>
      <c r="AF226" s="635" t="s">
        <v>309</v>
      </c>
      <c r="AG226" s="801" t="s">
        <v>309</v>
      </c>
      <c r="AH226" s="116"/>
      <c r="AI226" s="116"/>
    </row>
    <row r="227" spans="1:37" ht="18" customHeight="1" x14ac:dyDescent="0.2">
      <c r="A227" s="69"/>
      <c r="B227" s="1552" t="s">
        <v>166</v>
      </c>
      <c r="C227" s="635"/>
      <c r="D227" s="635" t="s">
        <v>160</v>
      </c>
      <c r="E227" s="635" t="s">
        <v>160</v>
      </c>
      <c r="F227" s="635"/>
      <c r="G227" s="635"/>
      <c r="H227" s="3394" t="s">
        <v>160</v>
      </c>
      <c r="I227" s="635" t="s">
        <v>160</v>
      </c>
      <c r="J227" s="635" t="s">
        <v>160</v>
      </c>
      <c r="K227" s="635" t="s">
        <v>160</v>
      </c>
      <c r="L227" s="635" t="s">
        <v>160</v>
      </c>
      <c r="M227" s="635"/>
      <c r="N227" s="635"/>
      <c r="O227" s="635" t="s">
        <v>160</v>
      </c>
      <c r="P227" s="635" t="s">
        <v>160</v>
      </c>
      <c r="Q227" s="635" t="s">
        <v>160</v>
      </c>
      <c r="R227" s="635" t="s">
        <v>160</v>
      </c>
      <c r="S227" s="635" t="s">
        <v>160</v>
      </c>
      <c r="T227" s="635"/>
      <c r="U227" s="635"/>
      <c r="V227" s="635" t="s">
        <v>160</v>
      </c>
      <c r="W227" s="635" t="s">
        <v>160</v>
      </c>
      <c r="X227" s="635" t="s">
        <v>160</v>
      </c>
      <c r="Y227" s="635" t="s">
        <v>160</v>
      </c>
      <c r="Z227" s="635" t="s">
        <v>160</v>
      </c>
      <c r="AA227" s="635"/>
      <c r="AB227" s="635"/>
      <c r="AC227" s="635" t="s">
        <v>160</v>
      </c>
      <c r="AD227" s="635" t="s">
        <v>160</v>
      </c>
      <c r="AE227" s="635" t="s">
        <v>160</v>
      </c>
      <c r="AF227" s="635" t="s">
        <v>160</v>
      </c>
      <c r="AG227" s="3395" t="s">
        <v>160</v>
      </c>
      <c r="AH227" s="116"/>
      <c r="AI227" s="116"/>
    </row>
    <row r="228" spans="1:37" ht="18" customHeight="1" x14ac:dyDescent="0.2">
      <c r="A228" s="69"/>
      <c r="B228" s="3396" t="s">
        <v>167</v>
      </c>
      <c r="C228" s="635"/>
      <c r="D228" s="635" t="s">
        <v>168</v>
      </c>
      <c r="E228" s="635" t="s">
        <v>168</v>
      </c>
      <c r="F228" s="635"/>
      <c r="G228" s="635"/>
      <c r="H228" s="635" t="s">
        <v>168</v>
      </c>
      <c r="I228" s="635" t="s">
        <v>168</v>
      </c>
      <c r="J228" s="635" t="s">
        <v>168</v>
      </c>
      <c r="K228" s="635" t="s">
        <v>168</v>
      </c>
      <c r="L228" s="635" t="s">
        <v>168</v>
      </c>
      <c r="M228" s="635"/>
      <c r="N228" s="635"/>
      <c r="O228" s="635" t="s">
        <v>168</v>
      </c>
      <c r="P228" s="3392" t="s">
        <v>169</v>
      </c>
      <c r="Q228" s="638" t="s">
        <v>168</v>
      </c>
      <c r="R228" s="638" t="s">
        <v>168</v>
      </c>
      <c r="S228" s="638" t="s">
        <v>168</v>
      </c>
      <c r="T228" s="635"/>
      <c r="U228" s="635"/>
      <c r="V228" s="3397" t="s">
        <v>168</v>
      </c>
      <c r="W228" s="3397" t="s">
        <v>168</v>
      </c>
      <c r="X228" s="802" t="s">
        <v>168</v>
      </c>
      <c r="Y228" s="3397" t="s">
        <v>168</v>
      </c>
      <c r="Z228" s="3397" t="s">
        <v>168</v>
      </c>
      <c r="AA228" s="3397"/>
      <c r="AB228" s="3397"/>
      <c r="AC228" s="635" t="s">
        <v>168</v>
      </c>
      <c r="AD228" s="635" t="s">
        <v>168</v>
      </c>
      <c r="AE228" s="635" t="s">
        <v>168</v>
      </c>
      <c r="AF228" s="635" t="s">
        <v>168</v>
      </c>
      <c r="AG228" s="801" t="s">
        <v>168</v>
      </c>
      <c r="AH228" s="116"/>
      <c r="AI228" s="116"/>
    </row>
    <row r="229" spans="1:37" ht="18" customHeight="1" x14ac:dyDescent="0.2">
      <c r="A229" s="69"/>
      <c r="B229" s="764" t="s">
        <v>426</v>
      </c>
      <c r="C229" s="635"/>
      <c r="D229" s="3392" t="s">
        <v>451</v>
      </c>
      <c r="E229" s="3392" t="s">
        <v>451</v>
      </c>
      <c r="F229" s="3392"/>
      <c r="G229" s="3392"/>
      <c r="H229" s="3398" t="s">
        <v>451</v>
      </c>
      <c r="I229" s="3399" t="s">
        <v>451</v>
      </c>
      <c r="J229" s="3399" t="s">
        <v>451</v>
      </c>
      <c r="K229" s="3399" t="s">
        <v>451</v>
      </c>
      <c r="L229" s="3399" t="s">
        <v>451</v>
      </c>
      <c r="M229" s="3399"/>
      <c r="N229" s="3399" t="s">
        <v>405</v>
      </c>
      <c r="O229" s="3353" t="s">
        <v>451</v>
      </c>
      <c r="P229" s="3353" t="s">
        <v>451</v>
      </c>
      <c r="Q229" s="3353" t="s">
        <v>451</v>
      </c>
      <c r="R229" s="3353" t="s">
        <v>451</v>
      </c>
      <c r="S229" s="3353" t="s">
        <v>451</v>
      </c>
      <c r="T229" s="3353"/>
      <c r="U229" s="3353"/>
      <c r="V229" s="3353" t="s">
        <v>451</v>
      </c>
      <c r="W229" s="3353" t="s">
        <v>451</v>
      </c>
      <c r="X229" s="3353" t="s">
        <v>451</v>
      </c>
      <c r="Y229" s="3353" t="s">
        <v>451</v>
      </c>
      <c r="Z229" s="3353" t="s">
        <v>451</v>
      </c>
      <c r="AA229" s="3353"/>
      <c r="AB229" s="3353"/>
      <c r="AC229" s="3353" t="s">
        <v>451</v>
      </c>
      <c r="AD229" s="3353" t="s">
        <v>451</v>
      </c>
      <c r="AE229" s="3353" t="s">
        <v>451</v>
      </c>
      <c r="AF229" s="3353" t="s">
        <v>451</v>
      </c>
      <c r="AG229" s="3353" t="s">
        <v>451</v>
      </c>
      <c r="AH229" s="67"/>
      <c r="AI229" s="67"/>
    </row>
    <row r="230" spans="1:37" ht="18" customHeight="1" x14ac:dyDescent="0.2">
      <c r="A230" s="96"/>
      <c r="B230" s="764" t="s">
        <v>337</v>
      </c>
      <c r="C230" s="635"/>
      <c r="D230" s="635" t="s">
        <v>322</v>
      </c>
      <c r="E230" s="635" t="s">
        <v>322</v>
      </c>
      <c r="F230" s="635"/>
      <c r="G230" s="635"/>
      <c r="H230" s="635" t="s">
        <v>322</v>
      </c>
      <c r="I230" s="635" t="s">
        <v>322</v>
      </c>
      <c r="J230" s="635" t="s">
        <v>322</v>
      </c>
      <c r="K230" s="635" t="s">
        <v>322</v>
      </c>
      <c r="L230" s="635" t="s">
        <v>322</v>
      </c>
      <c r="M230" s="635"/>
      <c r="N230" s="635"/>
      <c r="O230" s="802" t="s">
        <v>322</v>
      </c>
      <c r="P230" s="802" t="s">
        <v>322</v>
      </c>
      <c r="Q230" s="635" t="s">
        <v>322</v>
      </c>
      <c r="R230" s="635" t="s">
        <v>322</v>
      </c>
      <c r="S230" s="635" t="s">
        <v>322</v>
      </c>
      <c r="T230" s="635"/>
      <c r="U230" s="635"/>
      <c r="V230" s="635" t="s">
        <v>322</v>
      </c>
      <c r="W230" s="635" t="s">
        <v>322</v>
      </c>
      <c r="X230" s="635" t="s">
        <v>322</v>
      </c>
      <c r="Y230" s="635" t="s">
        <v>322</v>
      </c>
      <c r="Z230" s="635" t="s">
        <v>322</v>
      </c>
      <c r="AA230" s="635"/>
      <c r="AB230" s="635"/>
      <c r="AC230" s="635" t="s">
        <v>322</v>
      </c>
      <c r="AD230" s="635" t="s">
        <v>322</v>
      </c>
      <c r="AE230" s="635" t="s">
        <v>322</v>
      </c>
      <c r="AF230" s="635" t="s">
        <v>322</v>
      </c>
      <c r="AG230" s="635" t="s">
        <v>322</v>
      </c>
      <c r="AH230" s="73"/>
    </row>
    <row r="231" spans="1:37" ht="18" customHeight="1" x14ac:dyDescent="0.2"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</row>
    <row r="232" spans="1:37" ht="18" customHeight="1" x14ac:dyDescent="0.2">
      <c r="A232" s="1" t="s">
        <v>339</v>
      </c>
      <c r="B232" s="37"/>
    </row>
    <row r="233" spans="1:37" ht="18" customHeight="1" x14ac:dyDescent="0.2">
      <c r="A233" s="1"/>
      <c r="B233" s="3400" t="s">
        <v>340</v>
      </c>
      <c r="C233" s="3115" t="s">
        <v>17</v>
      </c>
      <c r="D233" s="3116"/>
      <c r="E233" s="3116"/>
      <c r="F233" s="3116"/>
      <c r="G233" s="3115" t="s">
        <v>18</v>
      </c>
      <c r="H233" s="3116"/>
      <c r="I233" s="3116"/>
      <c r="J233" s="3116"/>
      <c r="K233" s="3115" t="s">
        <v>19</v>
      </c>
      <c r="L233" s="3116"/>
      <c r="M233" s="3116"/>
      <c r="N233" s="3116"/>
      <c r="O233" s="3115" t="s">
        <v>20</v>
      </c>
      <c r="P233" s="3116"/>
      <c r="Q233" s="3116"/>
      <c r="R233" s="3116"/>
      <c r="S233" s="3115" t="s">
        <v>21</v>
      </c>
      <c r="T233" s="3116"/>
      <c r="U233" s="3116"/>
      <c r="V233" s="3116"/>
      <c r="W233" s="3115" t="s">
        <v>22</v>
      </c>
      <c r="X233" s="3177"/>
      <c r="Y233" s="3116"/>
      <c r="Z233" s="3117"/>
      <c r="AA233" s="3115" t="s">
        <v>23</v>
      </c>
      <c r="AB233" s="3177"/>
      <c r="AC233" s="3116"/>
      <c r="AD233" s="3117"/>
      <c r="AE233" s="3118" t="s">
        <v>126</v>
      </c>
      <c r="AF233" s="3116"/>
      <c r="AG233" s="3116"/>
      <c r="AH233" s="3116"/>
      <c r="AI233" s="3178"/>
    </row>
    <row r="234" spans="1:37" ht="18" customHeight="1" x14ac:dyDescent="0.2">
      <c r="A234" s="1"/>
      <c r="B234" s="3401">
        <v>3701</v>
      </c>
      <c r="C234" s="70" t="s">
        <v>341</v>
      </c>
      <c r="D234" s="70"/>
      <c r="E234" s="70"/>
      <c r="F234" s="70"/>
      <c r="G234" s="1807" t="s">
        <v>342</v>
      </c>
      <c r="H234" s="70"/>
      <c r="I234" s="70"/>
      <c r="J234" s="70"/>
      <c r="K234" s="1807" t="s">
        <v>342</v>
      </c>
      <c r="L234" s="70"/>
      <c r="M234" s="70"/>
      <c r="N234" s="70"/>
      <c r="O234" s="1807" t="s">
        <v>342</v>
      </c>
      <c r="P234" s="70"/>
      <c r="Q234" s="70"/>
      <c r="R234" s="70"/>
      <c r="S234" s="1807" t="s">
        <v>343</v>
      </c>
      <c r="T234" s="70"/>
      <c r="U234" s="70"/>
      <c r="V234" s="70"/>
      <c r="W234" s="3247"/>
      <c r="X234" s="3402"/>
      <c r="Y234" s="2805"/>
      <c r="Z234" s="3403"/>
      <c r="AA234" s="3247"/>
      <c r="AB234" s="3402"/>
      <c r="AC234" s="2805"/>
      <c r="AD234" s="3403"/>
      <c r="AE234" s="3297"/>
      <c r="AF234" s="2805"/>
      <c r="AG234" s="2805"/>
      <c r="AH234" s="2805"/>
      <c r="AI234" s="3361"/>
    </row>
    <row r="235" spans="1:37" ht="18" customHeight="1" x14ac:dyDescent="0.2">
      <c r="B235" s="3400">
        <v>3700</v>
      </c>
      <c r="C235" s="2805" t="s">
        <v>249</v>
      </c>
      <c r="D235" s="2805"/>
      <c r="E235" s="2805"/>
      <c r="F235" s="2805"/>
      <c r="G235" s="3404" t="s">
        <v>249</v>
      </c>
      <c r="H235" s="2805"/>
      <c r="I235" s="2805"/>
      <c r="J235" s="2805"/>
      <c r="K235" s="3404" t="s">
        <v>249</v>
      </c>
      <c r="L235" s="2805"/>
      <c r="M235" s="2805"/>
      <c r="N235" s="2805"/>
      <c r="O235" s="3404" t="s">
        <v>249</v>
      </c>
      <c r="P235" s="2805"/>
      <c r="Q235" s="2805"/>
      <c r="R235" s="2805"/>
      <c r="S235" s="3404" t="s">
        <v>250</v>
      </c>
      <c r="T235" s="2805"/>
      <c r="U235" s="2805"/>
      <c r="V235" s="2805"/>
      <c r="W235" s="3247"/>
      <c r="X235" s="2805"/>
      <c r="Y235" s="2805"/>
      <c r="Z235" s="3299"/>
      <c r="AA235" s="3297"/>
      <c r="AB235" s="2805"/>
      <c r="AC235" s="2805"/>
      <c r="AD235" s="2856"/>
      <c r="AE235" s="3405"/>
      <c r="AF235" s="2805"/>
      <c r="AG235" s="2805"/>
      <c r="AH235" s="2856"/>
      <c r="AI235" s="3361"/>
    </row>
    <row r="236" spans="1:37" ht="18" customHeight="1" x14ac:dyDescent="0.2">
      <c r="A236" s="1"/>
      <c r="B236" s="3400">
        <v>8514</v>
      </c>
      <c r="C236" s="2805" t="s">
        <v>342</v>
      </c>
      <c r="D236" s="2805"/>
      <c r="E236" s="2805"/>
      <c r="F236" s="2805"/>
      <c r="G236" s="3404" t="s">
        <v>342</v>
      </c>
      <c r="H236" s="2805"/>
      <c r="I236" s="2805"/>
      <c r="J236" s="2805"/>
      <c r="K236" s="3404" t="s">
        <v>342</v>
      </c>
      <c r="L236" s="2805"/>
      <c r="M236" s="2805"/>
      <c r="N236" s="2805"/>
      <c r="O236" s="3404" t="s">
        <v>342</v>
      </c>
      <c r="P236" s="2805"/>
      <c r="Q236" s="2805"/>
      <c r="R236" s="2805"/>
      <c r="S236" s="3404" t="s">
        <v>344</v>
      </c>
      <c r="T236" s="2805"/>
      <c r="U236" s="2805"/>
      <c r="V236" s="2805"/>
      <c r="W236" s="3247"/>
      <c r="X236" s="2805"/>
      <c r="Y236" s="2805"/>
      <c r="Z236" s="3299"/>
      <c r="AA236" s="2855"/>
      <c r="AB236" s="2805"/>
      <c r="AC236" s="2805"/>
      <c r="AD236" s="2856"/>
      <c r="AE236" s="2855"/>
      <c r="AF236" s="2805"/>
      <c r="AG236" s="2805"/>
      <c r="AH236" s="2856"/>
      <c r="AI236" s="3361"/>
    </row>
    <row r="237" spans="1:37" ht="18" customHeight="1" x14ac:dyDescent="0.2">
      <c r="A237" s="1"/>
      <c r="B237" s="3400">
        <v>8500</v>
      </c>
      <c r="C237" s="875" t="s">
        <v>345</v>
      </c>
      <c r="D237" s="875"/>
      <c r="E237" s="875"/>
      <c r="F237" s="875"/>
      <c r="G237" s="1022" t="s">
        <v>345</v>
      </c>
      <c r="H237" s="875"/>
      <c r="I237" s="875"/>
      <c r="J237" s="875"/>
      <c r="K237" s="1022" t="s">
        <v>345</v>
      </c>
      <c r="L237" s="875"/>
      <c r="M237" s="875"/>
      <c r="N237" s="875"/>
      <c r="O237" s="1022" t="s">
        <v>345</v>
      </c>
      <c r="P237" s="875"/>
      <c r="Q237" s="875"/>
      <c r="R237" s="875"/>
      <c r="S237" s="1022" t="s">
        <v>346</v>
      </c>
      <c r="T237" s="875"/>
      <c r="U237" s="875"/>
      <c r="V237" s="875"/>
      <c r="W237" s="3247"/>
      <c r="X237" s="875"/>
      <c r="Y237" s="875"/>
      <c r="Z237" s="1023"/>
      <c r="AA237" s="1024"/>
      <c r="AB237" s="875"/>
      <c r="AC237" s="875"/>
      <c r="AD237" s="1023"/>
      <c r="AE237" s="1024"/>
      <c r="AF237" s="875"/>
      <c r="AG237" s="875"/>
      <c r="AH237" s="1025"/>
      <c r="AI237" s="1026"/>
    </row>
    <row r="238" spans="1:37" ht="18" customHeight="1" x14ac:dyDescent="0.2">
      <c r="A238" s="1"/>
      <c r="B238" s="3400">
        <v>8514</v>
      </c>
      <c r="C238" s="1027" t="s">
        <v>342</v>
      </c>
      <c r="D238" s="1027"/>
      <c r="E238" s="1027"/>
      <c r="F238" s="1027"/>
      <c r="G238" s="1028" t="s">
        <v>342</v>
      </c>
      <c r="H238" s="1027"/>
      <c r="I238" s="1027"/>
      <c r="J238" s="1027"/>
      <c r="K238" s="1028" t="s">
        <v>342</v>
      </c>
      <c r="L238" s="1027"/>
      <c r="M238" s="1027"/>
      <c r="N238" s="1027"/>
      <c r="O238" s="1028" t="s">
        <v>342</v>
      </c>
      <c r="P238" s="1027"/>
      <c r="Q238" s="1027"/>
      <c r="R238" s="1027"/>
      <c r="S238" s="1028" t="s">
        <v>344</v>
      </c>
      <c r="T238" s="1027"/>
      <c r="U238" s="1027"/>
      <c r="V238" s="1027"/>
      <c r="W238" s="3406"/>
      <c r="X238" s="1030"/>
      <c r="Y238" s="875"/>
      <c r="Z238" s="1031"/>
      <c r="AA238" s="1032"/>
      <c r="AB238" s="1030"/>
      <c r="AC238" s="875"/>
      <c r="AD238" s="875"/>
      <c r="AE238" s="1033"/>
      <c r="AF238" s="875"/>
      <c r="AG238" s="875"/>
      <c r="AH238" s="875"/>
      <c r="AI238" s="1026"/>
    </row>
    <row r="239" spans="1:37" ht="18" customHeight="1" x14ac:dyDescent="0.2">
      <c r="A239" s="1"/>
      <c r="B239" s="3407" t="s">
        <v>347</v>
      </c>
      <c r="C239" s="2812" t="s">
        <v>10</v>
      </c>
      <c r="D239" s="2812"/>
      <c r="E239" s="2812"/>
      <c r="F239" s="2812"/>
      <c r="G239" s="3408" t="s">
        <v>10</v>
      </c>
      <c r="H239" s="2812"/>
      <c r="I239" s="2812"/>
      <c r="J239" s="2812"/>
      <c r="K239" s="3409" t="s">
        <v>10</v>
      </c>
      <c r="L239" s="2812"/>
      <c r="M239" s="2812"/>
      <c r="N239" s="2812"/>
      <c r="O239" s="3408" t="s">
        <v>10</v>
      </c>
      <c r="P239" s="2812"/>
      <c r="Q239" s="2812"/>
      <c r="R239" s="2812"/>
      <c r="S239" s="3408" t="s">
        <v>10</v>
      </c>
      <c r="T239" s="2812"/>
      <c r="U239" s="2812"/>
      <c r="V239" s="2812"/>
      <c r="W239" s="3409"/>
      <c r="X239" s="2812"/>
      <c r="Y239" s="2812"/>
      <c r="Z239" s="3337"/>
      <c r="AA239" s="3309"/>
      <c r="AB239" s="2812"/>
      <c r="AC239" s="2812"/>
      <c r="AD239" s="3316"/>
      <c r="AE239" s="3410"/>
      <c r="AF239" s="2812"/>
      <c r="AG239" s="2812"/>
      <c r="AH239" s="3316"/>
      <c r="AI239" s="2815"/>
    </row>
    <row r="240" spans="1:37" ht="18" customHeight="1" x14ac:dyDescent="0.2">
      <c r="A240" s="1"/>
      <c r="B240" s="5"/>
      <c r="C240" s="42"/>
      <c r="D240" s="70"/>
      <c r="E240" s="70"/>
      <c r="F240" s="46"/>
      <c r="G240" s="42"/>
      <c r="H240" s="70"/>
      <c r="I240" s="70"/>
      <c r="J240" s="46"/>
      <c r="K240" s="42"/>
      <c r="L240" s="70"/>
      <c r="M240" s="70"/>
      <c r="N240" s="46"/>
      <c r="O240" s="42"/>
      <c r="P240" s="70"/>
      <c r="Q240" s="70"/>
      <c r="R240" s="46"/>
      <c r="S240" s="42"/>
      <c r="T240" s="70"/>
      <c r="U240" s="70"/>
      <c r="V240" s="46"/>
      <c r="W240" s="46"/>
      <c r="Z240" s="46"/>
      <c r="AA240" s="46"/>
      <c r="AD240" s="46"/>
      <c r="AE240" s="46"/>
      <c r="AH240" s="46"/>
    </row>
    <row r="241" spans="1:35" ht="18" customHeight="1" x14ac:dyDescent="0.2">
      <c r="A241" s="1" t="s">
        <v>348</v>
      </c>
      <c r="B241" s="5"/>
      <c r="C241" s="42"/>
      <c r="D241" s="70"/>
      <c r="E241" s="70"/>
      <c r="F241" s="46"/>
      <c r="G241" s="42"/>
      <c r="H241" s="70"/>
      <c r="I241" s="70"/>
      <c r="J241" s="46"/>
      <c r="K241" s="42"/>
      <c r="L241" s="70"/>
      <c r="M241" s="70"/>
      <c r="N241" s="46"/>
      <c r="O241" s="42"/>
      <c r="P241" s="70"/>
      <c r="Q241" s="70"/>
      <c r="R241" s="46"/>
      <c r="S241" s="42"/>
      <c r="T241" s="70"/>
      <c r="U241" s="70"/>
      <c r="V241" s="46"/>
      <c r="W241" s="46"/>
      <c r="Z241" s="46"/>
      <c r="AA241" s="46"/>
      <c r="AD241" s="46"/>
      <c r="AE241" s="46"/>
      <c r="AH241" s="46"/>
    </row>
    <row r="242" spans="1:35" ht="18" customHeight="1" x14ac:dyDescent="0.2">
      <c r="A242" s="3287"/>
      <c r="B242" s="2817" t="s">
        <v>44</v>
      </c>
      <c r="C242" s="3140">
        <v>1</v>
      </c>
      <c r="D242" s="3141">
        <v>2</v>
      </c>
      <c r="E242" s="3141">
        <v>3</v>
      </c>
      <c r="F242" s="3140">
        <v>4</v>
      </c>
      <c r="G242" s="3140">
        <v>5</v>
      </c>
      <c r="H242" s="3141">
        <v>6</v>
      </c>
      <c r="I242" s="3141">
        <v>7</v>
      </c>
      <c r="J242" s="3141">
        <v>8</v>
      </c>
      <c r="K242" s="3141">
        <v>9</v>
      </c>
      <c r="L242" s="3141">
        <v>10</v>
      </c>
      <c r="M242" s="3140">
        <v>11</v>
      </c>
      <c r="N242" s="3140">
        <v>12</v>
      </c>
      <c r="O242" s="3141">
        <v>13</v>
      </c>
      <c r="P242" s="3141">
        <v>14</v>
      </c>
      <c r="Q242" s="3141">
        <v>15</v>
      </c>
      <c r="R242" s="3141">
        <v>16</v>
      </c>
      <c r="S242" s="3141">
        <v>17</v>
      </c>
      <c r="T242" s="3140">
        <v>18</v>
      </c>
      <c r="U242" s="3140">
        <v>19</v>
      </c>
      <c r="V242" s="3141">
        <v>20</v>
      </c>
      <c r="W242" s="3141">
        <v>21</v>
      </c>
      <c r="X242" s="3141">
        <v>22</v>
      </c>
      <c r="Y242" s="3141">
        <v>23</v>
      </c>
      <c r="Z242" s="3141">
        <v>24</v>
      </c>
      <c r="AA242" s="3140">
        <v>25</v>
      </c>
      <c r="AB242" s="3140">
        <v>26</v>
      </c>
      <c r="AC242" s="3141">
        <v>27</v>
      </c>
      <c r="AD242" s="3141">
        <v>28</v>
      </c>
      <c r="AE242" s="3141">
        <v>29</v>
      </c>
      <c r="AF242" s="3141">
        <v>30</v>
      </c>
      <c r="AG242" s="3141">
        <v>31</v>
      </c>
      <c r="AH242" s="110"/>
      <c r="AI242" s="111"/>
    </row>
    <row r="243" spans="1:35" ht="18" customHeight="1" x14ac:dyDescent="0.2">
      <c r="A243" s="3119"/>
      <c r="B243" s="3120" t="s">
        <v>349</v>
      </c>
      <c r="C243" s="3411"/>
      <c r="D243" s="3411" t="s">
        <v>46</v>
      </c>
      <c r="E243" s="3411" t="s">
        <v>46</v>
      </c>
      <c r="F243" s="3411"/>
      <c r="G243" s="3412"/>
      <c r="H243" s="3412" t="s">
        <v>46</v>
      </c>
      <c r="I243" s="3412" t="s">
        <v>46</v>
      </c>
      <c r="J243" s="3411" t="s">
        <v>46</v>
      </c>
      <c r="K243" s="3411" t="s">
        <v>46</v>
      </c>
      <c r="L243" s="3411" t="s">
        <v>46</v>
      </c>
      <c r="M243" s="3411"/>
      <c r="N243" s="3412"/>
      <c r="O243" s="3412" t="s">
        <v>46</v>
      </c>
      <c r="P243" s="3412" t="s">
        <v>46</v>
      </c>
      <c r="Q243" s="3411" t="s">
        <v>46</v>
      </c>
      <c r="R243" s="3411" t="s">
        <v>46</v>
      </c>
      <c r="S243" s="3411" t="s">
        <v>46</v>
      </c>
      <c r="T243" s="3411"/>
      <c r="U243" s="3412"/>
      <c r="V243" s="3412" t="s">
        <v>46</v>
      </c>
      <c r="W243" s="3412" t="s">
        <v>46</v>
      </c>
      <c r="X243" s="3411" t="s">
        <v>46</v>
      </c>
      <c r="Y243" s="3411" t="s">
        <v>46</v>
      </c>
      <c r="Z243" s="3411" t="s">
        <v>46</v>
      </c>
      <c r="AA243" s="3411"/>
      <c r="AB243" s="3412"/>
      <c r="AC243" s="3412" t="s">
        <v>46</v>
      </c>
      <c r="AD243" s="3412" t="s">
        <v>46</v>
      </c>
      <c r="AE243" s="3411" t="s">
        <v>46</v>
      </c>
      <c r="AF243" s="3411" t="s">
        <v>46</v>
      </c>
      <c r="AG243" s="3413" t="s">
        <v>46</v>
      </c>
      <c r="AH243" s="110"/>
      <c r="AI243" s="111"/>
    </row>
    <row r="244" spans="1:35" ht="18" customHeight="1" x14ac:dyDescent="0.2">
      <c r="A244" s="3414"/>
      <c r="B244" s="3415" t="s">
        <v>350</v>
      </c>
      <c r="C244" s="3416"/>
      <c r="D244" s="3416"/>
      <c r="E244" s="3416"/>
      <c r="F244" s="3416"/>
      <c r="G244" s="636"/>
      <c r="H244" s="636"/>
      <c r="I244" s="636"/>
      <c r="J244" s="3416"/>
      <c r="K244" s="3416"/>
      <c r="L244" s="3416"/>
      <c r="M244" s="3416"/>
      <c r="N244" s="636"/>
      <c r="O244" s="636"/>
      <c r="P244" s="636"/>
      <c r="Q244" s="3416"/>
      <c r="R244" s="3416"/>
      <c r="S244" s="3416"/>
      <c r="T244" s="3416"/>
      <c r="U244" s="636"/>
      <c r="V244" s="636"/>
      <c r="W244" s="636"/>
      <c r="X244" s="3416"/>
      <c r="Y244" s="3416"/>
      <c r="Z244" s="3416"/>
      <c r="AA244" s="3416"/>
      <c r="AB244" s="636"/>
      <c r="AC244" s="636"/>
      <c r="AD244" s="636"/>
      <c r="AE244" s="3416"/>
      <c r="AF244" s="3416"/>
      <c r="AG244" s="3417"/>
      <c r="AH244" s="110"/>
      <c r="AI244" s="111"/>
    </row>
    <row r="245" spans="1:35" ht="18" customHeight="1" x14ac:dyDescent="0.2">
      <c r="A245" s="3418">
        <v>8514</v>
      </c>
      <c r="B245" s="3419" t="s">
        <v>351</v>
      </c>
      <c r="C245" s="3416"/>
      <c r="D245" s="3393" t="s">
        <v>46</v>
      </c>
      <c r="E245" s="3393" t="s">
        <v>46</v>
      </c>
      <c r="F245" s="3416"/>
      <c r="G245" s="636"/>
      <c r="H245" s="636" t="s">
        <v>46</v>
      </c>
      <c r="I245" s="636" t="s">
        <v>46</v>
      </c>
      <c r="J245" s="3416" t="s">
        <v>46</v>
      </c>
      <c r="K245" s="3416" t="s">
        <v>46</v>
      </c>
      <c r="L245" s="3416" t="s">
        <v>46</v>
      </c>
      <c r="M245" s="3416"/>
      <c r="N245" s="636"/>
      <c r="O245" s="636" t="s">
        <v>46</v>
      </c>
      <c r="P245" s="636" t="s">
        <v>46</v>
      </c>
      <c r="Q245" s="3416" t="s">
        <v>46</v>
      </c>
      <c r="R245" s="3416" t="s">
        <v>46</v>
      </c>
      <c r="S245" s="3416" t="s">
        <v>46</v>
      </c>
      <c r="T245" s="3416"/>
      <c r="U245" s="636"/>
      <c r="V245" s="636" t="s">
        <v>46</v>
      </c>
      <c r="W245" s="636" t="s">
        <v>46</v>
      </c>
      <c r="X245" s="3416" t="s">
        <v>46</v>
      </c>
      <c r="Y245" s="3416" t="s">
        <v>46</v>
      </c>
      <c r="Z245" s="3416" t="s">
        <v>46</v>
      </c>
      <c r="AA245" s="3416"/>
      <c r="AB245" s="636"/>
      <c r="AC245" s="636" t="s">
        <v>46</v>
      </c>
      <c r="AD245" s="636" t="s">
        <v>46</v>
      </c>
      <c r="AE245" s="3416" t="s">
        <v>46</v>
      </c>
      <c r="AF245" s="3416" t="s">
        <v>46</v>
      </c>
      <c r="AG245" s="3417" t="s">
        <v>46</v>
      </c>
      <c r="AH245" s="115"/>
      <c r="AI245" s="116"/>
    </row>
    <row r="246" spans="1:35" ht="18" customHeight="1" x14ac:dyDescent="0.2">
      <c r="A246" s="3418">
        <v>3701</v>
      </c>
      <c r="B246" s="3420" t="s">
        <v>352</v>
      </c>
      <c r="C246" s="3416"/>
      <c r="D246" s="3416"/>
      <c r="E246" s="3416"/>
      <c r="F246" s="3416"/>
      <c r="G246" s="636"/>
      <c r="H246" s="636"/>
      <c r="I246" s="636"/>
      <c r="J246" s="3416"/>
      <c r="K246" s="3416"/>
      <c r="L246" s="3416"/>
      <c r="M246" s="3416"/>
      <c r="N246" s="636"/>
      <c r="O246" s="636"/>
      <c r="P246" s="636"/>
      <c r="Q246" s="3416"/>
      <c r="R246" s="3416"/>
      <c r="S246" s="3416"/>
      <c r="T246" s="3416"/>
      <c r="U246" s="636"/>
      <c r="V246" s="636"/>
      <c r="W246" s="636"/>
      <c r="X246" s="3416"/>
      <c r="Y246" s="3416"/>
      <c r="Z246" s="3416"/>
      <c r="AA246" s="3416"/>
      <c r="AB246" s="636"/>
      <c r="AC246" s="636"/>
      <c r="AD246" s="636"/>
      <c r="AE246" s="3416"/>
      <c r="AF246" s="3416"/>
      <c r="AG246" s="3417"/>
      <c r="AH246" s="115"/>
      <c r="AI246" s="116"/>
    </row>
    <row r="247" spans="1:35" ht="18" customHeight="1" x14ac:dyDescent="0.2">
      <c r="A247" s="3418">
        <v>3701</v>
      </c>
      <c r="B247" s="3391" t="s">
        <v>353</v>
      </c>
      <c r="C247" s="3416"/>
      <c r="D247" s="3416" t="s">
        <v>46</v>
      </c>
      <c r="E247" s="3416" t="s">
        <v>46</v>
      </c>
      <c r="F247" s="3416"/>
      <c r="G247" s="636"/>
      <c r="H247" s="636" t="s">
        <v>46</v>
      </c>
      <c r="I247" s="636" t="s">
        <v>46</v>
      </c>
      <c r="J247" s="3416" t="s">
        <v>46</v>
      </c>
      <c r="K247" s="3389" t="s">
        <v>46</v>
      </c>
      <c r="L247" s="3389" t="s">
        <v>46</v>
      </c>
      <c r="M247" s="3416"/>
      <c r="N247" s="635"/>
      <c r="O247" s="636" t="s">
        <v>46</v>
      </c>
      <c r="P247" s="636" t="s">
        <v>46</v>
      </c>
      <c r="Q247" s="3416" t="s">
        <v>46</v>
      </c>
      <c r="R247" s="3416" t="s">
        <v>46</v>
      </c>
      <c r="S247" s="3416" t="s">
        <v>46</v>
      </c>
      <c r="T247" s="3416"/>
      <c r="U247" s="636"/>
      <c r="V247" s="636" t="s">
        <v>46</v>
      </c>
      <c r="W247" s="636" t="s">
        <v>46</v>
      </c>
      <c r="X247" s="3416" t="s">
        <v>46</v>
      </c>
      <c r="Y247" s="3416" t="s">
        <v>46</v>
      </c>
      <c r="Z247" s="3416" t="s">
        <v>46</v>
      </c>
      <c r="AA247" s="3416"/>
      <c r="AB247" s="636"/>
      <c r="AC247" s="636" t="s">
        <v>46</v>
      </c>
      <c r="AD247" s="636" t="s">
        <v>46</v>
      </c>
      <c r="AE247" s="3416" t="s">
        <v>46</v>
      </c>
      <c r="AF247" s="3416" t="s">
        <v>46</v>
      </c>
      <c r="AG247" s="3417" t="s">
        <v>46</v>
      </c>
      <c r="AH247" s="115"/>
      <c r="AI247" s="116"/>
    </row>
    <row r="248" spans="1:35" ht="18" customHeight="1" x14ac:dyDescent="0.2">
      <c r="A248" s="3418">
        <v>3701</v>
      </c>
      <c r="B248" s="3391" t="s">
        <v>354</v>
      </c>
      <c r="C248" s="3416"/>
      <c r="D248" s="3393" t="s">
        <v>46</v>
      </c>
      <c r="E248" s="3393" t="s">
        <v>46</v>
      </c>
      <c r="F248" s="3416"/>
      <c r="G248" s="636"/>
      <c r="H248" s="799" t="s">
        <v>46</v>
      </c>
      <c r="I248" s="636" t="s">
        <v>46</v>
      </c>
      <c r="J248" s="3416" t="s">
        <v>46</v>
      </c>
      <c r="K248" s="3416" t="s">
        <v>46</v>
      </c>
      <c r="L248" s="3416" t="s">
        <v>46</v>
      </c>
      <c r="M248" s="3416"/>
      <c r="N248" s="636"/>
      <c r="O248" s="3393" t="s">
        <v>46</v>
      </c>
      <c r="P248" s="636" t="s">
        <v>46</v>
      </c>
      <c r="Q248" s="3416" t="s">
        <v>46</v>
      </c>
      <c r="R248" s="3416" t="s">
        <v>46</v>
      </c>
      <c r="S248" s="3416" t="s">
        <v>46</v>
      </c>
      <c r="T248" s="3416"/>
      <c r="U248" s="636"/>
      <c r="V248" s="636" t="s">
        <v>46</v>
      </c>
      <c r="W248" s="636" t="s">
        <v>46</v>
      </c>
      <c r="X248" s="3416" t="s">
        <v>46</v>
      </c>
      <c r="Y248" s="3416" t="s">
        <v>46</v>
      </c>
      <c r="Z248" s="3416" t="s">
        <v>46</v>
      </c>
      <c r="AA248" s="3416"/>
      <c r="AB248" s="636"/>
      <c r="AC248" s="636" t="s">
        <v>46</v>
      </c>
      <c r="AD248" s="636" t="s">
        <v>46</v>
      </c>
      <c r="AE248" s="3416" t="s">
        <v>46</v>
      </c>
      <c r="AF248" s="3416" t="s">
        <v>46</v>
      </c>
      <c r="AG248" s="3417" t="s">
        <v>46</v>
      </c>
      <c r="AH248" s="115"/>
      <c r="AI248" s="116"/>
    </row>
    <row r="249" spans="1:35" ht="18" customHeight="1" x14ac:dyDescent="0.2">
      <c r="A249" s="3418">
        <v>3701</v>
      </c>
      <c r="B249" s="3391" t="s">
        <v>355</v>
      </c>
      <c r="C249" s="3416"/>
      <c r="D249" s="3416" t="s">
        <v>46</v>
      </c>
      <c r="E249" s="3416" t="s">
        <v>46</v>
      </c>
      <c r="F249" s="3416"/>
      <c r="G249" s="636"/>
      <c r="H249" s="799" t="s">
        <v>46</v>
      </c>
      <c r="I249" s="636" t="s">
        <v>46</v>
      </c>
      <c r="J249" s="3416" t="s">
        <v>46</v>
      </c>
      <c r="K249" s="3416" t="s">
        <v>46</v>
      </c>
      <c r="L249" s="3416" t="s">
        <v>46</v>
      </c>
      <c r="M249" s="3416"/>
      <c r="N249" s="636"/>
      <c r="O249" s="636" t="s">
        <v>46</v>
      </c>
      <c r="P249" s="636" t="s">
        <v>46</v>
      </c>
      <c r="Q249" s="3393" t="s">
        <v>46</v>
      </c>
      <c r="R249" s="3416" t="s">
        <v>46</v>
      </c>
      <c r="S249" s="3416" t="s">
        <v>46</v>
      </c>
      <c r="T249" s="3416"/>
      <c r="U249" s="636"/>
      <c r="V249" s="636" t="s">
        <v>46</v>
      </c>
      <c r="W249" s="636" t="s">
        <v>46</v>
      </c>
      <c r="X249" s="3416" t="s">
        <v>46</v>
      </c>
      <c r="Y249" s="3416" t="s">
        <v>46</v>
      </c>
      <c r="Z249" s="3416" t="s">
        <v>46</v>
      </c>
      <c r="AA249" s="3416"/>
      <c r="AB249" s="636"/>
      <c r="AC249" s="636" t="s">
        <v>46</v>
      </c>
      <c r="AD249" s="636" t="s">
        <v>46</v>
      </c>
      <c r="AE249" s="3416" t="s">
        <v>46</v>
      </c>
      <c r="AF249" s="3416" t="s">
        <v>46</v>
      </c>
      <c r="AG249" s="3417" t="s">
        <v>46</v>
      </c>
      <c r="AH249" s="115"/>
      <c r="AI249" s="116"/>
    </row>
    <row r="250" spans="1:35" ht="18" customHeight="1" x14ac:dyDescent="0.2">
      <c r="A250" s="3418">
        <v>3701</v>
      </c>
      <c r="B250" s="3420" t="s">
        <v>357</v>
      </c>
      <c r="C250" s="3416"/>
      <c r="D250" s="3416"/>
      <c r="E250" s="3416"/>
      <c r="F250" s="3416"/>
      <c r="G250" s="636"/>
      <c r="H250" s="636"/>
      <c r="I250" s="636"/>
      <c r="J250" s="3416"/>
      <c r="K250" s="3416"/>
      <c r="L250" s="3416"/>
      <c r="M250" s="3416"/>
      <c r="N250" s="636"/>
      <c r="O250" s="636"/>
      <c r="P250" s="636"/>
      <c r="Q250" s="3416"/>
      <c r="R250" s="3416"/>
      <c r="S250" s="3416"/>
      <c r="T250" s="3416"/>
      <c r="U250" s="636"/>
      <c r="V250" s="636"/>
      <c r="W250" s="636"/>
      <c r="X250" s="3416"/>
      <c r="Y250" s="3416"/>
      <c r="Z250" s="3416"/>
      <c r="AA250" s="3416"/>
      <c r="AB250" s="636"/>
      <c r="AC250" s="636"/>
      <c r="AD250" s="636"/>
      <c r="AE250" s="3416"/>
      <c r="AF250" s="3416"/>
      <c r="AG250" s="3417"/>
      <c r="AH250" s="115"/>
      <c r="AI250" s="116"/>
    </row>
    <row r="251" spans="1:35" ht="18" customHeight="1" x14ac:dyDescent="0.2">
      <c r="A251" s="3418">
        <v>3701</v>
      </c>
      <c r="B251" s="3391" t="s">
        <v>358</v>
      </c>
      <c r="C251" s="3416"/>
      <c r="D251" s="3421" t="s">
        <v>46</v>
      </c>
      <c r="E251" s="3421" t="s">
        <v>46</v>
      </c>
      <c r="F251" s="3416"/>
      <c r="G251" s="636"/>
      <c r="H251" s="636" t="s">
        <v>46</v>
      </c>
      <c r="I251" s="636" t="s">
        <v>46</v>
      </c>
      <c r="J251" s="3416" t="s">
        <v>46</v>
      </c>
      <c r="K251" s="3416" t="s">
        <v>46</v>
      </c>
      <c r="L251" s="3416" t="s">
        <v>46</v>
      </c>
      <c r="M251" s="3416"/>
      <c r="N251" s="635"/>
      <c r="O251" s="3393" t="s">
        <v>46</v>
      </c>
      <c r="P251" s="636" t="s">
        <v>46</v>
      </c>
      <c r="Q251" s="3416" t="s">
        <v>46</v>
      </c>
      <c r="R251" s="3416" t="s">
        <v>46</v>
      </c>
      <c r="S251" s="3416" t="s">
        <v>46</v>
      </c>
      <c r="T251" s="3416"/>
      <c r="U251" s="636"/>
      <c r="V251" s="636" t="s">
        <v>46</v>
      </c>
      <c r="W251" s="636" t="s">
        <v>46</v>
      </c>
      <c r="X251" s="3416" t="s">
        <v>46</v>
      </c>
      <c r="Y251" s="3416" t="s">
        <v>46</v>
      </c>
      <c r="Z251" s="3416" t="s">
        <v>46</v>
      </c>
      <c r="AA251" s="3416"/>
      <c r="AB251" s="636"/>
      <c r="AC251" s="636" t="s">
        <v>46</v>
      </c>
      <c r="AD251" s="636" t="s">
        <v>46</v>
      </c>
      <c r="AE251" s="3416" t="s">
        <v>46</v>
      </c>
      <c r="AF251" s="3416" t="s">
        <v>46</v>
      </c>
      <c r="AG251" s="3417" t="s">
        <v>46</v>
      </c>
      <c r="AH251" s="115"/>
      <c r="AI251" s="116"/>
    </row>
    <row r="252" spans="1:35" ht="18" customHeight="1" x14ac:dyDescent="0.2">
      <c r="A252" s="3418">
        <v>3701</v>
      </c>
      <c r="B252" s="3391" t="s">
        <v>541</v>
      </c>
      <c r="C252" s="3416"/>
      <c r="D252" s="3416" t="s">
        <v>46</v>
      </c>
      <c r="E252" s="3416" t="s">
        <v>46</v>
      </c>
      <c r="F252" s="3416"/>
      <c r="G252" s="636"/>
      <c r="H252" s="636" t="s">
        <v>46</v>
      </c>
      <c r="I252" s="636" t="s">
        <v>46</v>
      </c>
      <c r="J252" s="3416" t="s">
        <v>46</v>
      </c>
      <c r="K252" s="3416" t="s">
        <v>46</v>
      </c>
      <c r="L252" s="3416" t="s">
        <v>46</v>
      </c>
      <c r="M252" s="3416"/>
      <c r="N252" s="636"/>
      <c r="O252" s="636" t="s">
        <v>46</v>
      </c>
      <c r="P252" s="636" t="s">
        <v>46</v>
      </c>
      <c r="Q252" s="3416" t="s">
        <v>46</v>
      </c>
      <c r="R252" s="3416" t="s">
        <v>46</v>
      </c>
      <c r="S252" s="3416" t="s">
        <v>46</v>
      </c>
      <c r="T252" s="3416"/>
      <c r="U252" s="636"/>
      <c r="V252" s="636" t="s">
        <v>46</v>
      </c>
      <c r="W252" s="636" t="s">
        <v>46</v>
      </c>
      <c r="X252" s="3416" t="s">
        <v>46</v>
      </c>
      <c r="Y252" s="3416" t="s">
        <v>46</v>
      </c>
      <c r="Z252" s="3416" t="s">
        <v>46</v>
      </c>
      <c r="AA252" s="3416"/>
      <c r="AB252" s="636"/>
      <c r="AC252" s="636" t="s">
        <v>46</v>
      </c>
      <c r="AD252" s="636" t="s">
        <v>46</v>
      </c>
      <c r="AE252" s="3416" t="s">
        <v>46</v>
      </c>
      <c r="AF252" s="3416" t="s">
        <v>46</v>
      </c>
      <c r="AG252" s="3417" t="s">
        <v>46</v>
      </c>
      <c r="AH252" s="115"/>
      <c r="AI252" s="116"/>
    </row>
    <row r="253" spans="1:35" ht="18" customHeight="1" x14ac:dyDescent="0.2">
      <c r="A253" s="3422">
        <v>3701</v>
      </c>
      <c r="B253" s="3391" t="s">
        <v>360</v>
      </c>
      <c r="C253" s="3416"/>
      <c r="D253" s="3416" t="s">
        <v>46</v>
      </c>
      <c r="E253" s="3416" t="s">
        <v>46</v>
      </c>
      <c r="F253" s="3416"/>
      <c r="G253" s="636"/>
      <c r="H253" s="799" t="s">
        <v>46</v>
      </c>
      <c r="I253" s="636" t="s">
        <v>46</v>
      </c>
      <c r="J253" s="3416" t="s">
        <v>46</v>
      </c>
      <c r="K253" s="3416" t="s">
        <v>46</v>
      </c>
      <c r="L253" s="3416" t="s">
        <v>46</v>
      </c>
      <c r="M253" s="3416"/>
      <c r="N253" s="636"/>
      <c r="O253" s="636" t="s">
        <v>46</v>
      </c>
      <c r="P253" s="636" t="s">
        <v>46</v>
      </c>
      <c r="Q253" s="3416" t="s">
        <v>46</v>
      </c>
      <c r="R253" s="3416" t="s">
        <v>46</v>
      </c>
      <c r="S253" s="3416" t="s">
        <v>46</v>
      </c>
      <c r="T253" s="3416"/>
      <c r="U253" s="636"/>
      <c r="V253" s="636" t="s">
        <v>46</v>
      </c>
      <c r="W253" s="636" t="s">
        <v>46</v>
      </c>
      <c r="X253" s="3416" t="s">
        <v>46</v>
      </c>
      <c r="Y253" s="3416" t="s">
        <v>46</v>
      </c>
      <c r="Z253" s="3416" t="s">
        <v>46</v>
      </c>
      <c r="AA253" s="3416"/>
      <c r="AB253" s="636"/>
      <c r="AC253" s="636" t="s">
        <v>46</v>
      </c>
      <c r="AD253" s="636" t="s">
        <v>46</v>
      </c>
      <c r="AE253" s="3416" t="s">
        <v>46</v>
      </c>
      <c r="AF253" s="3416" t="s">
        <v>46</v>
      </c>
      <c r="AG253" s="3417" t="s">
        <v>46</v>
      </c>
      <c r="AH253" s="115"/>
      <c r="AI253" s="116"/>
    </row>
    <row r="254" spans="1:35" ht="18" customHeight="1" x14ac:dyDescent="0.2">
      <c r="A254" s="3418">
        <v>3701</v>
      </c>
      <c r="B254" s="3391" t="s">
        <v>361</v>
      </c>
      <c r="C254" s="3416"/>
      <c r="D254" s="3416" t="s">
        <v>46</v>
      </c>
      <c r="E254" s="3416" t="s">
        <v>46</v>
      </c>
      <c r="F254" s="3416"/>
      <c r="G254" s="636"/>
      <c r="H254" s="636" t="s">
        <v>46</v>
      </c>
      <c r="I254" s="636" t="s">
        <v>46</v>
      </c>
      <c r="J254" s="3416" t="s">
        <v>46</v>
      </c>
      <c r="K254" s="3416" t="s">
        <v>46</v>
      </c>
      <c r="L254" s="3416" t="s">
        <v>46</v>
      </c>
      <c r="M254" s="3416"/>
      <c r="N254" s="635"/>
      <c r="O254" s="636" t="s">
        <v>46</v>
      </c>
      <c r="P254" s="636" t="s">
        <v>46</v>
      </c>
      <c r="Q254" s="3416" t="s">
        <v>46</v>
      </c>
      <c r="R254" s="3416" t="s">
        <v>46</v>
      </c>
      <c r="S254" s="3416" t="s">
        <v>46</v>
      </c>
      <c r="T254" s="3416"/>
      <c r="U254" s="636"/>
      <c r="V254" s="636" t="s">
        <v>46</v>
      </c>
      <c r="W254" s="636" t="s">
        <v>46</v>
      </c>
      <c r="X254" s="3416" t="s">
        <v>46</v>
      </c>
      <c r="Y254" s="3416" t="s">
        <v>46</v>
      </c>
      <c r="Z254" s="3416" t="s">
        <v>46</v>
      </c>
      <c r="AA254" s="3416"/>
      <c r="AB254" s="636"/>
      <c r="AC254" s="636" t="s">
        <v>46</v>
      </c>
      <c r="AD254" s="636" t="s">
        <v>46</v>
      </c>
      <c r="AE254" s="3416" t="s">
        <v>46</v>
      </c>
      <c r="AF254" s="3416" t="s">
        <v>46</v>
      </c>
      <c r="AG254" s="3417" t="s">
        <v>46</v>
      </c>
      <c r="AH254" s="115"/>
      <c r="AI254" s="116"/>
    </row>
    <row r="255" spans="1:35" ht="18" customHeight="1" x14ac:dyDescent="0.2">
      <c r="A255" s="3418">
        <v>3701</v>
      </c>
      <c r="B255" s="3391" t="s">
        <v>362</v>
      </c>
      <c r="C255" s="3416"/>
      <c r="D255" s="3416" t="s">
        <v>46</v>
      </c>
      <c r="E255" s="3416" t="s">
        <v>46</v>
      </c>
      <c r="F255" s="3416"/>
      <c r="G255" s="636"/>
      <c r="H255" s="636" t="s">
        <v>46</v>
      </c>
      <c r="I255" s="636" t="s">
        <v>46</v>
      </c>
      <c r="J255" s="3416" t="s">
        <v>46</v>
      </c>
      <c r="K255" s="3416" t="s">
        <v>46</v>
      </c>
      <c r="L255" s="3416" t="s">
        <v>46</v>
      </c>
      <c r="M255" s="3416"/>
      <c r="N255" s="636"/>
      <c r="O255" s="636" t="s">
        <v>46</v>
      </c>
      <c r="P255" s="636" t="s">
        <v>46</v>
      </c>
      <c r="Q255" s="3416" t="s">
        <v>46</v>
      </c>
      <c r="R255" s="3416" t="s">
        <v>46</v>
      </c>
      <c r="S255" s="3416" t="s">
        <v>46</v>
      </c>
      <c r="T255" s="3416"/>
      <c r="U255" s="636"/>
      <c r="V255" s="636" t="s">
        <v>46</v>
      </c>
      <c r="W255" s="636" t="s">
        <v>46</v>
      </c>
      <c r="X255" s="3416" t="s">
        <v>46</v>
      </c>
      <c r="Y255" s="3416" t="s">
        <v>46</v>
      </c>
      <c r="Z255" s="3416" t="s">
        <v>46</v>
      </c>
      <c r="AA255" s="3416"/>
      <c r="AB255" s="636"/>
      <c r="AC255" s="3423" t="s">
        <v>46</v>
      </c>
      <c r="AD255" s="3423" t="s">
        <v>46</v>
      </c>
      <c r="AE255" s="3416" t="s">
        <v>46</v>
      </c>
      <c r="AF255" s="3416" t="s">
        <v>46</v>
      </c>
      <c r="AG255" s="3417" t="s">
        <v>46</v>
      </c>
      <c r="AH255" s="115"/>
      <c r="AI255" s="116"/>
    </row>
    <row r="256" spans="1:35" ht="18" customHeight="1" x14ac:dyDescent="0.2">
      <c r="A256" s="3418"/>
      <c r="B256" s="3391" t="s">
        <v>363</v>
      </c>
      <c r="C256" s="3416"/>
      <c r="D256" s="3416" t="s">
        <v>46</v>
      </c>
      <c r="E256" s="3416" t="s">
        <v>46</v>
      </c>
      <c r="F256" s="3416"/>
      <c r="G256" s="636"/>
      <c r="H256" s="636" t="s">
        <v>46</v>
      </c>
      <c r="I256" s="636" t="s">
        <v>46</v>
      </c>
      <c r="J256" s="3416" t="s">
        <v>46</v>
      </c>
      <c r="K256" s="3416" t="s">
        <v>46</v>
      </c>
      <c r="L256" s="3416" t="s">
        <v>46</v>
      </c>
      <c r="M256" s="3416"/>
      <c r="N256" s="636"/>
      <c r="O256" s="636" t="s">
        <v>46</v>
      </c>
      <c r="P256" s="636" t="s">
        <v>46</v>
      </c>
      <c r="Q256" s="3416" t="s">
        <v>46</v>
      </c>
      <c r="R256" s="3416" t="s">
        <v>46</v>
      </c>
      <c r="S256" s="3416" t="s">
        <v>46</v>
      </c>
      <c r="T256" s="3416"/>
      <c r="U256" s="636"/>
      <c r="V256" s="636" t="s">
        <v>46</v>
      </c>
      <c r="W256" s="636" t="s">
        <v>46</v>
      </c>
      <c r="X256" s="3416" t="s">
        <v>46</v>
      </c>
      <c r="Y256" s="3416" t="s">
        <v>46</v>
      </c>
      <c r="Z256" s="3416" t="s">
        <v>46</v>
      </c>
      <c r="AA256" s="3416"/>
      <c r="AB256" s="636"/>
      <c r="AC256" s="636" t="s">
        <v>46</v>
      </c>
      <c r="AD256" s="636" t="s">
        <v>46</v>
      </c>
      <c r="AE256" s="3416" t="s">
        <v>46</v>
      </c>
      <c r="AF256" s="3416" t="s">
        <v>46</v>
      </c>
      <c r="AG256" s="3417" t="s">
        <v>46</v>
      </c>
      <c r="AH256" s="115"/>
      <c r="AI256" s="116"/>
    </row>
    <row r="257" spans="1:35" ht="18" customHeight="1" x14ac:dyDescent="0.2">
      <c r="A257" s="3418"/>
      <c r="B257" s="3391" t="s">
        <v>364</v>
      </c>
      <c r="C257" s="3416"/>
      <c r="D257" s="3416" t="s">
        <v>46</v>
      </c>
      <c r="E257" s="3416" t="s">
        <v>46</v>
      </c>
      <c r="F257" s="3416"/>
      <c r="G257" s="636"/>
      <c r="H257" s="799" t="s">
        <v>46</v>
      </c>
      <c r="I257" s="636" t="s">
        <v>46</v>
      </c>
      <c r="J257" s="3416" t="s">
        <v>46</v>
      </c>
      <c r="K257" s="3416" t="s">
        <v>46</v>
      </c>
      <c r="L257" s="3416" t="s">
        <v>46</v>
      </c>
      <c r="M257" s="3416"/>
      <c r="N257" s="636"/>
      <c r="O257" s="636" t="s">
        <v>46</v>
      </c>
      <c r="P257" s="636" t="s">
        <v>46</v>
      </c>
      <c r="Q257" s="3416" t="s">
        <v>46</v>
      </c>
      <c r="R257" s="3416" t="s">
        <v>46</v>
      </c>
      <c r="S257" s="3416" t="s">
        <v>46</v>
      </c>
      <c r="T257" s="3416"/>
      <c r="U257" s="636"/>
      <c r="V257" s="636" t="s">
        <v>46</v>
      </c>
      <c r="W257" s="636" t="s">
        <v>46</v>
      </c>
      <c r="X257" s="3416" t="s">
        <v>46</v>
      </c>
      <c r="Y257" s="3416" t="s">
        <v>46</v>
      </c>
      <c r="Z257" s="3416" t="s">
        <v>46</v>
      </c>
      <c r="AA257" s="3416"/>
      <c r="AB257" s="636"/>
      <c r="AC257" s="636" t="s">
        <v>46</v>
      </c>
      <c r="AD257" s="636" t="s">
        <v>46</v>
      </c>
      <c r="AE257" s="3416" t="s">
        <v>46</v>
      </c>
      <c r="AF257" s="3416" t="s">
        <v>46</v>
      </c>
      <c r="AG257" s="3417" t="s">
        <v>46</v>
      </c>
      <c r="AH257" s="115"/>
      <c r="AI257" s="116"/>
    </row>
    <row r="258" spans="1:35" ht="18" customHeight="1" x14ac:dyDescent="0.2">
      <c r="A258" s="3418"/>
      <c r="B258" s="3391" t="s">
        <v>365</v>
      </c>
      <c r="C258" s="3416"/>
      <c r="D258" s="3393" t="s">
        <v>46</v>
      </c>
      <c r="E258" s="3393" t="s">
        <v>46</v>
      </c>
      <c r="F258" s="3416"/>
      <c r="G258" s="636"/>
      <c r="H258" s="636" t="s">
        <v>46</v>
      </c>
      <c r="I258" s="636" t="s">
        <v>46</v>
      </c>
      <c r="J258" s="3416" t="s">
        <v>46</v>
      </c>
      <c r="K258" s="3416" t="s">
        <v>46</v>
      </c>
      <c r="L258" s="3416" t="s">
        <v>46</v>
      </c>
      <c r="M258" s="3416"/>
      <c r="N258" s="635"/>
      <c r="O258" s="636" t="s">
        <v>46</v>
      </c>
      <c r="P258" s="636" t="s">
        <v>46</v>
      </c>
      <c r="Q258" s="3416" t="s">
        <v>46</v>
      </c>
      <c r="R258" s="3416" t="s">
        <v>46</v>
      </c>
      <c r="S258" s="3416" t="s">
        <v>46</v>
      </c>
      <c r="T258" s="3416"/>
      <c r="U258" s="636"/>
      <c r="V258" s="636" t="s">
        <v>46</v>
      </c>
      <c r="W258" s="636" t="s">
        <v>46</v>
      </c>
      <c r="X258" s="3416" t="s">
        <v>46</v>
      </c>
      <c r="Y258" s="3416" t="s">
        <v>46</v>
      </c>
      <c r="Z258" s="3416" t="s">
        <v>46</v>
      </c>
      <c r="AA258" s="3416"/>
      <c r="AB258" s="636"/>
      <c r="AC258" s="636" t="s">
        <v>46</v>
      </c>
      <c r="AD258" s="636" t="s">
        <v>46</v>
      </c>
      <c r="AE258" s="3416" t="s">
        <v>46</v>
      </c>
      <c r="AF258" s="3416" t="s">
        <v>46</v>
      </c>
      <c r="AG258" s="3417" t="s">
        <v>46</v>
      </c>
      <c r="AH258" s="115"/>
      <c r="AI258" s="116"/>
    </row>
    <row r="259" spans="1:35" ht="18" customHeight="1" x14ac:dyDescent="0.2">
      <c r="A259" s="3418"/>
      <c r="B259" s="3420" t="s">
        <v>366</v>
      </c>
      <c r="C259" s="3416"/>
      <c r="D259" s="3416"/>
      <c r="E259" s="3416"/>
      <c r="F259" s="3416"/>
      <c r="G259" s="636"/>
      <c r="H259" s="636"/>
      <c r="I259" s="636"/>
      <c r="J259" s="3416"/>
      <c r="K259" s="3416"/>
      <c r="L259" s="3416"/>
      <c r="M259" s="3416"/>
      <c r="N259" s="636"/>
      <c r="O259" s="636"/>
      <c r="P259" s="636"/>
      <c r="Q259" s="3416"/>
      <c r="R259" s="3416"/>
      <c r="S259" s="3416"/>
      <c r="T259" s="3416"/>
      <c r="U259" s="636"/>
      <c r="V259" s="636"/>
      <c r="W259" s="636"/>
      <c r="X259" s="3416"/>
      <c r="Y259" s="3416"/>
      <c r="Z259" s="3416"/>
      <c r="AA259" s="3416"/>
      <c r="AB259" s="636"/>
      <c r="AC259" s="636"/>
      <c r="AD259" s="636"/>
      <c r="AE259" s="3416"/>
      <c r="AF259" s="3416"/>
      <c r="AG259" s="3417"/>
      <c r="AH259" s="115"/>
      <c r="AI259" s="116"/>
    </row>
    <row r="260" spans="1:35" ht="18" customHeight="1" x14ac:dyDescent="0.2">
      <c r="A260" s="3418"/>
      <c r="B260" s="3391" t="s">
        <v>367</v>
      </c>
      <c r="C260" s="3416"/>
      <c r="D260" s="3416" t="s">
        <v>46</v>
      </c>
      <c r="E260" s="3416" t="s">
        <v>46</v>
      </c>
      <c r="F260" s="3416"/>
      <c r="G260" s="636"/>
      <c r="H260" s="636" t="s">
        <v>46</v>
      </c>
      <c r="I260" s="636" t="s">
        <v>46</v>
      </c>
      <c r="J260" s="3416" t="s">
        <v>46</v>
      </c>
      <c r="K260" s="3416" t="s">
        <v>46</v>
      </c>
      <c r="L260" s="3416" t="s">
        <v>46</v>
      </c>
      <c r="M260" s="3416"/>
      <c r="N260" s="635"/>
      <c r="O260" s="636" t="s">
        <v>46</v>
      </c>
      <c r="P260" s="636" t="s">
        <v>46</v>
      </c>
      <c r="Q260" s="3416" t="s">
        <v>46</v>
      </c>
      <c r="R260" s="3416" t="s">
        <v>46</v>
      </c>
      <c r="S260" s="3416" t="s">
        <v>46</v>
      </c>
      <c r="T260" s="3416"/>
      <c r="U260" s="636"/>
      <c r="V260" s="636" t="s">
        <v>46</v>
      </c>
      <c r="W260" s="636" t="s">
        <v>46</v>
      </c>
      <c r="X260" s="3416" t="s">
        <v>46</v>
      </c>
      <c r="Y260" s="3416" t="s">
        <v>46</v>
      </c>
      <c r="Z260" s="3416" t="s">
        <v>46</v>
      </c>
      <c r="AA260" s="3416"/>
      <c r="AB260" s="636"/>
      <c r="AC260" s="636" t="s">
        <v>46</v>
      </c>
      <c r="AD260" s="636" t="s">
        <v>46</v>
      </c>
      <c r="AE260" s="3423" t="s">
        <v>46</v>
      </c>
      <c r="AF260" s="3416" t="s">
        <v>46</v>
      </c>
      <c r="AG260" s="3417" t="s">
        <v>46</v>
      </c>
      <c r="AH260" s="115"/>
      <c r="AI260" s="116"/>
    </row>
    <row r="261" spans="1:35" ht="18" customHeight="1" x14ac:dyDescent="0.2">
      <c r="A261" s="3418"/>
      <c r="B261" s="3391" t="s">
        <v>368</v>
      </c>
      <c r="C261" s="3416"/>
      <c r="D261" s="3416" t="s">
        <v>46</v>
      </c>
      <c r="E261" s="3416" t="s">
        <v>46</v>
      </c>
      <c r="F261" s="3416"/>
      <c r="G261" s="636"/>
      <c r="H261" s="636" t="s">
        <v>46</v>
      </c>
      <c r="I261" s="636" t="s">
        <v>46</v>
      </c>
      <c r="J261" s="3416" t="s">
        <v>46</v>
      </c>
      <c r="K261" s="3416" t="s">
        <v>46</v>
      </c>
      <c r="L261" s="3416" t="s">
        <v>46</v>
      </c>
      <c r="M261" s="3416"/>
      <c r="N261" s="636"/>
      <c r="O261" s="636" t="s">
        <v>46</v>
      </c>
      <c r="P261" s="636" t="s">
        <v>46</v>
      </c>
      <c r="Q261" s="3416" t="s">
        <v>46</v>
      </c>
      <c r="R261" s="3416" t="s">
        <v>46</v>
      </c>
      <c r="S261" s="3416" t="s">
        <v>46</v>
      </c>
      <c r="T261" s="3416"/>
      <c r="U261" s="636"/>
      <c r="V261" s="636" t="s">
        <v>46</v>
      </c>
      <c r="W261" s="636" t="s">
        <v>46</v>
      </c>
      <c r="X261" s="3416" t="s">
        <v>46</v>
      </c>
      <c r="Y261" s="3416" t="s">
        <v>46</v>
      </c>
      <c r="Z261" s="3416" t="s">
        <v>46</v>
      </c>
      <c r="AA261" s="3416"/>
      <c r="AB261" s="636"/>
      <c r="AC261" s="636" t="s">
        <v>46</v>
      </c>
      <c r="AD261" s="636" t="s">
        <v>46</v>
      </c>
      <c r="AE261" s="3416" t="s">
        <v>46</v>
      </c>
      <c r="AF261" s="3416" t="s">
        <v>46</v>
      </c>
      <c r="AG261" s="3417" t="s">
        <v>46</v>
      </c>
      <c r="AH261" s="115"/>
      <c r="AI261" s="116"/>
    </row>
    <row r="262" spans="1:35" ht="18" customHeight="1" x14ac:dyDescent="0.2">
      <c r="A262" s="3418"/>
      <c r="B262" s="3391"/>
      <c r="C262" s="3416"/>
      <c r="D262" s="3416" t="s">
        <v>46</v>
      </c>
      <c r="E262" s="3416" t="s">
        <v>46</v>
      </c>
      <c r="F262" s="3416"/>
      <c r="G262" s="636"/>
      <c r="H262" s="799" t="s">
        <v>46</v>
      </c>
      <c r="I262" s="636" t="s">
        <v>46</v>
      </c>
      <c r="J262" s="3416" t="s">
        <v>46</v>
      </c>
      <c r="K262" s="3416" t="s">
        <v>46</v>
      </c>
      <c r="L262" s="3416" t="s">
        <v>46</v>
      </c>
      <c r="M262" s="3416"/>
      <c r="N262" s="636"/>
      <c r="O262" s="636" t="s">
        <v>46</v>
      </c>
      <c r="P262" s="636" t="s">
        <v>46</v>
      </c>
      <c r="Q262" s="3416" t="s">
        <v>46</v>
      </c>
      <c r="R262" s="3416" t="s">
        <v>46</v>
      </c>
      <c r="S262" s="3416" t="s">
        <v>46</v>
      </c>
      <c r="T262" s="3416"/>
      <c r="U262" s="636"/>
      <c r="V262" s="636" t="s">
        <v>46</v>
      </c>
      <c r="W262" s="636" t="s">
        <v>46</v>
      </c>
      <c r="X262" s="3416" t="s">
        <v>46</v>
      </c>
      <c r="Y262" s="3416" t="s">
        <v>46</v>
      </c>
      <c r="Z262" s="3416" t="s">
        <v>46</v>
      </c>
      <c r="AA262" s="3416"/>
      <c r="AB262" s="636"/>
      <c r="AC262" s="636" t="s">
        <v>46</v>
      </c>
      <c r="AD262" s="636" t="s">
        <v>46</v>
      </c>
      <c r="AE262" s="3416" t="s">
        <v>46</v>
      </c>
      <c r="AF262" s="3416" t="s">
        <v>46</v>
      </c>
      <c r="AG262" s="3417" t="s">
        <v>46</v>
      </c>
      <c r="AH262" s="112"/>
      <c r="AI262" s="67"/>
    </row>
    <row r="263" spans="1:35" ht="18" customHeight="1" x14ac:dyDescent="0.2">
      <c r="A263" s="3418"/>
      <c r="B263" s="3391" t="s">
        <v>369</v>
      </c>
      <c r="C263" s="3416"/>
      <c r="D263" s="3389" t="s">
        <v>46</v>
      </c>
      <c r="E263" s="3389" t="s">
        <v>46</v>
      </c>
      <c r="F263" s="3389"/>
      <c r="G263" s="805"/>
      <c r="H263" s="805" t="s">
        <v>46</v>
      </c>
      <c r="I263" s="805" t="s">
        <v>46</v>
      </c>
      <c r="J263" s="3389" t="s">
        <v>46</v>
      </c>
      <c r="K263" s="3389" t="s">
        <v>46</v>
      </c>
      <c r="L263" s="3389" t="s">
        <v>46</v>
      </c>
      <c r="M263" s="3389"/>
      <c r="N263" s="805"/>
      <c r="O263" s="805" t="s">
        <v>46</v>
      </c>
      <c r="P263" s="805" t="s">
        <v>46</v>
      </c>
      <c r="Q263" s="3389" t="s">
        <v>46</v>
      </c>
      <c r="R263" s="3389" t="s">
        <v>46</v>
      </c>
      <c r="S263" s="3389" t="s">
        <v>46</v>
      </c>
      <c r="T263" s="3389"/>
      <c r="U263" s="805"/>
      <c r="V263" s="805" t="s">
        <v>46</v>
      </c>
      <c r="W263" s="805" t="s">
        <v>46</v>
      </c>
      <c r="X263" s="3389" t="s">
        <v>46</v>
      </c>
      <c r="Y263" s="3389" t="s">
        <v>46</v>
      </c>
      <c r="Z263" s="3389" t="s">
        <v>46</v>
      </c>
      <c r="AA263" s="3389"/>
      <c r="AB263" s="805"/>
      <c r="AC263" s="805" t="s">
        <v>46</v>
      </c>
      <c r="AD263" s="805" t="s">
        <v>46</v>
      </c>
      <c r="AE263" s="3389" t="s">
        <v>46</v>
      </c>
      <c r="AF263" s="3389" t="s">
        <v>46</v>
      </c>
      <c r="AG263" s="3424" t="s">
        <v>46</v>
      </c>
      <c r="AH263" s="112"/>
      <c r="AI263" s="67"/>
    </row>
    <row r="264" spans="1:35" ht="18" customHeight="1" x14ac:dyDescent="0.2">
      <c r="A264" s="638"/>
      <c r="B264" s="2629"/>
      <c r="C264" s="636"/>
      <c r="D264" s="636"/>
      <c r="E264" s="636"/>
      <c r="F264" s="636"/>
      <c r="G264" s="636"/>
      <c r="H264" s="636"/>
      <c r="I264" s="636"/>
      <c r="J264" s="636"/>
      <c r="K264" s="636"/>
      <c r="L264" s="636"/>
      <c r="M264" s="636"/>
      <c r="N264" s="636"/>
      <c r="O264" s="636"/>
      <c r="P264" s="636"/>
      <c r="Q264" s="636"/>
      <c r="R264" s="636"/>
      <c r="S264" s="636"/>
      <c r="T264" s="636"/>
      <c r="U264" s="636"/>
      <c r="V264" s="636"/>
      <c r="W264" s="636"/>
      <c r="X264" s="636"/>
      <c r="Y264" s="636"/>
      <c r="Z264" s="636"/>
      <c r="AA264" s="636"/>
      <c r="AB264" s="636"/>
      <c r="AC264" s="636"/>
      <c r="AD264" s="636"/>
      <c r="AE264" s="636"/>
      <c r="AF264" s="636"/>
      <c r="AG264" s="3417"/>
      <c r="AH264" s="112"/>
      <c r="AI264" s="67"/>
    </row>
    <row r="265" spans="1:35" ht="18" customHeight="1" x14ac:dyDescent="0.2">
      <c r="A265" s="638"/>
      <c r="B265" s="3391"/>
      <c r="C265" s="636"/>
      <c r="D265" s="636"/>
      <c r="E265" s="636"/>
      <c r="F265" s="636"/>
      <c r="G265" s="636"/>
      <c r="H265" s="636"/>
      <c r="I265" s="636"/>
      <c r="J265" s="636"/>
      <c r="K265" s="636"/>
      <c r="L265" s="636"/>
      <c r="M265" s="636"/>
      <c r="N265" s="799"/>
      <c r="O265" s="799"/>
      <c r="P265" s="799"/>
      <c r="Q265" s="3343"/>
      <c r="R265" s="799"/>
      <c r="S265" s="636"/>
      <c r="T265" s="636"/>
      <c r="U265" s="799"/>
      <c r="V265" s="799"/>
      <c r="W265" s="799"/>
      <c r="X265" s="636"/>
      <c r="Y265" s="799"/>
      <c r="Z265" s="636"/>
      <c r="AA265" s="636"/>
      <c r="AB265" s="636"/>
      <c r="AC265" s="636"/>
      <c r="AD265" s="636"/>
      <c r="AE265" s="636"/>
      <c r="AF265" s="799"/>
      <c r="AG265" s="3425"/>
      <c r="AH265" s="112"/>
      <c r="AI265" s="67"/>
    </row>
    <row r="266" spans="1:35" ht="18" customHeight="1" x14ac:dyDescent="0.2">
      <c r="A266" s="638"/>
      <c r="B266" s="638"/>
      <c r="C266" s="636"/>
      <c r="D266" s="636"/>
      <c r="E266" s="636"/>
      <c r="F266" s="636"/>
      <c r="G266" s="636"/>
      <c r="H266" s="636"/>
      <c r="I266" s="636"/>
      <c r="J266" s="636"/>
      <c r="K266" s="636"/>
      <c r="L266" s="636"/>
      <c r="M266" s="636"/>
      <c r="N266" s="636"/>
      <c r="O266" s="636"/>
      <c r="P266" s="636"/>
      <c r="Q266" s="636"/>
      <c r="R266" s="636"/>
      <c r="S266" s="636"/>
      <c r="T266" s="636"/>
      <c r="U266" s="636"/>
      <c r="V266" s="636"/>
      <c r="W266" s="636"/>
      <c r="X266" s="636"/>
      <c r="Y266" s="636"/>
      <c r="Z266" s="636"/>
      <c r="AA266" s="636"/>
      <c r="AB266" s="636"/>
      <c r="AC266" s="636"/>
      <c r="AD266" s="636"/>
      <c r="AE266" s="636"/>
      <c r="AF266" s="636"/>
      <c r="AG266" s="3417"/>
      <c r="AH266" s="112"/>
      <c r="AI266" s="67"/>
    </row>
    <row r="267" spans="1:35" ht="18" customHeight="1" x14ac:dyDescent="0.2">
      <c r="A267" s="638"/>
      <c r="B267" s="638"/>
      <c r="C267" s="636"/>
      <c r="D267" s="636"/>
      <c r="E267" s="636"/>
      <c r="F267" s="636"/>
      <c r="G267" s="636"/>
      <c r="H267" s="3426"/>
      <c r="I267" s="636"/>
      <c r="J267" s="636"/>
      <c r="K267" s="636"/>
      <c r="L267" s="636"/>
      <c r="M267" s="636"/>
      <c r="N267" s="636"/>
      <c r="O267" s="636"/>
      <c r="P267" s="636"/>
      <c r="Q267" s="636"/>
      <c r="R267" s="636"/>
      <c r="S267" s="636"/>
      <c r="T267" s="636"/>
      <c r="U267" s="636"/>
      <c r="V267" s="636"/>
      <c r="W267" s="636"/>
      <c r="X267" s="636"/>
      <c r="Y267" s="636"/>
      <c r="Z267" s="636"/>
      <c r="AA267" s="636"/>
      <c r="AB267" s="636"/>
      <c r="AC267" s="636"/>
      <c r="AD267" s="636"/>
      <c r="AE267" s="636"/>
      <c r="AF267" s="636"/>
      <c r="AG267" s="3427"/>
      <c r="AH267" s="112"/>
      <c r="AI267" s="67"/>
    </row>
    <row r="268" spans="1:35" ht="18" customHeight="1" x14ac:dyDescent="0.2">
      <c r="A268" s="3418"/>
      <c r="B268" s="3428"/>
      <c r="C268" s="636"/>
      <c r="D268" s="636"/>
      <c r="E268" s="636"/>
      <c r="F268" s="636"/>
      <c r="G268" s="636"/>
      <c r="H268" s="636"/>
      <c r="I268" s="636"/>
      <c r="J268" s="636"/>
      <c r="K268" s="636"/>
      <c r="L268" s="636"/>
      <c r="M268" s="636"/>
      <c r="N268" s="636"/>
      <c r="O268" s="636"/>
      <c r="P268" s="636"/>
      <c r="Q268" s="636"/>
      <c r="R268" s="636"/>
      <c r="S268" s="636"/>
      <c r="T268" s="636"/>
      <c r="U268" s="636"/>
      <c r="V268" s="636"/>
      <c r="W268" s="636"/>
      <c r="X268" s="636"/>
      <c r="Y268" s="636"/>
      <c r="Z268" s="636"/>
      <c r="AA268" s="636"/>
      <c r="AB268" s="636"/>
      <c r="AC268" s="636"/>
      <c r="AD268" s="636"/>
      <c r="AE268" s="636"/>
      <c r="AF268" s="636"/>
      <c r="AG268" s="3427"/>
      <c r="AH268" s="112"/>
      <c r="AI268" s="67"/>
    </row>
    <row r="269" spans="1:35" ht="18" customHeight="1" x14ac:dyDescent="0.2">
      <c r="A269" s="3418"/>
      <c r="B269" s="3429"/>
      <c r="C269" s="636"/>
      <c r="D269" s="636"/>
      <c r="E269" s="636"/>
      <c r="F269" s="636"/>
      <c r="G269" s="636"/>
      <c r="H269" s="636"/>
      <c r="I269" s="636"/>
      <c r="J269" s="636"/>
      <c r="K269" s="636"/>
      <c r="L269" s="636"/>
      <c r="M269" s="636"/>
      <c r="N269" s="636"/>
      <c r="O269" s="636"/>
      <c r="P269" s="636"/>
      <c r="Q269" s="636"/>
      <c r="R269" s="636"/>
      <c r="S269" s="636"/>
      <c r="T269" s="636"/>
      <c r="U269" s="636"/>
      <c r="V269" s="636"/>
      <c r="W269" s="636"/>
      <c r="X269" s="636"/>
      <c r="Y269" s="636"/>
      <c r="Z269" s="636"/>
      <c r="AA269" s="636"/>
      <c r="AB269" s="636"/>
      <c r="AC269" s="636"/>
      <c r="AD269" s="636"/>
      <c r="AE269" s="636"/>
      <c r="AF269" s="636"/>
      <c r="AG269" s="3427"/>
      <c r="AH269" s="112"/>
      <c r="AI269" s="67"/>
    </row>
    <row r="270" spans="1:35" ht="18" customHeight="1" x14ac:dyDescent="0.2">
      <c r="A270" s="68"/>
      <c r="B270" s="74"/>
      <c r="C270" s="66"/>
      <c r="D270" s="66"/>
      <c r="E270" s="66"/>
      <c r="F270" s="66"/>
      <c r="G270" s="66"/>
      <c r="H270" s="66"/>
      <c r="I270" s="66"/>
      <c r="J270" s="66"/>
      <c r="L270" s="66"/>
      <c r="M270" s="66"/>
      <c r="N270" s="66"/>
      <c r="O270" s="66"/>
      <c r="P270" s="48"/>
      <c r="Q270" s="48"/>
      <c r="R270" s="48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7"/>
      <c r="AI270" s="67"/>
    </row>
    <row r="271" spans="1:35" ht="18" customHeight="1" x14ac:dyDescent="0.2"/>
    <row r="272" spans="1:35" ht="18" customHeight="1" x14ac:dyDescent="0.2"/>
    <row r="273" spans="1:35" ht="18" customHeight="1" x14ac:dyDescent="0.2"/>
    <row r="274" spans="1:35" ht="18" customHeight="1" x14ac:dyDescent="0.2">
      <c r="A274" s="103" t="s">
        <v>370</v>
      </c>
    </row>
    <row r="275" spans="1:35" ht="18" customHeight="1" x14ac:dyDescent="0.2">
      <c r="B275" s="2630" t="s">
        <v>340</v>
      </c>
      <c r="C275" s="3266"/>
      <c r="D275" s="3291" t="s">
        <v>17</v>
      </c>
      <c r="E275" s="3177"/>
      <c r="F275" s="3270"/>
      <c r="G275" s="3266"/>
      <c r="H275" s="3291" t="s">
        <v>18</v>
      </c>
      <c r="I275" s="3177"/>
      <c r="J275" s="3270"/>
      <c r="K275" s="3266"/>
      <c r="L275" s="3291" t="s">
        <v>19</v>
      </c>
      <c r="M275" s="3177"/>
      <c r="N275" s="3270"/>
      <c r="O275" s="3266"/>
      <c r="P275" s="3291" t="s">
        <v>20</v>
      </c>
      <c r="Q275" s="3177"/>
      <c r="R275" s="3270"/>
      <c r="S275" s="3266"/>
      <c r="T275" s="3291" t="s">
        <v>21</v>
      </c>
      <c r="U275" s="3177"/>
      <c r="V275" s="3270"/>
      <c r="W275" s="3266"/>
      <c r="X275" s="3291" t="s">
        <v>22</v>
      </c>
      <c r="Y275" s="3177"/>
      <c r="Z275" s="3270"/>
      <c r="AA275" s="3266"/>
      <c r="AB275" s="3291" t="s">
        <v>23</v>
      </c>
      <c r="AC275" s="3177"/>
      <c r="AD275" s="3177"/>
      <c r="AE275" s="3294" t="s">
        <v>126</v>
      </c>
      <c r="AF275" s="3177"/>
      <c r="AG275" s="3177"/>
      <c r="AH275" s="3177"/>
      <c r="AI275" s="3178"/>
    </row>
    <row r="276" spans="1:35" ht="18" customHeight="1" x14ac:dyDescent="0.2">
      <c r="B276" s="452"/>
      <c r="C276" s="1059" t="s">
        <v>371</v>
      </c>
      <c r="D276" s="1030"/>
      <c r="E276" s="1060"/>
      <c r="F276" s="1061"/>
      <c r="G276" s="1059" t="s">
        <v>371</v>
      </c>
      <c r="H276" s="1030"/>
      <c r="I276" s="1060"/>
      <c r="J276" s="1061"/>
      <c r="K276" s="1059" t="s">
        <v>371</v>
      </c>
      <c r="L276" s="1030"/>
      <c r="M276" s="1060"/>
      <c r="N276" s="1061"/>
      <c r="O276" s="1059" t="s">
        <v>371</v>
      </c>
      <c r="P276" s="1062"/>
      <c r="Q276" s="1060"/>
      <c r="R276" s="1061"/>
      <c r="S276" s="1063" t="s">
        <v>372</v>
      </c>
      <c r="T276" s="1030"/>
      <c r="U276" s="1060"/>
      <c r="V276" s="1061"/>
      <c r="W276" s="1032"/>
      <c r="X276" s="1030"/>
      <c r="Y276" s="875"/>
      <c r="Z276" s="1031"/>
      <c r="AA276" s="1032"/>
      <c r="AB276" s="1030"/>
      <c r="AC276" s="875"/>
      <c r="AD276" s="875"/>
      <c r="AE276" s="1033"/>
      <c r="AF276" s="875"/>
      <c r="AG276" s="467"/>
      <c r="AH276" s="467"/>
      <c r="AI276" s="1026"/>
    </row>
    <row r="277" spans="1:35" ht="18" customHeight="1" x14ac:dyDescent="0.2">
      <c r="A277" s="70"/>
      <c r="B277" s="3430"/>
      <c r="C277" s="3359" t="s">
        <v>258</v>
      </c>
      <c r="D277" s="3431"/>
      <c r="E277" s="1060"/>
      <c r="F277" s="1061"/>
      <c r="G277" s="3359" t="s">
        <v>258</v>
      </c>
      <c r="H277" s="1030"/>
      <c r="I277" s="1060"/>
      <c r="J277" s="1061"/>
      <c r="K277" s="3359" t="s">
        <v>258</v>
      </c>
      <c r="L277" s="1030"/>
      <c r="M277" s="1060"/>
      <c r="N277" s="1061"/>
      <c r="O277" s="3359" t="s">
        <v>258</v>
      </c>
      <c r="P277" s="1030"/>
      <c r="Q277" s="1060"/>
      <c r="R277" s="1061"/>
      <c r="S277" s="1059" t="s">
        <v>373</v>
      </c>
      <c r="T277" s="1030"/>
      <c r="U277" s="1060"/>
      <c r="V277" s="1061"/>
      <c r="W277" s="1032"/>
      <c r="X277" s="1030"/>
      <c r="Y277" s="875"/>
      <c r="Z277" s="1031"/>
      <c r="AA277" s="1032"/>
      <c r="AB277" s="1030"/>
      <c r="AC277" s="875"/>
      <c r="AD277" s="875"/>
      <c r="AE277" s="1033"/>
      <c r="AF277" s="875"/>
      <c r="AG277" s="467"/>
      <c r="AH277" s="467"/>
      <c r="AI277" s="1026"/>
    </row>
    <row r="278" spans="1:35" ht="18" customHeight="1" x14ac:dyDescent="0.2">
      <c r="B278" s="3430"/>
      <c r="C278" s="3359" t="s">
        <v>261</v>
      </c>
      <c r="D278" s="3431"/>
      <c r="E278" s="1060"/>
      <c r="F278" s="1061"/>
      <c r="G278" s="3359" t="s">
        <v>261</v>
      </c>
      <c r="H278" s="1030"/>
      <c r="I278" s="1060"/>
      <c r="J278" s="1061"/>
      <c r="K278" s="3359" t="s">
        <v>261</v>
      </c>
      <c r="L278" s="1030"/>
      <c r="M278" s="1060"/>
      <c r="N278" s="1061"/>
      <c r="O278" s="3359" t="s">
        <v>261</v>
      </c>
      <c r="P278" s="1030"/>
      <c r="Q278" s="1060"/>
      <c r="R278" s="1061"/>
      <c r="S278" s="3359" t="s">
        <v>256</v>
      </c>
      <c r="T278" s="1030"/>
      <c r="U278" s="1060"/>
      <c r="V278" s="1061"/>
      <c r="W278" s="1032"/>
      <c r="X278" s="1030"/>
      <c r="Y278" s="875"/>
      <c r="Z278" s="1031"/>
      <c r="AA278" s="1032"/>
      <c r="AB278" s="1030"/>
      <c r="AC278" s="875"/>
      <c r="AD278" s="875"/>
      <c r="AE278" s="1033"/>
      <c r="AF278" s="875"/>
      <c r="AG278" s="467"/>
      <c r="AH278" s="467"/>
      <c r="AI278" s="1026"/>
    </row>
    <row r="279" spans="1:35" ht="18" customHeight="1" x14ac:dyDescent="0.2">
      <c r="B279" s="3430"/>
      <c r="C279" s="2855"/>
      <c r="D279" s="2856"/>
      <c r="E279" s="875"/>
      <c r="F279" s="1031"/>
      <c r="G279" s="2855"/>
      <c r="H279" s="2856"/>
      <c r="I279" s="875"/>
      <c r="J279" s="1031"/>
      <c r="K279" s="2855"/>
      <c r="L279" s="2856"/>
      <c r="M279" s="875"/>
      <c r="N279" s="1031"/>
      <c r="O279" s="2855"/>
      <c r="P279" s="2856"/>
      <c r="Q279" s="875"/>
      <c r="R279" s="1031"/>
      <c r="S279" s="2855"/>
      <c r="T279" s="2856"/>
      <c r="U279" s="875"/>
      <c r="V279" s="1031"/>
      <c r="W279" s="1032"/>
      <c r="X279" s="1030"/>
      <c r="Y279" s="875"/>
      <c r="Z279" s="1031"/>
      <c r="AA279" s="1032"/>
      <c r="AB279" s="1030"/>
      <c r="AC279" s="875"/>
      <c r="AD279" s="875"/>
      <c r="AE279" s="1033"/>
      <c r="AF279" s="875"/>
      <c r="AG279" s="467"/>
      <c r="AH279" s="467"/>
      <c r="AI279" s="1026"/>
    </row>
    <row r="280" spans="1:35" ht="18" customHeight="1" x14ac:dyDescent="0.2">
      <c r="B280" s="3430"/>
      <c r="C280" s="3297"/>
      <c r="D280" s="2856"/>
      <c r="E280" s="875"/>
      <c r="F280" s="1031"/>
      <c r="G280" s="1030"/>
      <c r="H280" s="1030"/>
      <c r="I280" s="875"/>
      <c r="J280" s="1031"/>
      <c r="K280" s="1030"/>
      <c r="L280" s="1030"/>
      <c r="M280" s="875"/>
      <c r="N280" s="1031"/>
      <c r="O280" s="1030"/>
      <c r="P280" s="1030"/>
      <c r="Q280" s="875"/>
      <c r="R280" s="1031"/>
      <c r="S280" s="1030"/>
      <c r="T280" s="1030"/>
      <c r="U280" s="875"/>
      <c r="V280" s="1031"/>
      <c r="W280" s="1032"/>
      <c r="X280" s="1030"/>
      <c r="Y280" s="875"/>
      <c r="Z280" s="1031"/>
      <c r="AA280" s="1032"/>
      <c r="AB280" s="1030"/>
      <c r="AC280" s="875"/>
      <c r="AD280" s="875"/>
      <c r="AE280" s="1033"/>
      <c r="AF280" s="875"/>
      <c r="AG280" s="467"/>
      <c r="AH280" s="467"/>
      <c r="AI280" s="1026"/>
    </row>
    <row r="281" spans="1:35" ht="18" customHeight="1" x14ac:dyDescent="0.2">
      <c r="B281" s="3430" t="s">
        <v>235</v>
      </c>
      <c r="C281" s="3297" t="s">
        <v>10</v>
      </c>
      <c r="D281" s="3431"/>
      <c r="E281" s="1060"/>
      <c r="F281" s="1061"/>
      <c r="G281" s="3297" t="s">
        <v>10</v>
      </c>
      <c r="H281" s="3431"/>
      <c r="I281" s="1060"/>
      <c r="J281" s="1061"/>
      <c r="K281" s="3297" t="s">
        <v>10</v>
      </c>
      <c r="L281" s="3431"/>
      <c r="M281" s="1060"/>
      <c r="N281" s="1061"/>
      <c r="O281" s="3297" t="s">
        <v>10</v>
      </c>
      <c r="P281" s="3431"/>
      <c r="Q281" s="1060"/>
      <c r="R281" s="1061"/>
      <c r="S281" s="1030" t="s">
        <v>10</v>
      </c>
      <c r="T281" s="1030"/>
      <c r="U281" s="1060"/>
      <c r="V281" s="1061"/>
      <c r="W281" s="1032"/>
      <c r="X281" s="1030"/>
      <c r="Y281" s="875"/>
      <c r="Z281" s="1031"/>
      <c r="AA281" s="1032"/>
      <c r="AB281" s="1030"/>
      <c r="AC281" s="875"/>
      <c r="AD281" s="875"/>
      <c r="AE281" s="1033"/>
      <c r="AF281" s="875"/>
      <c r="AG281" s="467"/>
      <c r="AH281" s="467"/>
      <c r="AI281" s="1026"/>
    </row>
    <row r="282" spans="1:35" ht="18" customHeight="1" x14ac:dyDescent="0.2">
      <c r="B282" s="3430" t="s">
        <v>236</v>
      </c>
      <c r="C282" s="3297" t="s">
        <v>10</v>
      </c>
      <c r="D282" s="3431"/>
      <c r="E282" s="1060"/>
      <c r="F282" s="1061"/>
      <c r="G282" s="3297" t="s">
        <v>10</v>
      </c>
      <c r="H282" s="3431"/>
      <c r="I282" s="1060"/>
      <c r="J282" s="1061"/>
      <c r="K282" s="3297" t="s">
        <v>10</v>
      </c>
      <c r="L282" s="3431"/>
      <c r="M282" s="1060"/>
      <c r="N282" s="1061"/>
      <c r="O282" s="3297" t="s">
        <v>10</v>
      </c>
      <c r="P282" s="3431"/>
      <c r="Q282" s="1060"/>
      <c r="R282" s="1061"/>
      <c r="S282" s="1030" t="s">
        <v>10</v>
      </c>
      <c r="T282" s="1030"/>
      <c r="U282" s="1060"/>
      <c r="V282" s="1061"/>
      <c r="W282" s="1032"/>
      <c r="X282" s="1030"/>
      <c r="Y282" s="875"/>
      <c r="Z282" s="1031"/>
      <c r="AA282" s="1032"/>
      <c r="AB282" s="1030"/>
      <c r="AC282" s="875"/>
      <c r="AD282" s="875"/>
      <c r="AE282" s="1033"/>
      <c r="AF282" s="875"/>
      <c r="AG282" s="467"/>
      <c r="AH282" s="467"/>
      <c r="AI282" s="1026"/>
    </row>
    <row r="283" spans="1:35" ht="18" customHeight="1" x14ac:dyDescent="0.2">
      <c r="B283" s="3432" t="s">
        <v>243</v>
      </c>
      <c r="C283" s="3309" t="s">
        <v>10</v>
      </c>
      <c r="D283" s="3433"/>
      <c r="E283" s="205"/>
      <c r="F283" s="206"/>
      <c r="G283" s="3309" t="s">
        <v>10</v>
      </c>
      <c r="H283" s="3433"/>
      <c r="I283" s="205"/>
      <c r="J283" s="206"/>
      <c r="K283" s="3309" t="s">
        <v>10</v>
      </c>
      <c r="L283" s="3433"/>
      <c r="M283" s="205"/>
      <c r="N283" s="206"/>
      <c r="O283" s="3309" t="s">
        <v>10</v>
      </c>
      <c r="P283" s="3433"/>
      <c r="Q283" s="205"/>
      <c r="R283" s="206"/>
      <c r="S283" s="149" t="s">
        <v>10</v>
      </c>
      <c r="T283" s="149"/>
      <c r="U283" s="205"/>
      <c r="V283" s="206"/>
      <c r="W283" s="200"/>
      <c r="X283" s="149"/>
      <c r="Y283" s="201"/>
      <c r="Z283" s="202"/>
      <c r="AA283" s="203"/>
      <c r="AB283" s="149"/>
      <c r="AC283" s="201"/>
      <c r="AD283" s="201"/>
      <c r="AE283" s="204"/>
      <c r="AF283" s="201"/>
      <c r="AG283" s="199"/>
      <c r="AH283" s="199"/>
      <c r="AI283" s="146"/>
    </row>
    <row r="284" spans="1:35" ht="18" customHeight="1" x14ac:dyDescent="0.2">
      <c r="B284" s="37"/>
      <c r="C284" s="42"/>
      <c r="D284" s="5"/>
      <c r="G284" s="42"/>
      <c r="H284" s="5"/>
      <c r="K284" s="42"/>
      <c r="L284" s="5"/>
      <c r="O284" s="42"/>
      <c r="P284" s="5"/>
      <c r="S284" s="42"/>
      <c r="T284" s="42"/>
      <c r="X284" s="42"/>
      <c r="AB284" s="42"/>
      <c r="AE284" s="42"/>
    </row>
    <row r="285" spans="1:35" ht="18" customHeight="1" x14ac:dyDescent="0.2">
      <c r="A285" s="1068" t="s">
        <v>374</v>
      </c>
    </row>
    <row r="286" spans="1:35" ht="18" customHeight="1" x14ac:dyDescent="0.2">
      <c r="A286" s="3287"/>
      <c r="B286" s="2817" t="s">
        <v>44</v>
      </c>
      <c r="C286" s="3140">
        <v>1</v>
      </c>
      <c r="D286" s="3141">
        <v>2</v>
      </c>
      <c r="E286" s="3141">
        <v>3</v>
      </c>
      <c r="F286" s="3140">
        <v>4</v>
      </c>
      <c r="G286" s="3140">
        <v>5</v>
      </c>
      <c r="H286" s="3141">
        <v>6</v>
      </c>
      <c r="I286" s="3141">
        <v>7</v>
      </c>
      <c r="J286" s="3141">
        <v>8</v>
      </c>
      <c r="K286" s="3141">
        <v>9</v>
      </c>
      <c r="L286" s="3141">
        <v>10</v>
      </c>
      <c r="M286" s="3140">
        <v>11</v>
      </c>
      <c r="N286" s="3140">
        <v>12</v>
      </c>
      <c r="O286" s="3141">
        <v>13</v>
      </c>
      <c r="P286" s="3141">
        <v>14</v>
      </c>
      <c r="Q286" s="3141">
        <v>15</v>
      </c>
      <c r="R286" s="3141">
        <v>16</v>
      </c>
      <c r="S286" s="3141">
        <v>17</v>
      </c>
      <c r="T286" s="3140">
        <v>18</v>
      </c>
      <c r="U286" s="3140">
        <v>19</v>
      </c>
      <c r="V286" s="3141">
        <v>20</v>
      </c>
      <c r="W286" s="3141">
        <v>21</v>
      </c>
      <c r="X286" s="3141">
        <v>22</v>
      </c>
      <c r="Y286" s="3141">
        <v>23</v>
      </c>
      <c r="Z286" s="3141">
        <v>24</v>
      </c>
      <c r="AA286" s="3140">
        <v>25</v>
      </c>
      <c r="AB286" s="3140">
        <v>26</v>
      </c>
      <c r="AC286" s="3141">
        <v>27</v>
      </c>
      <c r="AD286" s="3141">
        <v>28</v>
      </c>
      <c r="AE286" s="3141">
        <v>29</v>
      </c>
      <c r="AF286" s="3141">
        <v>30</v>
      </c>
      <c r="AG286" s="3141">
        <v>31</v>
      </c>
      <c r="AH286" s="110"/>
      <c r="AI286" s="111"/>
    </row>
    <row r="287" spans="1:35" ht="18" customHeight="1" x14ac:dyDescent="0.2">
      <c r="A287" s="3125">
        <v>3702</v>
      </c>
      <c r="B287" s="3126" t="s">
        <v>375</v>
      </c>
      <c r="C287" s="3164"/>
      <c r="D287" s="3164" t="s">
        <v>46</v>
      </c>
      <c r="E287" s="3164" t="s">
        <v>46</v>
      </c>
      <c r="F287" s="3164"/>
      <c r="G287" s="3164"/>
      <c r="H287" s="3185" t="s">
        <v>46</v>
      </c>
      <c r="I287" s="3185" t="s">
        <v>46</v>
      </c>
      <c r="J287" s="3164" t="s">
        <v>46</v>
      </c>
      <c r="K287" s="3164" t="s">
        <v>46</v>
      </c>
      <c r="L287" s="3164" t="s">
        <v>46</v>
      </c>
      <c r="M287" s="3164"/>
      <c r="N287" s="3164"/>
      <c r="O287" s="3185" t="s">
        <v>46</v>
      </c>
      <c r="P287" s="3185" t="s">
        <v>46</v>
      </c>
      <c r="Q287" s="3185" t="s">
        <v>46</v>
      </c>
      <c r="R287" s="3185" t="s">
        <v>46</v>
      </c>
      <c r="S287" s="3185" t="s">
        <v>46</v>
      </c>
      <c r="T287" s="3164"/>
      <c r="U287" s="3164"/>
      <c r="V287" s="3164" t="s">
        <v>46</v>
      </c>
      <c r="W287" s="3164" t="s">
        <v>46</v>
      </c>
      <c r="X287" s="3164" t="s">
        <v>46</v>
      </c>
      <c r="Y287" s="3164" t="s">
        <v>46</v>
      </c>
      <c r="Z287" s="3164" t="s">
        <v>46</v>
      </c>
      <c r="AA287" s="3164"/>
      <c r="AB287" s="3164"/>
      <c r="AC287" s="3194" t="s">
        <v>46</v>
      </c>
      <c r="AD287" s="3164" t="s">
        <v>46</v>
      </c>
      <c r="AE287" s="3164" t="s">
        <v>46</v>
      </c>
      <c r="AF287" s="3164" t="s">
        <v>46</v>
      </c>
      <c r="AG287" s="3239" t="s">
        <v>46</v>
      </c>
      <c r="AH287" s="115"/>
      <c r="AI287" s="116"/>
    </row>
    <row r="288" spans="1:35" ht="18" customHeight="1" x14ac:dyDescent="0.2">
      <c r="A288" s="2716"/>
      <c r="B288" s="2695"/>
      <c r="C288" s="2718"/>
      <c r="D288" s="2718" t="s">
        <v>46</v>
      </c>
      <c r="E288" s="2718" t="s">
        <v>46</v>
      </c>
      <c r="F288" s="2718"/>
      <c r="G288" s="2718"/>
      <c r="H288" s="2718" t="s">
        <v>46</v>
      </c>
      <c r="I288" s="2718" t="s">
        <v>46</v>
      </c>
      <c r="J288" s="2718" t="s">
        <v>46</v>
      </c>
      <c r="K288" s="2718" t="s">
        <v>46</v>
      </c>
      <c r="L288" s="2718" t="s">
        <v>46</v>
      </c>
      <c r="M288" s="2718"/>
      <c r="N288" s="2718"/>
      <c r="O288" s="2718" t="s">
        <v>46</v>
      </c>
      <c r="P288" s="2718" t="s">
        <v>46</v>
      </c>
      <c r="Q288" s="2718" t="s">
        <v>46</v>
      </c>
      <c r="R288" s="2718" t="s">
        <v>46</v>
      </c>
      <c r="S288" s="2718" t="s">
        <v>46</v>
      </c>
      <c r="T288" s="2718"/>
      <c r="U288" s="2718"/>
      <c r="V288" s="2718" t="s">
        <v>46</v>
      </c>
      <c r="W288" s="2718" t="s">
        <v>46</v>
      </c>
      <c r="X288" s="2718" t="s">
        <v>46</v>
      </c>
      <c r="Y288" s="2718" t="s">
        <v>46</v>
      </c>
      <c r="Z288" s="2718" t="s">
        <v>46</v>
      </c>
      <c r="AA288" s="2718"/>
      <c r="AB288" s="2718"/>
      <c r="AC288" s="2718" t="s">
        <v>46</v>
      </c>
      <c r="AD288" s="2718" t="s">
        <v>46</v>
      </c>
      <c r="AE288" s="2718" t="s">
        <v>46</v>
      </c>
      <c r="AF288" s="2718" t="s">
        <v>46</v>
      </c>
      <c r="AG288" s="2721" t="s">
        <v>46</v>
      </c>
      <c r="AH288" s="115"/>
      <c r="AI288" s="116"/>
    </row>
    <row r="289" spans="1:36" ht="18" customHeight="1" x14ac:dyDescent="0.2">
      <c r="A289" s="3434"/>
      <c r="B289" s="3435"/>
      <c r="C289" s="2718"/>
      <c r="D289" s="2718" t="s">
        <v>46</v>
      </c>
      <c r="E289" s="2718" t="s">
        <v>46</v>
      </c>
      <c r="F289" s="2718"/>
      <c r="G289" s="2718"/>
      <c r="H289" s="2718" t="s">
        <v>46</v>
      </c>
      <c r="I289" s="2718" t="s">
        <v>46</v>
      </c>
      <c r="J289" s="2718" t="s">
        <v>46</v>
      </c>
      <c r="K289" s="2718" t="s">
        <v>46</v>
      </c>
      <c r="L289" s="2718" t="s">
        <v>46</v>
      </c>
      <c r="M289" s="2718"/>
      <c r="N289" s="2718"/>
      <c r="O289" s="2718" t="s">
        <v>46</v>
      </c>
      <c r="P289" s="2718" t="s">
        <v>46</v>
      </c>
      <c r="Q289" s="2718" t="s">
        <v>46</v>
      </c>
      <c r="R289" s="2718" t="s">
        <v>46</v>
      </c>
      <c r="S289" s="2718" t="s">
        <v>46</v>
      </c>
      <c r="T289" s="2718"/>
      <c r="U289" s="2718"/>
      <c r="V289" s="2718" t="s">
        <v>46</v>
      </c>
      <c r="W289" s="2718" t="s">
        <v>46</v>
      </c>
      <c r="X289" s="2718" t="s">
        <v>46</v>
      </c>
      <c r="Y289" s="2718" t="s">
        <v>46</v>
      </c>
      <c r="Z289" s="2718" t="s">
        <v>46</v>
      </c>
      <c r="AA289" s="2718"/>
      <c r="AB289" s="2718"/>
      <c r="AC289" s="2718" t="s">
        <v>46</v>
      </c>
      <c r="AD289" s="2718" t="s">
        <v>46</v>
      </c>
      <c r="AE289" s="2718" t="s">
        <v>46</v>
      </c>
      <c r="AF289" s="2718" t="s">
        <v>46</v>
      </c>
      <c r="AG289" s="2721" t="s">
        <v>46</v>
      </c>
      <c r="AH289" s="115"/>
      <c r="AI289" s="116"/>
    </row>
    <row r="290" spans="1:36" ht="18" customHeight="1" x14ac:dyDescent="0.2">
      <c r="A290" s="3436"/>
      <c r="B290" s="3437"/>
      <c r="C290" s="2718"/>
      <c r="D290" s="2718"/>
      <c r="E290" s="2718"/>
      <c r="F290" s="2718"/>
      <c r="G290" s="2718"/>
      <c r="H290" s="2718"/>
      <c r="I290" s="2718"/>
      <c r="J290" s="2718"/>
      <c r="K290" s="2718"/>
      <c r="L290" s="2718"/>
      <c r="M290" s="2718"/>
      <c r="N290" s="2718"/>
      <c r="O290" s="2718"/>
      <c r="P290" s="2718"/>
      <c r="Q290" s="2718"/>
      <c r="R290" s="2718"/>
      <c r="S290" s="2718"/>
      <c r="T290" s="2718"/>
      <c r="U290" s="2718"/>
      <c r="V290" s="2718"/>
      <c r="W290" s="2718"/>
      <c r="X290" s="2718"/>
      <c r="Y290" s="2718"/>
      <c r="Z290" s="2718"/>
      <c r="AA290" s="2718"/>
      <c r="AB290" s="2718"/>
      <c r="AC290" s="2718"/>
      <c r="AD290" s="2718"/>
      <c r="AE290" s="2718"/>
      <c r="AF290" s="2718"/>
      <c r="AG290" s="2721"/>
      <c r="AH290" s="115"/>
      <c r="AI290" s="116"/>
    </row>
    <row r="291" spans="1:36" ht="18" customHeight="1" x14ac:dyDescent="0.2">
      <c r="A291" s="3438"/>
      <c r="B291" s="3439" t="s">
        <v>376</v>
      </c>
      <c r="C291" s="2714"/>
      <c r="D291" s="2714"/>
      <c r="E291" s="2714"/>
      <c r="F291" s="2714"/>
      <c r="G291" s="2714"/>
      <c r="H291" s="2714"/>
      <c r="I291" s="2714"/>
      <c r="J291" s="2714"/>
      <c r="K291" s="2714"/>
      <c r="L291" s="2714"/>
      <c r="M291" s="2714"/>
      <c r="N291" s="2714"/>
      <c r="O291" s="2714"/>
      <c r="P291" s="2714"/>
      <c r="Q291" s="2714"/>
      <c r="R291" s="2714"/>
      <c r="S291" s="2714"/>
      <c r="T291" s="2714"/>
      <c r="U291" s="2714"/>
      <c r="V291" s="2714"/>
      <c r="W291" s="2714"/>
      <c r="X291" s="2714"/>
      <c r="Y291" s="2714"/>
      <c r="Z291" s="2714"/>
      <c r="AA291" s="2714"/>
      <c r="AB291" s="2714"/>
      <c r="AC291" s="2714"/>
      <c r="AD291" s="2714"/>
      <c r="AE291" s="2714"/>
      <c r="AF291" s="2714"/>
      <c r="AG291" s="3440"/>
      <c r="AH291" s="113"/>
      <c r="AI291" s="114"/>
    </row>
    <row r="292" spans="1:36" ht="18" customHeight="1" x14ac:dyDescent="0.2">
      <c r="A292" s="3434">
        <v>3702</v>
      </c>
      <c r="B292" s="2722" t="s">
        <v>377</v>
      </c>
      <c r="C292" s="2738"/>
      <c r="D292" s="2738" t="s">
        <v>378</v>
      </c>
      <c r="E292" s="2734" t="s">
        <v>378</v>
      </c>
      <c r="F292" s="2738"/>
      <c r="G292" s="2734"/>
      <c r="H292" s="2734" t="s">
        <v>378</v>
      </c>
      <c r="I292" s="2738" t="s">
        <v>378</v>
      </c>
      <c r="J292" s="2738" t="s">
        <v>378</v>
      </c>
      <c r="K292" s="2738" t="s">
        <v>378</v>
      </c>
      <c r="L292" s="2734" t="s">
        <v>378</v>
      </c>
      <c r="M292" s="2738"/>
      <c r="N292" s="2734"/>
      <c r="O292" s="2734" t="s">
        <v>378</v>
      </c>
      <c r="P292" s="2738" t="s">
        <v>378</v>
      </c>
      <c r="Q292" s="2738" t="s">
        <v>378</v>
      </c>
      <c r="R292" s="2738" t="s">
        <v>378</v>
      </c>
      <c r="S292" s="3327" t="s">
        <v>378</v>
      </c>
      <c r="T292" s="2738"/>
      <c r="U292" s="2734"/>
      <c r="V292" s="2739" t="s">
        <v>378</v>
      </c>
      <c r="W292" s="2739" t="s">
        <v>378</v>
      </c>
      <c r="X292" s="2739" t="s">
        <v>378</v>
      </c>
      <c r="Y292" s="2739" t="s">
        <v>378</v>
      </c>
      <c r="Z292" s="2739" t="s">
        <v>378</v>
      </c>
      <c r="AA292" s="2738"/>
      <c r="AB292" s="2734"/>
      <c r="AC292" s="2734" t="s">
        <v>378</v>
      </c>
      <c r="AD292" s="2738" t="s">
        <v>378</v>
      </c>
      <c r="AE292" s="2738" t="s">
        <v>378</v>
      </c>
      <c r="AF292" s="2738" t="s">
        <v>378</v>
      </c>
      <c r="AG292" s="3325" t="s">
        <v>378</v>
      </c>
      <c r="AH292" s="115"/>
      <c r="AI292" s="116"/>
    </row>
    <row r="293" spans="1:36" ht="18" customHeight="1" x14ac:dyDescent="0.2">
      <c r="A293" s="3434"/>
      <c r="B293" s="2722" t="s">
        <v>379</v>
      </c>
      <c r="C293" s="2738"/>
      <c r="D293" s="3327" t="s">
        <v>380</v>
      </c>
      <c r="E293" s="2738" t="s">
        <v>380</v>
      </c>
      <c r="F293" s="2738"/>
      <c r="G293" s="2738"/>
      <c r="H293" s="2738" t="s">
        <v>380</v>
      </c>
      <c r="I293" s="2738" t="s">
        <v>380</v>
      </c>
      <c r="J293" s="2738" t="s">
        <v>380</v>
      </c>
      <c r="K293" s="2738" t="s">
        <v>380</v>
      </c>
      <c r="L293" s="2738" t="s">
        <v>380</v>
      </c>
      <c r="M293" s="2738"/>
      <c r="N293" s="2738"/>
      <c r="O293" s="2738" t="s">
        <v>380</v>
      </c>
      <c r="P293" s="2738" t="s">
        <v>380</v>
      </c>
      <c r="Q293" s="2738" t="s">
        <v>380</v>
      </c>
      <c r="R293" s="2738" t="s">
        <v>380</v>
      </c>
      <c r="S293" s="2738" t="s">
        <v>380</v>
      </c>
      <c r="T293" s="2738"/>
      <c r="U293" s="2738"/>
      <c r="V293" s="2734" t="s">
        <v>380</v>
      </c>
      <c r="W293" s="2738" t="s">
        <v>380</v>
      </c>
      <c r="X293" s="2738" t="s">
        <v>380</v>
      </c>
      <c r="Y293" s="2738" t="s">
        <v>380</v>
      </c>
      <c r="Z293" s="2738" t="s">
        <v>380</v>
      </c>
      <c r="AA293" s="2738"/>
      <c r="AB293" s="2738"/>
      <c r="AC293" s="2734" t="s">
        <v>380</v>
      </c>
      <c r="AD293" s="2738" t="s">
        <v>380</v>
      </c>
      <c r="AE293" s="2738" t="s">
        <v>380</v>
      </c>
      <c r="AF293" s="2738" t="s">
        <v>380</v>
      </c>
      <c r="AG293" s="3441" t="s">
        <v>380</v>
      </c>
      <c r="AH293" s="115"/>
      <c r="AI293" s="116"/>
    </row>
    <row r="294" spans="1:36" ht="18" customHeight="1" x14ac:dyDescent="0.2">
      <c r="A294" s="3442"/>
      <c r="B294" s="2743" t="s">
        <v>381</v>
      </c>
      <c r="C294" s="2748"/>
      <c r="D294" s="2748" t="s">
        <v>382</v>
      </c>
      <c r="E294" s="2748" t="s">
        <v>382</v>
      </c>
      <c r="F294" s="2748"/>
      <c r="G294" s="2828"/>
      <c r="H294" s="2828" t="s">
        <v>382</v>
      </c>
      <c r="I294" s="2748" t="s">
        <v>382</v>
      </c>
      <c r="J294" s="2748" t="s">
        <v>382</v>
      </c>
      <c r="K294" s="2748" t="s">
        <v>382</v>
      </c>
      <c r="L294" s="3443" t="s">
        <v>382</v>
      </c>
      <c r="M294" s="2748"/>
      <c r="N294" s="2828"/>
      <c r="O294" s="3443" t="s">
        <v>382</v>
      </c>
      <c r="P294" s="2748" t="s">
        <v>382</v>
      </c>
      <c r="Q294" s="2748" t="s">
        <v>382</v>
      </c>
      <c r="R294" s="2748" t="s">
        <v>382</v>
      </c>
      <c r="S294" s="2748" t="s">
        <v>382</v>
      </c>
      <c r="T294" s="2748"/>
      <c r="U294" s="2828"/>
      <c r="V294" s="2828" t="s">
        <v>382</v>
      </c>
      <c r="W294" s="2748" t="s">
        <v>382</v>
      </c>
      <c r="X294" s="3444" t="s">
        <v>382</v>
      </c>
      <c r="Y294" s="2748" t="s">
        <v>382</v>
      </c>
      <c r="Z294" s="2748" t="s">
        <v>382</v>
      </c>
      <c r="AA294" s="2748"/>
      <c r="AB294" s="2828"/>
      <c r="AC294" s="2828" t="s">
        <v>382</v>
      </c>
      <c r="AD294" s="2748" t="s">
        <v>382</v>
      </c>
      <c r="AE294" s="2748" t="s">
        <v>382</v>
      </c>
      <c r="AF294" s="2748" t="s">
        <v>382</v>
      </c>
      <c r="AG294" s="3005" t="s">
        <v>382</v>
      </c>
      <c r="AH294" s="115"/>
      <c r="AI294" s="116"/>
    </row>
    <row r="295" spans="1:36" ht="18" customHeight="1" x14ac:dyDescent="0.2"/>
    <row r="296" spans="1:36" ht="18" customHeight="1" x14ac:dyDescent="0.2"/>
    <row r="297" spans="1:36" ht="18" customHeight="1" x14ac:dyDescent="0.2">
      <c r="A297" s="103" t="s">
        <v>383</v>
      </c>
    </row>
    <row r="298" spans="1:36" ht="18" customHeight="1" x14ac:dyDescent="0.2">
      <c r="A298" s="1"/>
      <c r="B298" s="2630" t="s">
        <v>340</v>
      </c>
      <c r="C298" s="3266"/>
      <c r="D298" s="3291" t="s">
        <v>17</v>
      </c>
      <c r="E298" s="3177"/>
      <c r="F298" s="3270"/>
      <c r="G298" s="3266"/>
      <c r="H298" s="3291" t="s">
        <v>18</v>
      </c>
      <c r="I298" s="3177"/>
      <c r="J298" s="3270"/>
      <c r="K298" s="3266"/>
      <c r="L298" s="3291" t="s">
        <v>19</v>
      </c>
      <c r="M298" s="3177"/>
      <c r="N298" s="3270"/>
      <c r="O298" s="3266"/>
      <c r="P298" s="3291" t="s">
        <v>20</v>
      </c>
      <c r="Q298" s="3177"/>
      <c r="R298" s="3270"/>
      <c r="S298" s="3266"/>
      <c r="T298" s="3291" t="s">
        <v>21</v>
      </c>
      <c r="U298" s="3177"/>
      <c r="V298" s="3270"/>
      <c r="W298" s="3266"/>
      <c r="X298" s="3291" t="s">
        <v>22</v>
      </c>
      <c r="Y298" s="3177"/>
      <c r="Z298" s="3270"/>
      <c r="AA298" s="3266"/>
      <c r="AB298" s="3291" t="s">
        <v>23</v>
      </c>
      <c r="AC298" s="3177"/>
      <c r="AD298" s="3177"/>
      <c r="AE298" s="3294" t="s">
        <v>126</v>
      </c>
      <c r="AF298" s="3177"/>
      <c r="AG298" s="3177"/>
      <c r="AH298" s="3177"/>
      <c r="AI298" s="3178"/>
    </row>
    <row r="299" spans="1:36" ht="18" customHeight="1" x14ac:dyDescent="0.2">
      <c r="A299" s="1"/>
      <c r="B299" s="452"/>
      <c r="C299" s="457"/>
      <c r="D299" s="1030"/>
      <c r="E299" s="467"/>
      <c r="F299" s="1077"/>
      <c r="G299" s="457"/>
      <c r="H299" s="1030"/>
      <c r="I299" s="467"/>
      <c r="J299" s="1077"/>
      <c r="K299" s="457"/>
      <c r="L299" s="1030"/>
      <c r="M299" s="467"/>
      <c r="N299" s="1077"/>
      <c r="O299" s="457"/>
      <c r="P299" s="1030"/>
      <c r="Q299" s="467"/>
      <c r="R299" s="1077"/>
      <c r="S299" s="457"/>
      <c r="T299" s="1030"/>
      <c r="U299" s="467"/>
      <c r="V299" s="1077"/>
      <c r="W299" s="457"/>
      <c r="X299" s="1030"/>
      <c r="Y299" s="467"/>
      <c r="Z299" s="1077"/>
      <c r="AA299" s="457"/>
      <c r="AB299" s="1030"/>
      <c r="AC299" s="467"/>
      <c r="AD299" s="467"/>
      <c r="AE299" s="1033"/>
      <c r="AF299" s="467"/>
      <c r="AG299" s="467"/>
      <c r="AH299" s="467"/>
      <c r="AI299" s="1026"/>
    </row>
    <row r="300" spans="1:36" ht="18" customHeight="1" x14ac:dyDescent="0.2">
      <c r="A300" s="70"/>
      <c r="B300" s="3430"/>
      <c r="C300" s="2855"/>
      <c r="D300" s="2684"/>
      <c r="E300" s="2684"/>
      <c r="F300" s="3299"/>
      <c r="G300" s="2855"/>
      <c r="H300" s="2684"/>
      <c r="I300" s="2684"/>
      <c r="J300" s="3299"/>
      <c r="K300" s="2855"/>
      <c r="L300" s="2684"/>
      <c r="M300" s="2684"/>
      <c r="N300" s="3299"/>
      <c r="O300" s="2855"/>
      <c r="P300" s="2684"/>
      <c r="Q300" s="2684"/>
      <c r="R300" s="3299"/>
      <c r="S300" s="2855"/>
      <c r="T300" s="2684"/>
      <c r="U300" s="2684"/>
      <c r="V300" s="3299"/>
      <c r="W300" s="2855"/>
      <c r="X300" s="2684"/>
      <c r="Y300" s="2684"/>
      <c r="Z300" s="3299"/>
      <c r="AA300" s="3297"/>
      <c r="AB300" s="2684"/>
      <c r="AC300" s="2684"/>
      <c r="AD300" s="2856"/>
      <c r="AE300" s="3445"/>
      <c r="AF300" s="2684"/>
      <c r="AG300" s="2684"/>
      <c r="AH300" s="2856"/>
      <c r="AI300" s="3361"/>
    </row>
    <row r="301" spans="1:36" ht="18" customHeight="1" x14ac:dyDescent="0.2">
      <c r="A301" s="1"/>
      <c r="B301" s="3308"/>
      <c r="C301" s="3309"/>
      <c r="D301" s="2808"/>
      <c r="E301" s="2808"/>
      <c r="F301" s="3337"/>
      <c r="G301" s="3309"/>
      <c r="H301" s="2808"/>
      <c r="I301" s="2808"/>
      <c r="J301" s="3337"/>
      <c r="K301" s="3309"/>
      <c r="L301" s="2808"/>
      <c r="M301" s="2808"/>
      <c r="N301" s="3337"/>
      <c r="O301" s="3309"/>
      <c r="P301" s="2808"/>
      <c r="Q301" s="2808"/>
      <c r="R301" s="3337"/>
      <c r="S301" s="3309"/>
      <c r="T301" s="2808"/>
      <c r="U301" s="2808"/>
      <c r="V301" s="3337"/>
      <c r="W301" s="3335"/>
      <c r="X301" s="2808"/>
      <c r="Y301" s="2808"/>
      <c r="Z301" s="3337"/>
      <c r="AA301" s="3335"/>
      <c r="AB301" s="2808"/>
      <c r="AC301" s="2808"/>
      <c r="AD301" s="3316"/>
      <c r="AE301" s="3335"/>
      <c r="AF301" s="2808"/>
      <c r="AG301" s="2808"/>
      <c r="AH301" s="3316"/>
      <c r="AI301" s="2815"/>
    </row>
    <row r="302" spans="1:36" ht="18" customHeight="1" x14ac:dyDescent="0.2">
      <c r="A302" s="1"/>
      <c r="B302" s="5"/>
      <c r="C302" s="42"/>
      <c r="F302" s="46"/>
      <c r="G302" s="42"/>
      <c r="J302" s="46"/>
      <c r="K302" s="42"/>
      <c r="N302" s="46"/>
      <c r="O302" s="42"/>
      <c r="R302" s="46"/>
      <c r="S302" s="42"/>
      <c r="V302" s="46"/>
      <c r="W302" s="46"/>
      <c r="Z302" s="46"/>
      <c r="AA302" s="46"/>
      <c r="AD302" s="46"/>
      <c r="AE302" s="46"/>
      <c r="AH302" s="46"/>
    </row>
    <row r="303" spans="1:36" ht="18" customHeight="1" x14ac:dyDescent="0.2">
      <c r="A303" s="103" t="s">
        <v>384</v>
      </c>
      <c r="B303" s="5"/>
      <c r="C303" s="42"/>
      <c r="F303" s="46"/>
      <c r="G303" s="42"/>
      <c r="J303" s="46"/>
      <c r="K303" s="42"/>
      <c r="N303" s="46"/>
      <c r="O303" s="42"/>
      <c r="R303" s="46"/>
      <c r="S303" s="42"/>
      <c r="V303" s="46"/>
      <c r="W303" s="46"/>
      <c r="Z303" s="46"/>
      <c r="AA303" s="46"/>
      <c r="AD303" s="46"/>
      <c r="AE303" s="46"/>
      <c r="AH303" s="208"/>
      <c r="AI303" s="123"/>
      <c r="AJ303" s="123"/>
    </row>
    <row r="304" spans="1:36" ht="18" customHeight="1" x14ac:dyDescent="0.2">
      <c r="A304" s="3287" t="s">
        <v>43</v>
      </c>
      <c r="B304" s="2817" t="s">
        <v>44</v>
      </c>
      <c r="C304" s="3140">
        <v>1</v>
      </c>
      <c r="D304" s="3141">
        <v>2</v>
      </c>
      <c r="E304" s="3141">
        <v>3</v>
      </c>
      <c r="F304" s="3140">
        <v>4</v>
      </c>
      <c r="G304" s="3140">
        <v>5</v>
      </c>
      <c r="H304" s="3141">
        <v>6</v>
      </c>
      <c r="I304" s="3141">
        <v>7</v>
      </c>
      <c r="J304" s="3141">
        <v>8</v>
      </c>
      <c r="K304" s="3141">
        <v>9</v>
      </c>
      <c r="L304" s="3141">
        <v>10</v>
      </c>
      <c r="M304" s="3140">
        <v>11</v>
      </c>
      <c r="N304" s="3140">
        <v>12</v>
      </c>
      <c r="O304" s="3141">
        <v>13</v>
      </c>
      <c r="P304" s="3141">
        <v>14</v>
      </c>
      <c r="Q304" s="3141">
        <v>15</v>
      </c>
      <c r="R304" s="3141">
        <v>16</v>
      </c>
      <c r="S304" s="3141">
        <v>17</v>
      </c>
      <c r="T304" s="3140">
        <v>18</v>
      </c>
      <c r="U304" s="3140">
        <v>19</v>
      </c>
      <c r="V304" s="3141">
        <v>20</v>
      </c>
      <c r="W304" s="3141">
        <v>21</v>
      </c>
      <c r="X304" s="3141">
        <v>22</v>
      </c>
      <c r="Y304" s="3141">
        <v>23</v>
      </c>
      <c r="Z304" s="3141">
        <v>24</v>
      </c>
      <c r="AA304" s="3140">
        <v>25</v>
      </c>
      <c r="AB304" s="3140">
        <v>26</v>
      </c>
      <c r="AC304" s="3141">
        <v>27</v>
      </c>
      <c r="AD304" s="3141">
        <v>28</v>
      </c>
      <c r="AE304" s="3141">
        <v>29</v>
      </c>
      <c r="AF304" s="3141">
        <v>30</v>
      </c>
      <c r="AG304" s="3141">
        <v>31</v>
      </c>
      <c r="AH304" s="209"/>
      <c r="AI304" s="210"/>
      <c r="AJ304" s="123"/>
    </row>
    <row r="305" spans="1:36" ht="18" customHeight="1" x14ac:dyDescent="0.2">
      <c r="A305" s="3128"/>
      <c r="B305" s="3227"/>
      <c r="C305" s="2718"/>
      <c r="D305" s="2718" t="s">
        <v>46</v>
      </c>
      <c r="E305" s="2718" t="s">
        <v>46</v>
      </c>
      <c r="F305" s="2718"/>
      <c r="G305" s="2718"/>
      <c r="H305" s="2718" t="s">
        <v>46</v>
      </c>
      <c r="I305" s="2718" t="s">
        <v>46</v>
      </c>
      <c r="J305" s="2718" t="s">
        <v>46</v>
      </c>
      <c r="K305" s="2718" t="s">
        <v>46</v>
      </c>
      <c r="L305" s="2718" t="s">
        <v>46</v>
      </c>
      <c r="M305" s="2718"/>
      <c r="N305" s="2718"/>
      <c r="O305" s="2718" t="s">
        <v>46</v>
      </c>
      <c r="P305" s="2718" t="s">
        <v>46</v>
      </c>
      <c r="Q305" s="2718" t="s">
        <v>46</v>
      </c>
      <c r="R305" s="2718" t="s">
        <v>46</v>
      </c>
      <c r="S305" s="2718" t="s">
        <v>46</v>
      </c>
      <c r="T305" s="2718"/>
      <c r="U305" s="2718"/>
      <c r="V305" s="2718" t="s">
        <v>46</v>
      </c>
      <c r="W305" s="2718" t="s">
        <v>46</v>
      </c>
      <c r="X305" s="2718" t="s">
        <v>46</v>
      </c>
      <c r="Y305" s="2718" t="s">
        <v>46</v>
      </c>
      <c r="Z305" s="2718" t="s">
        <v>46</v>
      </c>
      <c r="AA305" s="2718"/>
      <c r="AB305" s="2718"/>
      <c r="AC305" s="2718" t="s">
        <v>46</v>
      </c>
      <c r="AD305" s="2718" t="s">
        <v>46</v>
      </c>
      <c r="AE305" s="2718" t="s">
        <v>46</v>
      </c>
      <c r="AF305" s="2718" t="s">
        <v>46</v>
      </c>
      <c r="AG305" s="2721" t="s">
        <v>46</v>
      </c>
      <c r="AH305" s="211"/>
      <c r="AI305" s="212"/>
      <c r="AJ305" s="123"/>
    </row>
    <row r="306" spans="1:36" ht="18" customHeight="1" x14ac:dyDescent="0.2">
      <c r="A306" s="3446"/>
      <c r="B306" s="748" t="s">
        <v>385</v>
      </c>
      <c r="C306" s="2718"/>
      <c r="D306" s="2718" t="s">
        <v>46</v>
      </c>
      <c r="E306" s="2718" t="s">
        <v>46</v>
      </c>
      <c r="F306" s="2718"/>
      <c r="G306" s="2718"/>
      <c r="H306" s="2718" t="s">
        <v>46</v>
      </c>
      <c r="I306" s="2718" t="s">
        <v>46</v>
      </c>
      <c r="J306" s="2718" t="s">
        <v>46</v>
      </c>
      <c r="K306" s="2718" t="s">
        <v>46</v>
      </c>
      <c r="L306" s="2718" t="s">
        <v>46</v>
      </c>
      <c r="M306" s="2718"/>
      <c r="N306" s="2718"/>
      <c r="O306" s="2718" t="s">
        <v>46</v>
      </c>
      <c r="P306" s="2718" t="s">
        <v>46</v>
      </c>
      <c r="Q306" s="2718" t="s">
        <v>46</v>
      </c>
      <c r="R306" s="2718" t="s">
        <v>46</v>
      </c>
      <c r="S306" s="2718" t="s">
        <v>46</v>
      </c>
      <c r="T306" s="2718"/>
      <c r="U306" s="2718"/>
      <c r="V306" s="2718" t="s">
        <v>46</v>
      </c>
      <c r="W306" s="2718" t="s">
        <v>46</v>
      </c>
      <c r="X306" s="2718" t="s">
        <v>46</v>
      </c>
      <c r="Y306" s="2718" t="s">
        <v>46</v>
      </c>
      <c r="Z306" s="2718" t="s">
        <v>46</v>
      </c>
      <c r="AA306" s="2718"/>
      <c r="AB306" s="2718"/>
      <c r="AC306" s="2718" t="s">
        <v>46</v>
      </c>
      <c r="AD306" s="2718" t="s">
        <v>46</v>
      </c>
      <c r="AE306" s="2718" t="s">
        <v>46</v>
      </c>
      <c r="AF306" s="2718" t="s">
        <v>46</v>
      </c>
      <c r="AG306" s="2721" t="s">
        <v>46</v>
      </c>
      <c r="AH306" s="211"/>
      <c r="AI306" s="212"/>
      <c r="AJ306" s="123"/>
    </row>
    <row r="307" spans="1:36" ht="18" customHeight="1" x14ac:dyDescent="0.2">
      <c r="A307" s="3418"/>
      <c r="B307" s="748" t="s">
        <v>386</v>
      </c>
      <c r="C307" s="2718"/>
      <c r="D307" s="2718" t="s">
        <v>46</v>
      </c>
      <c r="E307" s="2718" t="s">
        <v>46</v>
      </c>
      <c r="F307" s="2718"/>
      <c r="G307" s="2718"/>
      <c r="H307" s="2718" t="s">
        <v>46</v>
      </c>
      <c r="I307" s="2718" t="s">
        <v>46</v>
      </c>
      <c r="J307" s="2718" t="s">
        <v>46</v>
      </c>
      <c r="K307" s="2718" t="s">
        <v>46</v>
      </c>
      <c r="L307" s="2718" t="s">
        <v>46</v>
      </c>
      <c r="M307" s="2718"/>
      <c r="N307" s="2718"/>
      <c r="O307" s="2718" t="s">
        <v>46</v>
      </c>
      <c r="P307" s="2718" t="s">
        <v>46</v>
      </c>
      <c r="Q307" s="2718" t="s">
        <v>46</v>
      </c>
      <c r="R307" s="2718" t="s">
        <v>46</v>
      </c>
      <c r="S307" s="2718" t="s">
        <v>46</v>
      </c>
      <c r="T307" s="2718"/>
      <c r="U307" s="2718"/>
      <c r="V307" s="2718" t="s">
        <v>46</v>
      </c>
      <c r="W307" s="2718" t="s">
        <v>46</v>
      </c>
      <c r="X307" s="2718" t="s">
        <v>46</v>
      </c>
      <c r="Y307" s="2718" t="s">
        <v>46</v>
      </c>
      <c r="Z307" s="2718" t="s">
        <v>46</v>
      </c>
      <c r="AA307" s="2718"/>
      <c r="AB307" s="2718"/>
      <c r="AC307" s="2718" t="s">
        <v>46</v>
      </c>
      <c r="AD307" s="2718" t="s">
        <v>46</v>
      </c>
      <c r="AE307" s="2718" t="s">
        <v>46</v>
      </c>
      <c r="AF307" s="2718" t="s">
        <v>46</v>
      </c>
      <c r="AG307" s="2721" t="s">
        <v>46</v>
      </c>
      <c r="AH307" s="211"/>
      <c r="AI307" s="212"/>
      <c r="AJ307" s="123"/>
    </row>
    <row r="308" spans="1:36" ht="18" customHeight="1" x14ac:dyDescent="0.2">
      <c r="A308" s="3418"/>
      <c r="B308" s="748" t="s">
        <v>387</v>
      </c>
      <c r="C308" s="2718"/>
      <c r="D308" s="2718" t="s">
        <v>46</v>
      </c>
      <c r="E308" s="2718" t="s">
        <v>46</v>
      </c>
      <c r="F308" s="2718"/>
      <c r="G308" s="2718"/>
      <c r="H308" s="2718" t="s">
        <v>46</v>
      </c>
      <c r="I308" s="2718" t="s">
        <v>46</v>
      </c>
      <c r="J308" s="2718" t="s">
        <v>46</v>
      </c>
      <c r="K308" s="2718" t="s">
        <v>46</v>
      </c>
      <c r="L308" s="2718" t="s">
        <v>46</v>
      </c>
      <c r="M308" s="2718"/>
      <c r="N308" s="2718"/>
      <c r="O308" s="2718" t="s">
        <v>46</v>
      </c>
      <c r="P308" s="2718" t="s">
        <v>46</v>
      </c>
      <c r="Q308" s="2718" t="s">
        <v>46</v>
      </c>
      <c r="R308" s="2718" t="s">
        <v>46</v>
      </c>
      <c r="S308" s="2718" t="s">
        <v>46</v>
      </c>
      <c r="T308" s="2718"/>
      <c r="U308" s="2718"/>
      <c r="V308" s="2718" t="s">
        <v>46</v>
      </c>
      <c r="W308" s="2718" t="s">
        <v>46</v>
      </c>
      <c r="X308" s="2718" t="s">
        <v>46</v>
      </c>
      <c r="Y308" s="2718" t="s">
        <v>46</v>
      </c>
      <c r="Z308" s="2718" t="s">
        <v>46</v>
      </c>
      <c r="AA308" s="2718"/>
      <c r="AB308" s="2718"/>
      <c r="AC308" s="2718" t="s">
        <v>46</v>
      </c>
      <c r="AD308" s="2718" t="s">
        <v>46</v>
      </c>
      <c r="AE308" s="2718" t="s">
        <v>46</v>
      </c>
      <c r="AF308" s="2718" t="s">
        <v>46</v>
      </c>
      <c r="AG308" s="2721" t="s">
        <v>46</v>
      </c>
      <c r="AH308" s="211"/>
      <c r="AI308" s="212"/>
      <c r="AJ308" s="123"/>
    </row>
    <row r="309" spans="1:36" ht="18" customHeight="1" x14ac:dyDescent="0.2">
      <c r="A309" s="3418"/>
      <c r="B309" s="748" t="s">
        <v>388</v>
      </c>
      <c r="C309" s="2718"/>
      <c r="D309" s="2718" t="s">
        <v>46</v>
      </c>
      <c r="E309" s="2718" t="s">
        <v>46</v>
      </c>
      <c r="F309" s="2718"/>
      <c r="G309" s="2718"/>
      <c r="H309" s="2718" t="s">
        <v>46</v>
      </c>
      <c r="I309" s="2718" t="s">
        <v>46</v>
      </c>
      <c r="J309" s="2718" t="s">
        <v>46</v>
      </c>
      <c r="K309" s="2718" t="s">
        <v>46</v>
      </c>
      <c r="L309" s="2718" t="s">
        <v>46</v>
      </c>
      <c r="M309" s="2718"/>
      <c r="N309" s="2718"/>
      <c r="O309" s="2718" t="s">
        <v>46</v>
      </c>
      <c r="P309" s="2718" t="s">
        <v>46</v>
      </c>
      <c r="Q309" s="2718" t="s">
        <v>46</v>
      </c>
      <c r="R309" s="2718" t="s">
        <v>46</v>
      </c>
      <c r="S309" s="2718" t="s">
        <v>46</v>
      </c>
      <c r="T309" s="2718"/>
      <c r="U309" s="2718"/>
      <c r="V309" s="2718" t="s">
        <v>46</v>
      </c>
      <c r="W309" s="2718" t="s">
        <v>46</v>
      </c>
      <c r="X309" s="2718" t="s">
        <v>46</v>
      </c>
      <c r="Y309" s="2718" t="s">
        <v>46</v>
      </c>
      <c r="Z309" s="2718" t="s">
        <v>46</v>
      </c>
      <c r="AA309" s="2718"/>
      <c r="AB309" s="2718"/>
      <c r="AC309" s="2718" t="s">
        <v>46</v>
      </c>
      <c r="AD309" s="2718" t="s">
        <v>46</v>
      </c>
      <c r="AE309" s="2718" t="s">
        <v>46</v>
      </c>
      <c r="AF309" s="2718" t="s">
        <v>46</v>
      </c>
      <c r="AG309" s="2721" t="s">
        <v>46</v>
      </c>
      <c r="AH309" s="211"/>
      <c r="AI309" s="212"/>
      <c r="AJ309" s="123"/>
    </row>
    <row r="310" spans="1:36" ht="18" customHeight="1" x14ac:dyDescent="0.2">
      <c r="A310" s="3418"/>
      <c r="B310" s="748" t="s">
        <v>389</v>
      </c>
      <c r="C310" s="2718"/>
      <c r="D310" s="2718" t="s">
        <v>46</v>
      </c>
      <c r="E310" s="2718" t="s">
        <v>46</v>
      </c>
      <c r="F310" s="2718"/>
      <c r="G310" s="2718"/>
      <c r="H310" s="2718" t="s">
        <v>46</v>
      </c>
      <c r="I310" s="2718" t="s">
        <v>46</v>
      </c>
      <c r="J310" s="2718" t="s">
        <v>46</v>
      </c>
      <c r="K310" s="2718" t="s">
        <v>46</v>
      </c>
      <c r="L310" s="2718" t="s">
        <v>46</v>
      </c>
      <c r="M310" s="2718"/>
      <c r="N310" s="2718"/>
      <c r="O310" s="2718" t="s">
        <v>46</v>
      </c>
      <c r="P310" s="2718" t="s">
        <v>46</v>
      </c>
      <c r="Q310" s="2718" t="s">
        <v>46</v>
      </c>
      <c r="R310" s="2718" t="s">
        <v>46</v>
      </c>
      <c r="S310" s="2718" t="s">
        <v>46</v>
      </c>
      <c r="T310" s="2718"/>
      <c r="U310" s="2718"/>
      <c r="V310" s="2718" t="s">
        <v>46</v>
      </c>
      <c r="W310" s="2718" t="s">
        <v>46</v>
      </c>
      <c r="X310" s="2718" t="s">
        <v>46</v>
      </c>
      <c r="Y310" s="2718" t="s">
        <v>46</v>
      </c>
      <c r="Z310" s="2718" t="s">
        <v>46</v>
      </c>
      <c r="AA310" s="2718"/>
      <c r="AB310" s="2718"/>
      <c r="AC310" s="2718" t="s">
        <v>46</v>
      </c>
      <c r="AD310" s="2718" t="s">
        <v>46</v>
      </c>
      <c r="AE310" s="2718" t="s">
        <v>46</v>
      </c>
      <c r="AF310" s="2718" t="s">
        <v>46</v>
      </c>
      <c r="AG310" s="2721" t="s">
        <v>46</v>
      </c>
      <c r="AH310" s="211"/>
      <c r="AI310" s="212"/>
      <c r="AJ310" s="123"/>
    </row>
    <row r="311" spans="1:36" ht="18" customHeight="1" x14ac:dyDescent="0.2">
      <c r="A311" s="3418"/>
      <c r="B311" s="748" t="s">
        <v>390</v>
      </c>
      <c r="C311" s="2718"/>
      <c r="D311" s="2718" t="s">
        <v>46</v>
      </c>
      <c r="E311" s="2718" t="s">
        <v>46</v>
      </c>
      <c r="F311" s="2718"/>
      <c r="G311" s="2718"/>
      <c r="H311" s="2718" t="s">
        <v>46</v>
      </c>
      <c r="I311" s="2718" t="s">
        <v>46</v>
      </c>
      <c r="J311" s="2718" t="s">
        <v>46</v>
      </c>
      <c r="K311" s="2718" t="s">
        <v>46</v>
      </c>
      <c r="L311" s="2718" t="s">
        <v>46</v>
      </c>
      <c r="M311" s="2718"/>
      <c r="N311" s="2718"/>
      <c r="O311" s="2718" t="s">
        <v>46</v>
      </c>
      <c r="P311" s="2718" t="s">
        <v>46</v>
      </c>
      <c r="Q311" s="2718" t="s">
        <v>46</v>
      </c>
      <c r="R311" s="2718" t="s">
        <v>46</v>
      </c>
      <c r="S311" s="2718" t="s">
        <v>46</v>
      </c>
      <c r="T311" s="2718"/>
      <c r="U311" s="2718"/>
      <c r="V311" s="2718" t="s">
        <v>46</v>
      </c>
      <c r="W311" s="2718" t="s">
        <v>46</v>
      </c>
      <c r="X311" s="2718" t="s">
        <v>46</v>
      </c>
      <c r="Y311" s="2718" t="s">
        <v>46</v>
      </c>
      <c r="Z311" s="2718" t="s">
        <v>46</v>
      </c>
      <c r="AA311" s="2718"/>
      <c r="AB311" s="2718"/>
      <c r="AC311" s="2718" t="s">
        <v>46</v>
      </c>
      <c r="AD311" s="2718" t="s">
        <v>46</v>
      </c>
      <c r="AE311" s="2718" t="s">
        <v>46</v>
      </c>
      <c r="AF311" s="2718" t="s">
        <v>46</v>
      </c>
      <c r="AG311" s="2721" t="s">
        <v>46</v>
      </c>
      <c r="AH311" s="211"/>
      <c r="AI311" s="212"/>
      <c r="AJ311" s="123"/>
    </row>
    <row r="312" spans="1:36" ht="18" customHeight="1" x14ac:dyDescent="0.2">
      <c r="A312" s="3418"/>
      <c r="B312" s="748" t="s">
        <v>391</v>
      </c>
      <c r="C312" s="2718"/>
      <c r="D312" s="2718" t="s">
        <v>46</v>
      </c>
      <c r="E312" s="2718" t="s">
        <v>46</v>
      </c>
      <c r="F312" s="2718"/>
      <c r="G312" s="2718"/>
      <c r="H312" s="2718" t="s">
        <v>46</v>
      </c>
      <c r="I312" s="2718" t="s">
        <v>46</v>
      </c>
      <c r="J312" s="2718" t="s">
        <v>46</v>
      </c>
      <c r="K312" s="2718" t="s">
        <v>46</v>
      </c>
      <c r="L312" s="2718" t="s">
        <v>46</v>
      </c>
      <c r="M312" s="2718"/>
      <c r="N312" s="2718"/>
      <c r="O312" s="2718" t="s">
        <v>46</v>
      </c>
      <c r="P312" s="2718" t="s">
        <v>46</v>
      </c>
      <c r="Q312" s="2718" t="s">
        <v>46</v>
      </c>
      <c r="R312" s="2718" t="s">
        <v>46</v>
      </c>
      <c r="S312" s="2718" t="s">
        <v>46</v>
      </c>
      <c r="T312" s="2718"/>
      <c r="U312" s="2718"/>
      <c r="V312" s="2718" t="s">
        <v>46</v>
      </c>
      <c r="W312" s="2718" t="s">
        <v>46</v>
      </c>
      <c r="X312" s="2718" t="s">
        <v>46</v>
      </c>
      <c r="Y312" s="2718" t="s">
        <v>46</v>
      </c>
      <c r="Z312" s="2718" t="s">
        <v>46</v>
      </c>
      <c r="AA312" s="2718"/>
      <c r="AB312" s="2718"/>
      <c r="AC312" s="2718" t="s">
        <v>46</v>
      </c>
      <c r="AD312" s="2718" t="s">
        <v>46</v>
      </c>
      <c r="AE312" s="2718" t="s">
        <v>46</v>
      </c>
      <c r="AF312" s="2718" t="s">
        <v>46</v>
      </c>
      <c r="AG312" s="2721" t="s">
        <v>46</v>
      </c>
      <c r="AH312" s="211"/>
      <c r="AI312" s="212"/>
      <c r="AJ312" s="123"/>
    </row>
    <row r="313" spans="1:36" ht="18" customHeight="1" x14ac:dyDescent="0.2">
      <c r="A313" s="3418"/>
      <c r="B313" s="748" t="s">
        <v>392</v>
      </c>
      <c r="C313" s="2718"/>
      <c r="D313" s="2718" t="s">
        <v>46</v>
      </c>
      <c r="E313" s="2718" t="s">
        <v>46</v>
      </c>
      <c r="F313" s="2718"/>
      <c r="G313" s="2718"/>
      <c r="H313" s="2718" t="s">
        <v>46</v>
      </c>
      <c r="I313" s="2718" t="s">
        <v>46</v>
      </c>
      <c r="J313" s="2718" t="s">
        <v>46</v>
      </c>
      <c r="K313" s="2718" t="s">
        <v>46</v>
      </c>
      <c r="L313" s="2718" t="s">
        <v>46</v>
      </c>
      <c r="M313" s="2718"/>
      <c r="N313" s="2718"/>
      <c r="O313" s="2718" t="s">
        <v>46</v>
      </c>
      <c r="P313" s="2718" t="s">
        <v>46</v>
      </c>
      <c r="Q313" s="2718" t="s">
        <v>46</v>
      </c>
      <c r="R313" s="2718" t="s">
        <v>46</v>
      </c>
      <c r="S313" s="2718" t="s">
        <v>46</v>
      </c>
      <c r="T313" s="2718"/>
      <c r="U313" s="2718"/>
      <c r="V313" s="2718" t="s">
        <v>46</v>
      </c>
      <c r="W313" s="2718" t="s">
        <v>46</v>
      </c>
      <c r="X313" s="2718" t="s">
        <v>46</v>
      </c>
      <c r="Y313" s="2718" t="s">
        <v>46</v>
      </c>
      <c r="Z313" s="2718" t="s">
        <v>46</v>
      </c>
      <c r="AA313" s="2718"/>
      <c r="AB313" s="2718"/>
      <c r="AC313" s="2718" t="s">
        <v>46</v>
      </c>
      <c r="AD313" s="2718" t="s">
        <v>46</v>
      </c>
      <c r="AE313" s="2718" t="s">
        <v>46</v>
      </c>
      <c r="AF313" s="2718" t="s">
        <v>46</v>
      </c>
      <c r="AG313" s="2721" t="s">
        <v>46</v>
      </c>
      <c r="AH313" s="211"/>
      <c r="AI313" s="212"/>
      <c r="AJ313" s="123"/>
    </row>
    <row r="314" spans="1:36" ht="18" customHeight="1" x14ac:dyDescent="0.2">
      <c r="A314" s="3418"/>
      <c r="B314" s="748" t="s">
        <v>393</v>
      </c>
      <c r="C314" s="2718"/>
      <c r="D314" s="2718" t="s">
        <v>46</v>
      </c>
      <c r="E314" s="2718" t="s">
        <v>46</v>
      </c>
      <c r="F314" s="2718"/>
      <c r="G314" s="2718"/>
      <c r="H314" s="2718" t="s">
        <v>46</v>
      </c>
      <c r="I314" s="2718" t="s">
        <v>46</v>
      </c>
      <c r="J314" s="2718" t="s">
        <v>46</v>
      </c>
      <c r="K314" s="2718" t="s">
        <v>46</v>
      </c>
      <c r="L314" s="2718" t="s">
        <v>46</v>
      </c>
      <c r="M314" s="2718"/>
      <c r="N314" s="2718"/>
      <c r="O314" s="2718" t="s">
        <v>46</v>
      </c>
      <c r="P314" s="2718" t="s">
        <v>46</v>
      </c>
      <c r="Q314" s="2718" t="s">
        <v>46</v>
      </c>
      <c r="R314" s="2718" t="s">
        <v>46</v>
      </c>
      <c r="S314" s="2718" t="s">
        <v>46</v>
      </c>
      <c r="T314" s="2718"/>
      <c r="U314" s="2718"/>
      <c r="V314" s="2718" t="s">
        <v>46</v>
      </c>
      <c r="W314" s="2718" t="s">
        <v>46</v>
      </c>
      <c r="X314" s="2718" t="s">
        <v>46</v>
      </c>
      <c r="Y314" s="2718" t="s">
        <v>46</v>
      </c>
      <c r="Z314" s="2718" t="s">
        <v>46</v>
      </c>
      <c r="AA314" s="2718"/>
      <c r="AB314" s="2718"/>
      <c r="AC314" s="2718" t="s">
        <v>46</v>
      </c>
      <c r="AD314" s="2718" t="s">
        <v>46</v>
      </c>
      <c r="AE314" s="2718" t="s">
        <v>46</v>
      </c>
      <c r="AF314" s="2718" t="s">
        <v>46</v>
      </c>
      <c r="AG314" s="2721" t="s">
        <v>46</v>
      </c>
      <c r="AH314" s="211"/>
      <c r="AI314" s="212"/>
      <c r="AJ314" s="123"/>
    </row>
    <row r="315" spans="1:36" ht="18" customHeight="1" x14ac:dyDescent="0.2">
      <c r="A315" s="3447"/>
      <c r="B315" s="2478" t="s">
        <v>394</v>
      </c>
      <c r="C315" s="2718"/>
      <c r="D315" s="2718" t="s">
        <v>46</v>
      </c>
      <c r="E315" s="2718" t="s">
        <v>46</v>
      </c>
      <c r="F315" s="2718"/>
      <c r="G315" s="2718"/>
      <c r="H315" s="2718" t="s">
        <v>46</v>
      </c>
      <c r="I315" s="2718" t="s">
        <v>46</v>
      </c>
      <c r="J315" s="2718" t="s">
        <v>46</v>
      </c>
      <c r="K315" s="2718" t="s">
        <v>46</v>
      </c>
      <c r="L315" s="2718" t="s">
        <v>46</v>
      </c>
      <c r="M315" s="2718"/>
      <c r="N315" s="2718"/>
      <c r="O315" s="2718" t="s">
        <v>46</v>
      </c>
      <c r="P315" s="2718" t="s">
        <v>46</v>
      </c>
      <c r="Q315" s="2718" t="s">
        <v>46</v>
      </c>
      <c r="R315" s="2718" t="s">
        <v>46</v>
      </c>
      <c r="S315" s="2718" t="s">
        <v>46</v>
      </c>
      <c r="T315" s="2718"/>
      <c r="U315" s="2718"/>
      <c r="V315" s="2718" t="s">
        <v>46</v>
      </c>
      <c r="W315" s="2718" t="s">
        <v>46</v>
      </c>
      <c r="X315" s="2718" t="s">
        <v>46</v>
      </c>
      <c r="Y315" s="2718" t="s">
        <v>46</v>
      </c>
      <c r="Z315" s="2718" t="s">
        <v>46</v>
      </c>
      <c r="AA315" s="2718"/>
      <c r="AB315" s="2718"/>
      <c r="AC315" s="2718" t="s">
        <v>46</v>
      </c>
      <c r="AD315" s="2718" t="s">
        <v>46</v>
      </c>
      <c r="AE315" s="2718" t="s">
        <v>46</v>
      </c>
      <c r="AF315" s="2718" t="s">
        <v>46</v>
      </c>
      <c r="AG315" s="2721" t="s">
        <v>46</v>
      </c>
      <c r="AH315" s="211"/>
      <c r="AI315" s="212"/>
      <c r="AJ315" s="123"/>
    </row>
    <row r="316" spans="1:36" ht="18" customHeight="1" x14ac:dyDescent="0.2">
      <c r="A316" s="3418"/>
      <c r="B316" s="748"/>
      <c r="C316" s="636"/>
      <c r="D316" s="3258"/>
      <c r="E316" s="636"/>
      <c r="F316" s="636"/>
      <c r="G316" s="636"/>
      <c r="H316" s="636"/>
      <c r="I316" s="636"/>
      <c r="J316" s="636"/>
      <c r="K316" s="636"/>
      <c r="L316" s="636"/>
      <c r="M316" s="636"/>
      <c r="N316" s="636"/>
      <c r="O316" s="636"/>
      <c r="P316" s="636"/>
      <c r="Q316" s="636"/>
      <c r="R316" s="636"/>
      <c r="S316" s="636"/>
      <c r="T316" s="636"/>
      <c r="U316" s="636"/>
      <c r="V316" s="636"/>
      <c r="W316" s="636"/>
      <c r="X316" s="636"/>
      <c r="Y316" s="636"/>
      <c r="Z316" s="636"/>
      <c r="AA316" s="636"/>
      <c r="AB316" s="636"/>
      <c r="AC316" s="636"/>
      <c r="AD316" s="636"/>
      <c r="AE316" s="636"/>
      <c r="AF316" s="636"/>
      <c r="AG316" s="801"/>
      <c r="AH316" s="211"/>
      <c r="AI316" s="212"/>
      <c r="AJ316" s="123"/>
    </row>
    <row r="317" spans="1:36" ht="18" customHeight="1" x14ac:dyDescent="0.2">
      <c r="A317" s="372"/>
      <c r="B317" s="1085"/>
      <c r="C317" s="712"/>
      <c r="D317" s="712"/>
      <c r="E317" s="712"/>
      <c r="F317" s="712"/>
      <c r="G317" s="712"/>
      <c r="H317" s="712"/>
      <c r="I317" s="712"/>
      <c r="J317" s="712"/>
      <c r="K317" s="712"/>
      <c r="L317" s="712"/>
      <c r="M317" s="712"/>
      <c r="N317" s="711"/>
      <c r="O317" s="711"/>
      <c r="P317" s="712"/>
      <c r="Q317" s="712"/>
      <c r="R317" s="712"/>
      <c r="S317" s="712"/>
      <c r="T317" s="712"/>
      <c r="U317" s="712"/>
      <c r="V317" s="712"/>
      <c r="W317" s="712"/>
      <c r="X317" s="712"/>
      <c r="Y317" s="712"/>
      <c r="Z317" s="712"/>
      <c r="AA317" s="712"/>
      <c r="AB317" s="711"/>
      <c r="AC317" s="711"/>
      <c r="AD317" s="712"/>
      <c r="AE317" s="712"/>
      <c r="AF317" s="712"/>
      <c r="AG317" s="1086"/>
      <c r="AH317" s="211"/>
      <c r="AI317" s="213"/>
      <c r="AJ317" s="123"/>
    </row>
    <row r="318" spans="1:36" ht="18" customHeight="1" x14ac:dyDescent="0.2">
      <c r="A318" s="1087"/>
      <c r="B318" s="1088"/>
      <c r="C318" s="3448"/>
      <c r="D318" s="3449"/>
      <c r="E318" s="3449"/>
      <c r="F318" s="3449"/>
      <c r="G318" s="3449"/>
      <c r="H318" s="3449"/>
      <c r="I318" s="3449"/>
      <c r="J318" s="3449"/>
      <c r="K318" s="3449"/>
      <c r="L318" s="3449"/>
      <c r="M318" s="3449"/>
      <c r="N318" s="3450"/>
      <c r="O318" s="3450"/>
      <c r="P318" s="3449"/>
      <c r="Q318" s="3449"/>
      <c r="R318" s="3449"/>
      <c r="S318" s="3449"/>
      <c r="T318" s="3449"/>
      <c r="U318" s="3449"/>
      <c r="V318" s="3449"/>
      <c r="W318" s="3449"/>
      <c r="X318" s="3449"/>
      <c r="Y318" s="3449"/>
      <c r="Z318" s="3449"/>
      <c r="AA318" s="3449"/>
      <c r="AB318" s="3450"/>
      <c r="AC318" s="3450"/>
      <c r="AD318" s="3449"/>
      <c r="AE318" s="3449"/>
      <c r="AF318" s="3449"/>
      <c r="AG318" s="3451"/>
      <c r="AH318" s="211"/>
      <c r="AI318" s="213"/>
      <c r="AJ318" s="123"/>
    </row>
    <row r="319" spans="1:36" ht="18" customHeight="1" x14ac:dyDescent="0.2">
      <c r="AH319" s="123"/>
      <c r="AI319" s="123"/>
      <c r="AJ319" s="123"/>
    </row>
    <row r="320" spans="1:36" x14ac:dyDescent="0.2">
      <c r="AH320" s="123"/>
      <c r="AI320" s="123"/>
      <c r="AJ320" s="123"/>
    </row>
    <row r="321" spans="34:36" x14ac:dyDescent="0.2">
      <c r="AH321" s="123"/>
      <c r="AI321" s="123"/>
      <c r="AJ321" s="123"/>
    </row>
    <row r="322" spans="34:36" x14ac:dyDescent="0.2">
      <c r="AH322" s="123"/>
      <c r="AI322" s="123"/>
      <c r="AJ322" s="123"/>
    </row>
  </sheetData>
  <sheetProtection algorithmName="SHA-512" hashValue="nP7zpx+4j3GC2pH0E3wPc2GPkDreBOdV8hbl+GEEHQkzeUom6KiM1L2E/fb4ecYwVwToMHSyquuIz/HR8o5g0g==" saltValue="P7rCwenuds6wQyiL6JuakQ==" spinCount="100000" sheet="1" objects="1" scenarios="1"/>
  <mergeCells count="1">
    <mergeCell ref="T37:Z37"/>
  </mergeCells>
  <pageMargins left="0.7" right="0.7" top="0.75" bottom="0.75" header="0.3" footer="0.3"/>
  <pageSetup paperSize="9" scale="10" orientation="landscape" r:id="rId1"/>
  <ignoredErrors>
    <ignoredError sqref="AE73 AC73:AD73" numberStoredAsText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25">
    <pageSetUpPr fitToPage="1"/>
  </sheetPr>
  <dimension ref="A1:AN313"/>
  <sheetViews>
    <sheetView topLeftCell="A8" workbookViewId="0">
      <pane xSplit="2" topLeftCell="C1" activePane="topRight" state="frozen"/>
      <selection activeCell="AB61" sqref="AB61"/>
      <selection pane="topRight" activeCell="O98" sqref="O98"/>
    </sheetView>
  </sheetViews>
  <sheetFormatPr defaultRowHeight="12" x14ac:dyDescent="0.2"/>
  <cols>
    <col min="1" max="1" width="6.7109375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9" max="39" width="11.85546875" customWidth="1"/>
    <col min="40" max="40" width="13" customWidth="1"/>
  </cols>
  <sheetData>
    <row r="1" spans="1:38" ht="18" customHeight="1" x14ac:dyDescent="0.2">
      <c r="A1" t="s">
        <v>0</v>
      </c>
      <c r="B1" s="1" t="s">
        <v>1</v>
      </c>
      <c r="U1" t="s">
        <v>433</v>
      </c>
    </row>
    <row r="2" spans="1:38" ht="18" customHeight="1" x14ac:dyDescent="0.2">
      <c r="B2" s="3452" t="s">
        <v>2</v>
      </c>
      <c r="C2" s="3453" t="s">
        <v>3</v>
      </c>
      <c r="D2" s="3454"/>
      <c r="E2" s="3455" t="s">
        <v>4</v>
      </c>
      <c r="F2" s="3456"/>
      <c r="G2" s="3457"/>
      <c r="H2" s="3457"/>
      <c r="I2" s="3457"/>
      <c r="J2" s="3457"/>
      <c r="K2" s="3458"/>
      <c r="L2" s="3459" t="s">
        <v>5</v>
      </c>
      <c r="M2" s="3460"/>
      <c r="N2" s="3461"/>
      <c r="O2" s="3462" t="s">
        <v>6</v>
      </c>
      <c r="P2" s="3463"/>
      <c r="Q2" s="3464"/>
      <c r="R2" s="3465"/>
      <c r="S2" s="3466" t="s">
        <v>7</v>
      </c>
      <c r="T2" s="3467"/>
      <c r="U2" s="3468"/>
      <c r="V2" s="3467"/>
      <c r="W2" s="3469" t="s">
        <v>8</v>
      </c>
      <c r="X2" s="3470"/>
      <c r="Y2" s="3471"/>
      <c r="Z2" s="105" t="s">
        <v>9</v>
      </c>
      <c r="AA2" s="2674"/>
      <c r="AB2" s="2675"/>
      <c r="AC2" s="2676"/>
      <c r="AD2" s="2677" t="s">
        <v>10</v>
      </c>
      <c r="AE2" s="2678"/>
      <c r="AF2" s="2678"/>
      <c r="AG2" s="2679"/>
    </row>
    <row r="3" spans="1:38" ht="18" customHeight="1" x14ac:dyDescent="0.2">
      <c r="A3" s="1"/>
      <c r="B3" s="3472" t="s">
        <v>10</v>
      </c>
      <c r="C3" s="3473" t="s">
        <v>10</v>
      </c>
      <c r="D3" s="3474"/>
      <c r="E3" s="543"/>
      <c r="F3" s="544"/>
      <c r="G3" s="544"/>
      <c r="H3" s="545" t="s">
        <v>10</v>
      </c>
      <c r="I3" s="546"/>
      <c r="J3" s="546"/>
      <c r="K3" s="547"/>
      <c r="L3" s="3475" t="s">
        <v>11</v>
      </c>
      <c r="M3" s="3476"/>
      <c r="N3" s="3477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3476"/>
      <c r="AA3" s="3476"/>
      <c r="AB3" s="3478"/>
      <c r="AC3" s="3479"/>
      <c r="AD3" s="3480" t="s">
        <v>13</v>
      </c>
      <c r="AE3" s="3481"/>
      <c r="AF3" s="3481"/>
      <c r="AG3" s="3482"/>
      <c r="AH3" s="3483" t="s">
        <v>14</v>
      </c>
      <c r="AI3" s="3483"/>
      <c r="AJ3" s="3483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2691"/>
      <c r="D5" s="2692" t="s">
        <v>17</v>
      </c>
      <c r="E5" s="2693"/>
      <c r="F5" s="2691"/>
      <c r="G5" s="2692" t="s">
        <v>18</v>
      </c>
      <c r="H5" s="2693"/>
      <c r="I5" s="2691"/>
      <c r="J5" s="2692" t="s">
        <v>19</v>
      </c>
      <c r="K5" s="2693"/>
      <c r="L5" s="2691"/>
      <c r="M5" s="2692" t="s">
        <v>20</v>
      </c>
      <c r="N5" s="2693"/>
      <c r="O5" s="2691"/>
      <c r="P5" s="2692" t="s">
        <v>21</v>
      </c>
      <c r="Q5" s="2693"/>
      <c r="R5" s="2691"/>
      <c r="S5" s="2692" t="s">
        <v>22</v>
      </c>
      <c r="T5" s="3484"/>
      <c r="U5" s="3485"/>
      <c r="V5" s="3486" t="s">
        <v>23</v>
      </c>
      <c r="W5" s="3484"/>
    </row>
    <row r="6" spans="1:38" ht="18" customHeight="1" x14ac:dyDescent="0.2">
      <c r="A6" s="3487"/>
      <c r="B6" s="3488" t="s">
        <v>24</v>
      </c>
      <c r="C6" s="3489" t="s">
        <v>25</v>
      </c>
      <c r="D6" s="3490"/>
      <c r="E6" s="3491"/>
      <c r="F6" s="3492" t="s">
        <v>25</v>
      </c>
      <c r="G6" s="3493"/>
      <c r="H6" s="3493"/>
      <c r="I6" s="3489" t="s">
        <v>26</v>
      </c>
      <c r="J6" s="3493"/>
      <c r="K6" s="3491"/>
      <c r="L6" s="3492" t="s">
        <v>26</v>
      </c>
      <c r="M6" s="3493"/>
      <c r="N6" s="3491"/>
      <c r="O6" s="3492" t="s">
        <v>27</v>
      </c>
      <c r="P6" s="3493"/>
      <c r="Q6" s="3491"/>
      <c r="R6" s="3493"/>
      <c r="S6" s="3493"/>
      <c r="T6" s="3493"/>
      <c r="U6" s="3488"/>
      <c r="V6" s="3493"/>
      <c r="W6" s="3491"/>
      <c r="X6" s="3493"/>
      <c r="Y6" s="3493"/>
      <c r="Z6" s="3493"/>
      <c r="AA6" s="3493"/>
      <c r="AB6" s="3494"/>
      <c r="AC6" s="3491"/>
      <c r="AD6" s="123"/>
      <c r="AE6" s="123"/>
      <c r="AF6" s="123"/>
      <c r="AG6" s="123"/>
    </row>
    <row r="7" spans="1:38" ht="18" customHeight="1" x14ac:dyDescent="0.2">
      <c r="A7" s="3487"/>
      <c r="B7" s="3488" t="s">
        <v>28</v>
      </c>
      <c r="C7" s="3489" t="s">
        <v>29</v>
      </c>
      <c r="D7" s="3493"/>
      <c r="E7" s="3491"/>
      <c r="F7" s="3492" t="s">
        <v>29</v>
      </c>
      <c r="G7" s="3493"/>
      <c r="H7" s="3493"/>
      <c r="I7" s="3489" t="s">
        <v>29</v>
      </c>
      <c r="J7" s="3493"/>
      <c r="K7" s="3491"/>
      <c r="L7" s="3492" t="s">
        <v>29</v>
      </c>
      <c r="M7" s="3493"/>
      <c r="N7" s="3491"/>
      <c r="O7" s="3492" t="s">
        <v>30</v>
      </c>
      <c r="P7" s="3493"/>
      <c r="Q7" s="3491"/>
      <c r="R7" s="3493"/>
      <c r="S7" s="3493"/>
      <c r="T7" s="3493"/>
      <c r="U7" s="3488"/>
      <c r="V7" s="3493"/>
      <c r="W7" s="3491"/>
      <c r="X7" s="3493"/>
      <c r="Y7" s="3493"/>
      <c r="Z7" s="3493"/>
      <c r="AA7" s="3493"/>
      <c r="AB7" s="3495"/>
      <c r="AC7" s="3491"/>
      <c r="AD7" s="123"/>
      <c r="AE7" s="123"/>
      <c r="AF7" s="123"/>
      <c r="AG7" s="123"/>
    </row>
    <row r="8" spans="1:38" ht="18" customHeight="1" x14ac:dyDescent="0.2">
      <c r="A8" s="3488"/>
      <c r="B8" s="3488" t="s">
        <v>31</v>
      </c>
      <c r="C8" s="3496" t="s">
        <v>32</v>
      </c>
      <c r="D8" s="3497"/>
      <c r="E8" s="3498"/>
      <c r="F8" s="3492" t="s">
        <v>33</v>
      </c>
      <c r="G8" s="3497"/>
      <c r="H8" s="3497"/>
      <c r="I8" s="3496" t="s">
        <v>33</v>
      </c>
      <c r="J8" s="3497"/>
      <c r="K8" s="3498"/>
      <c r="L8" s="3492" t="s">
        <v>33</v>
      </c>
      <c r="M8" s="3497"/>
      <c r="N8" s="3497"/>
      <c r="O8" s="3496" t="s">
        <v>34</v>
      </c>
      <c r="P8" s="3497"/>
      <c r="Q8" s="3498"/>
      <c r="R8" s="1148" t="s">
        <v>35</v>
      </c>
      <c r="S8" s="367"/>
      <c r="T8" s="367"/>
      <c r="U8" s="3499" t="s">
        <v>35</v>
      </c>
      <c r="V8" s="367"/>
      <c r="W8" s="1150"/>
      <c r="X8" s="3493"/>
      <c r="Y8" s="3493"/>
      <c r="Z8" s="3493"/>
      <c r="AA8" s="3493"/>
      <c r="AB8" s="3495"/>
      <c r="AC8" s="3491"/>
      <c r="AD8" s="123"/>
      <c r="AE8" s="123"/>
      <c r="AF8" s="123"/>
      <c r="AG8" s="123"/>
    </row>
    <row r="9" spans="1:38" ht="18" customHeight="1" x14ac:dyDescent="0.2">
      <c r="A9" s="3488"/>
      <c r="B9" s="3488" t="s">
        <v>36</v>
      </c>
      <c r="C9" s="3489" t="s">
        <v>37</v>
      </c>
      <c r="D9" s="3497"/>
      <c r="E9" s="3498"/>
      <c r="F9" s="3492" t="s">
        <v>37</v>
      </c>
      <c r="G9" s="3493"/>
      <c r="H9" s="3493"/>
      <c r="I9" s="3489" t="s">
        <v>37</v>
      </c>
      <c r="J9" s="3493"/>
      <c r="K9" s="3491"/>
      <c r="L9" s="3492" t="s">
        <v>37</v>
      </c>
      <c r="M9" s="3493"/>
      <c r="N9" s="3491"/>
      <c r="O9" s="3492" t="s">
        <v>38</v>
      </c>
      <c r="P9" s="3493"/>
      <c r="Q9" s="3491"/>
      <c r="R9" s="3492" t="s">
        <v>39</v>
      </c>
      <c r="S9" s="3493"/>
      <c r="T9" s="3493"/>
      <c r="U9" s="3489" t="s">
        <v>40</v>
      </c>
      <c r="V9" s="3493"/>
      <c r="W9" s="3491"/>
      <c r="X9" s="3493"/>
      <c r="Y9" s="3493"/>
      <c r="Z9" s="3493"/>
      <c r="AA9" s="3493"/>
      <c r="AB9" s="3495"/>
      <c r="AC9" s="3491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J11" s="3500" t="s">
        <v>41</v>
      </c>
    </row>
    <row r="12" spans="1:38" ht="18" customHeight="1" x14ac:dyDescent="0.2">
      <c r="AJ12" s="3500">
        <v>160.33000000000001</v>
      </c>
    </row>
    <row r="13" spans="1:38" ht="18" customHeight="1" x14ac:dyDescent="0.2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</row>
    <row r="14" spans="1:38" ht="18" customHeight="1" x14ac:dyDescent="0.2">
      <c r="A14" s="2704" t="s">
        <v>43</v>
      </c>
      <c r="B14" s="2705" t="s">
        <v>44</v>
      </c>
      <c r="C14" s="2707">
        <v>1</v>
      </c>
      <c r="D14" s="2707">
        <v>2</v>
      </c>
      <c r="E14" s="2706">
        <v>3</v>
      </c>
      <c r="F14" s="2706">
        <v>4</v>
      </c>
      <c r="G14" s="2706">
        <v>5</v>
      </c>
      <c r="H14" s="2706">
        <v>6</v>
      </c>
      <c r="I14" s="2706">
        <v>7</v>
      </c>
      <c r="J14" s="2707">
        <v>8</v>
      </c>
      <c r="K14" s="2707">
        <v>9</v>
      </c>
      <c r="L14" s="2706">
        <v>10</v>
      </c>
      <c r="M14" s="2706">
        <v>11</v>
      </c>
      <c r="N14" s="2706">
        <v>12</v>
      </c>
      <c r="O14" s="2706">
        <v>13</v>
      </c>
      <c r="P14" s="2706">
        <v>14</v>
      </c>
      <c r="Q14" s="2707">
        <v>15</v>
      </c>
      <c r="R14" s="2707">
        <v>16</v>
      </c>
      <c r="S14" s="2706">
        <v>17</v>
      </c>
      <c r="T14" s="2706">
        <v>18</v>
      </c>
      <c r="U14" s="2706">
        <v>19</v>
      </c>
      <c r="V14" s="2706">
        <v>20</v>
      </c>
      <c r="W14" s="2706">
        <v>21</v>
      </c>
      <c r="X14" s="2707">
        <v>22</v>
      </c>
      <c r="Y14" s="2707">
        <v>23</v>
      </c>
      <c r="Z14" s="2706">
        <v>24</v>
      </c>
      <c r="AA14" s="2706">
        <v>25</v>
      </c>
      <c r="AB14" s="2706">
        <v>26</v>
      </c>
      <c r="AC14" s="2706">
        <v>27</v>
      </c>
      <c r="AD14" s="2706">
        <v>28</v>
      </c>
      <c r="AE14" s="2706"/>
      <c r="AF14" s="2706"/>
      <c r="AG14" s="3501"/>
    </row>
    <row r="15" spans="1:38" ht="18" customHeight="1" x14ac:dyDescent="0.2">
      <c r="A15" s="3142">
        <v>8500</v>
      </c>
      <c r="B15" s="3143" t="s">
        <v>45</v>
      </c>
      <c r="C15" s="3145"/>
      <c r="D15" s="3146"/>
      <c r="E15" s="3146" t="s">
        <v>46</v>
      </c>
      <c r="F15" s="3147" t="s">
        <v>46</v>
      </c>
      <c r="G15" s="3144" t="s">
        <v>46</v>
      </c>
      <c r="H15" s="3145" t="s">
        <v>46</v>
      </c>
      <c r="I15" s="3145" t="s">
        <v>46</v>
      </c>
      <c r="J15" s="3145"/>
      <c r="K15" s="3146"/>
      <c r="L15" s="3146" t="s">
        <v>46</v>
      </c>
      <c r="M15" s="3145" t="s">
        <v>46</v>
      </c>
      <c r="N15" s="3144" t="s">
        <v>46</v>
      </c>
      <c r="O15" s="3145" t="s">
        <v>46</v>
      </c>
      <c r="P15" s="3145" t="s">
        <v>24</v>
      </c>
      <c r="Q15" s="3145"/>
      <c r="R15" s="3146"/>
      <c r="S15" s="3146" t="s">
        <v>51</v>
      </c>
      <c r="T15" s="3145" t="s">
        <v>51</v>
      </c>
      <c r="U15" s="3144" t="s">
        <v>46</v>
      </c>
      <c r="V15" s="3145" t="s">
        <v>46</v>
      </c>
      <c r="W15" s="3145" t="s">
        <v>46</v>
      </c>
      <c r="X15" s="3145"/>
      <c r="Y15" s="3146"/>
      <c r="Z15" s="3146" t="s">
        <v>46</v>
      </c>
      <c r="AA15" s="3145" t="s">
        <v>49</v>
      </c>
      <c r="AB15" s="3144" t="s">
        <v>49</v>
      </c>
      <c r="AC15" s="3502" t="s">
        <v>49</v>
      </c>
      <c r="AD15" s="3145" t="s">
        <v>46</v>
      </c>
      <c r="AE15" s="3144"/>
      <c r="AF15" s="3145"/>
      <c r="AG15" s="3503"/>
      <c r="AL15" t="s">
        <v>0</v>
      </c>
    </row>
    <row r="16" spans="1:38" ht="18" customHeight="1" x14ac:dyDescent="0.2">
      <c r="A16" s="2713" t="s">
        <v>47</v>
      </c>
      <c r="B16" s="3504"/>
      <c r="C16" s="3504"/>
      <c r="D16" s="3504"/>
      <c r="E16" s="3504"/>
      <c r="F16" s="3504"/>
      <c r="G16" s="3504"/>
      <c r="H16" s="3504"/>
      <c r="I16" s="3504"/>
      <c r="J16" s="3504"/>
      <c r="K16" s="3504"/>
      <c r="L16" s="3504"/>
      <c r="M16" s="3504"/>
      <c r="N16" s="3504"/>
      <c r="O16" s="3504"/>
      <c r="P16" s="3504"/>
      <c r="Q16" s="3504"/>
      <c r="R16" s="3504"/>
      <c r="S16" s="3504"/>
      <c r="T16" s="3504"/>
      <c r="U16" s="3504"/>
      <c r="V16" s="3504"/>
      <c r="W16" s="3504"/>
      <c r="X16" s="3504"/>
      <c r="Y16" s="3504"/>
      <c r="Z16" s="3504"/>
      <c r="AA16" s="3504"/>
      <c r="AB16" s="3504"/>
      <c r="AC16" s="3504"/>
      <c r="AD16" s="3504"/>
      <c r="AE16" s="3504"/>
      <c r="AF16" s="3504"/>
      <c r="AG16" s="3504"/>
    </row>
    <row r="17" spans="1:40" ht="18" customHeight="1" x14ac:dyDescent="0.2">
      <c r="A17" s="3148">
        <v>8546</v>
      </c>
      <c r="B17" s="594" t="s">
        <v>48</v>
      </c>
      <c r="C17" s="597" t="s">
        <v>53</v>
      </c>
      <c r="D17" s="597" t="s">
        <v>53</v>
      </c>
      <c r="E17" s="597" t="s">
        <v>49</v>
      </c>
      <c r="F17" s="595" t="s">
        <v>49</v>
      </c>
      <c r="G17" s="1782" t="s">
        <v>49</v>
      </c>
      <c r="H17" s="1782" t="s">
        <v>49</v>
      </c>
      <c r="I17" s="1782" t="s">
        <v>49</v>
      </c>
      <c r="J17" s="595"/>
      <c r="K17" s="595"/>
      <c r="L17" s="595" t="s">
        <v>50</v>
      </c>
      <c r="M17" s="595" t="s">
        <v>50</v>
      </c>
      <c r="N17" s="595" t="s">
        <v>50</v>
      </c>
      <c r="O17" s="595" t="s">
        <v>50</v>
      </c>
      <c r="P17" s="595" t="s">
        <v>50</v>
      </c>
      <c r="Q17" s="595" t="s">
        <v>0</v>
      </c>
      <c r="R17" s="595"/>
      <c r="S17" s="1285" t="s">
        <v>51</v>
      </c>
      <c r="T17" s="1285" t="s">
        <v>51</v>
      </c>
      <c r="U17" s="1285" t="s">
        <v>51</v>
      </c>
      <c r="V17" s="1285" t="s">
        <v>51</v>
      </c>
      <c r="W17" s="1285" t="s">
        <v>51</v>
      </c>
      <c r="X17" s="1285" t="s">
        <v>52</v>
      </c>
      <c r="Y17" s="1285" t="s">
        <v>52</v>
      </c>
      <c r="Z17" s="595" t="s">
        <v>50</v>
      </c>
      <c r="AA17" s="595" t="s">
        <v>50</v>
      </c>
      <c r="AB17" s="596" t="s">
        <v>50</v>
      </c>
      <c r="AC17" s="595" t="s">
        <v>50</v>
      </c>
      <c r="AD17" s="595" t="s">
        <v>50</v>
      </c>
      <c r="AE17" s="596"/>
      <c r="AF17" s="595"/>
      <c r="AG17" s="1171"/>
    </row>
    <row r="18" spans="1:40" ht="18" customHeight="1" x14ac:dyDescent="0.2">
      <c r="A18" s="3505">
        <v>8500</v>
      </c>
      <c r="B18" s="3506" t="s">
        <v>54</v>
      </c>
      <c r="C18" s="3366"/>
      <c r="D18" s="3366"/>
      <c r="E18" s="3485" t="s">
        <v>50</v>
      </c>
      <c r="F18" s="3485" t="s">
        <v>50</v>
      </c>
      <c r="G18" s="3485" t="s">
        <v>50</v>
      </c>
      <c r="H18" s="3366" t="s">
        <v>50</v>
      </c>
      <c r="I18" s="3366" t="s">
        <v>50</v>
      </c>
      <c r="J18" s="3366"/>
      <c r="K18" s="3366"/>
      <c r="L18" s="3507" t="s">
        <v>51</v>
      </c>
      <c r="M18" s="3507" t="s">
        <v>51</v>
      </c>
      <c r="N18" s="3507" t="s">
        <v>51</v>
      </c>
      <c r="O18" s="3507" t="s">
        <v>51</v>
      </c>
      <c r="P18" s="3508" t="s">
        <v>51</v>
      </c>
      <c r="Q18" s="3508" t="s">
        <v>52</v>
      </c>
      <c r="R18" s="3507" t="s">
        <v>52</v>
      </c>
      <c r="S18" s="3366" t="s">
        <v>50</v>
      </c>
      <c r="T18" s="3366" t="s">
        <v>50</v>
      </c>
      <c r="U18" s="3485" t="s">
        <v>50</v>
      </c>
      <c r="V18" s="3366" t="s">
        <v>50</v>
      </c>
      <c r="W18" s="3366" t="s">
        <v>50</v>
      </c>
      <c r="X18" s="3366" t="s">
        <v>53</v>
      </c>
      <c r="Y18" s="3366" t="s">
        <v>53</v>
      </c>
      <c r="Z18" s="3366" t="s">
        <v>49</v>
      </c>
      <c r="AA18" s="3507" t="s">
        <v>49</v>
      </c>
      <c r="AB18" s="3507" t="s">
        <v>49</v>
      </c>
      <c r="AC18" s="3507" t="s">
        <v>49</v>
      </c>
      <c r="AD18" s="3509" t="s">
        <v>49</v>
      </c>
      <c r="AE18" s="3366"/>
      <c r="AF18" s="3366"/>
      <c r="AG18" s="3510"/>
    </row>
    <row r="19" spans="1:40" ht="18" customHeight="1" x14ac:dyDescent="0.2">
      <c r="A19" s="3505">
        <v>8500</v>
      </c>
      <c r="B19" s="3511" t="s">
        <v>55</v>
      </c>
      <c r="C19" s="3512"/>
      <c r="D19" s="3512"/>
      <c r="E19" s="3512" t="s">
        <v>51</v>
      </c>
      <c r="F19" s="3513" t="s">
        <v>51</v>
      </c>
      <c r="G19" s="3512" t="s">
        <v>51</v>
      </c>
      <c r="H19" s="3512" t="s">
        <v>51</v>
      </c>
      <c r="I19" s="3512" t="s">
        <v>51</v>
      </c>
      <c r="J19" s="3512" t="s">
        <v>52</v>
      </c>
      <c r="K19" s="3366" t="s">
        <v>52</v>
      </c>
      <c r="L19" s="3366" t="s">
        <v>50</v>
      </c>
      <c r="M19" s="3514" t="s">
        <v>50</v>
      </c>
      <c r="N19" s="3514" t="s">
        <v>50</v>
      </c>
      <c r="O19" s="3514" t="s">
        <v>50</v>
      </c>
      <c r="P19" s="3512" t="s">
        <v>50</v>
      </c>
      <c r="Q19" s="3512" t="s">
        <v>53</v>
      </c>
      <c r="R19" s="3512" t="s">
        <v>53</v>
      </c>
      <c r="S19" s="3512" t="s">
        <v>49</v>
      </c>
      <c r="T19" s="3515" t="s">
        <v>49</v>
      </c>
      <c r="U19" s="3507" t="s">
        <v>49</v>
      </c>
      <c r="V19" s="3515" t="s">
        <v>49</v>
      </c>
      <c r="W19" s="3516" t="s">
        <v>49</v>
      </c>
      <c r="X19" s="3514"/>
      <c r="Y19" s="3514"/>
      <c r="Z19" s="3514" t="s">
        <v>50</v>
      </c>
      <c r="AA19" s="3512" t="s">
        <v>50</v>
      </c>
      <c r="AB19" s="3514" t="s">
        <v>50</v>
      </c>
      <c r="AC19" s="3512" t="s">
        <v>50</v>
      </c>
      <c r="AD19" s="3512" t="s">
        <v>50</v>
      </c>
      <c r="AE19" s="3514"/>
      <c r="AF19" s="3512"/>
      <c r="AG19" s="3517"/>
      <c r="AJ19" s="241"/>
      <c r="AK19" s="241"/>
      <c r="AL19" s="241"/>
      <c r="AM19" s="241"/>
      <c r="AN19" s="241"/>
    </row>
    <row r="20" spans="1:40" ht="18" customHeight="1" x14ac:dyDescent="0.2">
      <c r="A20" s="3505">
        <v>8546</v>
      </c>
      <c r="B20" s="3511" t="s">
        <v>542</v>
      </c>
      <c r="C20" s="3512"/>
      <c r="D20" s="3512"/>
      <c r="E20" s="3518" t="s">
        <v>46</v>
      </c>
      <c r="F20" s="3518" t="s">
        <v>24</v>
      </c>
      <c r="G20" s="3518" t="s">
        <v>49</v>
      </c>
      <c r="H20" s="3518" t="s">
        <v>49</v>
      </c>
      <c r="I20" s="3518" t="s">
        <v>49</v>
      </c>
      <c r="J20" s="3514"/>
      <c r="K20" s="3514"/>
      <c r="L20" s="3518" t="s">
        <v>51</v>
      </c>
      <c r="M20" s="3518" t="s">
        <v>51</v>
      </c>
      <c r="N20" s="3518" t="s">
        <v>51</v>
      </c>
      <c r="O20" s="3518" t="s">
        <v>51</v>
      </c>
      <c r="P20" s="3518" t="s">
        <v>51</v>
      </c>
      <c r="Q20" s="3518" t="s">
        <v>52</v>
      </c>
      <c r="R20" s="3518" t="s">
        <v>52</v>
      </c>
      <c r="S20" s="3366" t="s">
        <v>50</v>
      </c>
      <c r="T20" s="3512" t="s">
        <v>50</v>
      </c>
      <c r="U20" s="3512" t="s">
        <v>50</v>
      </c>
      <c r="V20" s="3512" t="s">
        <v>50</v>
      </c>
      <c r="W20" s="3512" t="s">
        <v>50</v>
      </c>
      <c r="X20" s="3512"/>
      <c r="Y20" s="3512"/>
      <c r="Z20" s="3518" t="s">
        <v>24</v>
      </c>
      <c r="AA20" s="3518" t="s">
        <v>24</v>
      </c>
      <c r="AB20" s="359" t="s">
        <v>24</v>
      </c>
      <c r="AC20" s="3519" t="s">
        <v>51</v>
      </c>
      <c r="AD20" s="3519" t="s">
        <v>51</v>
      </c>
      <c r="AE20" s="3520"/>
      <c r="AF20" s="3519"/>
      <c r="AG20" s="3517"/>
      <c r="AJ20" s="123"/>
      <c r="AK20" s="123"/>
      <c r="AL20" s="123"/>
      <c r="AM20" s="215"/>
      <c r="AN20" s="215"/>
    </row>
    <row r="21" spans="1:40" ht="18" customHeight="1" x14ac:dyDescent="0.2">
      <c r="A21" s="3505">
        <v>8546</v>
      </c>
      <c r="B21" s="3511" t="s">
        <v>58</v>
      </c>
      <c r="C21" s="3514"/>
      <c r="D21" s="3512"/>
      <c r="E21" s="3512" t="s">
        <v>24</v>
      </c>
      <c r="F21" s="3520" t="s">
        <v>24</v>
      </c>
      <c r="G21" s="3512" t="s">
        <v>24</v>
      </c>
      <c r="H21" s="3512" t="s">
        <v>24</v>
      </c>
      <c r="I21" s="3512" t="s">
        <v>24</v>
      </c>
      <c r="J21" s="3513"/>
      <c r="K21" s="3521"/>
      <c r="L21" s="3522" t="s">
        <v>28</v>
      </c>
      <c r="M21" s="3522" t="s">
        <v>28</v>
      </c>
      <c r="N21" s="3522" t="s">
        <v>28</v>
      </c>
      <c r="O21" s="3522" t="s">
        <v>28</v>
      </c>
      <c r="P21" s="3522" t="s">
        <v>28</v>
      </c>
      <c r="Q21" s="3512"/>
      <c r="R21" s="3523" t="s">
        <v>52</v>
      </c>
      <c r="S21" s="3512" t="s">
        <v>24</v>
      </c>
      <c r="T21" s="3512" t="s">
        <v>24</v>
      </c>
      <c r="U21" s="3520" t="s">
        <v>24</v>
      </c>
      <c r="V21" s="3512" t="s">
        <v>24</v>
      </c>
      <c r="W21" s="3512" t="s">
        <v>24</v>
      </c>
      <c r="X21" s="3524"/>
      <c r="Y21" s="3524"/>
      <c r="Z21" s="3524" t="s">
        <v>28</v>
      </c>
      <c r="AA21" s="3524" t="s">
        <v>28</v>
      </c>
      <c r="AB21" s="3512" t="s">
        <v>28</v>
      </c>
      <c r="AC21" s="3520" t="s">
        <v>28</v>
      </c>
      <c r="AD21" s="3523" t="s">
        <v>28</v>
      </c>
      <c r="AE21" s="3512"/>
      <c r="AF21" s="3520"/>
      <c r="AG21" s="3517"/>
      <c r="AJ21" s="123"/>
      <c r="AK21" s="123"/>
      <c r="AL21" s="123"/>
      <c r="AM21" s="215"/>
      <c r="AN21" s="215"/>
    </row>
    <row r="22" spans="1:40" ht="18" customHeight="1" x14ac:dyDescent="0.2">
      <c r="A22" s="3151">
        <v>8546</v>
      </c>
      <c r="B22" s="2942" t="s">
        <v>470</v>
      </c>
      <c r="C22" s="3154" t="s">
        <v>0</v>
      </c>
      <c r="D22" s="3154" t="s">
        <v>0</v>
      </c>
      <c r="E22" s="3155" t="s">
        <v>28</v>
      </c>
      <c r="F22" s="3525" t="s">
        <v>28</v>
      </c>
      <c r="G22" s="3155" t="s">
        <v>28</v>
      </c>
      <c r="H22" s="3526" t="s">
        <v>28</v>
      </c>
      <c r="I22" s="3526" t="s">
        <v>28</v>
      </c>
      <c r="J22" s="3157"/>
      <c r="K22" s="3527"/>
      <c r="L22" s="3154" t="s">
        <v>51</v>
      </c>
      <c r="M22" s="2481" t="s">
        <v>51</v>
      </c>
      <c r="N22" s="2481" t="s">
        <v>51</v>
      </c>
      <c r="O22" s="3159" t="s">
        <v>51</v>
      </c>
      <c r="P22" s="3528" t="s">
        <v>50</v>
      </c>
      <c r="Q22" s="2481"/>
      <c r="R22" s="2481"/>
      <c r="S22" s="3159" t="s">
        <v>28</v>
      </c>
      <c r="T22" s="3159" t="s">
        <v>28</v>
      </c>
      <c r="U22" s="3159" t="s">
        <v>51</v>
      </c>
      <c r="V22" s="3159" t="s">
        <v>51</v>
      </c>
      <c r="W22" s="3159" t="s">
        <v>51</v>
      </c>
      <c r="X22" s="3159" t="s">
        <v>52</v>
      </c>
      <c r="Y22" s="3159" t="s">
        <v>52</v>
      </c>
      <c r="Z22" s="2691" t="s">
        <v>50</v>
      </c>
      <c r="AA22" s="2691" t="s">
        <v>50</v>
      </c>
      <c r="AB22" s="3152" t="s">
        <v>50</v>
      </c>
      <c r="AC22" s="3152" t="s">
        <v>50</v>
      </c>
      <c r="AD22" s="3153" t="s">
        <v>50</v>
      </c>
      <c r="AE22" s="3155"/>
      <c r="AF22" s="3154"/>
      <c r="AG22" s="3529"/>
      <c r="AJ22" s="123"/>
      <c r="AK22" s="123"/>
      <c r="AL22" s="123"/>
      <c r="AM22" s="215"/>
      <c r="AN22" s="215"/>
    </row>
    <row r="23" spans="1:40" ht="18" customHeight="1" thickBot="1" x14ac:dyDescent="0.25">
      <c r="A23" s="3530"/>
      <c r="B23" s="3531" t="s">
        <v>519</v>
      </c>
      <c r="C23" s="3532"/>
      <c r="D23" s="3532"/>
      <c r="E23" s="3533"/>
      <c r="F23" s="3533"/>
      <c r="G23" s="3533"/>
      <c r="H23" s="3533"/>
      <c r="I23" s="3533"/>
      <c r="J23" s="3534"/>
      <c r="K23" s="3535" t="s">
        <v>543</v>
      </c>
      <c r="L23" s="3532"/>
      <c r="M23" s="3536"/>
      <c r="N23" s="3536"/>
      <c r="O23" s="3537"/>
      <c r="P23" s="3538"/>
      <c r="Q23" s="3536"/>
      <c r="R23" s="3536"/>
      <c r="S23" s="3537"/>
      <c r="T23" s="3537"/>
      <c r="U23" s="3537"/>
      <c r="V23" s="3537"/>
      <c r="W23" s="3537"/>
      <c r="X23" s="3537"/>
      <c r="Y23" s="3537"/>
      <c r="Z23" s="3443"/>
      <c r="AA23" s="3443"/>
      <c r="AB23" s="3443"/>
      <c r="AC23" s="3443"/>
      <c r="AD23" s="3443"/>
      <c r="AE23" s="3443"/>
      <c r="AF23" s="3443"/>
      <c r="AG23" s="3539"/>
      <c r="AJ23" s="123"/>
      <c r="AK23" s="123"/>
      <c r="AL23" s="123"/>
      <c r="AM23" s="215"/>
      <c r="AN23" s="215"/>
    </row>
    <row r="24" spans="1:40" ht="18" customHeight="1" thickBot="1" x14ac:dyDescent="0.25">
      <c r="A24" s="348" t="s">
        <v>60</v>
      </c>
      <c r="B24" s="349"/>
      <c r="C24" s="349"/>
      <c r="D24" s="349"/>
      <c r="E24" s="349"/>
      <c r="F24" s="349"/>
      <c r="G24" s="349"/>
      <c r="H24" s="349"/>
      <c r="I24" s="349"/>
      <c r="J24" s="349"/>
      <c r="K24" s="349"/>
      <c r="L24" s="349"/>
      <c r="M24" s="349"/>
      <c r="N24" s="349"/>
      <c r="O24" s="349"/>
      <c r="P24" s="349"/>
      <c r="Q24" s="349"/>
      <c r="R24" s="349"/>
      <c r="S24" s="349"/>
      <c r="T24" s="349"/>
      <c r="U24" s="349"/>
      <c r="V24" s="349"/>
      <c r="W24" s="349"/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J24" s="123"/>
      <c r="AK24" s="123"/>
      <c r="AL24" s="123"/>
      <c r="AM24" s="215"/>
      <c r="AN24" s="215"/>
    </row>
    <row r="25" spans="1:40" ht="18" customHeight="1" thickBot="1" x14ac:dyDescent="0.25">
      <c r="A25" s="626">
        <v>8500</v>
      </c>
      <c r="B25" s="3161" t="s">
        <v>61</v>
      </c>
      <c r="C25" s="3163"/>
      <c r="D25" s="3164"/>
      <c r="E25" s="3164" t="s">
        <v>46</v>
      </c>
      <c r="F25" s="3165" t="s">
        <v>46</v>
      </c>
      <c r="G25" s="3162" t="s">
        <v>46</v>
      </c>
      <c r="H25" s="3163" t="s">
        <v>46</v>
      </c>
      <c r="I25" s="3163" t="s">
        <v>46</v>
      </c>
      <c r="J25" s="3163"/>
      <c r="K25" s="3166"/>
      <c r="L25" s="3164" t="s">
        <v>24</v>
      </c>
      <c r="M25" s="3163" t="s">
        <v>24</v>
      </c>
      <c r="N25" s="3162" t="s">
        <v>24</v>
      </c>
      <c r="O25" s="3163" t="s">
        <v>24</v>
      </c>
      <c r="P25" s="3163" t="s">
        <v>46</v>
      </c>
      <c r="Q25" s="3163"/>
      <c r="R25" s="3164"/>
      <c r="S25" s="3164" t="s">
        <v>46</v>
      </c>
      <c r="T25" s="3163" t="s">
        <v>46</v>
      </c>
      <c r="U25" s="3163" t="s">
        <v>46</v>
      </c>
      <c r="V25" s="3163" t="s">
        <v>46</v>
      </c>
      <c r="W25" s="3163" t="s">
        <v>46</v>
      </c>
      <c r="X25" s="3163"/>
      <c r="Y25" s="3164"/>
      <c r="Z25" s="3540" t="s">
        <v>46</v>
      </c>
      <c r="AA25" s="3532" t="s">
        <v>46</v>
      </c>
      <c r="AB25" s="3162" t="s">
        <v>46</v>
      </c>
      <c r="AC25" s="3163" t="s">
        <v>46</v>
      </c>
      <c r="AD25" s="3163" t="s">
        <v>46</v>
      </c>
      <c r="AE25" s="3162"/>
      <c r="AF25" s="3163"/>
      <c r="AG25" s="3239"/>
      <c r="AJ25" s="3500" t="s">
        <v>41</v>
      </c>
      <c r="AK25" s="3500" t="s">
        <v>62</v>
      </c>
      <c r="AL25" s="3500" t="s">
        <v>63</v>
      </c>
      <c r="AM25" s="3500" t="s">
        <v>64</v>
      </c>
      <c r="AN25" s="3500" t="s">
        <v>65</v>
      </c>
    </row>
    <row r="26" spans="1:40" ht="18" customHeight="1" x14ac:dyDescent="0.2">
      <c r="A26" s="626">
        <v>8500</v>
      </c>
      <c r="B26" s="3511" t="s">
        <v>67</v>
      </c>
      <c r="C26" s="3541" t="s">
        <v>52</v>
      </c>
      <c r="D26" s="3541" t="s">
        <v>544</v>
      </c>
      <c r="E26" s="3485" t="s">
        <v>50</v>
      </c>
      <c r="F26" s="3485" t="s">
        <v>50</v>
      </c>
      <c r="G26" s="3485" t="s">
        <v>50</v>
      </c>
      <c r="H26" s="3514" t="s">
        <v>50</v>
      </c>
      <c r="I26" s="3512" t="s">
        <v>50</v>
      </c>
      <c r="J26" s="3514" t="s">
        <v>53</v>
      </c>
      <c r="K26" s="3514" t="s">
        <v>53</v>
      </c>
      <c r="L26" s="3512" t="s">
        <v>49</v>
      </c>
      <c r="M26" s="3514" t="s">
        <v>49</v>
      </c>
      <c r="N26" s="3514" t="s">
        <v>49</v>
      </c>
      <c r="O26" s="3514" t="s">
        <v>49</v>
      </c>
      <c r="P26" s="3514" t="s">
        <v>49</v>
      </c>
      <c r="Q26" s="3514"/>
      <c r="R26" s="3366"/>
      <c r="S26" s="3366" t="s">
        <v>50</v>
      </c>
      <c r="T26" s="3512" t="s">
        <v>50</v>
      </c>
      <c r="U26" s="3512" t="s">
        <v>50</v>
      </c>
      <c r="V26" s="3512" t="s">
        <v>50</v>
      </c>
      <c r="W26" s="3512" t="s">
        <v>50</v>
      </c>
      <c r="X26" s="3512"/>
      <c r="Y26" s="3512"/>
      <c r="Z26" s="3542" t="s">
        <v>51</v>
      </c>
      <c r="AA26" s="3512" t="s">
        <v>51</v>
      </c>
      <c r="AB26" s="3515" t="s">
        <v>51</v>
      </c>
      <c r="AC26" s="3515" t="s">
        <v>51</v>
      </c>
      <c r="AD26" s="3507" t="s">
        <v>51</v>
      </c>
      <c r="AE26" s="3366"/>
      <c r="AF26" s="3366"/>
      <c r="AG26" s="3510"/>
      <c r="AH26" s="123"/>
      <c r="AJ26" s="3543">
        <f>$AJ$12</f>
        <v>160.33000000000001</v>
      </c>
      <c r="AK26" s="3543"/>
      <c r="AL26" s="3543">
        <f>IF(AJ26="","",SUM(AJ26:AK26))</f>
        <v>160.33000000000001</v>
      </c>
      <c r="AM26" s="3544">
        <f>IF(AJ26="","",AL26-_xlfn.SINGLE(NormTid))</f>
        <v>0</v>
      </c>
      <c r="AN26" s="3544">
        <f>IF(AM26="","",AM26+'Januar 2025'!AN26)</f>
        <v>0</v>
      </c>
    </row>
    <row r="27" spans="1:40" ht="18" customHeight="1" x14ac:dyDescent="0.2">
      <c r="A27" s="3545"/>
      <c r="B27" s="3511" t="s">
        <v>75</v>
      </c>
      <c r="C27" s="3519"/>
      <c r="D27" s="3519"/>
      <c r="E27" s="3366" t="s">
        <v>46</v>
      </c>
      <c r="F27" s="3366" t="s">
        <v>46</v>
      </c>
      <c r="G27" s="3519" t="s">
        <v>46</v>
      </c>
      <c r="H27" s="3519" t="s">
        <v>46</v>
      </c>
      <c r="I27" s="3519" t="s">
        <v>46</v>
      </c>
      <c r="J27" s="3519"/>
      <c r="K27" s="3519"/>
      <c r="L27" s="3366" t="s">
        <v>46</v>
      </c>
      <c r="M27" s="3366" t="s">
        <v>46</v>
      </c>
      <c r="N27" s="3519" t="s">
        <v>46</v>
      </c>
      <c r="O27" s="3519" t="s">
        <v>46</v>
      </c>
      <c r="P27" s="3514" t="s">
        <v>46</v>
      </c>
      <c r="Q27" s="3521"/>
      <c r="R27" s="3521"/>
      <c r="S27" s="3366" t="s">
        <v>46</v>
      </c>
      <c r="T27" s="3366" t="s">
        <v>46</v>
      </c>
      <c r="U27" s="3366" t="s">
        <v>46</v>
      </c>
      <c r="V27" s="3366" t="s">
        <v>46</v>
      </c>
      <c r="W27" s="3366" t="s">
        <v>46</v>
      </c>
      <c r="X27" s="3519"/>
      <c r="Y27" s="3519"/>
      <c r="Z27" s="3366" t="s">
        <v>46</v>
      </c>
      <c r="AA27" s="3366" t="s">
        <v>46</v>
      </c>
      <c r="AB27" s="3516" t="s">
        <v>46</v>
      </c>
      <c r="AC27" s="3516" t="s">
        <v>46</v>
      </c>
      <c r="AD27" s="3514" t="s">
        <v>46</v>
      </c>
      <c r="AE27" s="3366"/>
      <c r="AF27" s="3366"/>
      <c r="AG27" s="3546"/>
      <c r="AH27" s="123"/>
    </row>
    <row r="28" spans="1:40" ht="18" customHeight="1" x14ac:dyDescent="0.2">
      <c r="A28" s="646"/>
      <c r="B28" s="3547" t="s">
        <v>78</v>
      </c>
      <c r="C28" s="3532"/>
      <c r="D28" s="3534"/>
      <c r="E28" s="3534" t="s">
        <v>46</v>
      </c>
      <c r="F28" s="3532" t="s">
        <v>46</v>
      </c>
      <c r="G28" s="3548" t="s">
        <v>46</v>
      </c>
      <c r="H28" s="3549" t="s">
        <v>46</v>
      </c>
      <c r="I28" s="3549" t="s">
        <v>46</v>
      </c>
      <c r="J28" s="3532"/>
      <c r="K28" s="3535"/>
      <c r="L28" s="3550" t="s">
        <v>46</v>
      </c>
      <c r="M28" s="3532" t="s">
        <v>46</v>
      </c>
      <c r="N28" s="3551" t="s">
        <v>46</v>
      </c>
      <c r="O28" s="3532" t="s">
        <v>46</v>
      </c>
      <c r="P28" s="3532" t="s">
        <v>46</v>
      </c>
      <c r="Q28" s="3532"/>
      <c r="R28" s="3534"/>
      <c r="S28" s="3534" t="s">
        <v>46</v>
      </c>
      <c r="T28" s="3532" t="s">
        <v>46</v>
      </c>
      <c r="U28" s="3532" t="s">
        <v>46</v>
      </c>
      <c r="V28" s="3532" t="s">
        <v>46</v>
      </c>
      <c r="W28" s="3532" t="s">
        <v>46</v>
      </c>
      <c r="X28" s="3532"/>
      <c r="Y28" s="3534"/>
      <c r="Z28" s="3534" t="s">
        <v>46</v>
      </c>
      <c r="AA28" s="3532" t="s">
        <v>46</v>
      </c>
      <c r="AB28" s="3551" t="s">
        <v>46</v>
      </c>
      <c r="AC28" s="3532" t="s">
        <v>46</v>
      </c>
      <c r="AD28" s="3532" t="s">
        <v>46</v>
      </c>
      <c r="AE28" s="3551"/>
      <c r="AF28" s="3532"/>
      <c r="AG28" s="3552"/>
      <c r="AH28" s="123"/>
    </row>
    <row r="29" spans="1:40" ht="18" customHeight="1" x14ac:dyDescent="0.2">
      <c r="A29" s="245"/>
      <c r="B29" s="246"/>
      <c r="C29" s="246"/>
      <c r="D29" s="248"/>
      <c r="E29" s="248"/>
      <c r="F29" s="248"/>
      <c r="G29" s="246"/>
      <c r="H29" s="246"/>
      <c r="I29" s="248"/>
      <c r="J29" s="246"/>
      <c r="K29" s="248"/>
      <c r="L29" s="246"/>
      <c r="M29" s="246"/>
      <c r="N29" s="246"/>
      <c r="O29" s="246"/>
      <c r="P29" s="248"/>
      <c r="Q29" s="246" t="s">
        <v>143</v>
      </c>
      <c r="R29" s="248"/>
      <c r="S29" s="248"/>
      <c r="T29" s="248"/>
      <c r="U29" s="246" t="s">
        <v>545</v>
      </c>
      <c r="V29" s="246" t="s">
        <v>545</v>
      </c>
      <c r="W29" s="246" t="s">
        <v>545</v>
      </c>
      <c r="X29" s="247"/>
      <c r="Y29" s="250"/>
      <c r="Z29" s="248"/>
      <c r="AA29" s="248"/>
      <c r="AB29" s="246"/>
      <c r="AC29" s="246"/>
      <c r="AD29" s="248"/>
      <c r="AE29" s="247"/>
      <c r="AF29" s="248"/>
      <c r="AG29" s="246"/>
      <c r="AH29" s="123"/>
    </row>
    <row r="30" spans="1:40" ht="18" customHeight="1" x14ac:dyDescent="0.2">
      <c r="A30" s="249"/>
      <c r="B30" s="250"/>
      <c r="C30" s="3521"/>
      <c r="D30" s="3521"/>
      <c r="E30" s="252"/>
      <c r="F30" s="252"/>
      <c r="G30" s="250"/>
      <c r="H30" s="250"/>
      <c r="I30" s="252"/>
      <c r="J30" s="251"/>
      <c r="K30" s="252"/>
      <c r="L30" s="250"/>
      <c r="M30" s="250"/>
      <c r="N30" s="250"/>
      <c r="O30" s="250"/>
      <c r="P30" s="252"/>
      <c r="Q30" s="251"/>
      <c r="R30" s="252"/>
      <c r="S30" s="252"/>
      <c r="T30" s="252"/>
      <c r="U30" s="252"/>
      <c r="V30" s="252"/>
      <c r="W30" s="252"/>
      <c r="X30" s="252"/>
      <c r="Y30" s="250" t="s">
        <v>70</v>
      </c>
      <c r="Z30" s="252"/>
      <c r="AA30" s="252"/>
      <c r="AB30" s="250"/>
      <c r="AC30" s="250"/>
      <c r="AD30" s="252"/>
      <c r="AE30" s="251"/>
      <c r="AF30" s="252"/>
      <c r="AG30" s="250"/>
      <c r="AH30" s="123"/>
    </row>
    <row r="31" spans="1:40" ht="18" customHeight="1" x14ac:dyDescent="0.2">
      <c r="A31" s="249"/>
      <c r="B31" s="250"/>
      <c r="C31" s="251"/>
      <c r="D31" s="252"/>
      <c r="E31" s="252"/>
      <c r="F31" s="252"/>
      <c r="G31" s="250"/>
      <c r="H31" s="250"/>
      <c r="I31" s="252"/>
      <c r="J31" s="251"/>
      <c r="K31" s="252"/>
      <c r="L31" s="250"/>
      <c r="M31" s="250"/>
      <c r="N31" s="250"/>
      <c r="O31" s="250"/>
      <c r="P31" s="252"/>
      <c r="Q31" s="251"/>
      <c r="R31" s="252"/>
      <c r="S31" s="252"/>
      <c r="T31" s="252"/>
      <c r="U31" s="252"/>
      <c r="V31" s="250"/>
      <c r="W31" s="252"/>
      <c r="X31" s="251" t="s">
        <v>107</v>
      </c>
      <c r="Y31" s="252" t="s">
        <v>107</v>
      </c>
      <c r="Z31" s="252"/>
      <c r="AA31" s="252"/>
      <c r="AB31" s="250"/>
      <c r="AC31" s="250"/>
      <c r="AD31" s="252"/>
      <c r="AE31" s="251"/>
      <c r="AF31" s="252"/>
      <c r="AG31" s="250"/>
      <c r="AH31" s="123"/>
    </row>
    <row r="32" spans="1:40" ht="18" customHeight="1" x14ac:dyDescent="0.2">
      <c r="A32" s="249"/>
      <c r="B32" s="250"/>
      <c r="C32" s="251"/>
      <c r="D32" s="252"/>
      <c r="E32" s="252"/>
      <c r="F32" s="252"/>
      <c r="G32" s="250"/>
      <c r="H32" s="250"/>
      <c r="J32" s="251"/>
      <c r="K32" s="252"/>
      <c r="L32" s="250"/>
      <c r="M32" s="250"/>
      <c r="N32" s="250"/>
      <c r="O32" s="250"/>
      <c r="P32" s="252"/>
      <c r="Q32" s="251"/>
      <c r="R32" s="252"/>
      <c r="S32" s="252"/>
      <c r="T32" s="252" t="s">
        <v>152</v>
      </c>
      <c r="U32" s="250"/>
      <c r="V32" s="250"/>
      <c r="W32" s="252"/>
      <c r="X32" s="251"/>
      <c r="Y32" s="252"/>
      <c r="Z32" s="252"/>
      <c r="AA32" s="252"/>
      <c r="AB32" s="250"/>
      <c r="AC32" s="250"/>
      <c r="AD32" s="252"/>
      <c r="AE32" s="251"/>
      <c r="AF32" s="252"/>
      <c r="AG32" s="250"/>
      <c r="AH32" s="123"/>
    </row>
    <row r="33" spans="1:38" ht="18" customHeight="1" x14ac:dyDescent="0.2">
      <c r="A33" s="249"/>
      <c r="B33" s="250"/>
      <c r="C33" s="251"/>
      <c r="D33" s="252"/>
      <c r="E33" s="252"/>
      <c r="F33" s="252"/>
      <c r="G33" s="250"/>
      <c r="H33" s="250"/>
      <c r="I33" s="252"/>
      <c r="J33" s="251"/>
      <c r="K33" s="252"/>
      <c r="L33" s="250"/>
      <c r="M33" s="250"/>
      <c r="N33" s="250"/>
      <c r="O33" s="250"/>
      <c r="P33" s="252"/>
      <c r="Q33" s="251"/>
      <c r="R33" s="252"/>
      <c r="S33" s="252"/>
      <c r="T33" s="252"/>
      <c r="U33" s="250"/>
      <c r="V33" s="250"/>
      <c r="W33" s="252"/>
      <c r="X33" s="251"/>
      <c r="Y33" s="252"/>
      <c r="Z33" s="252"/>
      <c r="AA33" s="252"/>
      <c r="AB33" s="250"/>
      <c r="AC33" s="250"/>
      <c r="AD33" s="252"/>
      <c r="AE33" s="251"/>
      <c r="AF33" s="252"/>
      <c r="AG33" s="250"/>
      <c r="AH33" s="123"/>
    </row>
    <row r="34" spans="1:38" ht="18" customHeight="1" x14ac:dyDescent="0.2">
      <c r="A34" s="249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</row>
    <row r="35" spans="1:38" ht="18" customHeight="1" x14ac:dyDescent="0.2">
      <c r="A35" s="249"/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  <c r="AB35" s="250"/>
      <c r="AC35" s="250"/>
      <c r="AD35" s="250"/>
      <c r="AE35" s="250"/>
      <c r="AF35" s="250"/>
      <c r="AG35" s="250"/>
    </row>
    <row r="36" spans="1:38" ht="9.75" customHeight="1" x14ac:dyDescent="0.2">
      <c r="A36" s="103" t="s">
        <v>82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 t="s">
        <v>0</v>
      </c>
      <c r="P36" s="48"/>
      <c r="Q36" s="48" t="s">
        <v>83</v>
      </c>
      <c r="R36" s="48" t="s">
        <v>0</v>
      </c>
      <c r="S36" s="48" t="s">
        <v>84</v>
      </c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K36" s="1"/>
    </row>
    <row r="37" spans="1:38" ht="27.75" customHeight="1" x14ac:dyDescent="0.2">
      <c r="A37" s="3170" t="s">
        <v>85</v>
      </c>
      <c r="B37" s="3171"/>
      <c r="C37" s="3171"/>
      <c r="D37" s="3172" t="s">
        <v>86</v>
      </c>
      <c r="E37" s="3173"/>
      <c r="F37" s="3173"/>
      <c r="G37" s="3173"/>
      <c r="H37" s="3173"/>
      <c r="I37" s="3173"/>
      <c r="J37" s="3173"/>
      <c r="K37" s="3173"/>
      <c r="L37" s="3173"/>
      <c r="M37" s="3174" t="s">
        <v>87</v>
      </c>
      <c r="N37" s="3173"/>
      <c r="O37" s="3173"/>
      <c r="P37" s="3173"/>
      <c r="Q37" s="3173"/>
      <c r="R37" s="3173"/>
      <c r="S37" s="3175"/>
      <c r="T37" s="4985" t="s">
        <v>88</v>
      </c>
      <c r="U37" s="4985"/>
      <c r="V37" s="4985"/>
      <c r="W37" s="4985"/>
      <c r="X37" s="4985"/>
      <c r="Y37" s="4985"/>
      <c r="Z37" s="4985"/>
      <c r="AA37" s="3176" t="s">
        <v>89</v>
      </c>
      <c r="AB37" s="3177"/>
      <c r="AC37" s="3177"/>
      <c r="AD37" s="3177"/>
      <c r="AE37" s="3177"/>
      <c r="AF37" s="3177"/>
      <c r="AG37" s="3178"/>
      <c r="AK37" s="1"/>
    </row>
    <row r="38" spans="1:38" ht="18" customHeight="1" x14ac:dyDescent="0.2">
      <c r="A38" s="3553" t="s">
        <v>90</v>
      </c>
      <c r="B38" s="2795"/>
      <c r="C38" s="2795"/>
      <c r="D38" s="3554" t="s">
        <v>91</v>
      </c>
      <c r="E38" s="3555"/>
      <c r="F38" s="3476"/>
      <c r="G38" s="3476"/>
      <c r="H38" s="3476"/>
      <c r="I38" s="3476"/>
      <c r="J38" s="3476"/>
      <c r="K38" s="3476"/>
      <c r="L38" s="3556"/>
      <c r="M38" s="2799" t="s">
        <v>92</v>
      </c>
      <c r="N38" s="2795"/>
      <c r="O38" s="2800"/>
      <c r="P38" s="2795"/>
      <c r="Q38" s="2795"/>
      <c r="R38" s="2795"/>
      <c r="S38" s="2801"/>
      <c r="T38" s="3554" t="s">
        <v>93</v>
      </c>
      <c r="U38" s="3476"/>
      <c r="V38" s="3555"/>
      <c r="W38" s="3476"/>
      <c r="X38" s="3476"/>
      <c r="Y38" s="3476"/>
      <c r="Z38" s="3556"/>
      <c r="AA38" s="104" t="s">
        <v>94</v>
      </c>
      <c r="AD38" s="60"/>
      <c r="AG38" s="63"/>
      <c r="AK38" s="1"/>
    </row>
    <row r="39" spans="1:38" ht="18" customHeight="1" x14ac:dyDescent="0.2">
      <c r="A39" s="3557" t="s">
        <v>95</v>
      </c>
      <c r="B39" s="3476"/>
      <c r="C39" s="3476"/>
      <c r="D39" s="3558"/>
      <c r="E39" s="3476"/>
      <c r="F39" s="3476"/>
      <c r="G39" s="3556"/>
      <c r="H39" s="3559" t="s">
        <v>96</v>
      </c>
      <c r="I39" s="3476"/>
      <c r="J39" s="3476"/>
      <c r="K39" s="3476"/>
      <c r="L39" s="3476"/>
      <c r="M39" s="3560"/>
      <c r="N39" s="3476"/>
      <c r="O39" s="3476"/>
      <c r="P39" s="3476"/>
      <c r="Q39" s="3476"/>
      <c r="R39" s="3476"/>
      <c r="S39" s="3476"/>
      <c r="T39" s="3558"/>
      <c r="U39" s="103" t="s">
        <v>97</v>
      </c>
      <c r="AA39" s="2800"/>
      <c r="AB39" s="2795"/>
      <c r="AC39" s="2795"/>
      <c r="AD39" s="2795"/>
      <c r="AE39" s="2795"/>
      <c r="AF39" s="2795"/>
      <c r="AG39" s="2806"/>
      <c r="AK39" s="42"/>
    </row>
    <row r="40" spans="1:38" ht="18" customHeight="1" x14ac:dyDescent="0.2">
      <c r="A40" s="3561" t="s">
        <v>98</v>
      </c>
      <c r="B40" s="3562"/>
      <c r="C40" s="3562"/>
      <c r="D40" s="3563"/>
      <c r="E40" s="3562"/>
      <c r="F40" s="3562"/>
      <c r="G40" s="3564"/>
      <c r="H40" s="3565" t="s">
        <v>99</v>
      </c>
      <c r="I40" s="3564"/>
      <c r="J40" s="3562"/>
      <c r="K40" s="3562"/>
      <c r="L40" s="3562"/>
      <c r="M40" s="3566"/>
      <c r="N40" s="3562"/>
      <c r="O40" s="3562"/>
      <c r="P40" s="3562"/>
      <c r="Q40" s="3567"/>
      <c r="R40" s="3567"/>
      <c r="S40" s="3567"/>
      <c r="T40" s="3563"/>
      <c r="U40" s="3568" t="s">
        <v>100</v>
      </c>
      <c r="V40" s="3562"/>
      <c r="W40" s="3562"/>
      <c r="X40" s="3562"/>
      <c r="Y40" s="3562"/>
      <c r="Z40" s="3562"/>
      <c r="AA40" s="3562"/>
      <c r="AB40" s="3562"/>
      <c r="AC40" s="3562"/>
      <c r="AD40" s="3562"/>
      <c r="AE40" s="3562"/>
      <c r="AF40" s="3562"/>
      <c r="AG40" s="3569"/>
      <c r="AK40" s="1"/>
    </row>
    <row r="41" spans="1:38" ht="18" customHeight="1" x14ac:dyDescent="0.2">
      <c r="B41" s="64" t="s">
        <v>42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</row>
    <row r="42" spans="1:38" ht="18" customHeight="1" thickBot="1" x14ac:dyDescent="0.25">
      <c r="A42" s="2816" t="s">
        <v>43</v>
      </c>
      <c r="B42" s="2817" t="s">
        <v>44</v>
      </c>
      <c r="C42" s="2707">
        <v>1</v>
      </c>
      <c r="D42" s="2707">
        <v>2</v>
      </c>
      <c r="E42" s="2706">
        <v>3</v>
      </c>
      <c r="F42" s="2706">
        <v>4</v>
      </c>
      <c r="G42" s="2706">
        <v>5</v>
      </c>
      <c r="H42" s="2706">
        <v>6</v>
      </c>
      <c r="I42" s="2706">
        <v>7</v>
      </c>
      <c r="J42" s="2707">
        <v>8</v>
      </c>
      <c r="K42" s="2707">
        <v>9</v>
      </c>
      <c r="L42" s="2706">
        <v>10</v>
      </c>
      <c r="M42" s="2706">
        <v>11</v>
      </c>
      <c r="N42" s="2706">
        <v>12</v>
      </c>
      <c r="O42" s="2706">
        <v>13</v>
      </c>
      <c r="P42" s="2706">
        <v>14</v>
      </c>
      <c r="Q42" s="2707">
        <v>15</v>
      </c>
      <c r="R42" s="2707">
        <v>16</v>
      </c>
      <c r="S42" s="2706">
        <v>17</v>
      </c>
      <c r="T42" s="2706">
        <v>18</v>
      </c>
      <c r="U42" s="2706">
        <v>19</v>
      </c>
      <c r="V42" s="2706">
        <v>20</v>
      </c>
      <c r="W42" s="2706">
        <v>21</v>
      </c>
      <c r="X42" s="2707">
        <v>22</v>
      </c>
      <c r="Y42" s="2707">
        <v>23</v>
      </c>
      <c r="Z42" s="2706">
        <v>24</v>
      </c>
      <c r="AA42" s="2706">
        <v>25</v>
      </c>
      <c r="AB42" s="2706">
        <v>26</v>
      </c>
      <c r="AC42" s="2706">
        <v>27</v>
      </c>
      <c r="AD42" s="2706">
        <v>28</v>
      </c>
      <c r="AE42" s="2706"/>
      <c r="AF42" s="2706"/>
      <c r="AG42" s="3501"/>
      <c r="AL42" t="s">
        <v>0</v>
      </c>
    </row>
    <row r="43" spans="1:38" ht="18" customHeight="1" x14ac:dyDescent="0.2">
      <c r="A43" s="3179">
        <v>1</v>
      </c>
      <c r="B43" s="3496" t="s">
        <v>546</v>
      </c>
      <c r="C43" s="3166"/>
      <c r="D43" s="3164"/>
      <c r="E43" s="3166">
        <v>3</v>
      </c>
      <c r="F43" s="3166">
        <v>3</v>
      </c>
      <c r="G43" s="3166">
        <v>3</v>
      </c>
      <c r="H43" s="3166">
        <v>3</v>
      </c>
      <c r="I43" s="3194">
        <v>3</v>
      </c>
      <c r="J43" s="3164"/>
      <c r="K43" s="3166"/>
      <c r="L43" s="3166">
        <v>11</v>
      </c>
      <c r="M43" s="3166">
        <v>11</v>
      </c>
      <c r="N43" s="3166">
        <v>11</v>
      </c>
      <c r="O43" s="3164">
        <v>11</v>
      </c>
      <c r="P43" s="3166">
        <v>11</v>
      </c>
      <c r="Q43" s="3165" t="s">
        <v>109</v>
      </c>
      <c r="R43" s="3164" t="s">
        <v>109</v>
      </c>
      <c r="S43" s="3166" t="s">
        <v>50</v>
      </c>
      <c r="T43" s="3182" t="s">
        <v>50</v>
      </c>
      <c r="U43" s="3570" t="s">
        <v>50</v>
      </c>
      <c r="V43" s="3570" t="s">
        <v>50</v>
      </c>
      <c r="W43" s="3166" t="s">
        <v>50</v>
      </c>
      <c r="X43" s="3165" t="s">
        <v>104</v>
      </c>
      <c r="Y43" s="3165" t="s">
        <v>104</v>
      </c>
      <c r="Z43" s="3166">
        <v>8</v>
      </c>
      <c r="AA43" s="3166">
        <v>8</v>
      </c>
      <c r="AB43" s="3165">
        <v>8</v>
      </c>
      <c r="AC43" s="3165">
        <v>8</v>
      </c>
      <c r="AD43" s="3165">
        <v>8</v>
      </c>
      <c r="AE43" s="3166"/>
      <c r="AF43" s="3166"/>
      <c r="AG43" s="3184"/>
    </row>
    <row r="44" spans="1:38" ht="18" customHeight="1" thickBot="1" x14ac:dyDescent="0.25">
      <c r="A44" s="3571">
        <v>6</v>
      </c>
      <c r="B44" s="3511" t="s">
        <v>105</v>
      </c>
      <c r="C44" s="3516"/>
      <c r="D44" s="3516"/>
      <c r="E44" s="3516">
        <v>1</v>
      </c>
      <c r="F44" s="3516">
        <v>1</v>
      </c>
      <c r="G44" s="3516">
        <v>1</v>
      </c>
      <c r="H44" s="3516">
        <v>1</v>
      </c>
      <c r="I44" s="3516">
        <v>1</v>
      </c>
      <c r="J44" s="3516"/>
      <c r="K44" s="3516"/>
      <c r="L44" s="3516">
        <v>9</v>
      </c>
      <c r="M44" s="3516">
        <v>9</v>
      </c>
      <c r="N44" s="3516">
        <v>9</v>
      </c>
      <c r="O44" s="3516">
        <v>9</v>
      </c>
      <c r="P44" s="3516">
        <v>9</v>
      </c>
      <c r="Q44" s="3516" t="s">
        <v>70</v>
      </c>
      <c r="R44" s="3572" t="s">
        <v>70</v>
      </c>
      <c r="S44" s="3516" t="s">
        <v>50</v>
      </c>
      <c r="T44" s="3516" t="s">
        <v>50</v>
      </c>
      <c r="U44" s="3516" t="s">
        <v>50</v>
      </c>
      <c r="V44" s="3516" t="s">
        <v>50</v>
      </c>
      <c r="W44" s="3516" t="s">
        <v>50</v>
      </c>
      <c r="X44" s="3516" t="s">
        <v>103</v>
      </c>
      <c r="Y44" s="3516" t="s">
        <v>104</v>
      </c>
      <c r="Z44" s="3516">
        <v>6</v>
      </c>
      <c r="AA44" s="3516">
        <v>6</v>
      </c>
      <c r="AB44" s="3516">
        <v>6</v>
      </c>
      <c r="AC44" s="3516">
        <v>6</v>
      </c>
      <c r="AD44" s="3516">
        <v>6</v>
      </c>
      <c r="AE44" s="3516"/>
      <c r="AF44" s="3516"/>
      <c r="AG44" s="3510"/>
    </row>
    <row r="45" spans="1:38" ht="18" customHeight="1" thickBot="1" x14ac:dyDescent="0.25">
      <c r="A45" s="3573">
        <v>11</v>
      </c>
      <c r="B45" s="3531" t="s">
        <v>108</v>
      </c>
      <c r="C45" s="3535"/>
      <c r="D45" s="3535"/>
      <c r="E45" s="3574">
        <v>5</v>
      </c>
      <c r="F45" s="3535">
        <v>5</v>
      </c>
      <c r="G45" s="3575">
        <v>5</v>
      </c>
      <c r="H45" s="3575">
        <v>5</v>
      </c>
      <c r="I45" s="3575" t="s">
        <v>113</v>
      </c>
      <c r="J45" s="3535"/>
      <c r="K45" s="3535"/>
      <c r="L45" s="3576">
        <v>10</v>
      </c>
      <c r="M45" s="3576">
        <v>10</v>
      </c>
      <c r="N45" s="3576">
        <v>10</v>
      </c>
      <c r="O45" s="3576">
        <v>10</v>
      </c>
      <c r="P45" s="3443">
        <v>10</v>
      </c>
      <c r="Q45" s="3535" t="s">
        <v>106</v>
      </c>
      <c r="R45" s="3535" t="s">
        <v>106</v>
      </c>
      <c r="S45" s="3535" t="s">
        <v>50</v>
      </c>
      <c r="T45" s="3532" t="s">
        <v>50</v>
      </c>
      <c r="U45" s="3535" t="s">
        <v>50</v>
      </c>
      <c r="V45" s="3535" t="s">
        <v>50</v>
      </c>
      <c r="W45" s="3535" t="s">
        <v>50</v>
      </c>
      <c r="X45" s="3575" t="s">
        <v>107</v>
      </c>
      <c r="Y45" s="3575" t="s">
        <v>107</v>
      </c>
      <c r="Z45" s="3575">
        <v>7</v>
      </c>
      <c r="AA45" s="3577">
        <v>7</v>
      </c>
      <c r="AB45" s="3575">
        <v>7</v>
      </c>
      <c r="AC45" s="3575">
        <v>7</v>
      </c>
      <c r="AD45" s="3575" t="s">
        <v>419</v>
      </c>
      <c r="AE45" s="3535"/>
      <c r="AF45" s="3535"/>
      <c r="AG45" s="3578"/>
    </row>
    <row r="46" spans="1:38" ht="18" customHeight="1" x14ac:dyDescent="0.2">
      <c r="A46" s="3179">
        <v>2</v>
      </c>
      <c r="B46" s="3579" t="s">
        <v>156</v>
      </c>
      <c r="C46" s="3163"/>
      <c r="D46" s="3163"/>
      <c r="E46" s="3163">
        <v>11</v>
      </c>
      <c r="F46" s="3185">
        <v>11</v>
      </c>
      <c r="G46" s="3185">
        <v>11</v>
      </c>
      <c r="H46" s="3166">
        <v>11</v>
      </c>
      <c r="I46" s="3166">
        <v>11</v>
      </c>
      <c r="J46" s="3164" t="s">
        <v>109</v>
      </c>
      <c r="K46" s="3164" t="s">
        <v>109</v>
      </c>
      <c r="L46" s="3166" t="s">
        <v>50</v>
      </c>
      <c r="M46" s="3166" t="s">
        <v>50</v>
      </c>
      <c r="N46" s="3166" t="s">
        <v>50</v>
      </c>
      <c r="O46" s="3165" t="s">
        <v>50</v>
      </c>
      <c r="P46" s="3166" t="s">
        <v>50</v>
      </c>
      <c r="Q46" s="3165" t="s">
        <v>104</v>
      </c>
      <c r="R46" s="3165" t="s">
        <v>104</v>
      </c>
      <c r="S46" s="3570">
        <v>8</v>
      </c>
      <c r="T46" s="3570">
        <v>8</v>
      </c>
      <c r="U46" s="3570">
        <v>8</v>
      </c>
      <c r="V46" s="3570">
        <v>8</v>
      </c>
      <c r="W46" s="3570">
        <v>8</v>
      </c>
      <c r="X46" s="3165"/>
      <c r="Y46" s="3166"/>
      <c r="Z46" s="3166" t="s">
        <v>50</v>
      </c>
      <c r="AA46" s="3166" t="s">
        <v>50</v>
      </c>
      <c r="AB46" s="3166" t="s">
        <v>50</v>
      </c>
      <c r="AC46" s="3165" t="s">
        <v>50</v>
      </c>
      <c r="AD46" s="3165" t="s">
        <v>50</v>
      </c>
      <c r="AE46" s="3166"/>
      <c r="AF46" s="3166"/>
      <c r="AG46" s="3184"/>
    </row>
    <row r="47" spans="1:38" ht="18" customHeight="1" thickBot="1" x14ac:dyDescent="0.25">
      <c r="A47" s="3571">
        <v>7</v>
      </c>
      <c r="B47" s="3511" t="s">
        <v>114</v>
      </c>
      <c r="C47" s="3580" t="s">
        <v>52</v>
      </c>
      <c r="D47" s="3514" t="s">
        <v>52</v>
      </c>
      <c r="E47" s="3514">
        <v>9</v>
      </c>
      <c r="F47" s="3514" t="s">
        <v>50</v>
      </c>
      <c r="G47" s="3521">
        <v>9</v>
      </c>
      <c r="H47" s="3521">
        <v>9</v>
      </c>
      <c r="I47" s="3366">
        <v>9</v>
      </c>
      <c r="J47" s="3519" t="s">
        <v>70</v>
      </c>
      <c r="K47" s="3572" t="s">
        <v>70</v>
      </c>
      <c r="L47" s="3519" t="s">
        <v>50</v>
      </c>
      <c r="M47" s="3519" t="s">
        <v>50</v>
      </c>
      <c r="N47" s="3580" t="s">
        <v>50</v>
      </c>
      <c r="O47" s="3580" t="s">
        <v>50</v>
      </c>
      <c r="P47" s="3519" t="s">
        <v>50</v>
      </c>
      <c r="Q47" s="3519" t="s">
        <v>103</v>
      </c>
      <c r="R47" s="3519" t="s">
        <v>104</v>
      </c>
      <c r="S47" s="3519">
        <v>6</v>
      </c>
      <c r="T47" s="3519">
        <v>6</v>
      </c>
      <c r="U47" s="3580" t="s">
        <v>49</v>
      </c>
      <c r="V47" s="3580">
        <v>6</v>
      </c>
      <c r="W47" s="3581">
        <v>6</v>
      </c>
      <c r="X47" s="3521"/>
      <c r="Y47" s="3521"/>
      <c r="Z47" s="3521" t="s">
        <v>50</v>
      </c>
      <c r="AA47" s="3521" t="s">
        <v>50</v>
      </c>
      <c r="AB47" s="3521" t="s">
        <v>50</v>
      </c>
      <c r="AC47" s="3521" t="s">
        <v>50</v>
      </c>
      <c r="AD47" s="3521" t="s">
        <v>50</v>
      </c>
      <c r="AE47" s="3521"/>
      <c r="AF47" s="3521"/>
      <c r="AG47" s="3546"/>
    </row>
    <row r="48" spans="1:38" ht="18" customHeight="1" thickBot="1" x14ac:dyDescent="0.25">
      <c r="A48" s="3573">
        <v>12</v>
      </c>
      <c r="B48" s="3582" t="s">
        <v>115</v>
      </c>
      <c r="C48" s="3583" t="s">
        <v>109</v>
      </c>
      <c r="D48" s="3583" t="s">
        <v>109</v>
      </c>
      <c r="E48" s="3572">
        <v>10</v>
      </c>
      <c r="F48" s="3572">
        <v>10</v>
      </c>
      <c r="G48" s="3572">
        <v>10</v>
      </c>
      <c r="H48" s="3584">
        <v>10</v>
      </c>
      <c r="I48" s="3572">
        <v>10</v>
      </c>
      <c r="J48" s="3572" t="s">
        <v>106</v>
      </c>
      <c r="K48" s="3572" t="s">
        <v>106</v>
      </c>
      <c r="L48" s="3572" t="s">
        <v>50</v>
      </c>
      <c r="M48" s="3572" t="s">
        <v>50</v>
      </c>
      <c r="N48" s="3572" t="s">
        <v>50</v>
      </c>
      <c r="O48" s="3572" t="s">
        <v>50</v>
      </c>
      <c r="P48" s="3572" t="s">
        <v>50</v>
      </c>
      <c r="Q48" s="3572" t="s">
        <v>107</v>
      </c>
      <c r="R48" s="3572" t="s">
        <v>107</v>
      </c>
      <c r="S48" s="3583">
        <v>7</v>
      </c>
      <c r="T48" s="3572">
        <v>7</v>
      </c>
      <c r="U48" s="3572">
        <v>7</v>
      </c>
      <c r="V48" s="3572">
        <v>7</v>
      </c>
      <c r="W48" s="3572">
        <v>7</v>
      </c>
      <c r="X48" s="3572"/>
      <c r="Y48" s="3572"/>
      <c r="Z48" s="3443">
        <v>4</v>
      </c>
      <c r="AA48" s="3443">
        <v>4</v>
      </c>
      <c r="AB48" s="3443">
        <v>4</v>
      </c>
      <c r="AC48" s="3443">
        <v>4</v>
      </c>
      <c r="AD48" s="3443">
        <v>4</v>
      </c>
      <c r="AE48" s="3572"/>
      <c r="AF48" s="3572"/>
      <c r="AG48" s="3585"/>
    </row>
    <row r="49" spans="1:40" ht="18" customHeight="1" x14ac:dyDescent="0.2">
      <c r="A49" s="3179">
        <v>3</v>
      </c>
      <c r="B49" s="3191" t="s">
        <v>116</v>
      </c>
      <c r="C49" s="1784" t="s">
        <v>109</v>
      </c>
      <c r="D49" s="1784" t="s">
        <v>109</v>
      </c>
      <c r="E49" s="712" t="s">
        <v>50</v>
      </c>
      <c r="F49" s="712" t="s">
        <v>50</v>
      </c>
      <c r="G49" s="712" t="s">
        <v>50</v>
      </c>
      <c r="H49" s="712" t="s">
        <v>50</v>
      </c>
      <c r="I49" s="712" t="s">
        <v>50</v>
      </c>
      <c r="J49" s="597" t="s">
        <v>104</v>
      </c>
      <c r="K49" s="597" t="s">
        <v>104</v>
      </c>
      <c r="L49" s="597">
        <v>8</v>
      </c>
      <c r="M49" s="597">
        <v>8</v>
      </c>
      <c r="N49" s="597">
        <v>8</v>
      </c>
      <c r="O49" s="597">
        <v>8</v>
      </c>
      <c r="P49" s="597">
        <v>8</v>
      </c>
      <c r="Q49" s="3519"/>
      <c r="R49" s="712"/>
      <c r="S49" s="1741" t="s">
        <v>50</v>
      </c>
      <c r="T49" s="1741" t="s">
        <v>50</v>
      </c>
      <c r="U49" s="1741" t="s">
        <v>50</v>
      </c>
      <c r="V49" s="1741" t="s">
        <v>50</v>
      </c>
      <c r="W49" s="597" t="s">
        <v>50</v>
      </c>
      <c r="X49" s="1741"/>
      <c r="Y49" s="712"/>
      <c r="Z49" s="712">
        <v>1</v>
      </c>
      <c r="AA49" s="712">
        <v>1</v>
      </c>
      <c r="AB49" s="712">
        <v>1</v>
      </c>
      <c r="AC49" s="596">
        <v>1</v>
      </c>
      <c r="AD49" s="712">
        <v>1</v>
      </c>
      <c r="AE49" s="712"/>
      <c r="AF49" s="712"/>
      <c r="AG49" s="1086"/>
    </row>
    <row r="50" spans="1:40" ht="18" customHeight="1" thickBot="1" x14ac:dyDescent="0.25">
      <c r="A50" s="3571">
        <v>8</v>
      </c>
      <c r="B50" s="3511" t="s">
        <v>117</v>
      </c>
      <c r="C50" s="3519" t="s">
        <v>70</v>
      </c>
      <c r="D50" s="3572" t="s">
        <v>70</v>
      </c>
      <c r="E50" s="3519" t="s">
        <v>50</v>
      </c>
      <c r="F50" s="3519" t="s">
        <v>50</v>
      </c>
      <c r="G50" s="3519" t="s">
        <v>50</v>
      </c>
      <c r="H50" s="3519" t="s">
        <v>50</v>
      </c>
      <c r="I50" s="3513" t="s">
        <v>50</v>
      </c>
      <c r="J50" s="3519" t="s">
        <v>103</v>
      </c>
      <c r="K50" s="3519" t="s">
        <v>104</v>
      </c>
      <c r="L50" s="3519">
        <v>6</v>
      </c>
      <c r="M50" s="3519">
        <v>6</v>
      </c>
      <c r="N50" s="3514">
        <v>6</v>
      </c>
      <c r="O50" s="3519">
        <v>6</v>
      </c>
      <c r="P50" s="3519">
        <v>6</v>
      </c>
      <c r="R50" s="3519"/>
      <c r="S50" s="3519" t="s">
        <v>50</v>
      </c>
      <c r="T50" s="3519" t="s">
        <v>50</v>
      </c>
      <c r="U50" s="3519" t="s">
        <v>50</v>
      </c>
      <c r="V50" s="3521" t="s">
        <v>50</v>
      </c>
      <c r="W50" s="3521" t="s">
        <v>50</v>
      </c>
      <c r="X50" s="3366"/>
      <c r="Y50" s="3521"/>
      <c r="Z50" s="3507">
        <v>5</v>
      </c>
      <c r="AA50" s="3507">
        <v>5</v>
      </c>
      <c r="AB50" s="3521">
        <v>5</v>
      </c>
      <c r="AC50" s="3521">
        <v>5</v>
      </c>
      <c r="AD50" s="3514">
        <v>5</v>
      </c>
      <c r="AE50" s="3514"/>
      <c r="AF50" s="3580"/>
      <c r="AG50" s="3546"/>
    </row>
    <row r="51" spans="1:40" ht="18" customHeight="1" thickBot="1" x14ac:dyDescent="0.25">
      <c r="A51" s="3573">
        <v>13</v>
      </c>
      <c r="B51" s="3531" t="s">
        <v>118</v>
      </c>
      <c r="C51" s="3586" t="s">
        <v>106</v>
      </c>
      <c r="D51" s="3586" t="s">
        <v>106</v>
      </c>
      <c r="E51" s="3535" t="s">
        <v>50</v>
      </c>
      <c r="F51" s="3535" t="s">
        <v>50</v>
      </c>
      <c r="G51" s="3535" t="s">
        <v>50</v>
      </c>
      <c r="H51" s="3535" t="s">
        <v>50</v>
      </c>
      <c r="I51" s="3535" t="s">
        <v>50</v>
      </c>
      <c r="J51" s="3534" t="s">
        <v>107</v>
      </c>
      <c r="K51" s="3535" t="s">
        <v>107</v>
      </c>
      <c r="L51" s="3536">
        <v>7</v>
      </c>
      <c r="M51" s="3535">
        <v>7</v>
      </c>
      <c r="N51" s="3583">
        <v>7</v>
      </c>
      <c r="O51" s="3536">
        <v>7</v>
      </c>
      <c r="P51" s="3583">
        <v>7</v>
      </c>
      <c r="Q51" s="3535"/>
      <c r="R51" s="3535"/>
      <c r="S51" s="3535">
        <v>4</v>
      </c>
      <c r="T51" s="3535">
        <v>4</v>
      </c>
      <c r="U51" s="3535">
        <v>4</v>
      </c>
      <c r="V51" s="3535">
        <v>4</v>
      </c>
      <c r="W51" s="3535">
        <v>4</v>
      </c>
      <c r="X51" s="3535"/>
      <c r="Y51" s="3534"/>
      <c r="Z51" s="3535">
        <v>3</v>
      </c>
      <c r="AA51" s="3575">
        <v>3</v>
      </c>
      <c r="AB51" s="3575">
        <v>3</v>
      </c>
      <c r="AC51" s="3575">
        <v>3</v>
      </c>
      <c r="AD51" s="3575" t="s">
        <v>395</v>
      </c>
      <c r="AE51" s="3534"/>
      <c r="AF51" s="3535"/>
      <c r="AG51" s="3578"/>
    </row>
    <row r="52" spans="1:40" ht="18" customHeight="1" x14ac:dyDescent="0.2">
      <c r="A52" s="3179">
        <v>4</v>
      </c>
      <c r="B52" s="3161" t="s">
        <v>119</v>
      </c>
      <c r="C52" s="3166" t="s">
        <v>104</v>
      </c>
      <c r="D52" s="3165" t="s">
        <v>104</v>
      </c>
      <c r="E52" s="3166">
        <v>8</v>
      </c>
      <c r="F52" s="3164">
        <v>8</v>
      </c>
      <c r="G52" s="3164">
        <v>8</v>
      </c>
      <c r="H52" s="3164">
        <v>8</v>
      </c>
      <c r="I52" s="3164">
        <v>8</v>
      </c>
      <c r="J52" s="3164"/>
      <c r="K52" s="3164"/>
      <c r="L52" s="3164" t="s">
        <v>50</v>
      </c>
      <c r="M52" s="3164" t="s">
        <v>50</v>
      </c>
      <c r="N52" s="3166" t="s">
        <v>50</v>
      </c>
      <c r="O52" s="3165" t="s">
        <v>50</v>
      </c>
      <c r="P52" s="3165" t="s">
        <v>50</v>
      </c>
      <c r="Q52" s="3165"/>
      <c r="R52" s="3165"/>
      <c r="S52" s="3194">
        <v>1</v>
      </c>
      <c r="T52" s="3194">
        <v>1</v>
      </c>
      <c r="U52" s="3194">
        <v>1</v>
      </c>
      <c r="V52" s="3193">
        <v>1</v>
      </c>
      <c r="W52" s="3193">
        <v>1</v>
      </c>
      <c r="X52" s="3185"/>
      <c r="Y52" s="3185"/>
      <c r="Z52" s="3185">
        <v>9</v>
      </c>
      <c r="AA52" s="3521">
        <v>9</v>
      </c>
      <c r="AB52" s="3521">
        <v>9</v>
      </c>
      <c r="AC52" s="3166">
        <v>9</v>
      </c>
      <c r="AD52" s="3166">
        <v>9</v>
      </c>
      <c r="AE52" s="3165"/>
      <c r="AF52" s="3166"/>
      <c r="AG52" s="3184"/>
    </row>
    <row r="53" spans="1:40" ht="18" customHeight="1" x14ac:dyDescent="0.2">
      <c r="A53" s="3571">
        <v>9</v>
      </c>
      <c r="B53" s="3511" t="s">
        <v>120</v>
      </c>
      <c r="C53" s="3521" t="s">
        <v>103</v>
      </c>
      <c r="D53" s="3521" t="s">
        <v>104</v>
      </c>
      <c r="E53" s="3521">
        <v>6</v>
      </c>
      <c r="F53" s="3521">
        <v>6</v>
      </c>
      <c r="G53" s="3521">
        <v>6</v>
      </c>
      <c r="H53" s="3521">
        <v>6</v>
      </c>
      <c r="I53" s="3521">
        <v>6</v>
      </c>
      <c r="J53" s="3521"/>
      <c r="K53" s="3521"/>
      <c r="L53" s="3521" t="s">
        <v>50</v>
      </c>
      <c r="M53" s="3521" t="s">
        <v>50</v>
      </c>
      <c r="N53" s="3521" t="s">
        <v>50</v>
      </c>
      <c r="O53" s="3521" t="s">
        <v>50</v>
      </c>
      <c r="P53" s="3521" t="s">
        <v>50</v>
      </c>
      <c r="Q53" s="3366"/>
      <c r="R53" s="3521"/>
      <c r="S53" s="3521">
        <v>5</v>
      </c>
      <c r="T53" s="3521">
        <v>5</v>
      </c>
      <c r="U53" s="3521">
        <v>5</v>
      </c>
      <c r="V53" s="3521">
        <v>5</v>
      </c>
      <c r="W53" s="3521">
        <v>5</v>
      </c>
      <c r="X53" s="3521"/>
      <c r="Y53" s="3521"/>
      <c r="Z53" s="3521">
        <v>10</v>
      </c>
      <c r="AA53" s="3521">
        <v>10</v>
      </c>
      <c r="AB53" s="3521">
        <v>10</v>
      </c>
      <c r="AC53" s="3521">
        <v>10</v>
      </c>
      <c r="AD53" s="3521">
        <v>10</v>
      </c>
      <c r="AE53" s="3521"/>
      <c r="AF53" s="3521"/>
      <c r="AG53" s="3546"/>
    </row>
    <row r="54" spans="1:40" ht="18" customHeight="1" x14ac:dyDescent="0.2">
      <c r="A54" s="3573">
        <v>14</v>
      </c>
      <c r="B54" s="3531" t="s">
        <v>121</v>
      </c>
      <c r="C54" s="3534" t="s">
        <v>107</v>
      </c>
      <c r="D54" s="3535" t="s">
        <v>107</v>
      </c>
      <c r="E54" s="3535">
        <v>7</v>
      </c>
      <c r="F54" s="3535">
        <v>7</v>
      </c>
      <c r="G54" s="3536">
        <v>7</v>
      </c>
      <c r="H54" s="3583">
        <v>7</v>
      </c>
      <c r="I54" s="3536">
        <v>7</v>
      </c>
      <c r="J54" s="3535"/>
      <c r="K54" s="3535"/>
      <c r="L54" s="3576">
        <v>4</v>
      </c>
      <c r="M54" s="3576">
        <v>4</v>
      </c>
      <c r="N54" s="3576">
        <v>4</v>
      </c>
      <c r="O54" s="3576">
        <v>4</v>
      </c>
      <c r="P54" s="3576">
        <v>4</v>
      </c>
      <c r="Q54" s="3535"/>
      <c r="R54" s="3534"/>
      <c r="S54" s="3535">
        <v>3</v>
      </c>
      <c r="T54" s="3535">
        <v>3</v>
      </c>
      <c r="U54" s="3587">
        <v>3</v>
      </c>
      <c r="V54" s="3535">
        <v>3</v>
      </c>
      <c r="W54" s="3535">
        <v>3</v>
      </c>
      <c r="X54" s="3534"/>
      <c r="Y54" s="3583" t="s">
        <v>106</v>
      </c>
      <c r="Z54" s="3535">
        <v>11</v>
      </c>
      <c r="AA54" s="3535">
        <v>11</v>
      </c>
      <c r="AB54" s="3535">
        <v>11</v>
      </c>
      <c r="AC54" s="3534">
        <v>11</v>
      </c>
      <c r="AD54" s="3535">
        <v>11</v>
      </c>
      <c r="AE54" s="3535"/>
      <c r="AF54" s="3534"/>
      <c r="AG54" s="3552"/>
      <c r="AK54" t="s">
        <v>0</v>
      </c>
    </row>
    <row r="55" spans="1:40" ht="18" customHeight="1" thickBot="1" x14ac:dyDescent="0.25">
      <c r="A55" s="3179">
        <v>5</v>
      </c>
      <c r="B55" s="3511" t="s">
        <v>122</v>
      </c>
      <c r="C55" s="3164"/>
      <c r="D55" s="3164"/>
      <c r="E55" s="3164" t="s">
        <v>50</v>
      </c>
      <c r="F55" s="3185" t="s">
        <v>50</v>
      </c>
      <c r="G55" s="3165" t="s">
        <v>50</v>
      </c>
      <c r="H55" s="3165" t="s">
        <v>50</v>
      </c>
      <c r="I55" s="3165" t="s">
        <v>50</v>
      </c>
      <c r="J55" s="3165"/>
      <c r="K55" s="3166"/>
      <c r="L55" s="3166">
        <v>1</v>
      </c>
      <c r="M55" s="3166">
        <v>1</v>
      </c>
      <c r="N55" s="3196">
        <v>1</v>
      </c>
      <c r="O55" s="3164">
        <v>1</v>
      </c>
      <c r="P55" s="3166">
        <v>1</v>
      </c>
      <c r="Q55" s="3197"/>
      <c r="R55" s="3197"/>
      <c r="S55" s="3197">
        <v>9</v>
      </c>
      <c r="T55" s="3197">
        <v>9</v>
      </c>
      <c r="U55" s="3197">
        <v>9</v>
      </c>
      <c r="V55" s="3197">
        <v>9</v>
      </c>
      <c r="W55" s="3197">
        <v>9</v>
      </c>
      <c r="X55" s="3197" t="s">
        <v>70</v>
      </c>
      <c r="Y55" s="3575" t="s">
        <v>70</v>
      </c>
      <c r="Z55" s="3197" t="s">
        <v>50</v>
      </c>
      <c r="AA55" s="3197" t="s">
        <v>50</v>
      </c>
      <c r="AB55" s="3197" t="s">
        <v>50</v>
      </c>
      <c r="AC55" s="3165" t="s">
        <v>102</v>
      </c>
      <c r="AD55" s="3166" t="s">
        <v>50</v>
      </c>
      <c r="AE55" s="3166"/>
      <c r="AF55" s="3164"/>
      <c r="AG55" s="3239"/>
    </row>
    <row r="56" spans="1:40" ht="18" customHeight="1" x14ac:dyDescent="0.2">
      <c r="A56" s="3571">
        <v>10</v>
      </c>
      <c r="B56" s="3511" t="s">
        <v>123</v>
      </c>
      <c r="C56" s="3522"/>
      <c r="D56" s="3522"/>
      <c r="E56" s="3514" t="s">
        <v>50</v>
      </c>
      <c r="F56" s="3514" t="s">
        <v>50</v>
      </c>
      <c r="G56" s="3513" t="s">
        <v>50</v>
      </c>
      <c r="H56" s="3513" t="s">
        <v>50</v>
      </c>
      <c r="I56" s="3513" t="s">
        <v>50</v>
      </c>
      <c r="J56" s="3513"/>
      <c r="K56" s="3513"/>
      <c r="L56" s="3513">
        <v>5</v>
      </c>
      <c r="M56" s="3513" t="s">
        <v>547</v>
      </c>
      <c r="N56" s="3509" t="s">
        <v>113</v>
      </c>
      <c r="O56" s="3507">
        <v>5</v>
      </c>
      <c r="P56" s="3507">
        <v>5</v>
      </c>
      <c r="Q56" s="3514"/>
      <c r="R56" s="3514"/>
      <c r="S56" s="3588">
        <v>10</v>
      </c>
      <c r="T56" s="3509">
        <v>10</v>
      </c>
      <c r="U56" s="3509">
        <v>10</v>
      </c>
      <c r="V56" s="3589">
        <v>10</v>
      </c>
      <c r="W56" s="3589">
        <v>10</v>
      </c>
      <c r="X56" s="3589" t="s">
        <v>106</v>
      </c>
      <c r="Y56" s="3589" t="s">
        <v>106</v>
      </c>
      <c r="Z56" s="3590" t="s">
        <v>102</v>
      </c>
      <c r="AA56" s="3590" t="s">
        <v>50</v>
      </c>
      <c r="AB56" s="3590" t="s">
        <v>50</v>
      </c>
      <c r="AC56" s="3521" t="s">
        <v>50</v>
      </c>
      <c r="AD56" s="3521" t="s">
        <v>50</v>
      </c>
      <c r="AE56" s="3521"/>
      <c r="AF56" s="3521"/>
      <c r="AG56" s="3546"/>
    </row>
    <row r="57" spans="1:40" ht="18" customHeight="1" thickBot="1" x14ac:dyDescent="0.25">
      <c r="A57" s="3573">
        <v>15</v>
      </c>
      <c r="B57" s="3531" t="s">
        <v>124</v>
      </c>
      <c r="C57" s="3535"/>
      <c r="D57" s="3535"/>
      <c r="E57" s="3535">
        <v>4</v>
      </c>
      <c r="F57" s="3536">
        <v>4</v>
      </c>
      <c r="G57" s="3536">
        <v>4</v>
      </c>
      <c r="H57" s="3536">
        <v>4</v>
      </c>
      <c r="I57" s="3536">
        <v>4</v>
      </c>
      <c r="J57" s="3536"/>
      <c r="K57" s="3534"/>
      <c r="L57" s="3535">
        <v>3</v>
      </c>
      <c r="M57" s="3535">
        <v>3</v>
      </c>
      <c r="N57" s="3535">
        <v>3</v>
      </c>
      <c r="O57" s="3572">
        <v>3</v>
      </c>
      <c r="P57" s="3572">
        <v>3</v>
      </c>
      <c r="Q57" s="3572"/>
      <c r="R57" s="3572"/>
      <c r="S57" s="3572">
        <v>11</v>
      </c>
      <c r="T57" s="3572">
        <v>11</v>
      </c>
      <c r="U57" s="3572">
        <v>11</v>
      </c>
      <c r="V57" s="3535">
        <v>11</v>
      </c>
      <c r="W57" s="3535">
        <v>11</v>
      </c>
      <c r="X57" s="3535" t="s">
        <v>109</v>
      </c>
      <c r="Y57" s="3534" t="s">
        <v>109</v>
      </c>
      <c r="Z57" s="3535" t="s">
        <v>50</v>
      </c>
      <c r="AA57" s="3535" t="s">
        <v>50</v>
      </c>
      <c r="AB57" s="3535" t="s">
        <v>50</v>
      </c>
      <c r="AC57" s="3575" t="s">
        <v>50</v>
      </c>
      <c r="AD57" s="3575" t="s">
        <v>50</v>
      </c>
      <c r="AE57" s="3534"/>
      <c r="AF57" s="3534"/>
      <c r="AG57" s="3591"/>
    </row>
    <row r="58" spans="1:40" ht="18" customHeight="1" x14ac:dyDescent="0.2">
      <c r="A58" s="62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</row>
    <row r="59" spans="1:40" ht="18" customHeight="1" x14ac:dyDescent="0.2">
      <c r="A59" s="69"/>
      <c r="B59" s="42" t="s">
        <v>125</v>
      </c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</row>
    <row r="60" spans="1:40" ht="18" customHeight="1" x14ac:dyDescent="0.2">
      <c r="A60" s="3486" t="s">
        <v>43</v>
      </c>
      <c r="B60" s="3486"/>
      <c r="C60" s="3485"/>
      <c r="D60" s="3486" t="s">
        <v>17</v>
      </c>
      <c r="E60" s="3484"/>
      <c r="F60" s="3485"/>
      <c r="G60" s="3486" t="s">
        <v>18</v>
      </c>
      <c r="H60" s="3484"/>
      <c r="I60" s="3485"/>
      <c r="J60" s="3486" t="s">
        <v>19</v>
      </c>
      <c r="K60" s="3484"/>
      <c r="L60" s="3485"/>
      <c r="M60" s="3486" t="s">
        <v>20</v>
      </c>
      <c r="N60" s="3484"/>
      <c r="O60" s="3485"/>
      <c r="P60" s="3486" t="s">
        <v>21</v>
      </c>
      <c r="Q60" s="3484"/>
      <c r="R60" s="2691"/>
      <c r="S60" s="2692"/>
      <c r="T60" s="3484"/>
      <c r="U60" s="3485"/>
      <c r="V60" s="3486" t="s">
        <v>23</v>
      </c>
      <c r="W60" s="3484"/>
      <c r="X60" s="3592" t="s">
        <v>126</v>
      </c>
      <c r="Y60" s="3484"/>
      <c r="Z60" s="3484"/>
      <c r="AA60" s="3593"/>
      <c r="AB60" s="3478"/>
      <c r="AC60" s="3478"/>
      <c r="AD60" s="3478"/>
      <c r="AE60" s="3478"/>
      <c r="AF60" s="3478"/>
      <c r="AG60" s="3479"/>
    </row>
    <row r="61" spans="1:40" ht="18" customHeight="1" x14ac:dyDescent="0.2">
      <c r="B61" s="3505" t="s">
        <v>548</v>
      </c>
      <c r="C61" s="2857" t="s">
        <v>132</v>
      </c>
      <c r="D61" s="2858"/>
      <c r="E61" s="2859"/>
      <c r="F61" s="2857" t="s">
        <v>132</v>
      </c>
      <c r="G61" s="2860"/>
      <c r="H61" s="2859"/>
      <c r="I61" s="3594" t="s">
        <v>132</v>
      </c>
      <c r="J61" s="3595"/>
      <c r="K61" s="3596"/>
      <c r="L61" s="3594" t="s">
        <v>132</v>
      </c>
      <c r="M61" s="3595"/>
      <c r="N61" s="3596"/>
      <c r="O61" s="3594" t="s">
        <v>133</v>
      </c>
      <c r="P61" s="3595"/>
      <c r="Q61" s="3477"/>
      <c r="R61" s="3597" t="s">
        <v>0</v>
      </c>
      <c r="S61" s="3595"/>
      <c r="T61" s="3596"/>
      <c r="U61" s="3595" t="s">
        <v>0</v>
      </c>
      <c r="V61" s="3595"/>
      <c r="W61" s="3477"/>
      <c r="X61" s="386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40" ht="18" customHeight="1" thickBot="1" x14ac:dyDescent="0.25">
      <c r="A62" s="37"/>
      <c r="B62" s="62"/>
      <c r="C62" s="46"/>
      <c r="D62" s="46"/>
      <c r="E62" s="6"/>
      <c r="F62" s="46"/>
      <c r="G62" s="46"/>
      <c r="H62" s="6"/>
      <c r="I62" s="46"/>
      <c r="J62" s="46"/>
      <c r="K62" s="6"/>
      <c r="L62" s="46"/>
      <c r="M62" s="46"/>
      <c r="N62" s="6"/>
      <c r="O62" s="46"/>
      <c r="P62" s="46"/>
      <c r="Q62" s="6"/>
      <c r="R62" s="46"/>
      <c r="S62" s="46"/>
      <c r="T62" s="6"/>
      <c r="U62" s="46"/>
      <c r="V62" s="46"/>
      <c r="W62" s="6"/>
      <c r="X62" s="6"/>
      <c r="Y62" s="48"/>
      <c r="Z62" s="48"/>
      <c r="AA62" s="48"/>
      <c r="AB62" s="48"/>
      <c r="AC62" s="48"/>
      <c r="AD62" s="48"/>
      <c r="AE62" s="48"/>
      <c r="AF62" s="48"/>
      <c r="AG62" s="48"/>
      <c r="AH62" s="1"/>
    </row>
    <row r="63" spans="1:40" ht="18" customHeight="1" thickBot="1" x14ac:dyDescent="0.25">
      <c r="A63" s="3598"/>
      <c r="B63" s="3599" t="s">
        <v>44</v>
      </c>
      <c r="C63" s="2707">
        <v>1</v>
      </c>
      <c r="D63" s="2707">
        <v>2</v>
      </c>
      <c r="E63" s="2706">
        <v>3</v>
      </c>
      <c r="F63" s="2706">
        <v>4</v>
      </c>
      <c r="G63" s="2706">
        <v>5</v>
      </c>
      <c r="H63" s="2706">
        <v>6</v>
      </c>
      <c r="I63" s="2706">
        <v>7</v>
      </c>
      <c r="J63" s="2707">
        <v>8</v>
      </c>
      <c r="K63" s="2707">
        <v>9</v>
      </c>
      <c r="L63" s="2706">
        <v>10</v>
      </c>
      <c r="M63" s="2706">
        <v>11</v>
      </c>
      <c r="N63" s="2706">
        <v>12</v>
      </c>
      <c r="O63" s="2706">
        <v>13</v>
      </c>
      <c r="P63" s="2706">
        <v>14</v>
      </c>
      <c r="Q63" s="2707">
        <v>15</v>
      </c>
      <c r="R63" s="2707">
        <v>16</v>
      </c>
      <c r="S63" s="2706">
        <v>17</v>
      </c>
      <c r="T63" s="2706">
        <v>18</v>
      </c>
      <c r="U63" s="2706">
        <v>19</v>
      </c>
      <c r="V63" s="2706">
        <v>20</v>
      </c>
      <c r="W63" s="2706">
        <v>21</v>
      </c>
      <c r="X63" s="2707">
        <v>22</v>
      </c>
      <c r="Y63" s="2707">
        <v>23</v>
      </c>
      <c r="Z63" s="2706">
        <v>24</v>
      </c>
      <c r="AA63" s="2706">
        <v>25</v>
      </c>
      <c r="AB63" s="2706">
        <v>26</v>
      </c>
      <c r="AC63" s="2706">
        <v>27</v>
      </c>
      <c r="AD63" s="2706">
        <v>28</v>
      </c>
      <c r="AE63" s="2706"/>
      <c r="AF63" s="2706"/>
      <c r="AG63" s="3501"/>
      <c r="AH63" s="1"/>
      <c r="AJ63" s="3500" t="s">
        <v>41</v>
      </c>
      <c r="AK63" s="3500" t="s">
        <v>62</v>
      </c>
      <c r="AL63" s="3500" t="s">
        <v>63</v>
      </c>
      <c r="AM63" s="3500" t="s">
        <v>64</v>
      </c>
      <c r="AN63" s="3500" t="s">
        <v>65</v>
      </c>
    </row>
    <row r="64" spans="1:40" ht="18" customHeight="1" x14ac:dyDescent="0.2">
      <c r="A64" s="3600"/>
      <c r="B64" s="3601" t="s">
        <v>146</v>
      </c>
      <c r="C64" s="3365"/>
      <c r="D64" s="3365"/>
      <c r="E64" s="3365" t="s">
        <v>475</v>
      </c>
      <c r="F64" s="3365" t="s">
        <v>475</v>
      </c>
      <c r="G64" s="3365" t="s">
        <v>475</v>
      </c>
      <c r="H64" s="3365" t="s">
        <v>475</v>
      </c>
      <c r="I64" s="3509" t="s">
        <v>475</v>
      </c>
      <c r="J64" s="3365"/>
      <c r="K64" s="3365"/>
      <c r="L64" s="3365" t="s">
        <v>50</v>
      </c>
      <c r="M64" s="3589" t="s">
        <v>50</v>
      </c>
      <c r="N64" s="3589" t="s">
        <v>50</v>
      </c>
      <c r="O64" s="3602" t="s">
        <v>50</v>
      </c>
      <c r="P64" s="3602" t="s">
        <v>50</v>
      </c>
      <c r="Q64" s="3602"/>
      <c r="R64" s="3602"/>
      <c r="S64" s="3602" t="s">
        <v>475</v>
      </c>
      <c r="T64" s="3602" t="s">
        <v>475</v>
      </c>
      <c r="U64" s="3602" t="s">
        <v>475</v>
      </c>
      <c r="V64" s="3602" t="s">
        <v>475</v>
      </c>
      <c r="W64" s="3602" t="s">
        <v>475</v>
      </c>
      <c r="X64" s="3602" t="s">
        <v>475</v>
      </c>
      <c r="Y64" s="3602" t="s">
        <v>475</v>
      </c>
      <c r="Z64" s="3365" t="s">
        <v>50</v>
      </c>
      <c r="AA64" s="3365" t="s">
        <v>50</v>
      </c>
      <c r="AB64" s="3365" t="s">
        <v>50</v>
      </c>
      <c r="AC64" s="3365" t="s">
        <v>50</v>
      </c>
      <c r="AD64" s="3365" t="s">
        <v>50</v>
      </c>
      <c r="AE64" s="3366"/>
      <c r="AF64" s="3366"/>
      <c r="AG64" s="3603"/>
      <c r="AH64" s="1"/>
      <c r="AJ64" s="3543">
        <f t="shared" ref="AJ64:AJ84" si="0">$AJ$12</f>
        <v>160.33000000000001</v>
      </c>
      <c r="AK64" s="3543"/>
      <c r="AL64" s="3543">
        <f t="shared" ref="AL64:AL84" si="1">IF(AJ64="","",SUM(AJ64:AK64))</f>
        <v>160.33000000000001</v>
      </c>
      <c r="AM64" s="3544">
        <f t="shared" ref="AM64:AM84" si="2">IF(AJ64="","",AL64-_xlfn.SINGLE(NormTid))</f>
        <v>0</v>
      </c>
      <c r="AN64" s="3544">
        <f>IF(AM64="","",AM64+'Januar 2025'!AN64)</f>
        <v>0</v>
      </c>
    </row>
    <row r="65" spans="1:40" ht="18" customHeight="1" x14ac:dyDescent="0.2">
      <c r="A65" s="3600"/>
      <c r="B65" s="3601" t="s">
        <v>151</v>
      </c>
      <c r="C65" s="3522"/>
      <c r="D65" s="3522"/>
      <c r="E65" s="3366" t="s">
        <v>475</v>
      </c>
      <c r="F65" s="3366" t="s">
        <v>475</v>
      </c>
      <c r="G65" s="3366" t="s">
        <v>475</v>
      </c>
      <c r="H65" s="3366" t="s">
        <v>50</v>
      </c>
      <c r="I65" s="3366" t="s">
        <v>50</v>
      </c>
      <c r="J65" s="3366" t="s">
        <v>162</v>
      </c>
      <c r="K65" s="3521" t="s">
        <v>162</v>
      </c>
      <c r="L65" s="3514" t="s">
        <v>50</v>
      </c>
      <c r="M65" s="3521" t="s">
        <v>50</v>
      </c>
      <c r="N65" s="3514" t="s">
        <v>50</v>
      </c>
      <c r="O65" s="3514" t="s">
        <v>50</v>
      </c>
      <c r="P65" s="3515" t="s">
        <v>50</v>
      </c>
      <c r="Q65" s="3519"/>
      <c r="R65" s="3521"/>
      <c r="S65" s="3521" t="s">
        <v>475</v>
      </c>
      <c r="T65" s="3521" t="s">
        <v>475</v>
      </c>
      <c r="U65" s="3521" t="s">
        <v>475</v>
      </c>
      <c r="V65" s="3521" t="s">
        <v>50</v>
      </c>
      <c r="W65" s="3521" t="s">
        <v>50</v>
      </c>
      <c r="X65" s="3519"/>
      <c r="Y65" s="3366"/>
      <c r="Z65" s="3604">
        <v>4</v>
      </c>
      <c r="AA65" s="3366">
        <v>4</v>
      </c>
      <c r="AB65" s="3366">
        <v>4</v>
      </c>
      <c r="AC65" s="3366">
        <v>4</v>
      </c>
      <c r="AD65" s="3366">
        <v>4</v>
      </c>
      <c r="AE65" s="3366"/>
      <c r="AF65" s="3521"/>
      <c r="AG65" s="3603"/>
      <c r="AH65" s="1"/>
      <c r="AJ65" s="3543">
        <f t="shared" si="0"/>
        <v>160.33000000000001</v>
      </c>
      <c r="AK65" s="3543"/>
      <c r="AL65" s="3543">
        <f t="shared" si="1"/>
        <v>160.33000000000001</v>
      </c>
      <c r="AM65" s="3544">
        <f t="shared" si="2"/>
        <v>0</v>
      </c>
      <c r="AN65" s="3544">
        <f>IF(AM65="","",AM65+'Januar 2025'!AN65)</f>
        <v>0</v>
      </c>
    </row>
    <row r="66" spans="1:40" ht="18" customHeight="1" x14ac:dyDescent="0.2">
      <c r="A66" s="3600"/>
      <c r="B66" s="3496" t="s">
        <v>155</v>
      </c>
      <c r="C66" s="3519" t="s">
        <v>475</v>
      </c>
      <c r="D66" s="3366" t="s">
        <v>475</v>
      </c>
      <c r="E66" s="3366" t="s">
        <v>50</v>
      </c>
      <c r="F66" s="3519" t="s">
        <v>50</v>
      </c>
      <c r="G66" s="3519" t="s">
        <v>50</v>
      </c>
      <c r="H66" s="3507" t="s">
        <v>46</v>
      </c>
      <c r="I66" s="3507" t="s">
        <v>46</v>
      </c>
      <c r="J66" s="3519"/>
      <c r="K66" s="3519"/>
      <c r="L66" s="3508" t="s">
        <v>162</v>
      </c>
      <c r="M66" s="3519" t="s">
        <v>162</v>
      </c>
      <c r="N66" s="3519" t="s">
        <v>162</v>
      </c>
      <c r="O66" s="3519" t="s">
        <v>162</v>
      </c>
      <c r="P66" s="3519" t="s">
        <v>162</v>
      </c>
      <c r="Q66" s="3605" t="s">
        <v>162</v>
      </c>
      <c r="R66" s="3605" t="s">
        <v>162</v>
      </c>
      <c r="S66" s="3519" t="s">
        <v>50</v>
      </c>
      <c r="T66" s="3519" t="s">
        <v>50</v>
      </c>
      <c r="U66" s="3519" t="s">
        <v>50</v>
      </c>
      <c r="V66" s="3366" t="s">
        <v>50</v>
      </c>
      <c r="W66" s="3366" t="s">
        <v>50</v>
      </c>
      <c r="X66" s="3523"/>
      <c r="Y66" s="3523"/>
      <c r="Z66" s="3519" t="s">
        <v>50</v>
      </c>
      <c r="AA66" s="3519" t="s">
        <v>50</v>
      </c>
      <c r="AB66" s="3519" t="s">
        <v>50</v>
      </c>
      <c r="AC66" s="3518">
        <v>5</v>
      </c>
      <c r="AD66" s="3509">
        <v>5</v>
      </c>
      <c r="AE66" s="3519"/>
      <c r="AF66" s="3519"/>
      <c r="AG66" s="3603"/>
      <c r="AH66" s="1"/>
      <c r="AJ66" s="3543">
        <f t="shared" si="0"/>
        <v>160.33000000000001</v>
      </c>
      <c r="AK66" s="3543"/>
      <c r="AL66" s="3543">
        <f t="shared" si="1"/>
        <v>160.33000000000001</v>
      </c>
      <c r="AM66" s="3544">
        <f t="shared" si="2"/>
        <v>0</v>
      </c>
      <c r="AN66" s="3544">
        <f>IF(AM66="","",AM66+'Januar 2025'!AN66)</f>
        <v>0</v>
      </c>
    </row>
    <row r="67" spans="1:40" ht="18" customHeight="1" x14ac:dyDescent="0.2">
      <c r="A67" s="368"/>
      <c r="B67" s="3579" t="s">
        <v>159</v>
      </c>
      <c r="C67" s="3365" t="s">
        <v>109</v>
      </c>
      <c r="D67" s="3365" t="s">
        <v>417</v>
      </c>
      <c r="E67" s="3366" t="s">
        <v>50</v>
      </c>
      <c r="F67" s="3519" t="s">
        <v>50</v>
      </c>
      <c r="G67" s="3519" t="s">
        <v>50</v>
      </c>
      <c r="H67" s="3513" t="s">
        <v>50</v>
      </c>
      <c r="I67" s="3513" t="s">
        <v>50</v>
      </c>
      <c r="J67" s="3513" t="s">
        <v>68</v>
      </c>
      <c r="K67" s="3513" t="s">
        <v>68</v>
      </c>
      <c r="L67" s="3522" t="s">
        <v>46</v>
      </c>
      <c r="M67" s="3522" t="s">
        <v>46</v>
      </c>
      <c r="N67" s="3522" t="s">
        <v>46</v>
      </c>
      <c r="O67" s="3522" t="s">
        <v>46</v>
      </c>
      <c r="P67" s="3522" t="s">
        <v>46</v>
      </c>
      <c r="Q67" s="3522"/>
      <c r="R67" s="3522"/>
      <c r="S67" s="3366">
        <v>1</v>
      </c>
      <c r="T67" s="3519">
        <v>1</v>
      </c>
      <c r="U67" s="3519">
        <v>1</v>
      </c>
      <c r="V67" s="3366">
        <v>1</v>
      </c>
      <c r="W67" s="252">
        <v>1</v>
      </c>
      <c r="X67" s="3519"/>
      <c r="Y67" s="3366"/>
      <c r="Z67" s="3366" t="s">
        <v>322</v>
      </c>
      <c r="AA67" s="3366" t="s">
        <v>322</v>
      </c>
      <c r="AB67" s="3366" t="s">
        <v>322</v>
      </c>
      <c r="AC67" s="3366" t="s">
        <v>322</v>
      </c>
      <c r="AD67" s="3366" t="s">
        <v>322</v>
      </c>
      <c r="AE67" s="3519"/>
      <c r="AF67" s="3519"/>
      <c r="AG67" s="3603"/>
      <c r="AH67" s="1"/>
      <c r="AJ67" s="3543">
        <f t="shared" si="0"/>
        <v>160.33000000000001</v>
      </c>
      <c r="AK67" s="3543"/>
      <c r="AL67" s="3543">
        <f t="shared" si="1"/>
        <v>160.33000000000001</v>
      </c>
      <c r="AM67" s="3544">
        <f t="shared" si="2"/>
        <v>0</v>
      </c>
      <c r="AN67" s="3544">
        <f>IF(AM67="","",AM67+'Januar 2025'!AN67)</f>
        <v>0</v>
      </c>
    </row>
    <row r="68" spans="1:40" ht="18" customHeight="1" thickBot="1" x14ac:dyDescent="0.25">
      <c r="A68" s="3606"/>
      <c r="B68" s="3496" t="s">
        <v>165</v>
      </c>
      <c r="C68" s="3521" t="s">
        <v>162</v>
      </c>
      <c r="D68" s="3521" t="s">
        <v>162</v>
      </c>
      <c r="E68" s="3366" t="s">
        <v>142</v>
      </c>
      <c r="F68" s="3366" t="s">
        <v>142</v>
      </c>
      <c r="G68" s="3366" t="s">
        <v>142</v>
      </c>
      <c r="H68" s="3366" t="s">
        <v>142</v>
      </c>
      <c r="I68" s="3366" t="s">
        <v>142</v>
      </c>
      <c r="J68" s="3519" t="s">
        <v>143</v>
      </c>
      <c r="K68" s="3519" t="s">
        <v>143</v>
      </c>
      <c r="L68" s="3519" t="s">
        <v>50</v>
      </c>
      <c r="M68" s="3519" t="s">
        <v>50</v>
      </c>
      <c r="N68" s="3519" t="s">
        <v>50</v>
      </c>
      <c r="O68" s="3366" t="s">
        <v>50</v>
      </c>
      <c r="P68" s="3366" t="s">
        <v>50</v>
      </c>
      <c r="Q68" s="3523"/>
      <c r="R68" s="3366"/>
      <c r="S68" s="3366">
        <v>21</v>
      </c>
      <c r="T68" s="3519">
        <v>21</v>
      </c>
      <c r="U68" s="3519">
        <v>21</v>
      </c>
      <c r="V68" s="3366">
        <v>21</v>
      </c>
      <c r="W68" s="3366">
        <v>21</v>
      </c>
      <c r="X68" s="3519">
        <v>21</v>
      </c>
      <c r="Y68" s="3519">
        <v>21</v>
      </c>
      <c r="Z68" s="3366" t="s">
        <v>50</v>
      </c>
      <c r="AA68" s="3366" t="s">
        <v>50</v>
      </c>
      <c r="AB68" s="3366" t="s">
        <v>50</v>
      </c>
      <c r="AC68" s="3366" t="s">
        <v>50</v>
      </c>
      <c r="AD68" s="3366" t="s">
        <v>50</v>
      </c>
      <c r="AE68" s="3366"/>
      <c r="AF68" s="3366"/>
      <c r="AG68" s="3510"/>
      <c r="AH68" s="1"/>
      <c r="AJ68" s="3543">
        <f t="shared" si="0"/>
        <v>160.33000000000001</v>
      </c>
      <c r="AK68" s="3543"/>
      <c r="AL68" s="3543">
        <f t="shared" si="1"/>
        <v>160.33000000000001</v>
      </c>
      <c r="AM68" s="3544">
        <f t="shared" si="2"/>
        <v>0</v>
      </c>
      <c r="AN68" s="3544">
        <f>IF(AM68="","",AM68+'Januar 2025'!AN68)</f>
        <v>0</v>
      </c>
    </row>
    <row r="69" spans="1:40" ht="18" customHeight="1" x14ac:dyDescent="0.2">
      <c r="A69" s="3607"/>
      <c r="B69" s="3396" t="s">
        <v>170</v>
      </c>
      <c r="C69" s="3519" t="s">
        <v>209</v>
      </c>
      <c r="D69" s="3519" t="s">
        <v>209</v>
      </c>
      <c r="E69" s="3514" t="s">
        <v>50</v>
      </c>
      <c r="F69" s="3521" t="s">
        <v>50</v>
      </c>
      <c r="G69" s="3521" t="s">
        <v>50</v>
      </c>
      <c r="H69" s="3366" t="s">
        <v>50</v>
      </c>
      <c r="I69" s="3366" t="s">
        <v>50</v>
      </c>
      <c r="J69" s="3519"/>
      <c r="K69" s="3519"/>
      <c r="L69" s="3201" t="s">
        <v>309</v>
      </c>
      <c r="M69" s="3201" t="s">
        <v>427</v>
      </c>
      <c r="N69" s="3201" t="s">
        <v>427</v>
      </c>
      <c r="O69" s="3523">
        <v>5</v>
      </c>
      <c r="P69" s="3523" t="s">
        <v>142</v>
      </c>
      <c r="Q69" s="3519"/>
      <c r="S69" s="3515">
        <v>25</v>
      </c>
      <c r="T69" s="3515">
        <v>25</v>
      </c>
      <c r="U69" s="3515">
        <v>25</v>
      </c>
      <c r="V69" s="3515">
        <v>25</v>
      </c>
      <c r="W69" s="3515">
        <v>25</v>
      </c>
      <c r="X69" s="3523"/>
      <c r="Y69" s="3521"/>
      <c r="Z69" s="3366">
        <v>4</v>
      </c>
      <c r="AA69" s="3519" t="s">
        <v>46</v>
      </c>
      <c r="AB69" s="3519" t="s">
        <v>152</v>
      </c>
      <c r="AC69" s="3366" t="s">
        <v>46</v>
      </c>
      <c r="AD69" s="3523">
        <v>3</v>
      </c>
      <c r="AE69" s="3366"/>
      <c r="AF69" s="3366"/>
      <c r="AG69" s="3546"/>
      <c r="AH69" s="1"/>
      <c r="AJ69" s="3543">
        <f t="shared" si="0"/>
        <v>160.33000000000001</v>
      </c>
      <c r="AK69" s="3543"/>
      <c r="AL69" s="3543">
        <f t="shared" si="1"/>
        <v>160.33000000000001</v>
      </c>
      <c r="AM69" s="3544">
        <f t="shared" si="2"/>
        <v>0</v>
      </c>
      <c r="AN69" s="3544">
        <f>IF(AM69="","",AM69+'Januar 2025'!AN69)</f>
        <v>0</v>
      </c>
    </row>
    <row r="70" spans="1:40" ht="18" customHeight="1" x14ac:dyDescent="0.2">
      <c r="A70" s="3607"/>
      <c r="B70" s="3608" t="s">
        <v>176</v>
      </c>
      <c r="C70" s="3519">
        <v>21</v>
      </c>
      <c r="D70" s="3519">
        <v>21</v>
      </c>
      <c r="E70" s="3519" t="s">
        <v>50</v>
      </c>
      <c r="F70" s="3519" t="s">
        <v>50</v>
      </c>
      <c r="G70" s="3519" t="s">
        <v>50</v>
      </c>
      <c r="H70" s="3366" t="s">
        <v>50</v>
      </c>
      <c r="I70" s="3366" t="s">
        <v>50</v>
      </c>
      <c r="J70" s="3519" t="s">
        <v>209</v>
      </c>
      <c r="K70" s="3519" t="s">
        <v>209</v>
      </c>
      <c r="L70" s="3518">
        <v>11</v>
      </c>
      <c r="M70" s="3518">
        <v>11</v>
      </c>
      <c r="N70" s="3518">
        <v>11</v>
      </c>
      <c r="O70" s="3509">
        <v>11</v>
      </c>
      <c r="P70" s="3509" t="s">
        <v>175</v>
      </c>
      <c r="Q70" s="3523"/>
      <c r="R70" s="3523"/>
      <c r="S70" s="3366">
        <v>23</v>
      </c>
      <c r="T70" s="3516">
        <v>23</v>
      </c>
      <c r="U70" s="3366">
        <v>23</v>
      </c>
      <c r="V70" s="3519">
        <v>23</v>
      </c>
      <c r="W70" s="3519">
        <v>23</v>
      </c>
      <c r="X70" s="3519">
        <v>23</v>
      </c>
      <c r="Y70" s="3519">
        <v>23</v>
      </c>
      <c r="Z70" s="3519" t="s">
        <v>50</v>
      </c>
      <c r="AA70" s="3519" t="s">
        <v>50</v>
      </c>
      <c r="AB70" s="3519" t="s">
        <v>50</v>
      </c>
      <c r="AC70" s="3366" t="s">
        <v>50</v>
      </c>
      <c r="AD70" s="3366" t="s">
        <v>50</v>
      </c>
      <c r="AE70" s="3519"/>
      <c r="AF70" s="3519"/>
      <c r="AG70" s="3546"/>
      <c r="AH70" s="1"/>
      <c r="AJ70" s="3543">
        <f t="shared" si="0"/>
        <v>160.33000000000001</v>
      </c>
      <c r="AK70" s="3543"/>
      <c r="AL70" s="3543">
        <f t="shared" si="1"/>
        <v>160.33000000000001</v>
      </c>
      <c r="AM70" s="3544">
        <f t="shared" si="2"/>
        <v>0</v>
      </c>
      <c r="AN70" s="3544">
        <f>IF(AM70="","",AM70+'Januar 2025'!AN70)</f>
        <v>0</v>
      </c>
    </row>
    <row r="71" spans="1:40" ht="18" customHeight="1" x14ac:dyDescent="0.2">
      <c r="A71" s="3607"/>
      <c r="B71" s="3579" t="s">
        <v>180</v>
      </c>
      <c r="C71" s="3366"/>
      <c r="D71" s="3366"/>
      <c r="E71" s="3366" t="s">
        <v>50</v>
      </c>
      <c r="F71" s="3366" t="s">
        <v>50</v>
      </c>
      <c r="G71" s="3366" t="s">
        <v>50</v>
      </c>
      <c r="H71" s="3366" t="s">
        <v>50</v>
      </c>
      <c r="I71" s="3366" t="s">
        <v>50</v>
      </c>
      <c r="J71" s="3366"/>
      <c r="K71" s="3366"/>
      <c r="L71" s="3366" t="s">
        <v>209</v>
      </c>
      <c r="M71" s="3366" t="s">
        <v>209</v>
      </c>
      <c r="N71" s="3515" t="s">
        <v>209</v>
      </c>
      <c r="O71" s="3515" t="s">
        <v>209</v>
      </c>
      <c r="P71" s="3366" t="s">
        <v>209</v>
      </c>
      <c r="Q71" s="3366" t="s">
        <v>209</v>
      </c>
      <c r="R71" s="3366" t="s">
        <v>209</v>
      </c>
      <c r="S71" s="3366" t="s">
        <v>50</v>
      </c>
      <c r="T71" s="3366" t="s">
        <v>50</v>
      </c>
      <c r="U71" s="3366" t="s">
        <v>50</v>
      </c>
      <c r="V71" s="3366" t="s">
        <v>50</v>
      </c>
      <c r="W71" s="3366" t="s">
        <v>50</v>
      </c>
      <c r="X71" s="3366"/>
      <c r="Y71" s="3366"/>
      <c r="Z71" s="3508" t="s">
        <v>209</v>
      </c>
      <c r="AA71" s="3508" t="s">
        <v>209</v>
      </c>
      <c r="AB71" s="3485" t="s">
        <v>209</v>
      </c>
      <c r="AC71" s="3366" t="s">
        <v>209</v>
      </c>
      <c r="AD71" s="3366" t="s">
        <v>209</v>
      </c>
      <c r="AE71" s="3519"/>
      <c r="AF71" s="3519"/>
      <c r="AG71" s="3609"/>
      <c r="AH71" s="1"/>
      <c r="AJ71" s="3543">
        <f t="shared" si="0"/>
        <v>160.33000000000001</v>
      </c>
      <c r="AK71" s="3543"/>
      <c r="AL71" s="3543">
        <f t="shared" si="1"/>
        <v>160.33000000000001</v>
      </c>
      <c r="AM71" s="3544">
        <f t="shared" si="2"/>
        <v>0</v>
      </c>
      <c r="AN71" s="3544">
        <f>IF(AM71="","",AM71+'Januar 2025'!AN71)</f>
        <v>0</v>
      </c>
    </row>
    <row r="72" spans="1:40" ht="18" customHeight="1" thickBot="1" x14ac:dyDescent="0.25">
      <c r="A72" s="3607"/>
      <c r="B72" s="3600" t="s">
        <v>181</v>
      </c>
      <c r="C72" s="3521"/>
      <c r="D72" s="3521"/>
      <c r="E72" s="3521" t="s">
        <v>50</v>
      </c>
      <c r="F72" s="3519" t="s">
        <v>50</v>
      </c>
      <c r="G72" s="3519" t="s">
        <v>50</v>
      </c>
      <c r="H72" s="3366" t="s">
        <v>50</v>
      </c>
      <c r="I72" s="3366" t="s">
        <v>50</v>
      </c>
      <c r="J72" s="3366"/>
      <c r="K72" s="3610"/>
      <c r="L72" s="3610" t="s">
        <v>475</v>
      </c>
      <c r="M72" s="3366" t="s">
        <v>475</v>
      </c>
      <c r="N72" s="3366" t="s">
        <v>475</v>
      </c>
      <c r="O72" s="3366" t="s">
        <v>475</v>
      </c>
      <c r="P72" s="3366" t="s">
        <v>475</v>
      </c>
      <c r="Q72" s="3366" t="s">
        <v>475</v>
      </c>
      <c r="R72" s="3366" t="s">
        <v>475</v>
      </c>
      <c r="S72" s="3366" t="s">
        <v>50</v>
      </c>
      <c r="T72" s="3610" t="s">
        <v>50</v>
      </c>
      <c r="U72" s="3366" t="s">
        <v>50</v>
      </c>
      <c r="V72" s="3519" t="s">
        <v>50</v>
      </c>
      <c r="W72" s="3519" t="s">
        <v>50</v>
      </c>
      <c r="X72" s="3519"/>
      <c r="Y72" s="3519"/>
      <c r="Z72" s="3519" t="s">
        <v>475</v>
      </c>
      <c r="AA72" s="3519" t="s">
        <v>475</v>
      </c>
      <c r="AB72" s="3485" t="s">
        <v>475</v>
      </c>
      <c r="AC72" s="3519" t="s">
        <v>475</v>
      </c>
      <c r="AD72" s="3508" t="s">
        <v>475</v>
      </c>
      <c r="AE72" s="3521"/>
      <c r="AF72" s="3521"/>
      <c r="AG72" s="3609"/>
      <c r="AH72" s="1"/>
      <c r="AJ72" s="3543">
        <f t="shared" si="0"/>
        <v>160.33000000000001</v>
      </c>
      <c r="AK72" s="3543"/>
      <c r="AL72" s="3543">
        <f t="shared" si="1"/>
        <v>160.33000000000001</v>
      </c>
      <c r="AM72" s="3544">
        <f t="shared" si="2"/>
        <v>0</v>
      </c>
      <c r="AN72" s="3544">
        <f>IF(AM72="","",AM72+'Januar 2025'!AN72)</f>
        <v>0</v>
      </c>
    </row>
    <row r="73" spans="1:40" ht="18" customHeight="1" x14ac:dyDescent="0.2">
      <c r="A73" s="3607"/>
      <c r="B73" s="3611" t="s">
        <v>183</v>
      </c>
      <c r="C73" s="3521" t="s">
        <v>68</v>
      </c>
      <c r="D73" s="3521" t="s">
        <v>68</v>
      </c>
      <c r="E73" s="3521" t="s">
        <v>46</v>
      </c>
      <c r="F73" s="3521" t="s">
        <v>46</v>
      </c>
      <c r="G73" s="3366">
        <v>69</v>
      </c>
      <c r="H73" s="3521" t="s">
        <v>46</v>
      </c>
      <c r="I73" s="3612" t="s">
        <v>46</v>
      </c>
      <c r="J73" s="3366"/>
      <c r="K73" s="3516"/>
      <c r="L73" s="3516" t="s">
        <v>152</v>
      </c>
      <c r="M73" s="3366" t="s">
        <v>152</v>
      </c>
      <c r="N73" s="3366" t="s">
        <v>152</v>
      </c>
      <c r="O73" s="3366" t="s">
        <v>152</v>
      </c>
      <c r="P73" s="3366" t="s">
        <v>152</v>
      </c>
      <c r="Q73" s="3366"/>
      <c r="R73" s="3366"/>
      <c r="S73" s="3201" t="s">
        <v>160</v>
      </c>
      <c r="T73" s="3201" t="s">
        <v>162</v>
      </c>
      <c r="U73" s="3202" t="s">
        <v>162</v>
      </c>
      <c r="V73" s="3201" t="s">
        <v>162</v>
      </c>
      <c r="W73" s="3201" t="s">
        <v>404</v>
      </c>
      <c r="X73" s="3519"/>
      <c r="Y73" s="3519"/>
      <c r="Z73" s="3519" t="s">
        <v>50</v>
      </c>
      <c r="AA73" s="3519" t="s">
        <v>46</v>
      </c>
      <c r="AB73" s="3519">
        <v>3</v>
      </c>
      <c r="AC73" s="3520" t="s">
        <v>46</v>
      </c>
      <c r="AD73" s="3521" t="s">
        <v>50</v>
      </c>
      <c r="AE73" s="3521"/>
      <c r="AF73" s="3521"/>
      <c r="AG73" s="3609"/>
      <c r="AH73" s="1"/>
      <c r="AJ73" s="3543">
        <f t="shared" ref="AJ73:AJ80" si="3">$AJ$12</f>
        <v>160.33000000000001</v>
      </c>
      <c r="AK73" s="3543"/>
      <c r="AL73" s="3543">
        <f t="shared" ref="AL73:AL80" si="4">IF(AJ73="","",SUM(AJ73:AK73))</f>
        <v>160.33000000000001</v>
      </c>
      <c r="AM73" s="3544">
        <f t="shared" ref="AM73:AM80" si="5">IF(AJ73="","",AL73-_xlfn.SINGLE(NormTid))</f>
        <v>0</v>
      </c>
      <c r="AN73" s="3544">
        <f>IF(AM73="","",AM73+'Januar 2025'!AN73)</f>
        <v>0</v>
      </c>
    </row>
    <row r="74" spans="1:40" ht="18" customHeight="1" x14ac:dyDescent="0.2">
      <c r="A74" s="3607"/>
      <c r="B74" s="3600" t="s">
        <v>477</v>
      </c>
      <c r="C74" s="3519"/>
      <c r="D74" s="3521"/>
      <c r="E74" s="3521" t="s">
        <v>50</v>
      </c>
      <c r="F74" s="3519">
        <v>9</v>
      </c>
      <c r="G74" s="3519" t="s">
        <v>50</v>
      </c>
      <c r="H74" s="3366" t="s">
        <v>46</v>
      </c>
      <c r="I74" s="3366">
        <v>3</v>
      </c>
      <c r="J74" s="3519"/>
      <c r="K74" s="3516"/>
      <c r="L74" s="3515">
        <v>69</v>
      </c>
      <c r="M74" s="3515">
        <v>69</v>
      </c>
      <c r="N74" s="3515">
        <v>69</v>
      </c>
      <c r="O74" s="3515">
        <v>69</v>
      </c>
      <c r="P74" s="3515">
        <v>69</v>
      </c>
      <c r="Q74" s="3366"/>
      <c r="R74" s="3366"/>
      <c r="S74" s="3366">
        <v>69</v>
      </c>
      <c r="T74" s="3613" t="s">
        <v>309</v>
      </c>
      <c r="U74" s="3613" t="s">
        <v>46</v>
      </c>
      <c r="V74" s="3613" t="s">
        <v>46</v>
      </c>
      <c r="W74" s="3613" t="s">
        <v>46</v>
      </c>
      <c r="X74" s="3519"/>
      <c r="Y74" s="3519"/>
      <c r="Z74" s="3519">
        <v>21</v>
      </c>
      <c r="AA74" s="3519">
        <v>21</v>
      </c>
      <c r="AB74" s="3519">
        <v>21</v>
      </c>
      <c r="AC74" s="3520">
        <v>21</v>
      </c>
      <c r="AD74" s="3366">
        <v>21</v>
      </c>
      <c r="AE74" s="3521"/>
      <c r="AF74" s="3521"/>
      <c r="AG74" s="3609"/>
      <c r="AH74" s="1"/>
      <c r="AJ74" s="3543">
        <f t="shared" si="3"/>
        <v>160.33000000000001</v>
      </c>
      <c r="AK74" s="3543"/>
      <c r="AL74" s="3543">
        <f t="shared" si="4"/>
        <v>160.33000000000001</v>
      </c>
      <c r="AM74" s="3544">
        <f t="shared" si="5"/>
        <v>0</v>
      </c>
      <c r="AN74" s="3544">
        <f>IF(AM74="","",AM74+'Januar 2025'!AN74)</f>
        <v>0</v>
      </c>
    </row>
    <row r="75" spans="1:40" ht="18" customHeight="1" x14ac:dyDescent="0.2">
      <c r="A75" s="3607"/>
      <c r="B75" s="3579" t="s">
        <v>479</v>
      </c>
      <c r="C75" s="3521"/>
      <c r="D75" s="3521"/>
      <c r="E75" s="3366">
        <v>21</v>
      </c>
      <c r="F75" s="3519">
        <v>21</v>
      </c>
      <c r="G75" s="3366">
        <v>21</v>
      </c>
      <c r="H75" s="3366">
        <v>21</v>
      </c>
      <c r="I75" s="3366">
        <v>21</v>
      </c>
      <c r="J75" s="3366">
        <v>21</v>
      </c>
      <c r="K75" s="3516">
        <v>21</v>
      </c>
      <c r="L75" s="3516" t="s">
        <v>50</v>
      </c>
      <c r="M75" s="3366" t="s">
        <v>50</v>
      </c>
      <c r="N75" s="3366" t="s">
        <v>50</v>
      </c>
      <c r="O75" s="3366" t="s">
        <v>50</v>
      </c>
      <c r="P75" s="3366" t="s">
        <v>50</v>
      </c>
      <c r="Q75" s="3366"/>
      <c r="R75" s="3366"/>
      <c r="S75" s="3522" t="s">
        <v>46</v>
      </c>
      <c r="T75" s="3522" t="s">
        <v>46</v>
      </c>
      <c r="U75" s="3522" t="s">
        <v>46</v>
      </c>
      <c r="V75" s="3507" t="s">
        <v>46</v>
      </c>
      <c r="W75" s="3507" t="s">
        <v>46</v>
      </c>
      <c r="X75" s="3519"/>
      <c r="Y75" s="3519"/>
      <c r="Z75" s="3519">
        <v>23</v>
      </c>
      <c r="AA75" s="3519">
        <v>23</v>
      </c>
      <c r="AB75" s="3614">
        <v>22</v>
      </c>
      <c r="AC75" s="3614">
        <v>22</v>
      </c>
      <c r="AD75" s="3614">
        <v>22</v>
      </c>
      <c r="AE75" s="3614"/>
      <c r="AF75" s="3614"/>
      <c r="AG75" s="3609"/>
      <c r="AH75" s="1"/>
      <c r="AJ75" s="3543">
        <f t="shared" si="3"/>
        <v>160.33000000000001</v>
      </c>
      <c r="AK75" s="3543"/>
      <c r="AL75" s="3543">
        <f t="shared" si="4"/>
        <v>160.33000000000001</v>
      </c>
      <c r="AM75" s="3544">
        <f t="shared" si="5"/>
        <v>0</v>
      </c>
      <c r="AN75" s="3544">
        <f>IF(AM75="","",AM75+'Januar 2025'!AN75)</f>
        <v>0</v>
      </c>
    </row>
    <row r="76" spans="1:40" ht="18" customHeight="1" thickBot="1" x14ac:dyDescent="0.25">
      <c r="A76" s="3607"/>
      <c r="B76" s="374" t="s">
        <v>514</v>
      </c>
      <c r="C76" s="3521"/>
      <c r="D76" s="3521"/>
      <c r="E76" s="3485" t="s">
        <v>46</v>
      </c>
      <c r="F76" s="3507" t="s">
        <v>154</v>
      </c>
      <c r="G76" s="3519" t="s">
        <v>50</v>
      </c>
      <c r="H76" s="3366" t="s">
        <v>50</v>
      </c>
      <c r="I76" s="3366" t="s">
        <v>50</v>
      </c>
      <c r="J76" s="3366" t="s">
        <v>475</v>
      </c>
      <c r="K76" s="3516" t="s">
        <v>475</v>
      </c>
      <c r="L76" s="3605" t="s">
        <v>162</v>
      </c>
      <c r="M76" s="3605" t="s">
        <v>72</v>
      </c>
      <c r="N76" s="3515" t="s">
        <v>50</v>
      </c>
      <c r="O76" s="3515" t="s">
        <v>50</v>
      </c>
      <c r="P76" s="3366" t="s">
        <v>50</v>
      </c>
      <c r="Q76" s="3366"/>
      <c r="R76" s="3366"/>
      <c r="S76" s="3518">
        <v>26</v>
      </c>
      <c r="T76" s="3518">
        <v>26</v>
      </c>
      <c r="U76" s="3518">
        <v>26</v>
      </c>
      <c r="V76" s="3518">
        <v>26</v>
      </c>
      <c r="W76" s="3515">
        <v>26</v>
      </c>
      <c r="X76" s="3519"/>
      <c r="Y76" s="3519">
        <v>26</v>
      </c>
      <c r="Z76" s="3519">
        <v>26</v>
      </c>
      <c r="AA76" s="3519">
        <v>26</v>
      </c>
      <c r="AB76" s="3519">
        <v>26</v>
      </c>
      <c r="AC76" s="3520">
        <v>26</v>
      </c>
      <c r="AD76" s="3366">
        <v>26</v>
      </c>
      <c r="AE76" s="3615"/>
      <c r="AF76" s="3449"/>
      <c r="AG76" s="3616"/>
      <c r="AH76" s="1"/>
      <c r="AJ76" s="3543">
        <f t="shared" si="3"/>
        <v>160.33000000000001</v>
      </c>
      <c r="AK76" s="3543"/>
      <c r="AL76" s="3543">
        <f t="shared" si="4"/>
        <v>160.33000000000001</v>
      </c>
      <c r="AM76" s="3544">
        <f t="shared" si="5"/>
        <v>0</v>
      </c>
      <c r="AN76" s="3544">
        <f>IF(AM76="","",AM76+'Januar 2025'!AN76)</f>
        <v>0</v>
      </c>
    </row>
    <row r="77" spans="1:40" ht="18" customHeight="1" x14ac:dyDescent="0.2">
      <c r="A77" s="3607"/>
      <c r="B77" s="3617" t="s">
        <v>549</v>
      </c>
      <c r="C77" s="3521"/>
      <c r="D77" s="3521"/>
      <c r="E77" s="3521" t="s">
        <v>174</v>
      </c>
      <c r="F77" s="3519" t="s">
        <v>174</v>
      </c>
      <c r="G77" s="3519" t="s">
        <v>174</v>
      </c>
      <c r="H77" s="3366" t="s">
        <v>174</v>
      </c>
      <c r="I77" s="3366" t="s">
        <v>174</v>
      </c>
      <c r="J77" s="3366"/>
      <c r="K77" s="3516"/>
      <c r="L77" s="3516" t="s">
        <v>174</v>
      </c>
      <c r="M77" s="3366" t="s">
        <v>174</v>
      </c>
      <c r="N77" s="3366" t="s">
        <v>174</v>
      </c>
      <c r="O77" s="3366" t="s">
        <v>174</v>
      </c>
      <c r="P77" s="3366" t="s">
        <v>174</v>
      </c>
      <c r="Q77" s="3366"/>
      <c r="R77" s="3366"/>
      <c r="S77" s="3618" t="s">
        <v>174</v>
      </c>
      <c r="T77" s="3619" t="s">
        <v>174</v>
      </c>
      <c r="U77" s="3618" t="s">
        <v>174</v>
      </c>
      <c r="V77" s="3618" t="s">
        <v>174</v>
      </c>
      <c r="W77" s="3618" t="s">
        <v>174</v>
      </c>
      <c r="Z77" s="3618" t="s">
        <v>174</v>
      </c>
      <c r="AA77" s="3619" t="s">
        <v>174</v>
      </c>
      <c r="AB77" s="3618" t="s">
        <v>174</v>
      </c>
      <c r="AC77" s="3618" t="s">
        <v>174</v>
      </c>
      <c r="AD77" s="3618" t="s">
        <v>174</v>
      </c>
      <c r="AE77" s="780"/>
      <c r="AF77" s="780"/>
      <c r="AG77" s="781"/>
      <c r="AH77" s="1"/>
      <c r="AJ77" s="3543">
        <f t="shared" si="3"/>
        <v>160.33000000000001</v>
      </c>
      <c r="AK77" s="3543"/>
      <c r="AL77" s="3543">
        <f t="shared" si="4"/>
        <v>160.33000000000001</v>
      </c>
      <c r="AM77" s="3544">
        <f>IF(AJ77="","",AL77-_xlfn.SINGLE(NormTid))</f>
        <v>0</v>
      </c>
      <c r="AN77" s="3544">
        <f>IF(AM77="","",AM77+'Januar 2025'!AN77)</f>
        <v>0</v>
      </c>
    </row>
    <row r="78" spans="1:40" ht="18" customHeight="1" thickBot="1" x14ac:dyDescent="0.25">
      <c r="A78" s="3620"/>
      <c r="B78" s="374" t="s">
        <v>522</v>
      </c>
      <c r="C78" s="3366">
        <v>23</v>
      </c>
      <c r="D78" s="3521"/>
      <c r="E78" s="3521" t="s">
        <v>50</v>
      </c>
      <c r="F78" s="3519" t="s">
        <v>50</v>
      </c>
      <c r="G78" s="3519" t="s">
        <v>50</v>
      </c>
      <c r="H78" s="3366" t="s">
        <v>50</v>
      </c>
      <c r="I78" s="3366" t="s">
        <v>50</v>
      </c>
      <c r="J78" s="3366"/>
      <c r="K78" s="3523"/>
      <c r="L78" s="3516">
        <v>22</v>
      </c>
      <c r="M78" s="3366">
        <v>22</v>
      </c>
      <c r="N78" s="3366">
        <v>22</v>
      </c>
      <c r="O78" s="3366">
        <v>22</v>
      </c>
      <c r="P78" s="3366">
        <v>22</v>
      </c>
      <c r="Q78" s="3366">
        <v>22</v>
      </c>
      <c r="R78" s="3366">
        <v>22</v>
      </c>
      <c r="S78" s="3366" t="s">
        <v>50</v>
      </c>
      <c r="T78" s="3516" t="s">
        <v>50</v>
      </c>
      <c r="U78" s="3366" t="s">
        <v>50</v>
      </c>
      <c r="V78" s="3519" t="s">
        <v>50</v>
      </c>
      <c r="W78" s="3519" t="s">
        <v>50</v>
      </c>
      <c r="X78" s="3519"/>
      <c r="Y78" s="3519"/>
      <c r="Z78" s="3518" t="s">
        <v>209</v>
      </c>
      <c r="AA78" s="3518" t="s">
        <v>209</v>
      </c>
      <c r="AB78" s="3518" t="s">
        <v>72</v>
      </c>
      <c r="AC78" s="3518" t="s">
        <v>162</v>
      </c>
      <c r="AD78" s="3518" t="s">
        <v>475</v>
      </c>
      <c r="AE78" s="415"/>
      <c r="AF78" s="415"/>
      <c r="AG78" s="416"/>
      <c r="AH78" s="1"/>
      <c r="AJ78" s="3543">
        <f>$AJ$12</f>
        <v>160.33000000000001</v>
      </c>
      <c r="AK78" s="3543"/>
      <c r="AL78" s="3543">
        <f>IF(AJ78="","",SUM(AJ78:AK78))</f>
        <v>160.33000000000001</v>
      </c>
      <c r="AM78" s="3544">
        <f>IF(AJ78="","",AL78-_xlfn.SINGLE(NormTid))</f>
        <v>0</v>
      </c>
      <c r="AN78" s="3544">
        <f>IF(AM78="","",AM78+'Januar 2025'!AN78)</f>
        <v>0</v>
      </c>
    </row>
    <row r="79" spans="1:40" ht="18" customHeight="1" thickBot="1" x14ac:dyDescent="0.25">
      <c r="A79" s="3620"/>
      <c r="B79" s="3227" t="s">
        <v>194</v>
      </c>
      <c r="C79" s="3527"/>
      <c r="D79" s="3527"/>
      <c r="E79" s="3366">
        <v>22</v>
      </c>
      <c r="F79" s="3366">
        <v>22</v>
      </c>
      <c r="G79" s="3366">
        <v>22</v>
      </c>
      <c r="H79" s="3366">
        <v>22</v>
      </c>
      <c r="I79" s="3366">
        <v>22</v>
      </c>
      <c r="J79" s="3157">
        <v>22</v>
      </c>
      <c r="K79" s="3152">
        <v>22</v>
      </c>
      <c r="L79" s="3152" t="s">
        <v>50</v>
      </c>
      <c r="M79" s="3157" t="s">
        <v>50</v>
      </c>
      <c r="N79" s="3157" t="s">
        <v>50</v>
      </c>
      <c r="O79" s="3157" t="s">
        <v>50</v>
      </c>
      <c r="P79" s="3157" t="s">
        <v>50</v>
      </c>
      <c r="Q79" s="3157"/>
      <c r="R79" s="3157"/>
      <c r="S79" s="3366">
        <v>22</v>
      </c>
      <c r="T79" s="3366">
        <v>22</v>
      </c>
      <c r="U79" s="3366">
        <v>22</v>
      </c>
      <c r="V79" s="3366">
        <v>22</v>
      </c>
      <c r="W79" s="3366">
        <v>22</v>
      </c>
      <c r="X79" s="2480">
        <v>22</v>
      </c>
      <c r="Y79" s="2480">
        <v>22</v>
      </c>
      <c r="Z79" s="3366" t="s">
        <v>50</v>
      </c>
      <c r="AA79" s="3366" t="s">
        <v>50</v>
      </c>
      <c r="AB79" s="3366" t="s">
        <v>50</v>
      </c>
      <c r="AC79" s="3366" t="s">
        <v>50</v>
      </c>
      <c r="AD79" s="3366" t="s">
        <v>50</v>
      </c>
      <c r="AE79" s="415"/>
      <c r="AF79" s="415"/>
      <c r="AG79" s="416"/>
      <c r="AH79" s="1"/>
      <c r="AJ79" s="3543">
        <f>$AJ$12</f>
        <v>160.33000000000001</v>
      </c>
      <c r="AK79" s="3543"/>
      <c r="AL79" s="3543">
        <f>IF(AJ79="","",SUM(AJ79:AK79))</f>
        <v>160.33000000000001</v>
      </c>
      <c r="AM79" s="3544">
        <f>IF(AJ79="","",AL79-_xlfn.SINGLE(NormTid))</f>
        <v>0</v>
      </c>
      <c r="AN79" s="3544">
        <f>IF(AM79="","",AM79+'Januar 2025'!AN79)</f>
        <v>0</v>
      </c>
    </row>
    <row r="80" spans="1:40" ht="18" customHeight="1" thickBot="1" x14ac:dyDescent="0.25">
      <c r="A80" s="1346"/>
      <c r="B80" s="3227"/>
      <c r="C80" s="3449"/>
      <c r="D80" s="3615"/>
      <c r="E80" s="3449"/>
      <c r="F80" s="3450"/>
      <c r="G80" s="3450"/>
      <c r="H80" s="3450"/>
      <c r="I80" s="3450"/>
      <c r="J80" s="3450"/>
      <c r="K80" s="3450"/>
      <c r="L80" s="3450"/>
      <c r="M80" s="3450"/>
      <c r="N80" s="3450"/>
      <c r="O80" s="3450"/>
      <c r="P80" s="3450"/>
      <c r="Q80" s="3450"/>
      <c r="R80" s="3450"/>
      <c r="S80" s="3450"/>
      <c r="T80" s="3449"/>
      <c r="U80" s="3449"/>
      <c r="V80" s="3621"/>
      <c r="W80" s="3449"/>
      <c r="X80" s="3449"/>
      <c r="Y80" s="3450"/>
      <c r="Z80" s="3449"/>
      <c r="AA80" s="3449"/>
      <c r="AB80" s="3449"/>
      <c r="AC80" s="3449"/>
      <c r="AD80" s="3449"/>
      <c r="AE80" s="3615"/>
      <c r="AF80" s="3449"/>
      <c r="AG80" s="3616"/>
      <c r="AH80" s="1"/>
      <c r="AJ80" s="3543">
        <f t="shared" si="3"/>
        <v>160.33000000000001</v>
      </c>
      <c r="AK80" s="3543"/>
      <c r="AL80" s="3543">
        <f t="shared" si="4"/>
        <v>160.33000000000001</v>
      </c>
      <c r="AM80" s="3544">
        <f t="shared" si="5"/>
        <v>0</v>
      </c>
      <c r="AN80" s="3544">
        <f>IF(AM80="","",AM80+'Januar 2025'!AN80)</f>
        <v>0</v>
      </c>
    </row>
    <row r="81" spans="1:40" ht="18" customHeight="1" thickBot="1" x14ac:dyDescent="0.25">
      <c r="A81" s="242"/>
      <c r="B81" s="243" t="s">
        <v>182</v>
      </c>
      <c r="C81" s="3220">
        <v>1</v>
      </c>
      <c r="D81" s="3220">
        <v>2</v>
      </c>
      <c r="E81" s="3146">
        <v>3</v>
      </c>
      <c r="F81" s="3146">
        <v>4</v>
      </c>
      <c r="G81" s="3146">
        <v>5</v>
      </c>
      <c r="H81" s="3146">
        <v>6</v>
      </c>
      <c r="I81" s="3146">
        <v>7</v>
      </c>
      <c r="J81" s="3220">
        <v>8</v>
      </c>
      <c r="K81" s="3220">
        <v>9</v>
      </c>
      <c r="L81" s="3146">
        <v>10</v>
      </c>
      <c r="M81" s="3146">
        <v>11</v>
      </c>
      <c r="N81" s="3146">
        <v>12</v>
      </c>
      <c r="O81" s="3146">
        <v>13</v>
      </c>
      <c r="P81" s="3146">
        <v>14</v>
      </c>
      <c r="Q81" s="3220">
        <v>15</v>
      </c>
      <c r="R81" s="3220">
        <v>16</v>
      </c>
      <c r="S81" s="3146">
        <v>17</v>
      </c>
      <c r="T81" s="3146">
        <v>18</v>
      </c>
      <c r="U81" s="3146">
        <v>19</v>
      </c>
      <c r="V81" s="3146">
        <v>20</v>
      </c>
      <c r="W81" s="3146">
        <v>21</v>
      </c>
      <c r="X81" s="3220">
        <v>22</v>
      </c>
      <c r="Y81" s="3220">
        <v>23</v>
      </c>
      <c r="Z81" s="3146">
        <v>24</v>
      </c>
      <c r="AA81" s="3146">
        <v>25</v>
      </c>
      <c r="AB81" s="3146">
        <v>26</v>
      </c>
      <c r="AC81" s="3146">
        <v>27</v>
      </c>
      <c r="AD81" s="3146">
        <v>28</v>
      </c>
      <c r="AE81" s="3146"/>
      <c r="AF81" s="3146"/>
      <c r="AG81" s="3503"/>
      <c r="AH81" s="1"/>
      <c r="AJ81" s="3543"/>
      <c r="AK81" s="3543"/>
      <c r="AL81" s="3543"/>
      <c r="AM81" s="3544"/>
      <c r="AN81" s="3544"/>
    </row>
    <row r="82" spans="1:40" ht="18" customHeight="1" x14ac:dyDescent="0.2">
      <c r="A82" s="369"/>
      <c r="B82" s="3496" t="s">
        <v>409</v>
      </c>
      <c r="C82" s="3221" t="s">
        <v>72</v>
      </c>
      <c r="D82" s="3221" t="s">
        <v>72</v>
      </c>
      <c r="E82" s="3221" t="s">
        <v>50</v>
      </c>
      <c r="F82" s="3221" t="s">
        <v>50</v>
      </c>
      <c r="G82" s="3221" t="s">
        <v>50</v>
      </c>
      <c r="H82" s="3622" t="s">
        <v>475</v>
      </c>
      <c r="I82" s="3622" t="s">
        <v>475</v>
      </c>
      <c r="J82" s="3622" t="s">
        <v>72</v>
      </c>
      <c r="K82" s="3622" t="s">
        <v>72</v>
      </c>
      <c r="L82" s="3623" t="s">
        <v>50</v>
      </c>
      <c r="M82" s="3624" t="s">
        <v>50</v>
      </c>
      <c r="N82" s="3622" t="s">
        <v>50</v>
      </c>
      <c r="O82" s="3622" t="s">
        <v>50</v>
      </c>
      <c r="P82" s="3622" t="s">
        <v>50</v>
      </c>
      <c r="Q82" s="3622"/>
      <c r="R82" s="3622"/>
      <c r="S82" s="3622" t="s">
        <v>102</v>
      </c>
      <c r="T82" s="3340" t="s">
        <v>50</v>
      </c>
      <c r="U82" s="3340" t="s">
        <v>50</v>
      </c>
      <c r="V82" s="3202" t="s">
        <v>475</v>
      </c>
      <c r="W82" s="3202" t="s">
        <v>475</v>
      </c>
      <c r="X82" s="3202" t="s">
        <v>475</v>
      </c>
      <c r="Y82" s="3202" t="s">
        <v>475</v>
      </c>
      <c r="Z82" s="3202" t="s">
        <v>50</v>
      </c>
      <c r="AA82" s="3221" t="s">
        <v>50</v>
      </c>
      <c r="AB82" s="3221" t="s">
        <v>50</v>
      </c>
      <c r="AC82" s="3202" t="s">
        <v>50</v>
      </c>
      <c r="AD82" s="3202" t="s">
        <v>46</v>
      </c>
      <c r="AE82" s="3202"/>
      <c r="AF82" s="3202"/>
      <c r="AG82" s="3223"/>
      <c r="AH82" s="1"/>
      <c r="AJ82" s="3543">
        <f t="shared" si="0"/>
        <v>160.33000000000001</v>
      </c>
      <c r="AK82" s="3543"/>
      <c r="AL82" s="3543">
        <f t="shared" si="1"/>
        <v>160.33000000000001</v>
      </c>
      <c r="AM82" s="3544">
        <f t="shared" si="2"/>
        <v>0</v>
      </c>
      <c r="AN82" s="3544">
        <f>IF(AM82="","",AM82+'Januar 2025'!AN82)</f>
        <v>0</v>
      </c>
    </row>
    <row r="83" spans="1:40" ht="18" customHeight="1" thickBot="1" x14ac:dyDescent="0.25">
      <c r="A83" s="3607"/>
      <c r="B83" s="3579"/>
      <c r="C83" s="3625"/>
      <c r="D83" s="3625"/>
      <c r="E83" s="3625" t="s">
        <v>46</v>
      </c>
      <c r="F83" s="3625" t="s">
        <v>46</v>
      </c>
      <c r="G83" s="3625" t="s">
        <v>46</v>
      </c>
      <c r="H83" s="3614" t="s">
        <v>46</v>
      </c>
      <c r="I83" s="3614" t="s">
        <v>46</v>
      </c>
      <c r="J83" s="3625"/>
      <c r="K83" s="3625"/>
      <c r="L83" s="3625" t="s">
        <v>46</v>
      </c>
      <c r="M83" s="3625" t="s">
        <v>46</v>
      </c>
      <c r="N83" s="3625" t="s">
        <v>46</v>
      </c>
      <c r="O83" s="3614" t="s">
        <v>46</v>
      </c>
      <c r="P83" s="3614" t="s">
        <v>46</v>
      </c>
      <c r="Q83" s="3625"/>
      <c r="R83" s="3625"/>
      <c r="S83" s="3625" t="s">
        <v>46</v>
      </c>
      <c r="T83" s="3625" t="s">
        <v>46</v>
      </c>
      <c r="U83" s="3625" t="s">
        <v>46</v>
      </c>
      <c r="V83" s="3614" t="s">
        <v>46</v>
      </c>
      <c r="W83" s="3614" t="s">
        <v>46</v>
      </c>
      <c r="X83" s="3625"/>
      <c r="Y83" s="3625"/>
      <c r="Z83" s="3625" t="s">
        <v>46</v>
      </c>
      <c r="AA83" s="3625" t="s">
        <v>46</v>
      </c>
      <c r="AB83" s="3625" t="s">
        <v>46</v>
      </c>
      <c r="AC83" s="3614" t="s">
        <v>46</v>
      </c>
      <c r="AD83" s="3614" t="s">
        <v>46</v>
      </c>
      <c r="AE83" s="3625"/>
      <c r="AF83" s="3625"/>
      <c r="AG83" s="3626"/>
      <c r="AH83" s="1"/>
      <c r="AJ83" s="3543">
        <f t="shared" si="0"/>
        <v>160.33000000000001</v>
      </c>
      <c r="AK83" s="3543"/>
      <c r="AL83" s="3543">
        <f t="shared" si="1"/>
        <v>160.33000000000001</v>
      </c>
      <c r="AM83" s="3544">
        <f t="shared" si="2"/>
        <v>0</v>
      </c>
      <c r="AN83" s="3544">
        <f>IF(AM83="","",AM83+'Januar 2025'!AN83)</f>
        <v>0</v>
      </c>
    </row>
    <row r="84" spans="1:40" ht="18" customHeight="1" x14ac:dyDescent="0.2">
      <c r="A84" s="3607"/>
      <c r="B84" s="3227"/>
      <c r="C84" s="3625"/>
      <c r="D84" s="3625"/>
      <c r="E84" s="3625" t="s">
        <v>46</v>
      </c>
      <c r="F84" s="3625" t="s">
        <v>46</v>
      </c>
      <c r="G84" s="3625" t="s">
        <v>46</v>
      </c>
      <c r="H84" s="3614" t="s">
        <v>46</v>
      </c>
      <c r="I84" s="3614" t="s">
        <v>46</v>
      </c>
      <c r="J84" s="3625"/>
      <c r="K84" s="3625"/>
      <c r="L84" s="3625" t="s">
        <v>46</v>
      </c>
      <c r="M84" s="3625" t="s">
        <v>46</v>
      </c>
      <c r="N84" s="3625" t="s">
        <v>46</v>
      </c>
      <c r="O84" s="3614" t="s">
        <v>46</v>
      </c>
      <c r="P84" s="3614" t="s">
        <v>46</v>
      </c>
      <c r="Q84" s="3625"/>
      <c r="R84" s="3625"/>
      <c r="S84" s="3625" t="s">
        <v>46</v>
      </c>
      <c r="T84" s="3625" t="s">
        <v>46</v>
      </c>
      <c r="U84" s="3625" t="s">
        <v>46</v>
      </c>
      <c r="V84" s="3614" t="s">
        <v>46</v>
      </c>
      <c r="W84" s="3614" t="s">
        <v>46</v>
      </c>
      <c r="X84" s="3625"/>
      <c r="Y84" s="3625"/>
      <c r="Z84" s="3625" t="s">
        <v>46</v>
      </c>
      <c r="AA84" s="3625" t="s">
        <v>46</v>
      </c>
      <c r="AB84" s="3625" t="s">
        <v>46</v>
      </c>
      <c r="AC84" s="3614" t="s">
        <v>46</v>
      </c>
      <c r="AD84" s="3614" t="s">
        <v>46</v>
      </c>
      <c r="AE84" s="3625"/>
      <c r="AF84" s="3625"/>
      <c r="AG84" s="3626"/>
      <c r="AH84" s="1"/>
      <c r="AJ84" s="3543">
        <f t="shared" si="0"/>
        <v>160.33000000000001</v>
      </c>
      <c r="AK84" s="3543"/>
      <c r="AL84" s="3543">
        <f t="shared" si="1"/>
        <v>160.33000000000001</v>
      </c>
      <c r="AM84" s="3544">
        <f t="shared" si="2"/>
        <v>0</v>
      </c>
      <c r="AN84" s="3544">
        <f>IF(AM84="","",AM84+'Januar 2025'!AN84)</f>
        <v>0</v>
      </c>
    </row>
    <row r="85" spans="1:40" ht="18" customHeight="1" x14ac:dyDescent="0.2">
      <c r="A85" s="3607"/>
      <c r="B85" s="3488"/>
      <c r="C85" s="3614"/>
      <c r="D85" s="3614"/>
      <c r="E85" s="3618"/>
      <c r="F85" s="3614"/>
      <c r="G85" s="3614"/>
      <c r="H85" s="3614"/>
      <c r="I85" s="3614"/>
      <c r="J85" s="3614"/>
      <c r="K85" s="3614"/>
      <c r="L85" s="3614"/>
      <c r="M85" s="3614"/>
      <c r="N85" s="3614"/>
      <c r="O85" s="3625"/>
      <c r="P85" s="3625"/>
      <c r="Q85" s="3625"/>
      <c r="R85" s="3625"/>
      <c r="S85" s="3625"/>
      <c r="T85" s="3625"/>
      <c r="U85" s="3625"/>
      <c r="V85" s="3625"/>
      <c r="W85" s="3614"/>
      <c r="X85" s="3614"/>
      <c r="Y85" s="3614"/>
      <c r="Z85" s="3614"/>
      <c r="AA85" s="3614"/>
      <c r="AB85" s="3614"/>
      <c r="AC85" s="3614"/>
      <c r="AD85" s="3618"/>
      <c r="AE85" s="3614"/>
      <c r="AF85" s="3614"/>
      <c r="AG85" s="3626"/>
      <c r="AH85" s="1"/>
      <c r="AJ85" s="3543">
        <f>$AJ$12</f>
        <v>160.33000000000001</v>
      </c>
      <c r="AK85" s="3543"/>
      <c r="AL85" s="3543">
        <f>IF(AJ85="","",SUM(AJ85:AK85))</f>
        <v>160.33000000000001</v>
      </c>
      <c r="AM85" s="3544">
        <f>IF(AJ85="","",AL85-_xlfn.SINGLE(NormTid))</f>
        <v>0</v>
      </c>
      <c r="AN85" s="3544">
        <f>IF(AM85="","",AM85+'Januar 2025'!AN85)</f>
        <v>0</v>
      </c>
    </row>
    <row r="86" spans="1:40" ht="18" customHeight="1" thickBot="1" x14ac:dyDescent="0.25">
      <c r="A86" s="3627"/>
      <c r="B86" s="3628" t="s">
        <v>0</v>
      </c>
      <c r="C86" s="3629"/>
      <c r="D86" s="1363"/>
      <c r="E86" s="1363"/>
      <c r="F86" s="820"/>
      <c r="G86" s="820"/>
      <c r="H86" s="655"/>
      <c r="I86" s="655"/>
      <c r="J86" s="655"/>
      <c r="K86" s="655"/>
      <c r="L86" s="655"/>
      <c r="M86" s="655"/>
      <c r="N86" s="655"/>
      <c r="O86" s="655"/>
      <c r="P86" s="655"/>
      <c r="Q86" s="655"/>
      <c r="R86" s="655"/>
      <c r="S86" s="655"/>
      <c r="T86" s="655"/>
      <c r="U86" s="655"/>
      <c r="V86" s="655"/>
      <c r="W86" s="655"/>
      <c r="X86" s="655"/>
      <c r="Y86" s="655"/>
      <c r="Z86" s="655"/>
      <c r="AA86" s="655"/>
      <c r="AB86" s="655"/>
      <c r="AC86" s="655"/>
      <c r="AD86" s="655"/>
      <c r="AE86" s="655"/>
      <c r="AF86" s="655"/>
      <c r="AG86" s="821"/>
      <c r="AH86" s="1"/>
      <c r="AJ86" s="3543">
        <f>$AJ$12</f>
        <v>160.33000000000001</v>
      </c>
      <c r="AK86" s="3543"/>
      <c r="AL86" s="3543">
        <f>IF(AJ86="","",SUM(AJ86:AK86))</f>
        <v>160.33000000000001</v>
      </c>
      <c r="AM86" s="3544">
        <f>IF(AJ86="","",AL86-_xlfn.SINGLE(NormTid))</f>
        <v>0</v>
      </c>
      <c r="AN86" s="3544">
        <f>IF(AM86="","",AM86+'Januar 2025'!AN86)</f>
        <v>0</v>
      </c>
    </row>
    <row r="87" spans="1:40" ht="18" customHeight="1" thickBot="1" x14ac:dyDescent="0.25">
      <c r="A87" s="339"/>
      <c r="B87" s="3226" t="s">
        <v>191</v>
      </c>
      <c r="C87" s="334">
        <v>1</v>
      </c>
      <c r="D87" s="390">
        <v>2</v>
      </c>
      <c r="E87" s="389">
        <v>3</v>
      </c>
      <c r="F87" s="389">
        <v>4</v>
      </c>
      <c r="G87" s="389">
        <v>5</v>
      </c>
      <c r="H87" s="389">
        <v>6</v>
      </c>
      <c r="I87" s="389">
        <v>7</v>
      </c>
      <c r="J87" s="390">
        <v>8</v>
      </c>
      <c r="K87" s="390">
        <v>9</v>
      </c>
      <c r="L87" s="389">
        <v>10</v>
      </c>
      <c r="M87" s="389">
        <v>11</v>
      </c>
      <c r="N87" s="389">
        <v>12</v>
      </c>
      <c r="O87" s="389">
        <v>13</v>
      </c>
      <c r="P87" s="389">
        <v>14</v>
      </c>
      <c r="Q87" s="390">
        <v>15</v>
      </c>
      <c r="R87" s="390">
        <v>16</v>
      </c>
      <c r="S87" s="389">
        <v>17</v>
      </c>
      <c r="T87" s="389">
        <v>18</v>
      </c>
      <c r="U87" s="389">
        <v>19</v>
      </c>
      <c r="V87" s="389">
        <v>20</v>
      </c>
      <c r="W87" s="389">
        <v>21</v>
      </c>
      <c r="X87" s="390">
        <v>22</v>
      </c>
      <c r="Y87" s="390">
        <v>23</v>
      </c>
      <c r="Z87" s="389">
        <v>24</v>
      </c>
      <c r="AA87" s="389">
        <v>25</v>
      </c>
      <c r="AB87" s="389">
        <v>26</v>
      </c>
      <c r="AC87" s="389">
        <v>27</v>
      </c>
      <c r="AD87" s="389">
        <v>28</v>
      </c>
      <c r="AE87" s="389"/>
      <c r="AF87" s="389"/>
      <c r="AG87" s="401"/>
      <c r="AH87" s="1"/>
      <c r="AJ87" s="1638"/>
      <c r="AK87" s="1638"/>
      <c r="AL87" s="1638"/>
      <c r="AM87" s="1639"/>
      <c r="AN87" s="1639"/>
    </row>
    <row r="88" spans="1:40" ht="18" customHeight="1" x14ac:dyDescent="0.2">
      <c r="A88" s="3066"/>
      <c r="B88" s="3227"/>
      <c r="C88" s="3630"/>
      <c r="D88" s="3229"/>
      <c r="E88" s="3229" t="s">
        <v>46</v>
      </c>
      <c r="F88" s="3229" t="s">
        <v>46</v>
      </c>
      <c r="G88" s="3631" t="s">
        <v>46</v>
      </c>
      <c r="H88" s="3631" t="s">
        <v>46</v>
      </c>
      <c r="I88" s="3631" t="s">
        <v>46</v>
      </c>
      <c r="J88" s="3631"/>
      <c r="K88" s="3631"/>
      <c r="L88" s="3631" t="s">
        <v>46</v>
      </c>
      <c r="M88" s="3631" t="s">
        <v>46</v>
      </c>
      <c r="N88" s="3631" t="s">
        <v>46</v>
      </c>
      <c r="O88" s="3229" t="s">
        <v>46</v>
      </c>
      <c r="P88" s="3229" t="s">
        <v>46</v>
      </c>
      <c r="Q88" s="3229"/>
      <c r="R88" s="3229"/>
      <c r="S88" s="3229" t="s">
        <v>46</v>
      </c>
      <c r="T88" s="3631" t="s">
        <v>46</v>
      </c>
      <c r="U88" s="3631" t="s">
        <v>46</v>
      </c>
      <c r="V88" s="3221" t="s">
        <v>46</v>
      </c>
      <c r="W88" s="3221" t="s">
        <v>46</v>
      </c>
      <c r="X88" s="3221"/>
      <c r="Y88" s="3221"/>
      <c r="Z88" s="3221" t="s">
        <v>46</v>
      </c>
      <c r="AA88" s="3221" t="s">
        <v>46</v>
      </c>
      <c r="AB88" s="3221" t="s">
        <v>46</v>
      </c>
      <c r="AC88" s="3201" t="s">
        <v>46</v>
      </c>
      <c r="AD88" s="3201" t="s">
        <v>46</v>
      </c>
      <c r="AE88" s="3201"/>
      <c r="AF88" s="3201"/>
      <c r="AG88" s="3223"/>
      <c r="AH88" s="1"/>
      <c r="AJ88" s="123"/>
      <c r="AK88" s="123"/>
      <c r="AL88" s="123"/>
      <c r="AM88" s="215"/>
      <c r="AN88" s="215"/>
    </row>
    <row r="89" spans="1:40" ht="18" customHeight="1" thickBot="1" x14ac:dyDescent="0.25">
      <c r="A89" s="3632"/>
      <c r="B89" s="3498"/>
      <c r="C89" s="3633"/>
      <c r="D89" s="3625"/>
      <c r="E89" s="3625" t="s">
        <v>46</v>
      </c>
      <c r="F89" s="3625" t="s">
        <v>46</v>
      </c>
      <c r="G89" s="3625" t="s">
        <v>46</v>
      </c>
      <c r="H89" s="3614" t="s">
        <v>46</v>
      </c>
      <c r="I89" s="3614" t="s">
        <v>46</v>
      </c>
      <c r="J89" s="3625"/>
      <c r="K89" s="3625"/>
      <c r="L89" s="3625" t="s">
        <v>46</v>
      </c>
      <c r="M89" s="3625" t="s">
        <v>46</v>
      </c>
      <c r="N89" s="3625" t="s">
        <v>46</v>
      </c>
      <c r="O89" s="3614" t="s">
        <v>46</v>
      </c>
      <c r="P89" s="3614" t="s">
        <v>46</v>
      </c>
      <c r="Q89" s="3625"/>
      <c r="R89" s="3625"/>
      <c r="S89" s="3625" t="s">
        <v>46</v>
      </c>
      <c r="T89" s="3625" t="s">
        <v>46</v>
      </c>
      <c r="U89" s="3625" t="s">
        <v>46</v>
      </c>
      <c r="V89" s="3614" t="s">
        <v>46</v>
      </c>
      <c r="W89" s="3614" t="s">
        <v>46</v>
      </c>
      <c r="X89" s="3625"/>
      <c r="Y89" s="3625"/>
      <c r="Z89" s="3625" t="s">
        <v>46</v>
      </c>
      <c r="AA89" s="3625" t="s">
        <v>46</v>
      </c>
      <c r="AB89" s="3625" t="s">
        <v>46</v>
      </c>
      <c r="AC89" s="3614" t="s">
        <v>46</v>
      </c>
      <c r="AD89" s="3614" t="s">
        <v>46</v>
      </c>
      <c r="AE89" s="3625"/>
      <c r="AF89" s="3625"/>
      <c r="AG89" s="3626"/>
      <c r="AH89" s="1"/>
      <c r="AJ89" s="123"/>
      <c r="AK89" s="123"/>
      <c r="AL89" s="123"/>
      <c r="AM89" s="123"/>
      <c r="AN89" s="123"/>
    </row>
    <row r="90" spans="1:40" ht="18" customHeight="1" x14ac:dyDescent="0.2">
      <c r="A90" s="3632"/>
      <c r="B90" s="3498" t="s">
        <v>431</v>
      </c>
      <c r="C90" s="3634" t="s">
        <v>106</v>
      </c>
      <c r="D90" s="3635" t="s">
        <v>106</v>
      </c>
      <c r="E90" s="3625" t="s">
        <v>50</v>
      </c>
      <c r="F90" s="3625" t="s">
        <v>50</v>
      </c>
      <c r="G90" s="3625" t="s">
        <v>50</v>
      </c>
      <c r="H90" s="3614" t="s">
        <v>50</v>
      </c>
      <c r="I90" s="3614" t="s">
        <v>50</v>
      </c>
      <c r="J90" s="3625"/>
      <c r="K90" s="3625"/>
      <c r="L90" s="3625">
        <v>4</v>
      </c>
      <c r="M90" s="3625">
        <v>4</v>
      </c>
      <c r="N90" s="3625">
        <v>4</v>
      </c>
      <c r="O90" s="3614">
        <v>4</v>
      </c>
      <c r="P90" s="3636">
        <v>4</v>
      </c>
      <c r="Q90" s="3625"/>
      <c r="R90" s="3625"/>
      <c r="S90" s="3625" t="s">
        <v>46</v>
      </c>
      <c r="T90" s="3625">
        <v>10</v>
      </c>
      <c r="U90" s="3625">
        <v>10</v>
      </c>
      <c r="V90" s="3614">
        <v>10</v>
      </c>
      <c r="W90" s="3614">
        <v>9</v>
      </c>
      <c r="X90" s="3625"/>
      <c r="Y90" s="3625"/>
      <c r="Z90" s="3625">
        <v>5</v>
      </c>
      <c r="AA90" s="3625">
        <v>5</v>
      </c>
      <c r="AB90" s="3201" t="s">
        <v>46</v>
      </c>
      <c r="AC90" s="3201" t="s">
        <v>46</v>
      </c>
      <c r="AD90" s="3201" t="s">
        <v>50</v>
      </c>
      <c r="AE90" s="3625"/>
      <c r="AF90" s="3625"/>
      <c r="AG90" s="3626"/>
      <c r="AH90" s="1"/>
      <c r="AJ90" s="123"/>
      <c r="AK90" s="123"/>
      <c r="AL90" s="123"/>
      <c r="AM90" s="123"/>
      <c r="AN90" s="123"/>
    </row>
    <row r="91" spans="1:40" ht="18" customHeight="1" thickBot="1" x14ac:dyDescent="0.25">
      <c r="A91" s="3598"/>
      <c r="B91" s="3070" t="s">
        <v>482</v>
      </c>
      <c r="C91" s="3637"/>
      <c r="D91" s="3638"/>
      <c r="E91" s="3638" t="s">
        <v>50</v>
      </c>
      <c r="F91" s="3638" t="s">
        <v>50</v>
      </c>
      <c r="G91" s="3638" t="s">
        <v>50</v>
      </c>
      <c r="H91" s="1363" t="s">
        <v>50</v>
      </c>
      <c r="I91" s="1363" t="s">
        <v>50</v>
      </c>
      <c r="J91" s="597"/>
      <c r="K91" s="597"/>
      <c r="L91" s="3639">
        <v>8</v>
      </c>
      <c r="M91" s="597">
        <v>8</v>
      </c>
      <c r="N91" s="597">
        <v>8</v>
      </c>
      <c r="O91" s="597">
        <v>8</v>
      </c>
      <c r="P91" s="597">
        <v>8</v>
      </c>
      <c r="Q91" s="597"/>
      <c r="R91" s="712"/>
      <c r="S91" s="712" t="s">
        <v>50</v>
      </c>
      <c r="T91" s="712" t="s">
        <v>50</v>
      </c>
      <c r="U91" s="712" t="s">
        <v>50</v>
      </c>
      <c r="V91" s="597" t="s">
        <v>50</v>
      </c>
      <c r="W91" s="597" t="s">
        <v>50</v>
      </c>
      <c r="X91" s="711"/>
      <c r="Y91" s="712"/>
      <c r="Z91" s="3639">
        <v>1</v>
      </c>
      <c r="AA91" s="712">
        <v>1</v>
      </c>
      <c r="AB91" s="712">
        <v>1</v>
      </c>
      <c r="AC91" s="1285">
        <v>1</v>
      </c>
      <c r="AD91" s="1285" t="s">
        <v>157</v>
      </c>
      <c r="AE91" s="3638"/>
      <c r="AF91" s="3638"/>
      <c r="AG91" s="3640"/>
      <c r="AH91" s="1"/>
      <c r="AJ91" s="123"/>
      <c r="AK91" s="123"/>
      <c r="AL91" s="123"/>
      <c r="AM91" s="123"/>
      <c r="AN91" s="123"/>
    </row>
    <row r="92" spans="1:40" ht="18" customHeight="1" thickBot="1" x14ac:dyDescent="0.25">
      <c r="A92" s="841"/>
      <c r="B92" s="392" t="s">
        <v>44</v>
      </c>
      <c r="C92" s="272">
        <v>1</v>
      </c>
      <c r="D92" s="272">
        <v>2</v>
      </c>
      <c r="E92" s="273">
        <v>3</v>
      </c>
      <c r="F92" s="273">
        <v>4</v>
      </c>
      <c r="G92" s="273">
        <v>5</v>
      </c>
      <c r="H92" s="273">
        <v>6</v>
      </c>
      <c r="I92" s="273">
        <v>7</v>
      </c>
      <c r="J92" s="272">
        <v>8</v>
      </c>
      <c r="K92" s="272">
        <v>9</v>
      </c>
      <c r="L92" s="273">
        <v>10</v>
      </c>
      <c r="M92" s="273">
        <v>11</v>
      </c>
      <c r="N92" s="273">
        <v>12</v>
      </c>
      <c r="O92" s="273">
        <v>13</v>
      </c>
      <c r="P92" s="273">
        <v>14</v>
      </c>
      <c r="Q92" s="272">
        <v>15</v>
      </c>
      <c r="R92" s="272">
        <v>16</v>
      </c>
      <c r="S92" s="273">
        <v>17</v>
      </c>
      <c r="T92" s="273">
        <v>18</v>
      </c>
      <c r="U92" s="273">
        <v>19</v>
      </c>
      <c r="V92" s="273">
        <v>20</v>
      </c>
      <c r="W92" s="273">
        <v>21</v>
      </c>
      <c r="X92" s="272">
        <v>22</v>
      </c>
      <c r="Y92" s="272">
        <v>23</v>
      </c>
      <c r="Z92" s="273">
        <v>24</v>
      </c>
      <c r="AA92" s="273">
        <v>25</v>
      </c>
      <c r="AB92" s="273">
        <v>26</v>
      </c>
      <c r="AC92" s="273">
        <v>27</v>
      </c>
      <c r="AD92" s="273">
        <v>28</v>
      </c>
      <c r="AE92" s="273"/>
      <c r="AF92" s="273"/>
      <c r="AG92" s="274"/>
      <c r="AH92" s="1"/>
    </row>
    <row r="93" spans="1:40" ht="18" customHeight="1" x14ac:dyDescent="0.2">
      <c r="A93" s="3632"/>
      <c r="B93" s="2942" t="s">
        <v>195</v>
      </c>
      <c r="C93" s="3164"/>
      <c r="D93" s="3238"/>
      <c r="E93" s="3164"/>
      <c r="F93" s="3164"/>
      <c r="G93" s="3164"/>
      <c r="H93" s="3164"/>
      <c r="I93" s="3164"/>
      <c r="J93" s="3164"/>
      <c r="K93" s="3164"/>
      <c r="L93" s="3164"/>
      <c r="M93" s="3164"/>
      <c r="N93" s="3164"/>
      <c r="O93" s="3164"/>
      <c r="P93" s="3164"/>
      <c r="Q93" s="3164"/>
      <c r="R93" s="3164"/>
      <c r="S93" s="3164"/>
      <c r="T93" s="3164"/>
      <c r="U93" s="3164"/>
      <c r="V93" s="3164"/>
      <c r="W93" s="3164"/>
      <c r="X93" s="3164"/>
      <c r="Y93" s="3164"/>
      <c r="Z93" s="3164"/>
      <c r="AA93" s="3164"/>
      <c r="AB93" s="3164"/>
      <c r="AC93" s="3164"/>
      <c r="AD93" s="3164"/>
      <c r="AE93" s="3164"/>
      <c r="AF93" s="3164"/>
      <c r="AG93" s="3239"/>
      <c r="AH93" s="1"/>
    </row>
    <row r="94" spans="1:40" ht="18" customHeight="1" x14ac:dyDescent="0.2">
      <c r="A94" s="3632"/>
      <c r="B94" s="3511"/>
      <c r="C94" s="3641"/>
      <c r="D94" s="3641"/>
      <c r="E94" s="3641"/>
      <c r="F94" s="3513"/>
      <c r="G94" s="3513"/>
      <c r="H94" s="3641"/>
      <c r="I94" s="3641"/>
      <c r="J94" s="3641"/>
      <c r="K94" s="3641"/>
      <c r="L94" s="3641"/>
      <c r="M94" s="3641"/>
      <c r="N94" s="3641"/>
      <c r="O94" s="3641"/>
      <c r="P94" s="3641"/>
      <c r="Q94" s="3641"/>
      <c r="R94" s="3641"/>
      <c r="S94" s="3641"/>
      <c r="T94" s="3366"/>
      <c r="U94" s="3641"/>
      <c r="V94" s="3641"/>
      <c r="W94" s="3641"/>
      <c r="X94" s="3641"/>
      <c r="Y94" s="3641"/>
      <c r="Z94" s="3641"/>
      <c r="AA94" s="3641"/>
      <c r="AB94" s="3641"/>
      <c r="AC94" s="3641"/>
      <c r="AD94" s="3641"/>
      <c r="AE94" s="3641"/>
      <c r="AF94" s="3641"/>
      <c r="AG94" s="3642"/>
      <c r="AH94" s="1"/>
    </row>
    <row r="95" spans="1:40" ht="18" customHeight="1" x14ac:dyDescent="0.2">
      <c r="A95" s="3632"/>
      <c r="B95" s="3511"/>
      <c r="C95" s="3366"/>
      <c r="D95" s="3366"/>
      <c r="E95" s="3366"/>
      <c r="F95" s="3366"/>
      <c r="G95" s="3366"/>
      <c r="H95" s="3366"/>
      <c r="I95" s="3366"/>
      <c r="J95" s="3366"/>
      <c r="K95" s="3366"/>
      <c r="L95" s="3366"/>
      <c r="M95" s="3366"/>
      <c r="N95" s="3366"/>
      <c r="O95" s="3366"/>
      <c r="P95" s="3366"/>
      <c r="Q95" s="3366"/>
      <c r="R95" s="3366"/>
      <c r="S95" s="3366"/>
      <c r="T95" s="3366"/>
      <c r="U95" s="3366"/>
      <c r="V95" s="3366"/>
      <c r="W95" s="3366"/>
      <c r="X95" s="3366"/>
      <c r="Y95" s="3366"/>
      <c r="Z95" s="3366"/>
      <c r="AA95" s="3366"/>
      <c r="AB95" s="3366"/>
      <c r="AC95" s="3366"/>
      <c r="AD95" s="3366"/>
      <c r="AE95" s="3366"/>
      <c r="AF95" s="3366"/>
      <c r="AG95" s="3510"/>
      <c r="AH95" s="1"/>
    </row>
    <row r="96" spans="1:40" ht="18" customHeight="1" thickBot="1" x14ac:dyDescent="0.25">
      <c r="A96" s="96"/>
      <c r="B96" s="3531"/>
      <c r="C96" s="3643"/>
      <c r="D96" s="3643"/>
      <c r="E96" s="3643"/>
      <c r="F96" s="3643"/>
      <c r="G96" s="3643"/>
      <c r="H96" s="3643"/>
      <c r="I96" s="3643"/>
      <c r="J96" s="3643"/>
      <c r="K96" s="3643"/>
      <c r="L96" s="3643"/>
      <c r="M96" s="3643"/>
      <c r="N96" s="3643"/>
      <c r="O96" s="3643"/>
      <c r="P96" s="3643"/>
      <c r="Q96" s="3643"/>
      <c r="R96" s="3643"/>
      <c r="S96" s="3643"/>
      <c r="T96" s="3643"/>
      <c r="U96" s="3643"/>
      <c r="V96" s="3643"/>
      <c r="W96" s="3643"/>
      <c r="X96" s="3643"/>
      <c r="Y96" s="3643"/>
      <c r="Z96" s="3643"/>
      <c r="AA96" s="3643"/>
      <c r="AB96" s="3643"/>
      <c r="AC96" s="3643"/>
      <c r="AD96" s="3643"/>
      <c r="AE96" s="3643"/>
      <c r="AF96" s="3643"/>
      <c r="AG96" s="3552"/>
      <c r="AH96" s="1"/>
    </row>
    <row r="97" spans="1:34" ht="18" customHeight="1" x14ac:dyDescent="0.2">
      <c r="A97" s="96"/>
      <c r="B97" s="127"/>
      <c r="C97" s="142"/>
      <c r="D97" s="142"/>
      <c r="E97" s="142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28"/>
      <c r="AH97" s="1"/>
    </row>
    <row r="98" spans="1:34" ht="18" customHeight="1" x14ac:dyDescent="0.2">
      <c r="A98" s="96"/>
      <c r="B98" s="42" t="s">
        <v>232</v>
      </c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"/>
    </row>
    <row r="99" spans="1:34" ht="18" customHeight="1" x14ac:dyDescent="0.2">
      <c r="A99" s="96"/>
      <c r="B99" s="3486"/>
      <c r="C99" s="3485"/>
      <c r="D99" s="3486" t="s">
        <v>17</v>
      </c>
      <c r="E99" s="3485"/>
      <c r="F99" s="3485"/>
      <c r="G99" s="3486" t="s">
        <v>18</v>
      </c>
      <c r="H99" s="3485"/>
      <c r="I99" s="3485"/>
      <c r="J99" s="3486" t="s">
        <v>19</v>
      </c>
      <c r="K99" s="3485"/>
      <c r="L99" s="3485"/>
      <c r="M99" s="3486" t="s">
        <v>20</v>
      </c>
      <c r="N99" s="3485"/>
      <c r="O99" s="3485"/>
      <c r="P99" s="3486" t="s">
        <v>21</v>
      </c>
      <c r="Q99" s="3485"/>
      <c r="R99" s="2691"/>
      <c r="S99" s="2692" t="s">
        <v>22</v>
      </c>
      <c r="T99" s="3485"/>
      <c r="U99" s="3485"/>
      <c r="V99" s="3486" t="s">
        <v>23</v>
      </c>
      <c r="W99" s="3485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1"/>
    </row>
    <row r="100" spans="1:34" ht="18" customHeight="1" x14ac:dyDescent="0.2">
      <c r="A100" s="96"/>
      <c r="B100" s="3644" t="s">
        <v>127</v>
      </c>
      <c r="C100" s="3645" t="s">
        <v>527</v>
      </c>
      <c r="D100" s="3595"/>
      <c r="E100" s="3595"/>
      <c r="F100" s="3645" t="s">
        <v>527</v>
      </c>
      <c r="G100" s="3595"/>
      <c r="H100" s="3595"/>
      <c r="I100" s="3645" t="s">
        <v>527</v>
      </c>
      <c r="J100" s="3595"/>
      <c r="K100" s="3595"/>
      <c r="L100" s="3645" t="s">
        <v>527</v>
      </c>
      <c r="M100" s="3595"/>
      <c r="N100" s="3595"/>
      <c r="O100" s="3645" t="s">
        <v>527</v>
      </c>
      <c r="P100" s="3595"/>
      <c r="Q100" s="3595"/>
      <c r="R100" s="3594"/>
      <c r="S100" s="3595"/>
      <c r="T100" s="3595"/>
      <c r="U100" s="3594" t="s">
        <v>256</v>
      </c>
      <c r="V100" s="3595"/>
      <c r="W100" s="2562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1"/>
    </row>
    <row r="101" spans="1:34" ht="18" customHeight="1" x14ac:dyDescent="0.2">
      <c r="A101" s="96"/>
      <c r="B101" s="3644" t="s">
        <v>134</v>
      </c>
      <c r="C101" s="2857" t="s">
        <v>529</v>
      </c>
      <c r="D101" s="2858"/>
      <c r="E101" s="2858"/>
      <c r="F101" s="2857" t="s">
        <v>529</v>
      </c>
      <c r="G101" s="2858"/>
      <c r="H101" s="2858"/>
      <c r="I101" s="2857" t="s">
        <v>529</v>
      </c>
      <c r="J101" s="2858"/>
      <c r="K101" s="2858"/>
      <c r="L101" s="2857" t="s">
        <v>529</v>
      </c>
      <c r="M101" s="2858"/>
      <c r="N101" s="2858"/>
      <c r="O101" s="2857" t="s">
        <v>530</v>
      </c>
      <c r="P101" s="2858"/>
      <c r="Q101" s="2858"/>
      <c r="R101" s="387"/>
      <c r="S101" s="46"/>
      <c r="T101" s="2562"/>
      <c r="U101" s="387"/>
      <c r="V101" s="46"/>
      <c r="W101" s="2562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1"/>
    </row>
    <row r="102" spans="1:34" ht="18" customHeight="1" x14ac:dyDescent="0.2">
      <c r="A102" s="96"/>
      <c r="B102" s="3644" t="s">
        <v>472</v>
      </c>
      <c r="C102" s="3646" t="s">
        <v>531</v>
      </c>
      <c r="D102" s="3476"/>
      <c r="E102" s="3476"/>
      <c r="F102" s="3646" t="s">
        <v>531</v>
      </c>
      <c r="G102" s="3560"/>
      <c r="H102" s="3476"/>
      <c r="I102" s="3579" t="s">
        <v>531</v>
      </c>
      <c r="J102" s="3493"/>
      <c r="K102" s="3491"/>
      <c r="L102" s="3579" t="s">
        <v>532</v>
      </c>
      <c r="M102" s="3493"/>
      <c r="N102" s="3647"/>
      <c r="O102" s="3646" t="s">
        <v>532</v>
      </c>
      <c r="P102" s="3476"/>
      <c r="Q102" s="3476"/>
      <c r="R102" s="3579" t="s">
        <v>533</v>
      </c>
      <c r="S102" s="3493"/>
      <c r="T102" s="3491"/>
      <c r="U102" s="3579" t="s">
        <v>533</v>
      </c>
      <c r="V102" s="3493"/>
      <c r="W102" s="3491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1"/>
    </row>
    <row r="103" spans="1:34" ht="18" customHeight="1" x14ac:dyDescent="0.2">
      <c r="A103" s="96"/>
      <c r="B103" s="3644" t="s">
        <v>534</v>
      </c>
      <c r="C103" s="3646" t="s">
        <v>50</v>
      </c>
      <c r="D103" s="3476"/>
      <c r="E103" s="3476"/>
      <c r="F103" s="3646" t="s">
        <v>50</v>
      </c>
      <c r="G103" s="3560"/>
      <c r="H103" s="3476"/>
      <c r="I103" s="3579" t="s">
        <v>50</v>
      </c>
      <c r="J103" s="3493"/>
      <c r="K103" s="3491"/>
      <c r="L103" s="3579" t="s">
        <v>50</v>
      </c>
      <c r="M103" s="3493"/>
      <c r="N103" s="3647"/>
      <c r="O103" s="3646" t="s">
        <v>50</v>
      </c>
      <c r="P103" s="3476"/>
      <c r="Q103" s="3476"/>
      <c r="R103" s="3579"/>
      <c r="S103" s="3493"/>
      <c r="T103" s="3491"/>
      <c r="U103" s="3579"/>
      <c r="V103" s="3493"/>
      <c r="W103" s="1008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1"/>
    </row>
    <row r="104" spans="1:34" ht="18" customHeight="1" thickBot="1" x14ac:dyDescent="0.25">
      <c r="A104" s="96"/>
      <c r="B104" s="392" t="s">
        <v>44</v>
      </c>
      <c r="C104" s="334">
        <v>1</v>
      </c>
      <c r="D104" s="390">
        <v>2</v>
      </c>
      <c r="E104" s="389">
        <v>3</v>
      </c>
      <c r="F104" s="389">
        <v>4</v>
      </c>
      <c r="G104" s="389">
        <v>5</v>
      </c>
      <c r="H104" s="389">
        <v>6</v>
      </c>
      <c r="I104" s="389">
        <v>7</v>
      </c>
      <c r="J104" s="390">
        <v>8</v>
      </c>
      <c r="K104" s="390">
        <v>9</v>
      </c>
      <c r="L104" s="389">
        <v>10</v>
      </c>
      <c r="M104" s="389">
        <v>11</v>
      </c>
      <c r="N104" s="389">
        <v>12</v>
      </c>
      <c r="O104" s="389">
        <v>13</v>
      </c>
      <c r="P104" s="389">
        <v>14</v>
      </c>
      <c r="Q104" s="390">
        <v>15</v>
      </c>
      <c r="R104" s="390">
        <v>16</v>
      </c>
      <c r="S104" s="389">
        <v>17</v>
      </c>
      <c r="T104" s="389">
        <v>18</v>
      </c>
      <c r="U104" s="389">
        <v>19</v>
      </c>
      <c r="V104" s="417">
        <v>20</v>
      </c>
      <c r="W104" s="3614">
        <v>21</v>
      </c>
      <c r="X104" s="3648">
        <v>22</v>
      </c>
      <c r="Y104" s="3648">
        <v>23</v>
      </c>
      <c r="Z104" s="3614">
        <v>24</v>
      </c>
      <c r="AA104" s="3614">
        <v>25</v>
      </c>
      <c r="AB104" s="3614">
        <v>26</v>
      </c>
      <c r="AC104" s="3614">
        <v>27</v>
      </c>
      <c r="AD104" s="3614">
        <v>28</v>
      </c>
      <c r="AE104" s="3614"/>
      <c r="AF104" s="3614"/>
      <c r="AG104" s="3614"/>
      <c r="AH104" s="1"/>
    </row>
    <row r="105" spans="1:34" ht="18" customHeight="1" x14ac:dyDescent="0.2">
      <c r="A105" s="96"/>
      <c r="B105" s="3249" t="s">
        <v>138</v>
      </c>
      <c r="C105" s="3641" t="s">
        <v>143</v>
      </c>
      <c r="D105" s="3485" t="s">
        <v>143</v>
      </c>
      <c r="E105" s="3485" t="s">
        <v>50</v>
      </c>
      <c r="F105" s="3641" t="s">
        <v>50</v>
      </c>
      <c r="G105" s="3641" t="s">
        <v>50</v>
      </c>
      <c r="H105" s="3641" t="s">
        <v>50</v>
      </c>
      <c r="I105" s="3641" t="s">
        <v>50</v>
      </c>
      <c r="J105" s="3641"/>
      <c r="K105" s="3641"/>
      <c r="L105" s="3641">
        <v>25</v>
      </c>
      <c r="M105" s="3641">
        <v>25</v>
      </c>
      <c r="N105" s="3641">
        <v>25</v>
      </c>
      <c r="O105" s="3641">
        <v>25</v>
      </c>
      <c r="P105" s="3641">
        <v>25</v>
      </c>
      <c r="Q105" s="3641"/>
      <c r="R105" s="3649">
        <v>26</v>
      </c>
      <c r="S105" s="3508">
        <v>26</v>
      </c>
      <c r="T105" s="3508">
        <v>26</v>
      </c>
      <c r="U105" s="3508">
        <v>26</v>
      </c>
      <c r="V105" s="3508">
        <v>26</v>
      </c>
      <c r="W105" s="3507">
        <v>26</v>
      </c>
      <c r="X105" s="1653"/>
      <c r="Y105" s="1653"/>
      <c r="Z105" s="1653" t="s">
        <v>142</v>
      </c>
      <c r="AA105" s="1653" t="s">
        <v>142</v>
      </c>
      <c r="AB105" s="1653" t="s">
        <v>142</v>
      </c>
      <c r="AC105" s="3650" t="s">
        <v>142</v>
      </c>
      <c r="AD105" s="1653" t="s">
        <v>142</v>
      </c>
      <c r="AE105" s="1653"/>
      <c r="AF105" s="1653"/>
      <c r="AG105" s="1653"/>
      <c r="AH105" s="1"/>
    </row>
    <row r="106" spans="1:34" ht="18" customHeight="1" x14ac:dyDescent="0.2">
      <c r="A106" s="96"/>
      <c r="B106" s="3579" t="s">
        <v>144</v>
      </c>
      <c r="C106" s="3641"/>
      <c r="D106" s="3641"/>
      <c r="E106" s="3641">
        <v>25</v>
      </c>
      <c r="F106" s="3641">
        <v>25</v>
      </c>
      <c r="G106" s="3641">
        <v>25</v>
      </c>
      <c r="H106" s="3641">
        <v>25</v>
      </c>
      <c r="I106" s="3641">
        <v>25</v>
      </c>
      <c r="J106" s="3641"/>
      <c r="K106" s="3641">
        <v>26</v>
      </c>
      <c r="L106" s="3641">
        <v>26</v>
      </c>
      <c r="M106" s="3641">
        <v>26</v>
      </c>
      <c r="N106" s="3641">
        <v>26</v>
      </c>
      <c r="O106" s="3641">
        <v>26</v>
      </c>
      <c r="P106" s="3641">
        <v>26</v>
      </c>
      <c r="Q106" s="1653"/>
      <c r="R106" s="1653"/>
      <c r="S106" s="1653" t="s">
        <v>142</v>
      </c>
      <c r="T106" s="1653" t="s">
        <v>142</v>
      </c>
      <c r="U106" s="1653" t="s">
        <v>142</v>
      </c>
      <c r="V106" s="1653" t="s">
        <v>142</v>
      </c>
      <c r="W106" s="1653" t="s">
        <v>142</v>
      </c>
      <c r="X106" s="3641" t="s">
        <v>143</v>
      </c>
      <c r="Y106" s="3641" t="s">
        <v>143</v>
      </c>
      <c r="Z106" s="3649">
        <v>7</v>
      </c>
      <c r="AA106" s="3649">
        <v>7</v>
      </c>
      <c r="AB106" s="3651" t="s">
        <v>50</v>
      </c>
      <c r="AC106" s="3641" t="s">
        <v>50</v>
      </c>
      <c r="AD106" s="3641" t="s">
        <v>50</v>
      </c>
      <c r="AE106" s="3641"/>
      <c r="AF106" s="3641"/>
      <c r="AG106" s="3641"/>
      <c r="AH106" s="1"/>
    </row>
    <row r="107" spans="1:34" ht="18" customHeight="1" x14ac:dyDescent="0.2">
      <c r="A107" s="96"/>
      <c r="B107" s="3628" t="s">
        <v>478</v>
      </c>
      <c r="C107" s="3641"/>
      <c r="D107" s="3515">
        <v>26</v>
      </c>
      <c r="E107" s="3641">
        <v>26</v>
      </c>
      <c r="F107" s="3641">
        <v>26</v>
      </c>
      <c r="G107" s="3641">
        <v>26</v>
      </c>
      <c r="H107" s="3641">
        <v>26</v>
      </c>
      <c r="I107" s="3641">
        <v>26</v>
      </c>
      <c r="J107" s="3641"/>
      <c r="K107" s="3641"/>
      <c r="L107" s="3641" t="s">
        <v>142</v>
      </c>
      <c r="M107" s="3641" t="s">
        <v>142</v>
      </c>
      <c r="N107" s="3641" t="s">
        <v>142</v>
      </c>
      <c r="O107" s="3641" t="s">
        <v>142</v>
      </c>
      <c r="P107" s="3509" t="s">
        <v>142</v>
      </c>
      <c r="Q107" s="3509" t="s">
        <v>143</v>
      </c>
      <c r="R107" s="3509" t="s">
        <v>143</v>
      </c>
      <c r="S107" s="3652" t="s">
        <v>102</v>
      </c>
      <c r="T107" s="3641" t="s">
        <v>50</v>
      </c>
      <c r="U107" s="3641" t="s">
        <v>50</v>
      </c>
      <c r="V107" s="3641" t="s">
        <v>50</v>
      </c>
      <c r="W107" s="3641" t="s">
        <v>50</v>
      </c>
      <c r="X107" s="3641"/>
      <c r="Y107" s="3641"/>
      <c r="Z107" s="3641">
        <v>25</v>
      </c>
      <c r="AA107" s="3641">
        <v>25</v>
      </c>
      <c r="AB107" s="3641">
        <v>25</v>
      </c>
      <c r="AC107" s="3641">
        <v>25</v>
      </c>
      <c r="AD107" s="3641">
        <v>25</v>
      </c>
      <c r="AE107" s="3641"/>
      <c r="AF107" s="3641"/>
      <c r="AG107" s="3641"/>
      <c r="AH107" s="1"/>
    </row>
    <row r="108" spans="1:34" ht="18" customHeight="1" thickBot="1" x14ac:dyDescent="0.25">
      <c r="A108" s="126"/>
      <c r="B108" s="3070"/>
      <c r="C108" s="3641"/>
      <c r="D108" s="3641"/>
      <c r="E108" s="3641" t="s">
        <v>142</v>
      </c>
      <c r="F108" s="3641" t="s">
        <v>142</v>
      </c>
      <c r="G108" s="3641" t="s">
        <v>142</v>
      </c>
      <c r="H108" s="3641" t="s">
        <v>142</v>
      </c>
      <c r="I108" s="3641" t="s">
        <v>142</v>
      </c>
      <c r="J108" s="3641" t="s">
        <v>143</v>
      </c>
      <c r="K108" s="3641" t="s">
        <v>143</v>
      </c>
      <c r="L108" s="3641" t="s">
        <v>50</v>
      </c>
      <c r="M108" s="3641" t="s">
        <v>50</v>
      </c>
      <c r="N108" s="3641" t="s">
        <v>50</v>
      </c>
      <c r="O108" s="3641" t="s">
        <v>50</v>
      </c>
      <c r="P108" s="3641" t="s">
        <v>50</v>
      </c>
      <c r="Q108" s="3641"/>
      <c r="R108" s="3641"/>
      <c r="S108" s="3641">
        <v>25</v>
      </c>
      <c r="T108" s="3641">
        <v>25</v>
      </c>
      <c r="U108" s="3641">
        <v>25</v>
      </c>
      <c r="V108" s="3641">
        <v>25</v>
      </c>
      <c r="W108" s="3641">
        <v>25</v>
      </c>
      <c r="X108" s="3641"/>
      <c r="Y108" s="3641">
        <v>26</v>
      </c>
      <c r="Z108" s="3641">
        <v>26</v>
      </c>
      <c r="AA108" s="3641">
        <v>26</v>
      </c>
      <c r="AB108" s="3641">
        <v>26</v>
      </c>
      <c r="AC108" s="3641">
        <v>26</v>
      </c>
      <c r="AD108" s="3641">
        <v>26</v>
      </c>
      <c r="AE108" s="3641"/>
      <c r="AF108" s="3641"/>
      <c r="AG108" s="3641"/>
      <c r="AH108" s="1"/>
    </row>
    <row r="109" spans="1:34" ht="18" customHeight="1" thickBot="1" x14ac:dyDescent="0.25">
      <c r="A109" s="216" t="s">
        <v>197</v>
      </c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28"/>
      <c r="AH109" s="1"/>
    </row>
    <row r="110" spans="1:34" ht="18" customHeight="1" thickBot="1" x14ac:dyDescent="0.3">
      <c r="A110" s="126"/>
      <c r="B110" s="217"/>
      <c r="C110" s="218"/>
      <c r="D110" s="218"/>
      <c r="E110" s="221" t="s">
        <v>198</v>
      </c>
      <c r="F110" s="218"/>
      <c r="G110" s="218"/>
      <c r="H110" s="218"/>
      <c r="I110" s="218"/>
      <c r="J110" s="218"/>
      <c r="K110" s="226" t="s">
        <v>13</v>
      </c>
      <c r="L110" s="222"/>
      <c r="M110" s="222"/>
      <c r="N110" s="222"/>
      <c r="O110" s="222"/>
      <c r="P110" s="222"/>
      <c r="Q110" s="222"/>
      <c r="R110" s="222"/>
      <c r="S110" s="222"/>
      <c r="T110" s="223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"/>
    </row>
    <row r="111" spans="1:34" ht="18" customHeight="1" thickBot="1" x14ac:dyDescent="0.3">
      <c r="A111" s="126"/>
      <c r="B111" s="217" t="s">
        <v>535</v>
      </c>
      <c r="C111" s="218"/>
      <c r="D111" s="218"/>
      <c r="E111" s="219" t="s">
        <v>200</v>
      </c>
      <c r="F111" s="218"/>
      <c r="G111" s="218"/>
      <c r="H111" s="218"/>
      <c r="I111" s="218"/>
      <c r="J111" s="218"/>
      <c r="K111" s="218" t="s">
        <v>0</v>
      </c>
      <c r="L111" s="218"/>
      <c r="M111" s="218"/>
      <c r="N111" s="218"/>
      <c r="O111" s="218"/>
      <c r="P111" s="218"/>
      <c r="Q111" s="218"/>
      <c r="R111" s="236" t="s">
        <v>0</v>
      </c>
      <c r="S111" s="236"/>
      <c r="T111" s="236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"/>
    </row>
    <row r="112" spans="1:34" ht="18" customHeight="1" thickBot="1" x14ac:dyDescent="0.3">
      <c r="A112" s="126"/>
      <c r="B112" s="227"/>
      <c r="C112" s="227"/>
      <c r="D112" s="227"/>
      <c r="E112" s="228"/>
      <c r="F112" s="227"/>
      <c r="G112" s="227"/>
      <c r="H112" s="227"/>
      <c r="I112" s="227"/>
      <c r="J112" s="227"/>
      <c r="K112" s="227"/>
      <c r="L112" s="231"/>
      <c r="M112" s="231"/>
      <c r="N112" s="231"/>
      <c r="O112" s="231"/>
      <c r="P112" s="231"/>
      <c r="Q112" s="231"/>
      <c r="R112" s="231"/>
      <c r="S112" s="231"/>
      <c r="T112" s="231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"/>
    </row>
    <row r="113" spans="1:40" ht="18" customHeight="1" x14ac:dyDescent="0.25">
      <c r="A113" s="126"/>
      <c r="B113" s="3653" t="s">
        <v>44</v>
      </c>
      <c r="C113" s="2707">
        <v>1</v>
      </c>
      <c r="D113" s="2707">
        <v>2</v>
      </c>
      <c r="E113" s="2706">
        <v>3</v>
      </c>
      <c r="F113" s="2706">
        <v>4</v>
      </c>
      <c r="G113" s="2706">
        <v>5</v>
      </c>
      <c r="H113" s="2706">
        <v>6</v>
      </c>
      <c r="I113" s="2706">
        <v>7</v>
      </c>
      <c r="J113" s="2707">
        <v>8</v>
      </c>
      <c r="K113" s="2707">
        <v>9</v>
      </c>
      <c r="L113" s="2706">
        <v>10</v>
      </c>
      <c r="M113" s="2706">
        <v>11</v>
      </c>
      <c r="N113" s="2706">
        <v>12</v>
      </c>
      <c r="O113" s="2706">
        <v>13</v>
      </c>
      <c r="P113" s="2706">
        <v>14</v>
      </c>
      <c r="Q113" s="2707">
        <v>15</v>
      </c>
      <c r="R113" s="2707">
        <v>16</v>
      </c>
      <c r="S113" s="2706">
        <v>17</v>
      </c>
      <c r="T113" s="2706">
        <v>18</v>
      </c>
      <c r="U113" s="2706">
        <v>19</v>
      </c>
      <c r="V113" s="2706">
        <v>20</v>
      </c>
      <c r="W113" s="2706">
        <v>21</v>
      </c>
      <c r="X113" s="2707">
        <v>22</v>
      </c>
      <c r="Y113" s="2707">
        <v>23</v>
      </c>
      <c r="Z113" s="2706">
        <v>24</v>
      </c>
      <c r="AA113" s="2706">
        <v>25</v>
      </c>
      <c r="AB113" s="2706">
        <v>26</v>
      </c>
      <c r="AC113" s="2706">
        <v>27</v>
      </c>
      <c r="AD113" s="2706">
        <v>28</v>
      </c>
      <c r="AE113" s="2706"/>
      <c r="AF113" s="2706"/>
      <c r="AG113" s="3501"/>
      <c r="AH113" s="1"/>
      <c r="AJ113" s="3500" t="s">
        <v>41</v>
      </c>
      <c r="AK113" s="3500" t="s">
        <v>62</v>
      </c>
      <c r="AL113" s="3500" t="s">
        <v>63</v>
      </c>
      <c r="AM113" s="3500" t="s">
        <v>64</v>
      </c>
      <c r="AN113" s="3500" t="s">
        <v>65</v>
      </c>
    </row>
    <row r="114" spans="1:40" ht="18" customHeight="1" x14ac:dyDescent="0.2">
      <c r="B114" s="3252" t="s">
        <v>484</v>
      </c>
      <c r="C114" s="3654" t="s">
        <v>209</v>
      </c>
      <c r="D114" s="3654" t="s">
        <v>209</v>
      </c>
      <c r="E114" s="3654" t="s">
        <v>50</v>
      </c>
      <c r="F114" s="3654" t="s">
        <v>50</v>
      </c>
      <c r="G114" s="3654" t="s">
        <v>50</v>
      </c>
      <c r="H114" s="3654" t="s">
        <v>50</v>
      </c>
      <c r="I114" s="3654" t="s">
        <v>50</v>
      </c>
      <c r="J114" s="3654" t="s">
        <v>50</v>
      </c>
      <c r="K114" s="3654" t="s">
        <v>50</v>
      </c>
      <c r="L114" s="3654" t="s">
        <v>209</v>
      </c>
      <c r="M114" s="3654" t="s">
        <v>209</v>
      </c>
      <c r="N114" s="3654" t="s">
        <v>209</v>
      </c>
      <c r="O114" s="3654" t="s">
        <v>209</v>
      </c>
      <c r="P114" s="3654" t="s">
        <v>209</v>
      </c>
      <c r="Q114" s="3654" t="s">
        <v>209</v>
      </c>
      <c r="R114" s="3654" t="s">
        <v>209</v>
      </c>
      <c r="S114" s="3654" t="s">
        <v>50</v>
      </c>
      <c r="T114" s="3654" t="s">
        <v>50</v>
      </c>
      <c r="U114" s="3654" t="s">
        <v>50</v>
      </c>
      <c r="V114" s="3654" t="s">
        <v>50</v>
      </c>
      <c r="W114" s="3654" t="s">
        <v>50</v>
      </c>
      <c r="X114" s="3654" t="s">
        <v>50</v>
      </c>
      <c r="Y114" s="3654" t="s">
        <v>50</v>
      </c>
      <c r="Z114" s="3654" t="s">
        <v>209</v>
      </c>
      <c r="AA114" s="3654" t="s">
        <v>209</v>
      </c>
      <c r="AB114" s="3654" t="s">
        <v>209</v>
      </c>
      <c r="AC114" s="3654" t="s">
        <v>209</v>
      </c>
      <c r="AD114" s="3654" t="s">
        <v>209</v>
      </c>
      <c r="AE114" s="3655"/>
      <c r="AF114" s="3201"/>
      <c r="AG114" s="3223"/>
      <c r="AH114" s="1"/>
      <c r="AJ114" s="3543">
        <f>$AJ$12</f>
        <v>160.33000000000001</v>
      </c>
      <c r="AK114" s="3543"/>
      <c r="AL114" s="3543">
        <f>IF(AJ114="","",SUM(AJ114:AK114))</f>
        <v>160.33000000000001</v>
      </c>
      <c r="AM114" s="3544">
        <f t="shared" ref="AM114:AM115" si="6">IF(AJ114="","",AL114-AJ114)</f>
        <v>0</v>
      </c>
      <c r="AN114" s="3544">
        <f>IF(AM114="","",AM114+'Januar 2025'!AN113)</f>
        <v>0</v>
      </c>
    </row>
    <row r="115" spans="1:40" ht="18" customHeight="1" thickBot="1" x14ac:dyDescent="0.25">
      <c r="B115" s="3656" t="s">
        <v>212</v>
      </c>
      <c r="C115" s="3657"/>
      <c r="D115" s="3618"/>
      <c r="E115" s="3618" t="s">
        <v>209</v>
      </c>
      <c r="F115" s="3614" t="s">
        <v>209</v>
      </c>
      <c r="G115" s="3618" t="s">
        <v>209</v>
      </c>
      <c r="H115" s="3618" t="s">
        <v>209</v>
      </c>
      <c r="I115" s="3614" t="s">
        <v>209</v>
      </c>
      <c r="J115" s="3614"/>
      <c r="K115" s="3614"/>
      <c r="L115" s="3614" t="s">
        <v>50</v>
      </c>
      <c r="M115" s="3614" t="s">
        <v>50</v>
      </c>
      <c r="N115" s="3614" t="s">
        <v>50</v>
      </c>
      <c r="O115" s="3618" t="s">
        <v>50</v>
      </c>
      <c r="P115" s="3618" t="s">
        <v>50</v>
      </c>
      <c r="Q115" s="3657"/>
      <c r="R115" s="3618"/>
      <c r="S115" s="3618" t="s">
        <v>209</v>
      </c>
      <c r="T115" s="3614" t="s">
        <v>209</v>
      </c>
      <c r="U115" s="3618" t="s">
        <v>209</v>
      </c>
      <c r="V115" s="3618" t="s">
        <v>209</v>
      </c>
      <c r="W115" s="3614" t="s">
        <v>209</v>
      </c>
      <c r="X115" s="3614" t="s">
        <v>209</v>
      </c>
      <c r="Y115" s="3614" t="s">
        <v>209</v>
      </c>
      <c r="Z115" s="3614" t="s">
        <v>50</v>
      </c>
      <c r="AA115" s="3614" t="s">
        <v>50</v>
      </c>
      <c r="AB115" s="3614" t="s">
        <v>50</v>
      </c>
      <c r="AC115" s="3618" t="s">
        <v>50</v>
      </c>
      <c r="AD115" s="3618" t="s">
        <v>50</v>
      </c>
      <c r="AE115" s="3657"/>
      <c r="AF115" s="3618"/>
      <c r="AG115" s="3626"/>
      <c r="AH115" s="1"/>
      <c r="AJ115" s="3658">
        <f t="shared" ref="AJ115" si="7">$AJ$12</f>
        <v>160.33000000000001</v>
      </c>
      <c r="AK115" s="3658"/>
      <c r="AL115" s="3658">
        <f t="shared" ref="AL115" si="8">IF(AJ115="","",SUM(AJ115:AK115))</f>
        <v>160.33000000000001</v>
      </c>
      <c r="AM115" s="3659">
        <f t="shared" si="6"/>
        <v>0</v>
      </c>
      <c r="AN115" s="3544">
        <f>IF(AM115="","",AM115+'Januar 2025'!AN114)</f>
        <v>0</v>
      </c>
    </row>
    <row r="116" spans="1:40" ht="18" customHeight="1" x14ac:dyDescent="0.2">
      <c r="B116" s="232"/>
      <c r="C116" s="233"/>
      <c r="D116" s="233"/>
      <c r="E116" s="234"/>
      <c r="F116" s="234"/>
      <c r="G116" s="234"/>
      <c r="H116" s="234"/>
      <c r="I116" s="234"/>
      <c r="J116" s="234"/>
      <c r="K116" s="234"/>
      <c r="L116" s="234"/>
      <c r="M116" s="234"/>
      <c r="N116" s="234"/>
      <c r="O116" s="234"/>
      <c r="P116" s="234"/>
      <c r="Q116" s="234"/>
      <c r="R116" s="234"/>
      <c r="S116" s="234"/>
      <c r="T116" s="234"/>
      <c r="U116" s="234"/>
      <c r="V116" s="234"/>
      <c r="W116" s="234"/>
      <c r="X116" s="234"/>
      <c r="Y116" s="234"/>
      <c r="Z116" s="234"/>
      <c r="AA116" s="234"/>
      <c r="AB116" s="234"/>
      <c r="AC116" s="234"/>
      <c r="AD116" s="234"/>
      <c r="AE116" s="234"/>
      <c r="AF116" s="234"/>
      <c r="AG116" s="234"/>
      <c r="AH116" s="1"/>
      <c r="AJ116" s="123"/>
      <c r="AK116" s="123"/>
      <c r="AL116" s="123"/>
      <c r="AM116" s="215"/>
      <c r="AN116" s="215"/>
    </row>
    <row r="117" spans="1:40" ht="18" customHeight="1" x14ac:dyDescent="0.2">
      <c r="A117" s="3" t="s">
        <v>213</v>
      </c>
      <c r="AH117" s="1"/>
      <c r="AJ117" s="123"/>
      <c r="AK117" s="123"/>
      <c r="AL117" s="123"/>
      <c r="AM117" s="215"/>
      <c r="AN117" s="215"/>
    </row>
    <row r="118" spans="1:40" ht="18" customHeight="1" x14ac:dyDescent="0.25">
      <c r="B118" s="217"/>
      <c r="C118" s="218"/>
      <c r="D118" s="218"/>
      <c r="E118" s="221" t="s">
        <v>198</v>
      </c>
      <c r="F118" s="218"/>
      <c r="G118" s="218"/>
      <c r="H118" s="218"/>
      <c r="I118" s="218"/>
      <c r="J118" s="218"/>
      <c r="K118" s="226" t="s">
        <v>13</v>
      </c>
      <c r="L118" s="222"/>
      <c r="M118" s="222"/>
      <c r="N118" s="222"/>
      <c r="O118" s="222"/>
      <c r="P118" s="222"/>
      <c r="Q118" s="222"/>
      <c r="R118" s="222"/>
      <c r="S118" s="222"/>
      <c r="T118" s="223"/>
      <c r="AH118" s="1"/>
      <c r="AJ118" s="123"/>
      <c r="AK118" s="123"/>
      <c r="AL118" s="123"/>
      <c r="AM118" s="215"/>
      <c r="AN118" s="215"/>
    </row>
    <row r="119" spans="1:40" ht="18" customHeight="1" thickBot="1" x14ac:dyDescent="0.3">
      <c r="B119" s="217" t="s">
        <v>487</v>
      </c>
      <c r="C119" s="218"/>
      <c r="D119" s="218"/>
      <c r="E119" s="219" t="s">
        <v>214</v>
      </c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36"/>
      <c r="S119" s="236"/>
      <c r="T119" s="236"/>
      <c r="AH119" s="1"/>
      <c r="AJ119" s="123"/>
      <c r="AK119" s="123"/>
      <c r="AL119" s="123"/>
      <c r="AM119" s="215"/>
      <c r="AN119" s="215"/>
    </row>
    <row r="120" spans="1:40" ht="18" customHeight="1" thickBot="1" x14ac:dyDescent="0.25">
      <c r="T120" s="108"/>
      <c r="U120" s="108"/>
      <c r="V120" s="108"/>
      <c r="AH120" s="1"/>
      <c r="AJ120" s="123"/>
      <c r="AK120" s="123"/>
      <c r="AL120" s="123"/>
      <c r="AM120" s="215"/>
      <c r="AN120" s="215"/>
    </row>
    <row r="121" spans="1:40" ht="18" customHeight="1" x14ac:dyDescent="0.2">
      <c r="B121" s="3261" t="s">
        <v>44</v>
      </c>
      <c r="C121" s="2707">
        <v>1</v>
      </c>
      <c r="D121" s="2707">
        <v>2</v>
      </c>
      <c r="E121" s="2706">
        <v>3</v>
      </c>
      <c r="F121" s="2706">
        <v>4</v>
      </c>
      <c r="G121" s="2706">
        <v>5</v>
      </c>
      <c r="H121" s="2706">
        <v>6</v>
      </c>
      <c r="I121" s="2706">
        <v>7</v>
      </c>
      <c r="J121" s="2707">
        <v>8</v>
      </c>
      <c r="K121" s="2707">
        <v>9</v>
      </c>
      <c r="L121" s="2706">
        <v>10</v>
      </c>
      <c r="M121" s="2706">
        <v>11</v>
      </c>
      <c r="N121" s="2706">
        <v>12</v>
      </c>
      <c r="O121" s="2706">
        <v>13</v>
      </c>
      <c r="P121" s="2706">
        <v>14</v>
      </c>
      <c r="Q121" s="2707">
        <v>15</v>
      </c>
      <c r="R121" s="2707">
        <v>16</v>
      </c>
      <c r="S121" s="2706">
        <v>17</v>
      </c>
      <c r="T121" s="2706">
        <v>18</v>
      </c>
      <c r="U121" s="2706">
        <v>19</v>
      </c>
      <c r="V121" s="2706">
        <v>20</v>
      </c>
      <c r="W121" s="2706">
        <v>21</v>
      </c>
      <c r="X121" s="2707">
        <v>22</v>
      </c>
      <c r="Y121" s="2707">
        <v>23</v>
      </c>
      <c r="Z121" s="2706">
        <v>24</v>
      </c>
      <c r="AA121" s="2706">
        <v>25</v>
      </c>
      <c r="AB121" s="2706">
        <v>26</v>
      </c>
      <c r="AC121" s="2706">
        <v>27</v>
      </c>
      <c r="AD121" s="2706">
        <v>28</v>
      </c>
      <c r="AE121" s="2706"/>
      <c r="AF121" s="2706"/>
      <c r="AG121" s="3501"/>
      <c r="AH121" s="1"/>
      <c r="AJ121" s="3500" t="s">
        <v>41</v>
      </c>
      <c r="AK121" s="3500" t="s">
        <v>62</v>
      </c>
      <c r="AL121" s="3500" t="s">
        <v>63</v>
      </c>
      <c r="AM121" s="3500" t="s">
        <v>64</v>
      </c>
      <c r="AN121" s="3500" t="s">
        <v>65</v>
      </c>
    </row>
    <row r="122" spans="1:40" ht="18" customHeight="1" x14ac:dyDescent="0.2">
      <c r="B122" s="2515" t="s">
        <v>221</v>
      </c>
      <c r="C122" s="370"/>
      <c r="D122" s="370"/>
      <c r="E122" s="370" t="s">
        <v>50</v>
      </c>
      <c r="F122" s="370" t="s">
        <v>50</v>
      </c>
      <c r="G122" s="370" t="s">
        <v>50</v>
      </c>
      <c r="H122" s="373" t="s">
        <v>50</v>
      </c>
      <c r="I122" s="373" t="s">
        <v>50</v>
      </c>
      <c r="J122" s="373"/>
      <c r="K122" s="373"/>
      <c r="L122" s="373" t="s">
        <v>72</v>
      </c>
      <c r="M122" s="375" t="s">
        <v>72</v>
      </c>
      <c r="N122" s="370" t="s">
        <v>72</v>
      </c>
      <c r="O122" s="370" t="s">
        <v>72</v>
      </c>
      <c r="P122" s="370" t="s">
        <v>72</v>
      </c>
      <c r="Q122" s="370" t="s">
        <v>72</v>
      </c>
      <c r="R122" s="370" t="s">
        <v>72</v>
      </c>
      <c r="S122" s="370" t="s">
        <v>50</v>
      </c>
      <c r="T122" s="370" t="s">
        <v>50</v>
      </c>
      <c r="U122" s="370" t="s">
        <v>50</v>
      </c>
      <c r="V122" s="373" t="s">
        <v>50</v>
      </c>
      <c r="W122" s="373" t="s">
        <v>50</v>
      </c>
      <c r="X122" s="373"/>
      <c r="Y122" s="373"/>
      <c r="Z122" s="373" t="s">
        <v>72</v>
      </c>
      <c r="AA122" s="370" t="s">
        <v>72</v>
      </c>
      <c r="AB122" s="375" t="s">
        <v>72</v>
      </c>
      <c r="AC122" s="370" t="s">
        <v>72</v>
      </c>
      <c r="AD122" s="370" t="s">
        <v>72</v>
      </c>
      <c r="AE122" s="370"/>
      <c r="AF122" s="370"/>
      <c r="AG122" s="3202"/>
      <c r="AH122" s="1"/>
      <c r="AJ122" s="3543">
        <f>$AJ$12</f>
        <v>160.33000000000001</v>
      </c>
      <c r="AK122" s="3543"/>
      <c r="AL122" s="3543">
        <f>IF(AJ122="","",SUM(AJ122:AK122))</f>
        <v>160.33000000000001</v>
      </c>
      <c r="AM122" s="3544">
        <f>IF(AJ122="","",AL122-AJ122)</f>
        <v>0</v>
      </c>
      <c r="AN122" s="3544">
        <f>IF(AM122="","",AM122+'Januar 2025'!AN121)</f>
        <v>0</v>
      </c>
    </row>
    <row r="123" spans="1:40" ht="18" customHeight="1" thickBot="1" x14ac:dyDescent="0.25">
      <c r="B123" s="2516" t="s">
        <v>222</v>
      </c>
      <c r="C123" s="3618"/>
      <c r="D123" s="3618"/>
      <c r="E123" s="3618" t="s">
        <v>72</v>
      </c>
      <c r="F123" s="3614" t="s">
        <v>72</v>
      </c>
      <c r="G123" s="3614" t="s">
        <v>72</v>
      </c>
      <c r="H123" s="3614" t="s">
        <v>72</v>
      </c>
      <c r="I123" s="3614" t="s">
        <v>72</v>
      </c>
      <c r="J123" s="3614"/>
      <c r="K123" s="3614"/>
      <c r="L123" s="3614" t="s">
        <v>50</v>
      </c>
      <c r="M123" s="3614" t="s">
        <v>50</v>
      </c>
      <c r="N123" s="3614" t="s">
        <v>50</v>
      </c>
      <c r="O123" s="3618" t="s">
        <v>50</v>
      </c>
      <c r="P123" s="3618" t="s">
        <v>50</v>
      </c>
      <c r="Q123" s="3618"/>
      <c r="R123" s="3618"/>
      <c r="S123" s="3618" t="s">
        <v>72</v>
      </c>
      <c r="T123" s="3614" t="s">
        <v>72</v>
      </c>
      <c r="U123" s="3614" t="s">
        <v>72</v>
      </c>
      <c r="V123" s="3614" t="s">
        <v>72</v>
      </c>
      <c r="W123" s="3614" t="s">
        <v>72</v>
      </c>
      <c r="X123" s="3614" t="s">
        <v>72</v>
      </c>
      <c r="Y123" s="3614" t="s">
        <v>72</v>
      </c>
      <c r="Z123" s="3614" t="s">
        <v>50</v>
      </c>
      <c r="AA123" s="3614" t="s">
        <v>50</v>
      </c>
      <c r="AB123" s="3614" t="s">
        <v>50</v>
      </c>
      <c r="AC123" s="3618" t="s">
        <v>50</v>
      </c>
      <c r="AD123" s="3618" t="s">
        <v>50</v>
      </c>
      <c r="AE123" s="3618"/>
      <c r="AF123" s="3618"/>
      <c r="AG123" s="3614"/>
      <c r="AH123" s="1"/>
      <c r="AJ123" s="3543">
        <f>$AJ$12</f>
        <v>160.33000000000001</v>
      </c>
      <c r="AK123" s="3543"/>
      <c r="AL123" s="3543">
        <f>IF(AJ123="","",SUM(AJ123:AK123))</f>
        <v>160.33000000000001</v>
      </c>
      <c r="AM123" s="3544">
        <f>IF(AJ123="","",AL123-AJ123)</f>
        <v>0</v>
      </c>
      <c r="AN123" s="3544">
        <f>IF(AM123="","",AM123+'Januar 2025'!AN122)</f>
        <v>0</v>
      </c>
    </row>
    <row r="124" spans="1:40" ht="18" customHeight="1" x14ac:dyDescent="0.2">
      <c r="B124" s="235" t="s">
        <v>0</v>
      </c>
      <c r="C124" s="234" t="s">
        <v>0</v>
      </c>
      <c r="D124" s="234" t="s">
        <v>0</v>
      </c>
      <c r="E124" s="234" t="s">
        <v>0</v>
      </c>
      <c r="F124" s="234" t="s">
        <v>0</v>
      </c>
      <c r="G124" s="234" t="s">
        <v>0</v>
      </c>
      <c r="H124" s="234" t="s">
        <v>0</v>
      </c>
      <c r="I124" s="234" t="s">
        <v>0</v>
      </c>
      <c r="J124" s="234" t="s">
        <v>0</v>
      </c>
      <c r="K124" s="234" t="s">
        <v>0</v>
      </c>
      <c r="L124" s="234" t="s">
        <v>0</v>
      </c>
      <c r="M124" s="234" t="s">
        <v>0</v>
      </c>
      <c r="N124" s="234" t="s">
        <v>0</v>
      </c>
      <c r="O124" s="234" t="s">
        <v>0</v>
      </c>
      <c r="P124" s="234" t="s">
        <v>0</v>
      </c>
      <c r="Q124" s="234" t="s">
        <v>0</v>
      </c>
      <c r="R124" s="234" t="s">
        <v>0</v>
      </c>
      <c r="S124" s="234" t="s">
        <v>0</v>
      </c>
      <c r="T124" s="234" t="s">
        <v>0</v>
      </c>
      <c r="U124" s="234" t="s">
        <v>0</v>
      </c>
      <c r="V124" s="234" t="s">
        <v>0</v>
      </c>
      <c r="W124" s="234" t="s">
        <v>0</v>
      </c>
      <c r="X124" s="234" t="s">
        <v>0</v>
      </c>
      <c r="Y124" s="234" t="s">
        <v>0</v>
      </c>
      <c r="Z124" s="234" t="s">
        <v>0</v>
      </c>
      <c r="AA124" s="234" t="s">
        <v>0</v>
      </c>
      <c r="AB124" s="234" t="s">
        <v>0</v>
      </c>
      <c r="AC124" s="234" t="s">
        <v>0</v>
      </c>
      <c r="AD124" s="234" t="s">
        <v>0</v>
      </c>
      <c r="AE124" s="234"/>
      <c r="AF124" s="234"/>
      <c r="AG124" s="234"/>
      <c r="AH124" s="1"/>
      <c r="AJ124" s="123"/>
      <c r="AK124" s="123"/>
      <c r="AL124" s="123"/>
      <c r="AM124" s="215"/>
      <c r="AN124" s="215"/>
    </row>
    <row r="125" spans="1:40" ht="18" customHeight="1" x14ac:dyDescent="0.2">
      <c r="A125" s="3" t="s">
        <v>223</v>
      </c>
      <c r="AH125" s="1"/>
      <c r="AJ125" s="123"/>
      <c r="AK125" s="123"/>
      <c r="AL125" s="123"/>
      <c r="AM125" s="215"/>
      <c r="AN125" s="215"/>
    </row>
    <row r="126" spans="1:40" ht="18" customHeight="1" x14ac:dyDescent="0.25">
      <c r="B126" s="217"/>
      <c r="C126" s="218"/>
      <c r="D126" s="218"/>
      <c r="E126" s="221" t="s">
        <v>198</v>
      </c>
      <c r="F126" s="218"/>
      <c r="G126" s="218"/>
      <c r="H126" s="218"/>
      <c r="I126" s="218"/>
      <c r="J126" s="218"/>
      <c r="K126" s="226" t="s">
        <v>13</v>
      </c>
      <c r="L126" s="222"/>
      <c r="M126" s="222"/>
      <c r="N126" s="222"/>
      <c r="O126" s="222"/>
      <c r="P126" s="222"/>
      <c r="Q126" s="222"/>
      <c r="R126" s="222"/>
      <c r="S126" s="222"/>
      <c r="T126" s="223"/>
      <c r="AH126" s="1"/>
      <c r="AJ126" s="123"/>
      <c r="AK126" s="123"/>
      <c r="AL126" s="123"/>
      <c r="AM126" s="215"/>
      <c r="AN126" s="215"/>
    </row>
    <row r="127" spans="1:40" ht="18" customHeight="1" thickBot="1" x14ac:dyDescent="0.3">
      <c r="B127" s="217" t="s">
        <v>536</v>
      </c>
      <c r="C127" s="218"/>
      <c r="D127" s="218"/>
      <c r="E127" s="219" t="s">
        <v>224</v>
      </c>
      <c r="F127" s="218"/>
      <c r="G127" s="218"/>
      <c r="H127" s="218"/>
      <c r="I127" s="218"/>
      <c r="J127" s="218"/>
      <c r="K127" s="218" t="s">
        <v>0</v>
      </c>
      <c r="L127" s="218"/>
      <c r="M127" s="218"/>
      <c r="N127" s="218"/>
      <c r="O127" s="218"/>
      <c r="P127" s="218"/>
      <c r="Q127" s="218"/>
      <c r="R127" s="236" t="s">
        <v>0</v>
      </c>
      <c r="S127" s="236"/>
      <c r="T127" s="236"/>
      <c r="AH127" s="1"/>
      <c r="AJ127" s="123"/>
      <c r="AK127" s="123"/>
      <c r="AL127" s="123"/>
      <c r="AM127" s="215"/>
      <c r="AN127" s="215"/>
    </row>
    <row r="128" spans="1:40" ht="18" customHeight="1" thickBot="1" x14ac:dyDescent="0.25">
      <c r="T128" s="108"/>
      <c r="U128" s="108"/>
      <c r="V128" s="108"/>
      <c r="AH128" s="1"/>
      <c r="AJ128" s="123"/>
      <c r="AK128" s="123"/>
      <c r="AL128" s="123"/>
      <c r="AM128" s="215"/>
      <c r="AN128" s="215"/>
    </row>
    <row r="129" spans="1:40" ht="18" customHeight="1" x14ac:dyDescent="0.2">
      <c r="B129" s="3261" t="s">
        <v>44</v>
      </c>
      <c r="C129" s="2707">
        <v>1</v>
      </c>
      <c r="D129" s="2707">
        <v>2</v>
      </c>
      <c r="E129" s="2706">
        <v>3</v>
      </c>
      <c r="F129" s="2706">
        <v>4</v>
      </c>
      <c r="G129" s="2706">
        <v>5</v>
      </c>
      <c r="H129" s="2706">
        <v>6</v>
      </c>
      <c r="I129" s="2706">
        <v>7</v>
      </c>
      <c r="J129" s="2707">
        <v>8</v>
      </c>
      <c r="K129" s="2707">
        <v>9</v>
      </c>
      <c r="L129" s="2706">
        <v>10</v>
      </c>
      <c r="M129" s="2706">
        <v>11</v>
      </c>
      <c r="N129" s="2706">
        <v>12</v>
      </c>
      <c r="O129" s="2706">
        <v>13</v>
      </c>
      <c r="P129" s="2706">
        <v>14</v>
      </c>
      <c r="Q129" s="2707">
        <v>15</v>
      </c>
      <c r="R129" s="2707">
        <v>16</v>
      </c>
      <c r="S129" s="2706">
        <v>17</v>
      </c>
      <c r="T129" s="2706">
        <v>18</v>
      </c>
      <c r="U129" s="2706">
        <v>19</v>
      </c>
      <c r="V129" s="2706">
        <v>20</v>
      </c>
      <c r="W129" s="2706">
        <v>21</v>
      </c>
      <c r="X129" s="2707">
        <v>22</v>
      </c>
      <c r="Y129" s="2707">
        <v>23</v>
      </c>
      <c r="Z129" s="2706">
        <v>24</v>
      </c>
      <c r="AA129" s="2706">
        <v>25</v>
      </c>
      <c r="AB129" s="2706">
        <v>26</v>
      </c>
      <c r="AC129" s="2706">
        <v>27</v>
      </c>
      <c r="AD129" s="2706">
        <v>28</v>
      </c>
      <c r="AE129" s="2706"/>
      <c r="AF129" s="2706"/>
      <c r="AG129" s="3501"/>
      <c r="AH129" s="1"/>
      <c r="AJ129" s="3500" t="s">
        <v>41</v>
      </c>
      <c r="AK129" s="3500" t="s">
        <v>62</v>
      </c>
      <c r="AL129" s="3500" t="s">
        <v>63</v>
      </c>
      <c r="AM129" s="3500" t="s">
        <v>64</v>
      </c>
      <c r="AN129" s="3500" t="s">
        <v>65</v>
      </c>
    </row>
    <row r="130" spans="1:40" ht="18" customHeight="1" x14ac:dyDescent="0.2">
      <c r="B130" s="3264" t="s">
        <v>231</v>
      </c>
      <c r="C130" s="3202"/>
      <c r="D130" s="3660"/>
      <c r="E130" s="3202" t="s">
        <v>50</v>
      </c>
      <c r="F130" s="3202" t="s">
        <v>50</v>
      </c>
      <c r="G130" s="3202" t="s">
        <v>50</v>
      </c>
      <c r="H130" s="3661" t="s">
        <v>50</v>
      </c>
      <c r="I130" s="3661" t="s">
        <v>50</v>
      </c>
      <c r="J130" s="3661"/>
      <c r="K130" s="3661"/>
      <c r="L130" s="3662" t="s">
        <v>162</v>
      </c>
      <c r="M130" s="3662" t="s">
        <v>162</v>
      </c>
      <c r="N130" s="3662" t="s">
        <v>162</v>
      </c>
      <c r="O130" s="3662" t="s">
        <v>162</v>
      </c>
      <c r="P130" s="3662" t="s">
        <v>162</v>
      </c>
      <c r="Q130" s="3662" t="s">
        <v>162</v>
      </c>
      <c r="R130" s="3662" t="s">
        <v>162</v>
      </c>
      <c r="S130" s="3202" t="s">
        <v>50</v>
      </c>
      <c r="T130" s="3202" t="s">
        <v>50</v>
      </c>
      <c r="U130" s="3202" t="s">
        <v>50</v>
      </c>
      <c r="V130" s="3201" t="s">
        <v>50</v>
      </c>
      <c r="W130" s="3661" t="s">
        <v>50</v>
      </c>
      <c r="X130" s="3661" t="s">
        <v>162</v>
      </c>
      <c r="Y130" s="3661" t="s">
        <v>162</v>
      </c>
      <c r="Z130" s="3663" t="s">
        <v>162</v>
      </c>
      <c r="AA130" s="3202" t="s">
        <v>162</v>
      </c>
      <c r="AB130" s="3202" t="s">
        <v>162</v>
      </c>
      <c r="AC130" s="3222" t="s">
        <v>162</v>
      </c>
      <c r="AD130" s="3202" t="s">
        <v>162</v>
      </c>
      <c r="AE130" s="3202"/>
      <c r="AF130" s="3202"/>
      <c r="AG130" s="3202"/>
      <c r="AH130" s="1"/>
      <c r="AJ130" s="3543">
        <f>$AJ$12</f>
        <v>160.33000000000001</v>
      </c>
      <c r="AK130" s="3543"/>
      <c r="AL130" s="3543">
        <f>IF(AJ130="","",SUM(AJ130:AK130))</f>
        <v>160.33000000000001</v>
      </c>
      <c r="AM130" s="3544">
        <f>IF(AJ130="","",AL130-AJ130)</f>
        <v>0</v>
      </c>
      <c r="AN130" s="3544">
        <f>IF(AM130="","",AM130+'Januar 2025'!AN129)</f>
        <v>0</v>
      </c>
    </row>
    <row r="131" spans="1:40" ht="18" customHeight="1" x14ac:dyDescent="0.2">
      <c r="B131" s="3496" t="s">
        <v>161</v>
      </c>
      <c r="C131" s="3618"/>
      <c r="D131" s="3618"/>
      <c r="E131" s="3618" t="s">
        <v>162</v>
      </c>
      <c r="F131" s="3614" t="s">
        <v>162</v>
      </c>
      <c r="G131" s="3614" t="s">
        <v>162</v>
      </c>
      <c r="H131" s="3614" t="s">
        <v>162</v>
      </c>
      <c r="I131" s="3614" t="s">
        <v>162</v>
      </c>
      <c r="J131" s="3614"/>
      <c r="K131" s="3614"/>
      <c r="L131" s="3614" t="s">
        <v>50</v>
      </c>
      <c r="M131" s="3614" t="s">
        <v>50</v>
      </c>
      <c r="N131" s="3614" t="s">
        <v>50</v>
      </c>
      <c r="O131" s="3618" t="s">
        <v>50</v>
      </c>
      <c r="P131" s="3618" t="s">
        <v>50</v>
      </c>
      <c r="Q131" s="3618"/>
      <c r="R131" s="3618"/>
      <c r="S131" s="3389" t="s">
        <v>162</v>
      </c>
      <c r="T131" s="3389" t="s">
        <v>162</v>
      </c>
      <c r="U131" s="3389" t="s">
        <v>162</v>
      </c>
      <c r="V131" s="3389" t="s">
        <v>162</v>
      </c>
      <c r="W131" s="3389" t="s">
        <v>162</v>
      </c>
      <c r="X131" s="3389" t="s">
        <v>162</v>
      </c>
      <c r="Y131" s="3389" t="s">
        <v>162</v>
      </c>
      <c r="Z131" s="3389" t="s">
        <v>50</v>
      </c>
      <c r="AA131" s="3389" t="s">
        <v>50</v>
      </c>
      <c r="AB131" s="3389" t="s">
        <v>50</v>
      </c>
      <c r="AC131" s="3389" t="s">
        <v>50</v>
      </c>
      <c r="AD131" s="3389" t="s">
        <v>50</v>
      </c>
      <c r="AE131" s="3618"/>
      <c r="AF131" s="3618"/>
      <c r="AG131" s="3614"/>
      <c r="AH131" s="1"/>
      <c r="AJ131" s="3543">
        <f>$AJ$12</f>
        <v>160.33000000000001</v>
      </c>
      <c r="AK131" s="3543"/>
      <c r="AL131" s="3543">
        <f>IF(AJ131="","",SUM(AJ131:AK131))</f>
        <v>160.33000000000001</v>
      </c>
      <c r="AM131" s="3544">
        <f>IF(AJ131="","",AL131-AJ131)</f>
        <v>0</v>
      </c>
      <c r="AN131" s="3544">
        <f>IF(AM131="","",AM131+'Januar 2025'!AN130)</f>
        <v>0</v>
      </c>
    </row>
    <row r="132" spans="1:40" ht="18" customHeight="1" x14ac:dyDescent="0.2">
      <c r="B132" s="127"/>
      <c r="C132" s="128"/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28"/>
      <c r="T132" s="128"/>
      <c r="U132" s="128"/>
      <c r="V132" s="128"/>
      <c r="W132" s="128"/>
      <c r="X132" s="128"/>
      <c r="Y132" s="128"/>
      <c r="Z132" s="128"/>
      <c r="AA132" s="128"/>
      <c r="AB132" s="128"/>
      <c r="AC132" s="128"/>
      <c r="AD132" s="128"/>
      <c r="AE132" s="128"/>
      <c r="AF132" s="128"/>
      <c r="AG132" s="128"/>
      <c r="AH132" s="1"/>
    </row>
    <row r="133" spans="1:40" ht="18" customHeight="1" thickBot="1" x14ac:dyDescent="0.25">
      <c r="B133" s="60" t="s">
        <v>503</v>
      </c>
      <c r="T133" s="10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"/>
    </row>
    <row r="134" spans="1:40" ht="18" customHeight="1" thickBot="1" x14ac:dyDescent="0.3">
      <c r="B134" s="217"/>
      <c r="C134" s="218"/>
      <c r="D134" s="218"/>
      <c r="E134" s="221" t="s">
        <v>198</v>
      </c>
      <c r="F134" s="218"/>
      <c r="G134" s="218"/>
      <c r="H134" s="218"/>
      <c r="I134" s="218"/>
      <c r="J134" s="218"/>
      <c r="K134" s="226" t="s">
        <v>13</v>
      </c>
      <c r="L134" s="222"/>
      <c r="M134" s="222"/>
      <c r="N134" s="222"/>
      <c r="O134" s="222"/>
      <c r="P134" s="222"/>
      <c r="Q134" s="222"/>
      <c r="R134" s="222"/>
      <c r="S134" s="222"/>
      <c r="T134" s="223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"/>
    </row>
    <row r="135" spans="1:40" ht="18" customHeight="1" thickBot="1" x14ac:dyDescent="0.3">
      <c r="B135" s="217" t="s">
        <v>487</v>
      </c>
      <c r="C135" s="218"/>
      <c r="D135" s="218"/>
      <c r="E135" s="219" t="s">
        <v>488</v>
      </c>
      <c r="F135" s="218"/>
      <c r="G135" s="218"/>
      <c r="H135" s="218"/>
      <c r="I135" s="218"/>
      <c r="J135" s="218"/>
      <c r="K135" s="218"/>
      <c r="L135" s="218"/>
      <c r="M135" s="218"/>
      <c r="N135" s="218"/>
      <c r="O135" s="218"/>
      <c r="P135" s="218"/>
      <c r="Q135" s="218"/>
      <c r="R135" s="236"/>
      <c r="S135" s="236"/>
      <c r="T135" s="236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"/>
    </row>
    <row r="136" spans="1:40" ht="18" customHeight="1" thickBot="1" x14ac:dyDescent="0.3">
      <c r="B136" s="227"/>
      <c r="C136" s="227"/>
      <c r="D136" s="227"/>
      <c r="E136" s="351"/>
      <c r="F136" s="227"/>
      <c r="G136" s="227"/>
      <c r="H136" s="227"/>
      <c r="I136" s="227"/>
      <c r="J136" s="227"/>
      <c r="K136" s="227"/>
      <c r="L136" s="227"/>
      <c r="M136" s="227"/>
      <c r="N136" s="227"/>
      <c r="O136" s="227"/>
      <c r="P136" s="227"/>
      <c r="Q136" s="227"/>
      <c r="R136" s="236"/>
      <c r="S136" s="236"/>
      <c r="T136" s="236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"/>
    </row>
    <row r="137" spans="1:40" ht="18" customHeight="1" thickBot="1" x14ac:dyDescent="0.25">
      <c r="B137" s="3261" t="s">
        <v>44</v>
      </c>
      <c r="C137" s="2707">
        <v>1</v>
      </c>
      <c r="D137" s="2707">
        <v>2</v>
      </c>
      <c r="E137" s="2706">
        <v>3</v>
      </c>
      <c r="F137" s="2706">
        <v>4</v>
      </c>
      <c r="G137" s="2706">
        <v>5</v>
      </c>
      <c r="H137" s="2706">
        <v>6</v>
      </c>
      <c r="I137" s="2706">
        <v>7</v>
      </c>
      <c r="J137" s="2707">
        <v>8</v>
      </c>
      <c r="K137" s="2707">
        <v>9</v>
      </c>
      <c r="L137" s="2706">
        <v>10</v>
      </c>
      <c r="M137" s="2706">
        <v>11</v>
      </c>
      <c r="N137" s="2706">
        <v>12</v>
      </c>
      <c r="O137" s="2706">
        <v>13</v>
      </c>
      <c r="P137" s="2706">
        <v>14</v>
      </c>
      <c r="Q137" s="2707">
        <v>15</v>
      </c>
      <c r="R137" s="2707">
        <v>16</v>
      </c>
      <c r="S137" s="2706">
        <v>17</v>
      </c>
      <c r="T137" s="2706">
        <v>18</v>
      </c>
      <c r="U137" s="2706">
        <v>19</v>
      </c>
      <c r="V137" s="2706">
        <v>20</v>
      </c>
      <c r="W137" s="2706">
        <v>21</v>
      </c>
      <c r="X137" s="2707">
        <v>22</v>
      </c>
      <c r="Y137" s="2707">
        <v>23</v>
      </c>
      <c r="Z137" s="2706">
        <v>24</v>
      </c>
      <c r="AA137" s="2706">
        <v>25</v>
      </c>
      <c r="AB137" s="2706">
        <v>26</v>
      </c>
      <c r="AC137" s="2706">
        <v>27</v>
      </c>
      <c r="AD137" s="2706">
        <v>28</v>
      </c>
      <c r="AE137" s="2706"/>
      <c r="AF137" s="2706"/>
      <c r="AG137" s="3501"/>
      <c r="AH137" s="1"/>
    </row>
    <row r="138" spans="1:40" ht="18" customHeight="1" thickBot="1" x14ac:dyDescent="0.25">
      <c r="B138" s="3264"/>
      <c r="C138" s="3202"/>
      <c r="D138" s="3202"/>
      <c r="E138" s="3202" t="s">
        <v>50</v>
      </c>
      <c r="F138" s="3202" t="s">
        <v>50</v>
      </c>
      <c r="G138" s="3202" t="s">
        <v>50</v>
      </c>
      <c r="H138" s="3201" t="s">
        <v>50</v>
      </c>
      <c r="I138" s="3201" t="s">
        <v>50</v>
      </c>
      <c r="J138" s="3201"/>
      <c r="K138" s="3201"/>
      <c r="L138" s="3202" t="s">
        <v>475</v>
      </c>
      <c r="M138" s="3202" t="s">
        <v>475</v>
      </c>
      <c r="N138" s="3202" t="s">
        <v>475</v>
      </c>
      <c r="O138" s="3202" t="s">
        <v>475</v>
      </c>
      <c r="P138" s="3202" t="s">
        <v>475</v>
      </c>
      <c r="Q138" s="3202" t="s">
        <v>475</v>
      </c>
      <c r="R138" s="3202" t="s">
        <v>475</v>
      </c>
      <c r="S138" s="3202" t="s">
        <v>50</v>
      </c>
      <c r="T138" s="3202" t="s">
        <v>50</v>
      </c>
      <c r="U138" s="3202" t="s">
        <v>50</v>
      </c>
      <c r="V138" s="3201" t="s">
        <v>50</v>
      </c>
      <c r="W138" s="3201" t="s">
        <v>50</v>
      </c>
      <c r="X138" s="3201"/>
      <c r="Y138" s="3201"/>
      <c r="Z138" s="3202" t="s">
        <v>475</v>
      </c>
      <c r="AA138" s="3202" t="s">
        <v>475</v>
      </c>
      <c r="AB138" s="3202" t="s">
        <v>475</v>
      </c>
      <c r="AC138" s="3202" t="s">
        <v>475</v>
      </c>
      <c r="AD138" s="3202" t="s">
        <v>475</v>
      </c>
      <c r="AE138" s="3202"/>
      <c r="AF138" s="3202"/>
      <c r="AG138" s="3202"/>
      <c r="AH138" s="1"/>
    </row>
    <row r="139" spans="1:40" ht="18" customHeight="1" x14ac:dyDescent="0.2">
      <c r="B139" s="3496"/>
      <c r="C139" s="3618"/>
      <c r="D139" s="3618"/>
      <c r="E139" s="3202" t="s">
        <v>475</v>
      </c>
      <c r="F139" s="3202" t="s">
        <v>475</v>
      </c>
      <c r="G139" s="3202" t="s">
        <v>475</v>
      </c>
      <c r="H139" s="3202" t="s">
        <v>475</v>
      </c>
      <c r="I139" s="3202" t="s">
        <v>475</v>
      </c>
      <c r="J139" s="3202"/>
      <c r="K139" s="3202"/>
      <c r="L139" s="3614" t="s">
        <v>50</v>
      </c>
      <c r="M139" s="3614" t="s">
        <v>50</v>
      </c>
      <c r="N139" s="3614" t="s">
        <v>50</v>
      </c>
      <c r="O139" s="3618" t="s">
        <v>50</v>
      </c>
      <c r="P139" s="3618" t="s">
        <v>50</v>
      </c>
      <c r="Q139" s="3618"/>
      <c r="R139" s="3618"/>
      <c r="S139" s="3202" t="s">
        <v>475</v>
      </c>
      <c r="T139" s="3202" t="s">
        <v>475</v>
      </c>
      <c r="U139" s="3202" t="s">
        <v>475</v>
      </c>
      <c r="V139" s="3202" t="s">
        <v>475</v>
      </c>
      <c r="W139" s="3202" t="s">
        <v>475</v>
      </c>
      <c r="X139" s="3202" t="s">
        <v>475</v>
      </c>
      <c r="Y139" s="3202" t="s">
        <v>475</v>
      </c>
      <c r="Z139" s="3614" t="s">
        <v>50</v>
      </c>
      <c r="AA139" s="3614" t="s">
        <v>50</v>
      </c>
      <c r="AB139" s="3614" t="s">
        <v>50</v>
      </c>
      <c r="AC139" s="3618" t="s">
        <v>50</v>
      </c>
      <c r="AD139" s="3618" t="s">
        <v>50</v>
      </c>
      <c r="AE139" s="3618"/>
      <c r="AF139" s="3618"/>
      <c r="AG139" s="3614"/>
      <c r="AH139" s="1"/>
    </row>
    <row r="140" spans="1:40" ht="18" customHeight="1" thickBot="1" x14ac:dyDescent="0.25">
      <c r="A140" s="129"/>
      <c r="B140" s="123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1"/>
      <c r="AH140" s="132"/>
      <c r="AI140" s="116"/>
    </row>
    <row r="141" spans="1:40" ht="18" customHeight="1" x14ac:dyDescent="0.2">
      <c r="A141" s="48"/>
      <c r="B141" s="3265" t="s">
        <v>247</v>
      </c>
      <c r="C141" s="3266"/>
      <c r="D141" s="3267" t="s">
        <v>17</v>
      </c>
      <c r="E141" s="3268"/>
      <c r="F141" s="3266"/>
      <c r="G141" s="3269" t="s">
        <v>18</v>
      </c>
      <c r="H141" s="3270"/>
      <c r="I141" s="3271"/>
      <c r="J141" s="3269" t="s">
        <v>19</v>
      </c>
      <c r="K141" s="3272"/>
      <c r="L141" s="3271"/>
      <c r="M141" s="3273" t="s">
        <v>20</v>
      </c>
      <c r="N141" s="3272"/>
      <c r="O141" s="3271"/>
      <c r="P141" s="3269" t="s">
        <v>21</v>
      </c>
      <c r="Q141" s="3274"/>
      <c r="R141" s="3271"/>
      <c r="S141" s="3269" t="s">
        <v>22</v>
      </c>
      <c r="T141" s="3275"/>
      <c r="U141" s="3271"/>
      <c r="V141" s="3269" t="s">
        <v>23</v>
      </c>
      <c r="W141" s="3274"/>
      <c r="X141" s="3276" t="s">
        <v>234</v>
      </c>
      <c r="Y141" s="3277"/>
      <c r="Z141" s="3277"/>
      <c r="AA141" s="3278"/>
      <c r="AB141" s="3279" t="s">
        <v>126</v>
      </c>
      <c r="AC141" s="3280"/>
      <c r="AD141" s="3280"/>
      <c r="AE141" s="3281"/>
      <c r="AF141" s="3281"/>
      <c r="AG141" s="3282"/>
      <c r="AH141" s="132"/>
      <c r="AI141" s="116"/>
    </row>
    <row r="142" spans="1:40" ht="18" customHeight="1" x14ac:dyDescent="0.2">
      <c r="A142" s="48"/>
      <c r="B142" s="3664" t="s">
        <v>248</v>
      </c>
      <c r="C142" s="3665" t="s">
        <v>249</v>
      </c>
      <c r="D142" s="3478"/>
      <c r="E142" s="3479"/>
      <c r="F142" s="3665" t="s">
        <v>249</v>
      </c>
      <c r="G142" s="3478"/>
      <c r="H142" s="3479"/>
      <c r="I142" s="3665" t="s">
        <v>249</v>
      </c>
      <c r="J142" s="3478"/>
      <c r="K142" s="3479"/>
      <c r="L142" s="3665" t="s">
        <v>249</v>
      </c>
      <c r="M142" s="3478"/>
      <c r="N142" s="3479"/>
      <c r="O142" s="3665" t="s">
        <v>250</v>
      </c>
      <c r="P142" s="3478"/>
      <c r="Q142" s="3479"/>
      <c r="R142" s="3665"/>
      <c r="S142" s="3478"/>
      <c r="T142" s="3479"/>
      <c r="U142" s="3665"/>
      <c r="V142" s="3478"/>
      <c r="W142" s="3479"/>
      <c r="X142" s="3665"/>
      <c r="Y142" s="3285"/>
      <c r="Z142" s="3285"/>
      <c r="AA142" s="3285"/>
      <c r="AB142" s="3475"/>
      <c r="AC142" s="3285"/>
      <c r="AD142" s="3285"/>
      <c r="AE142" s="3285"/>
      <c r="AF142" s="3285"/>
      <c r="AG142" s="3666"/>
      <c r="AH142" s="132"/>
      <c r="AI142" s="116"/>
    </row>
    <row r="143" spans="1:40" ht="18" customHeight="1" x14ac:dyDescent="0.2">
      <c r="A143" s="48"/>
      <c r="B143" s="4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132"/>
      <c r="AI143" s="116"/>
    </row>
    <row r="144" spans="1:40" ht="18" customHeight="1" x14ac:dyDescent="0.2">
      <c r="A144" s="2543" t="s">
        <v>43</v>
      </c>
      <c r="B144" s="2817" t="s">
        <v>44</v>
      </c>
      <c r="C144" s="2707">
        <v>1</v>
      </c>
      <c r="D144" s="2707">
        <v>2</v>
      </c>
      <c r="E144" s="2706">
        <v>3</v>
      </c>
      <c r="F144" s="2706">
        <v>4</v>
      </c>
      <c r="G144" s="2706">
        <v>5</v>
      </c>
      <c r="H144" s="2706">
        <v>6</v>
      </c>
      <c r="I144" s="2706">
        <v>7</v>
      </c>
      <c r="J144" s="2707">
        <v>8</v>
      </c>
      <c r="K144" s="2707">
        <v>9</v>
      </c>
      <c r="L144" s="2706">
        <v>10</v>
      </c>
      <c r="M144" s="2706">
        <v>11</v>
      </c>
      <c r="N144" s="2706">
        <v>12</v>
      </c>
      <c r="O144" s="2706">
        <v>13</v>
      </c>
      <c r="P144" s="2706">
        <v>14</v>
      </c>
      <c r="Q144" s="2707">
        <v>15</v>
      </c>
      <c r="R144" s="2707">
        <v>16</v>
      </c>
      <c r="S144" s="2706">
        <v>17</v>
      </c>
      <c r="T144" s="2706">
        <v>18</v>
      </c>
      <c r="U144" s="2706">
        <v>19</v>
      </c>
      <c r="V144" s="2706">
        <v>20</v>
      </c>
      <c r="W144" s="2706">
        <v>21</v>
      </c>
      <c r="X144" s="2707">
        <v>22</v>
      </c>
      <c r="Y144" s="2707">
        <v>23</v>
      </c>
      <c r="Z144" s="2706">
        <v>24</v>
      </c>
      <c r="AA144" s="2706">
        <v>25</v>
      </c>
      <c r="AB144" s="2706">
        <v>26</v>
      </c>
      <c r="AC144" s="2706">
        <v>27</v>
      </c>
      <c r="AD144" s="2706">
        <v>28</v>
      </c>
      <c r="AE144" s="2706"/>
      <c r="AF144" s="2706"/>
      <c r="AG144" s="3501"/>
      <c r="AH144" s="132"/>
      <c r="AI144" s="116"/>
    </row>
    <row r="145" spans="1:35" ht="18" customHeight="1" x14ac:dyDescent="0.2">
      <c r="A145" s="3288">
        <v>8520</v>
      </c>
      <c r="B145" s="3289" t="s">
        <v>251</v>
      </c>
      <c r="C145" s="3164"/>
      <c r="D145" s="3164"/>
      <c r="E145" s="3164" t="s">
        <v>252</v>
      </c>
      <c r="F145" s="3164" t="s">
        <v>252</v>
      </c>
      <c r="G145" s="3667" t="s">
        <v>252</v>
      </c>
      <c r="H145" s="3667" t="s">
        <v>252</v>
      </c>
      <c r="I145" s="3667" t="s">
        <v>252</v>
      </c>
      <c r="J145" s="3164"/>
      <c r="K145" s="3164"/>
      <c r="L145" s="3197" t="s">
        <v>252</v>
      </c>
      <c r="M145" s="3197" t="s">
        <v>252</v>
      </c>
      <c r="N145" s="3197" t="s">
        <v>253</v>
      </c>
      <c r="O145" s="3164" t="s">
        <v>252</v>
      </c>
      <c r="P145" s="3164" t="s">
        <v>24</v>
      </c>
      <c r="Q145" s="3164"/>
      <c r="R145" s="3164"/>
      <c r="S145" s="3164" t="s">
        <v>252</v>
      </c>
      <c r="T145" s="3164" t="s">
        <v>252</v>
      </c>
      <c r="U145" s="3164" t="s">
        <v>252</v>
      </c>
      <c r="V145" s="3164" t="s">
        <v>252</v>
      </c>
      <c r="W145" s="3164" t="s">
        <v>252</v>
      </c>
      <c r="X145" s="3164"/>
      <c r="Y145" s="3164"/>
      <c r="Z145" s="3164" t="s">
        <v>252</v>
      </c>
      <c r="AA145" s="3164" t="s">
        <v>252</v>
      </c>
      <c r="AB145" s="3164" t="s">
        <v>252</v>
      </c>
      <c r="AC145" s="3164" t="s">
        <v>252</v>
      </c>
      <c r="AD145" s="3164" t="s">
        <v>252</v>
      </c>
      <c r="AE145" s="3164"/>
      <c r="AF145" s="3164"/>
      <c r="AG145" s="3239"/>
      <c r="AH145" s="132"/>
      <c r="AI145" s="116"/>
    </row>
    <row r="146" spans="1:35" ht="18" customHeight="1" x14ac:dyDescent="0.2">
      <c r="A146" s="136"/>
      <c r="B146" s="135"/>
      <c r="C146" s="128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32"/>
      <c r="AI146" s="116"/>
    </row>
    <row r="147" spans="1:35" ht="18" customHeight="1" x14ac:dyDescent="0.2">
      <c r="AH147" s="67"/>
      <c r="AI147" s="67"/>
    </row>
    <row r="148" spans="1:35" ht="18" customHeight="1" x14ac:dyDescent="0.2">
      <c r="A148" s="107" t="s">
        <v>254</v>
      </c>
      <c r="B148" s="108"/>
      <c r="C148" s="108"/>
      <c r="D148" s="109"/>
      <c r="E148" s="109"/>
      <c r="F148" s="109"/>
      <c r="G148" s="65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8"/>
      <c r="AI148" s="108"/>
    </row>
    <row r="149" spans="1:35" ht="18" customHeight="1" x14ac:dyDescent="0.2">
      <c r="A149" s="107"/>
      <c r="B149" s="3265" t="s">
        <v>255</v>
      </c>
      <c r="C149" s="3290"/>
      <c r="D149" s="3291" t="s">
        <v>17</v>
      </c>
      <c r="E149" s="3292"/>
      <c r="F149" s="3293"/>
      <c r="G149" s="3290"/>
      <c r="H149" s="3291" t="s">
        <v>18</v>
      </c>
      <c r="I149" s="3292"/>
      <c r="J149" s="3293"/>
      <c r="K149" s="3290"/>
      <c r="L149" s="3291" t="s">
        <v>19</v>
      </c>
      <c r="M149" s="3292"/>
      <c r="N149" s="3293"/>
      <c r="O149" s="3290"/>
      <c r="P149" s="3291" t="s">
        <v>20</v>
      </c>
      <c r="Q149" s="3292"/>
      <c r="R149" s="3293"/>
      <c r="S149" s="3290"/>
      <c r="T149" s="3291" t="s">
        <v>21</v>
      </c>
      <c r="U149" s="3292"/>
      <c r="V149" s="3293"/>
      <c r="W149" s="3290"/>
      <c r="X149" s="3291" t="s">
        <v>22</v>
      </c>
      <c r="Y149" s="3292"/>
      <c r="Z149" s="3293"/>
      <c r="AA149" s="3290"/>
      <c r="AB149" s="3291" t="s">
        <v>23</v>
      </c>
      <c r="AC149" s="3292"/>
      <c r="AD149" s="3292"/>
      <c r="AE149" s="3294"/>
      <c r="AF149" s="3292"/>
      <c r="AG149" s="3292"/>
      <c r="AH149" s="3292"/>
      <c r="AI149" s="3295"/>
    </row>
    <row r="150" spans="1:35" ht="18" customHeight="1" x14ac:dyDescent="0.2">
      <c r="A150" s="107"/>
      <c r="B150" s="3668" t="s">
        <v>235</v>
      </c>
      <c r="C150" s="3669">
        <v>69</v>
      </c>
      <c r="D150" s="3298" t="s">
        <v>256</v>
      </c>
      <c r="E150" s="3298"/>
      <c r="F150" s="3670"/>
      <c r="G150" s="3669">
        <v>69</v>
      </c>
      <c r="H150" s="3298" t="s">
        <v>256</v>
      </c>
      <c r="I150" s="3298"/>
      <c r="J150" s="3670"/>
      <c r="K150" s="3669">
        <v>69</v>
      </c>
      <c r="L150" s="3298" t="s">
        <v>256</v>
      </c>
      <c r="M150" s="3298"/>
      <c r="N150" s="3670"/>
      <c r="O150" s="3669">
        <v>69</v>
      </c>
      <c r="P150" s="3298" t="s">
        <v>256</v>
      </c>
      <c r="Q150" s="3298"/>
      <c r="R150" s="3670"/>
      <c r="S150" s="3669">
        <v>69</v>
      </c>
      <c r="T150" s="3298" t="s">
        <v>256</v>
      </c>
      <c r="U150" s="3298"/>
      <c r="V150" s="3670"/>
      <c r="W150" s="3669"/>
      <c r="X150" s="3300"/>
      <c r="Y150" s="3300"/>
      <c r="Z150" s="3671"/>
      <c r="AA150" s="3669"/>
      <c r="AB150" s="3298"/>
      <c r="AC150" s="3298"/>
      <c r="AD150" s="3595"/>
      <c r="AE150" s="3672"/>
      <c r="AF150" s="3298"/>
      <c r="AG150" s="3298"/>
      <c r="AH150" s="3595"/>
      <c r="AI150" s="3673"/>
    </row>
    <row r="151" spans="1:35" ht="18" customHeight="1" x14ac:dyDescent="0.2">
      <c r="A151" s="107"/>
      <c r="B151" s="3668" t="s">
        <v>236</v>
      </c>
      <c r="C151" s="3669">
        <v>79</v>
      </c>
      <c r="D151" s="3298" t="s">
        <v>257</v>
      </c>
      <c r="E151" s="3298"/>
      <c r="F151" s="3670"/>
      <c r="G151" s="3669">
        <v>79</v>
      </c>
      <c r="H151" s="3298" t="s">
        <v>257</v>
      </c>
      <c r="I151" s="3298"/>
      <c r="J151" s="3670"/>
      <c r="K151" s="3669">
        <v>79</v>
      </c>
      <c r="L151" s="3298" t="s">
        <v>257</v>
      </c>
      <c r="M151" s="3298"/>
      <c r="N151" s="3670"/>
      <c r="O151" s="3669">
        <v>79</v>
      </c>
      <c r="P151" s="3298" t="s">
        <v>257</v>
      </c>
      <c r="Q151" s="3298"/>
      <c r="R151" s="3670"/>
      <c r="S151" s="3669">
        <v>79</v>
      </c>
      <c r="T151" s="3298" t="s">
        <v>257</v>
      </c>
      <c r="U151" s="3298"/>
      <c r="V151" s="3670"/>
      <c r="W151" s="3669"/>
      <c r="X151" s="3298"/>
      <c r="Y151" s="3298"/>
      <c r="Z151" s="3670"/>
      <c r="AA151" s="3298"/>
      <c r="AB151" s="3298"/>
      <c r="AC151" s="3298"/>
      <c r="AD151" s="3595"/>
      <c r="AE151" s="3672"/>
      <c r="AF151" s="3298"/>
      <c r="AG151" s="3298"/>
      <c r="AH151" s="3595"/>
      <c r="AI151" s="3673"/>
    </row>
    <row r="152" spans="1:35" ht="18" customHeight="1" x14ac:dyDescent="0.2">
      <c r="A152" s="107"/>
      <c r="B152" s="3668" t="s">
        <v>243</v>
      </c>
      <c r="C152" s="3669">
        <v>89</v>
      </c>
      <c r="D152" s="3298" t="s">
        <v>258</v>
      </c>
      <c r="E152" s="3298"/>
      <c r="F152" s="3670"/>
      <c r="G152" s="3669">
        <v>89</v>
      </c>
      <c r="H152" s="3298" t="s">
        <v>258</v>
      </c>
      <c r="I152" s="3298"/>
      <c r="J152" s="3670"/>
      <c r="K152" s="3669">
        <v>89</v>
      </c>
      <c r="L152" s="3298" t="s">
        <v>258</v>
      </c>
      <c r="M152" s="3298"/>
      <c r="N152" s="3670"/>
      <c r="O152" s="3669">
        <v>89</v>
      </c>
      <c r="P152" s="3298" t="s">
        <v>258</v>
      </c>
      <c r="Q152" s="3298"/>
      <c r="R152" s="3670"/>
      <c r="S152" s="3669">
        <v>89</v>
      </c>
      <c r="T152" s="3298" t="s">
        <v>259</v>
      </c>
      <c r="U152" s="3298"/>
      <c r="V152" s="3670"/>
      <c r="W152" s="2560"/>
      <c r="X152" s="2561" t="s">
        <v>260</v>
      </c>
      <c r="Y152" s="2561"/>
      <c r="Z152" s="2562"/>
      <c r="AA152" s="2560"/>
      <c r="AB152" s="2561"/>
      <c r="AC152" s="2561"/>
      <c r="AD152" s="2858"/>
      <c r="AE152" s="3672"/>
      <c r="AF152" s="3298"/>
      <c r="AG152" s="3298"/>
      <c r="AH152" s="3595"/>
      <c r="AI152" s="3673"/>
    </row>
    <row r="153" spans="1:35" ht="18" customHeight="1" x14ac:dyDescent="0.2">
      <c r="A153" s="107"/>
      <c r="B153" s="19" t="s">
        <v>245</v>
      </c>
      <c r="C153" s="2560">
        <v>99</v>
      </c>
      <c r="D153" s="2561" t="s">
        <v>261</v>
      </c>
      <c r="E153" s="2561"/>
      <c r="F153" s="2562"/>
      <c r="G153" s="2560">
        <v>99</v>
      </c>
      <c r="H153" s="2561" t="s">
        <v>261</v>
      </c>
      <c r="I153" s="2561"/>
      <c r="J153" s="2562"/>
      <c r="K153" s="2560">
        <v>99</v>
      </c>
      <c r="L153" s="2561" t="s">
        <v>261</v>
      </c>
      <c r="M153" s="2561"/>
      <c r="N153" s="2562"/>
      <c r="O153" s="2560">
        <v>99</v>
      </c>
      <c r="P153" s="2561" t="s">
        <v>261</v>
      </c>
      <c r="Q153" s="2561"/>
      <c r="R153" s="2562"/>
      <c r="S153" s="2560">
        <v>99</v>
      </c>
      <c r="T153" s="2561" t="s">
        <v>244</v>
      </c>
      <c r="U153" s="2561"/>
      <c r="V153" s="2858"/>
      <c r="W153" s="2857"/>
      <c r="X153" s="2858"/>
      <c r="Y153" s="2561"/>
      <c r="Z153" s="2562"/>
      <c r="AA153" s="2857"/>
      <c r="AB153" s="2858"/>
      <c r="AC153" s="2561"/>
      <c r="AD153" s="2562"/>
      <c r="AE153" s="2563"/>
      <c r="AF153" s="2561"/>
      <c r="AG153" s="2561"/>
      <c r="AH153" s="2858"/>
      <c r="AI153" s="2564"/>
    </row>
    <row r="154" spans="1:35" ht="18" customHeight="1" x14ac:dyDescent="0.2">
      <c r="A154" s="107"/>
      <c r="B154" s="3674" t="s">
        <v>262</v>
      </c>
      <c r="C154" s="3675" t="s">
        <v>77</v>
      </c>
      <c r="D154" s="3676" t="s">
        <v>263</v>
      </c>
      <c r="E154" s="3677"/>
      <c r="F154" s="3564"/>
      <c r="G154" s="3675" t="s">
        <v>77</v>
      </c>
      <c r="H154" s="3676" t="s">
        <v>263</v>
      </c>
      <c r="I154" s="3562"/>
      <c r="J154" s="3677"/>
      <c r="K154" s="3675" t="s">
        <v>77</v>
      </c>
      <c r="L154" s="3676" t="s">
        <v>263</v>
      </c>
      <c r="M154" s="3677"/>
      <c r="N154" s="3678"/>
      <c r="O154" s="3675" t="s">
        <v>77</v>
      </c>
      <c r="P154" s="3676" t="s">
        <v>263</v>
      </c>
      <c r="Q154" s="3677"/>
      <c r="R154" s="3676"/>
      <c r="S154" s="3675" t="s">
        <v>77</v>
      </c>
      <c r="T154" s="3566" t="s">
        <v>264</v>
      </c>
      <c r="U154" s="3676"/>
      <c r="V154" s="3678"/>
      <c r="W154" s="3677"/>
      <c r="X154" s="3676"/>
      <c r="Y154" s="3676"/>
      <c r="Z154" s="3676"/>
      <c r="AA154" s="3679"/>
      <c r="AB154" s="3680"/>
      <c r="AC154" s="3676"/>
      <c r="AD154" s="3681"/>
      <c r="AE154" s="3676"/>
      <c r="AF154" s="3676"/>
      <c r="AG154" s="3676"/>
      <c r="AH154" s="3682"/>
      <c r="AI154" s="3683"/>
    </row>
    <row r="155" spans="1:35" ht="18" customHeight="1" x14ac:dyDescent="0.2">
      <c r="A155" s="68"/>
      <c r="B155" s="107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8"/>
      <c r="AI155" s="108"/>
    </row>
    <row r="156" spans="1:35" ht="18" customHeight="1" thickBot="1" x14ac:dyDescent="0.25">
      <c r="A156" s="2543"/>
      <c r="B156" s="2817" t="s">
        <v>44</v>
      </c>
      <c r="C156" s="2707">
        <v>1</v>
      </c>
      <c r="D156" s="2707">
        <v>2</v>
      </c>
      <c r="E156" s="2706">
        <v>3</v>
      </c>
      <c r="F156" s="2706">
        <v>4</v>
      </c>
      <c r="G156" s="2706">
        <v>5</v>
      </c>
      <c r="H156" s="2706">
        <v>6</v>
      </c>
      <c r="I156" s="2706">
        <v>7</v>
      </c>
      <c r="J156" s="2707">
        <v>8</v>
      </c>
      <c r="K156" s="2707">
        <v>9</v>
      </c>
      <c r="L156" s="2706">
        <v>10</v>
      </c>
      <c r="M156" s="2706">
        <v>11</v>
      </c>
      <c r="N156" s="2706">
        <v>12</v>
      </c>
      <c r="O156" s="2706">
        <v>13</v>
      </c>
      <c r="P156" s="2706">
        <v>14</v>
      </c>
      <c r="Q156" s="2707">
        <v>15</v>
      </c>
      <c r="R156" s="2707">
        <v>16</v>
      </c>
      <c r="S156" s="2706">
        <v>17</v>
      </c>
      <c r="T156" s="2706">
        <v>18</v>
      </c>
      <c r="U156" s="2706">
        <v>19</v>
      </c>
      <c r="V156" s="2706">
        <v>20</v>
      </c>
      <c r="W156" s="2706">
        <v>21</v>
      </c>
      <c r="X156" s="2707">
        <v>22</v>
      </c>
      <c r="Y156" s="2707">
        <v>23</v>
      </c>
      <c r="Z156" s="2706">
        <v>24</v>
      </c>
      <c r="AA156" s="2706">
        <v>25</v>
      </c>
      <c r="AB156" s="2706">
        <v>26</v>
      </c>
      <c r="AC156" s="2706">
        <v>27</v>
      </c>
      <c r="AD156" s="2706">
        <v>28</v>
      </c>
      <c r="AE156" s="2706"/>
      <c r="AF156" s="2706"/>
      <c r="AG156" s="3501"/>
      <c r="AH156" s="110"/>
      <c r="AI156" s="111"/>
    </row>
    <row r="157" spans="1:35" ht="18" customHeight="1" x14ac:dyDescent="0.2">
      <c r="A157" s="3318">
        <v>1</v>
      </c>
      <c r="B157" s="3319" t="s">
        <v>265</v>
      </c>
      <c r="C157" s="3166">
        <v>89</v>
      </c>
      <c r="D157" s="3166"/>
      <c r="E157" s="3164">
        <v>99</v>
      </c>
      <c r="F157" s="3164">
        <v>99</v>
      </c>
      <c r="G157" s="3165">
        <v>99</v>
      </c>
      <c r="H157" s="3166">
        <v>99</v>
      </c>
      <c r="I157" s="3165" t="s">
        <v>50</v>
      </c>
      <c r="J157" s="3165"/>
      <c r="K157" s="3166"/>
      <c r="L157" s="3193" t="s">
        <v>77</v>
      </c>
      <c r="M157" s="3193" t="s">
        <v>77</v>
      </c>
      <c r="N157" s="3193" t="s">
        <v>77</v>
      </c>
      <c r="O157" s="3193" t="s">
        <v>77</v>
      </c>
      <c r="P157" s="3193" t="s">
        <v>77</v>
      </c>
      <c r="Q157" s="3193"/>
      <c r="R157" s="3193"/>
      <c r="S157" s="3684">
        <v>69</v>
      </c>
      <c r="T157" s="3164">
        <v>69</v>
      </c>
      <c r="U157" s="3166">
        <v>69</v>
      </c>
      <c r="V157" s="3166">
        <v>69</v>
      </c>
      <c r="W157" s="3166">
        <v>69</v>
      </c>
      <c r="X157" s="3166"/>
      <c r="Y157" s="3166"/>
      <c r="Z157" s="3166">
        <v>79</v>
      </c>
      <c r="AA157" s="3165">
        <v>79</v>
      </c>
      <c r="AB157" s="3166">
        <v>79</v>
      </c>
      <c r="AC157" s="3166">
        <v>79</v>
      </c>
      <c r="AD157" s="3166">
        <v>79</v>
      </c>
      <c r="AE157" s="3166"/>
      <c r="AF157" s="3165"/>
      <c r="AG157" s="3184"/>
      <c r="AH157" s="124"/>
      <c r="AI157" s="67"/>
    </row>
    <row r="158" spans="1:35" ht="18" customHeight="1" x14ac:dyDescent="0.2">
      <c r="A158" s="3685">
        <v>2</v>
      </c>
      <c r="B158" s="3686" t="s">
        <v>266</v>
      </c>
      <c r="C158" s="3513"/>
      <c r="D158" s="3366"/>
      <c r="E158" s="3513" t="s">
        <v>77</v>
      </c>
      <c r="F158" s="3513" t="s">
        <v>77</v>
      </c>
      <c r="G158" s="3513" t="s">
        <v>77</v>
      </c>
      <c r="H158" s="3521" t="s">
        <v>77</v>
      </c>
      <c r="I158" s="3514" t="s">
        <v>77</v>
      </c>
      <c r="J158" s="3521"/>
      <c r="K158" s="3521"/>
      <c r="L158" s="3522">
        <v>69</v>
      </c>
      <c r="M158" s="3522">
        <v>69</v>
      </c>
      <c r="N158" s="3522">
        <v>69</v>
      </c>
      <c r="O158" s="3522">
        <v>69</v>
      </c>
      <c r="P158" s="3522">
        <v>69</v>
      </c>
      <c r="Q158" s="3522"/>
      <c r="R158" s="3522"/>
      <c r="S158" s="3521">
        <v>79</v>
      </c>
      <c r="T158" s="3366">
        <v>79</v>
      </c>
      <c r="U158" s="3521">
        <v>79</v>
      </c>
      <c r="V158" s="3521">
        <v>79</v>
      </c>
      <c r="W158" s="3523">
        <v>79</v>
      </c>
      <c r="X158" s="3515"/>
      <c r="Y158" s="3521"/>
      <c r="Z158" s="3521">
        <v>89</v>
      </c>
      <c r="AA158" s="3366">
        <v>89</v>
      </c>
      <c r="AB158" s="3514">
        <v>89</v>
      </c>
      <c r="AC158" s="3519">
        <v>89</v>
      </c>
      <c r="AD158" s="3519">
        <v>89</v>
      </c>
      <c r="AE158" s="3519"/>
      <c r="AF158" s="3519"/>
      <c r="AG158" s="3603"/>
      <c r="AH158" s="125"/>
      <c r="AI158" s="106"/>
    </row>
    <row r="159" spans="1:35" ht="18" customHeight="1" x14ac:dyDescent="0.2">
      <c r="A159" s="3685">
        <v>3</v>
      </c>
      <c r="B159" s="3686" t="s">
        <v>267</v>
      </c>
      <c r="C159" s="3687"/>
      <c r="D159" s="3366"/>
      <c r="E159" s="3366">
        <v>69</v>
      </c>
      <c r="F159" s="3687">
        <v>69</v>
      </c>
      <c r="G159" s="3514">
        <v>69</v>
      </c>
      <c r="H159" s="3687">
        <v>69</v>
      </c>
      <c r="I159" s="3514">
        <v>69</v>
      </c>
      <c r="J159" s="3687"/>
      <c r="K159" s="3687"/>
      <c r="L159" s="3687">
        <v>79</v>
      </c>
      <c r="M159" s="3687">
        <v>79</v>
      </c>
      <c r="N159" s="3687">
        <v>79</v>
      </c>
      <c r="O159" s="3519">
        <v>79</v>
      </c>
      <c r="P159" s="3641">
        <v>79</v>
      </c>
      <c r="Q159" s="3519"/>
      <c r="R159" s="3519"/>
      <c r="S159" s="3519">
        <v>89</v>
      </c>
      <c r="T159" s="3519">
        <v>89</v>
      </c>
      <c r="U159" s="3519">
        <v>89</v>
      </c>
      <c r="V159" s="3516">
        <v>89</v>
      </c>
      <c r="W159" s="3516">
        <v>89</v>
      </c>
      <c r="X159" s="3516">
        <v>89</v>
      </c>
      <c r="Y159" s="3687"/>
      <c r="Z159" s="3687">
        <v>99</v>
      </c>
      <c r="AA159" s="3687">
        <v>99</v>
      </c>
      <c r="AB159" s="3687">
        <v>99</v>
      </c>
      <c r="AC159" s="3687">
        <v>99</v>
      </c>
      <c r="AD159" s="3687" t="s">
        <v>50</v>
      </c>
      <c r="AE159" s="3687"/>
      <c r="AF159" s="3687"/>
      <c r="AG159" s="3688"/>
      <c r="AH159" s="124"/>
      <c r="AI159" s="67"/>
    </row>
    <row r="160" spans="1:35" ht="18" customHeight="1" x14ac:dyDescent="0.2">
      <c r="A160" s="3685">
        <v>4</v>
      </c>
      <c r="B160" s="3686" t="s">
        <v>269</v>
      </c>
      <c r="C160" s="3366"/>
      <c r="D160" s="3366"/>
      <c r="E160" s="3366">
        <v>79</v>
      </c>
      <c r="F160" s="3366">
        <v>79</v>
      </c>
      <c r="G160" s="3366">
        <v>79</v>
      </c>
      <c r="H160" s="3366">
        <v>79</v>
      </c>
      <c r="I160" s="3514">
        <v>79</v>
      </c>
      <c r="J160" s="3366"/>
      <c r="K160" s="3366"/>
      <c r="L160" s="3366">
        <v>89</v>
      </c>
      <c r="M160" s="3366">
        <v>89</v>
      </c>
      <c r="N160" s="3521">
        <v>89</v>
      </c>
      <c r="O160" s="3366">
        <v>89</v>
      </c>
      <c r="P160" s="3366">
        <v>89</v>
      </c>
      <c r="Q160" s="3641">
        <v>89</v>
      </c>
      <c r="R160" s="3641"/>
      <c r="S160" s="3366">
        <v>99</v>
      </c>
      <c r="T160" s="3366">
        <v>99</v>
      </c>
      <c r="U160" s="3366">
        <v>99</v>
      </c>
      <c r="V160" s="3366">
        <v>99</v>
      </c>
      <c r="W160" s="3366" t="s">
        <v>50</v>
      </c>
      <c r="X160" s="3366"/>
      <c r="Y160" s="3641"/>
      <c r="Z160" s="3641" t="s">
        <v>77</v>
      </c>
      <c r="AA160" s="3366" t="s">
        <v>77</v>
      </c>
      <c r="AB160" s="3507" t="s">
        <v>77</v>
      </c>
      <c r="AC160" s="3366" t="s">
        <v>152</v>
      </c>
      <c r="AD160" s="3366" t="s">
        <v>152</v>
      </c>
      <c r="AE160" s="3366"/>
      <c r="AF160" s="3641"/>
      <c r="AG160" s="3603"/>
      <c r="AH160" s="124"/>
      <c r="AI160" s="67"/>
    </row>
    <row r="161" spans="1:35" ht="18" customHeight="1" x14ac:dyDescent="0.2">
      <c r="A161" s="3689">
        <v>5</v>
      </c>
      <c r="B161" s="3582" t="s">
        <v>270</v>
      </c>
      <c r="C161" s="3643"/>
      <c r="D161" s="3643"/>
      <c r="E161" s="3534">
        <v>89</v>
      </c>
      <c r="F161" s="3572">
        <v>89</v>
      </c>
      <c r="G161" s="3572">
        <v>89</v>
      </c>
      <c r="H161" s="3535">
        <v>89</v>
      </c>
      <c r="I161" s="3535">
        <v>89</v>
      </c>
      <c r="J161" s="3535">
        <v>89</v>
      </c>
      <c r="K161" s="3535"/>
      <c r="L161" s="3534">
        <v>99</v>
      </c>
      <c r="M161" s="3534">
        <v>99</v>
      </c>
      <c r="N161" s="3535">
        <v>99</v>
      </c>
      <c r="O161" s="3643">
        <v>99</v>
      </c>
      <c r="P161" s="3643" t="s">
        <v>50</v>
      </c>
      <c r="Q161" s="3643"/>
      <c r="R161" s="3643"/>
      <c r="S161" s="3534" t="s">
        <v>77</v>
      </c>
      <c r="T161" s="3551" t="s">
        <v>77</v>
      </c>
      <c r="U161" s="3643" t="s">
        <v>77</v>
      </c>
      <c r="V161" s="3643" t="s">
        <v>77</v>
      </c>
      <c r="W161" s="3643" t="s">
        <v>77</v>
      </c>
      <c r="X161" s="3643"/>
      <c r="Y161" s="3643"/>
      <c r="Z161" s="3643">
        <v>69</v>
      </c>
      <c r="AA161" s="3572">
        <v>69</v>
      </c>
      <c r="AB161" s="3643">
        <v>69</v>
      </c>
      <c r="AC161" s="3534">
        <v>69</v>
      </c>
      <c r="AD161" s="3576">
        <v>69</v>
      </c>
      <c r="AE161" s="3534"/>
      <c r="AF161" s="3534"/>
      <c r="AG161" s="3690"/>
      <c r="AH161" s="124"/>
      <c r="AI161" s="67"/>
    </row>
    <row r="162" spans="1:35" ht="18" customHeight="1" x14ac:dyDescent="0.2">
      <c r="A162" s="129"/>
      <c r="B162" s="141"/>
      <c r="C162" s="142"/>
      <c r="D162" s="142"/>
      <c r="E162" s="142"/>
      <c r="F162" s="128"/>
      <c r="G162" s="140"/>
      <c r="H162" s="140"/>
      <c r="I162" s="140"/>
      <c r="J162" s="140"/>
      <c r="K162" s="140"/>
      <c r="L162" s="128"/>
      <c r="M162" s="128"/>
      <c r="N162" s="142"/>
      <c r="O162" s="142"/>
      <c r="P162" s="142"/>
      <c r="Q162" s="142"/>
      <c r="R162" s="142"/>
      <c r="S162" s="128"/>
      <c r="T162" s="143"/>
      <c r="U162" s="142"/>
      <c r="V162" s="142"/>
      <c r="W162" s="142"/>
      <c r="X162" s="142"/>
      <c r="Y162" s="142"/>
      <c r="Z162" s="144"/>
      <c r="AA162" s="144"/>
      <c r="AB162" s="142"/>
      <c r="AC162" s="142"/>
      <c r="AD162" s="142"/>
      <c r="AE162" s="142"/>
      <c r="AF162" s="142"/>
      <c r="AG162" s="144"/>
      <c r="AH162" s="124"/>
      <c r="AI162" s="3691"/>
    </row>
    <row r="163" spans="1:35" ht="18" customHeight="1" x14ac:dyDescent="0.2">
      <c r="A163" s="69"/>
      <c r="B163" s="70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7"/>
      <c r="AI163" s="67"/>
    </row>
    <row r="164" spans="1:35" ht="18" customHeight="1" x14ac:dyDescent="0.2">
      <c r="A164" s="107" t="s">
        <v>271</v>
      </c>
      <c r="B164" s="108"/>
      <c r="C164" s="108"/>
      <c r="D164" s="109"/>
      <c r="E164" s="109"/>
      <c r="F164" s="109"/>
      <c r="G164" s="65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8"/>
      <c r="AI164" s="108"/>
    </row>
    <row r="165" spans="1:35" ht="18" customHeight="1" x14ac:dyDescent="0.2">
      <c r="A165" s="107"/>
      <c r="B165" s="3265" t="s">
        <v>255</v>
      </c>
      <c r="C165" s="3290"/>
      <c r="D165" s="3291" t="s">
        <v>17</v>
      </c>
      <c r="E165" s="3292"/>
      <c r="F165" s="3293"/>
      <c r="G165" s="3290"/>
      <c r="H165" s="3291" t="s">
        <v>18</v>
      </c>
      <c r="I165" s="3292"/>
      <c r="J165" s="3293"/>
      <c r="K165" s="3290"/>
      <c r="L165" s="3291" t="s">
        <v>19</v>
      </c>
      <c r="M165" s="3292"/>
      <c r="N165" s="3293"/>
      <c r="O165" s="3290"/>
      <c r="P165" s="3291" t="s">
        <v>20</v>
      </c>
      <c r="Q165" s="3292"/>
      <c r="R165" s="3293"/>
      <c r="S165" s="3290"/>
      <c r="T165" s="3291" t="s">
        <v>21</v>
      </c>
      <c r="U165" s="3292"/>
      <c r="V165" s="3293"/>
      <c r="W165" s="3290"/>
      <c r="X165" s="3291" t="s">
        <v>22</v>
      </c>
      <c r="Y165" s="3292"/>
      <c r="Z165" s="3293"/>
      <c r="AA165" s="3290"/>
      <c r="AB165" s="3291" t="s">
        <v>23</v>
      </c>
      <c r="AC165" s="3292"/>
      <c r="AD165" s="3292"/>
      <c r="AE165" s="3294" t="s">
        <v>126</v>
      </c>
      <c r="AF165" s="3292"/>
      <c r="AG165" s="3292"/>
      <c r="AH165" s="3292"/>
      <c r="AI165" s="3295"/>
    </row>
    <row r="166" spans="1:35" ht="18" customHeight="1" x14ac:dyDescent="0.2">
      <c r="A166" s="107"/>
      <c r="B166" s="3668" t="s">
        <v>272</v>
      </c>
      <c r="C166" s="3594" t="s">
        <v>273</v>
      </c>
      <c r="D166" s="3298"/>
      <c r="E166" s="3298"/>
      <c r="F166" s="3670"/>
      <c r="G166" s="3594" t="s">
        <v>273</v>
      </c>
      <c r="H166" s="3298"/>
      <c r="I166" s="3298"/>
      <c r="J166" s="3670"/>
      <c r="K166" s="3594" t="s">
        <v>273</v>
      </c>
      <c r="L166" s="3298"/>
      <c r="M166" s="3298"/>
      <c r="N166" s="3670"/>
      <c r="O166" s="3594" t="s">
        <v>274</v>
      </c>
      <c r="P166" s="3298"/>
      <c r="Q166" s="3298"/>
      <c r="R166" s="3670"/>
      <c r="S166" s="3594" t="s">
        <v>275</v>
      </c>
      <c r="T166" s="3298"/>
      <c r="U166" s="3298"/>
      <c r="V166" s="3670"/>
      <c r="W166" s="3594" t="s">
        <v>276</v>
      </c>
      <c r="X166" s="3300"/>
      <c r="Y166" s="3300"/>
      <c r="Z166" s="3671"/>
      <c r="AA166" s="3594" t="s">
        <v>276</v>
      </c>
      <c r="AB166" s="3298"/>
      <c r="AC166" s="3298"/>
      <c r="AD166" s="3595"/>
      <c r="AE166" s="3672">
        <v>68</v>
      </c>
      <c r="AF166" s="948"/>
      <c r="AG166" s="948"/>
      <c r="AH166" s="948"/>
      <c r="AI166" s="949"/>
    </row>
    <row r="167" spans="1:35" ht="18" customHeight="1" x14ac:dyDescent="0.2">
      <c r="A167" s="107"/>
      <c r="B167" s="3668"/>
      <c r="C167" s="3594" t="s">
        <v>244</v>
      </c>
      <c r="D167" s="3298"/>
      <c r="E167" s="3298"/>
      <c r="F167" s="3670"/>
      <c r="G167" s="3594" t="s">
        <v>244</v>
      </c>
      <c r="H167" s="3298"/>
      <c r="I167" s="3298"/>
      <c r="J167" s="3670"/>
      <c r="K167" s="3594" t="s">
        <v>244</v>
      </c>
      <c r="L167" s="3298"/>
      <c r="M167" s="3298"/>
      <c r="N167" s="3670"/>
      <c r="O167" s="3594" t="s">
        <v>244</v>
      </c>
      <c r="P167" s="3298"/>
      <c r="Q167" s="3298"/>
      <c r="R167" s="3670"/>
      <c r="S167" s="3594" t="s">
        <v>244</v>
      </c>
      <c r="T167" s="3298"/>
      <c r="U167" s="3298"/>
      <c r="V167" s="3670"/>
      <c r="W167" s="3594" t="s">
        <v>244</v>
      </c>
      <c r="X167" s="3298"/>
      <c r="Y167" s="3298"/>
      <c r="Z167" s="3670"/>
      <c r="AA167" s="3298" t="s">
        <v>244</v>
      </c>
      <c r="AB167" s="3298"/>
      <c r="AC167" s="3298"/>
      <c r="AD167" s="3595"/>
      <c r="AE167" s="3672">
        <v>0</v>
      </c>
      <c r="AF167" s="948"/>
      <c r="AG167" s="948"/>
      <c r="AH167" s="948"/>
      <c r="AI167" s="949"/>
    </row>
    <row r="168" spans="1:35" ht="18" customHeight="1" x14ac:dyDescent="0.2">
      <c r="A168" s="107"/>
      <c r="B168" s="3668" t="s">
        <v>277</v>
      </c>
      <c r="C168" s="3594" t="s">
        <v>274</v>
      </c>
      <c r="D168" s="3298"/>
      <c r="E168" s="3298"/>
      <c r="F168" s="3670"/>
      <c r="G168" s="3594" t="s">
        <v>274</v>
      </c>
      <c r="H168" s="3298"/>
      <c r="I168" s="3298"/>
      <c r="J168" s="3670"/>
      <c r="K168" s="3594" t="s">
        <v>274</v>
      </c>
      <c r="L168" s="3298"/>
      <c r="M168" s="3298"/>
      <c r="N168" s="3670"/>
      <c r="O168" s="3594" t="s">
        <v>273</v>
      </c>
      <c r="P168" s="3298"/>
      <c r="Q168" s="3298"/>
      <c r="R168" s="3670"/>
      <c r="S168" s="3594" t="s">
        <v>273</v>
      </c>
      <c r="T168" s="3298"/>
      <c r="U168" s="3298"/>
      <c r="V168" s="3670"/>
      <c r="W168" s="3594" t="s">
        <v>275</v>
      </c>
      <c r="X168" s="3300"/>
      <c r="Y168" s="3300"/>
      <c r="Z168" s="3671"/>
      <c r="AA168" s="3594" t="s">
        <v>275</v>
      </c>
      <c r="AB168" s="3298"/>
      <c r="AC168" s="3298"/>
      <c r="AD168" s="3595"/>
      <c r="AE168" s="3672">
        <v>68</v>
      </c>
      <c r="AF168" s="3298"/>
      <c r="AG168" s="3298" t="s">
        <v>0</v>
      </c>
      <c r="AH168" s="3595"/>
      <c r="AI168" s="3673"/>
    </row>
    <row r="169" spans="1:35" ht="18" customHeight="1" x14ac:dyDescent="0.2">
      <c r="A169" s="107"/>
      <c r="B169" s="3668"/>
      <c r="C169" s="3594" t="s">
        <v>244</v>
      </c>
      <c r="D169" s="3298"/>
      <c r="E169" s="3298"/>
      <c r="F169" s="3670"/>
      <c r="G169" s="3594" t="s">
        <v>244</v>
      </c>
      <c r="H169" s="3298"/>
      <c r="I169" s="3298"/>
      <c r="J169" s="3670"/>
      <c r="K169" s="3594" t="s">
        <v>244</v>
      </c>
      <c r="L169" s="3298"/>
      <c r="M169" s="3298"/>
      <c r="N169" s="3670"/>
      <c r="O169" s="3594" t="s">
        <v>244</v>
      </c>
      <c r="P169" s="3298"/>
      <c r="Q169" s="3298"/>
      <c r="R169" s="3670"/>
      <c r="S169" s="3594" t="s">
        <v>244</v>
      </c>
      <c r="T169" s="3298"/>
      <c r="U169" s="3298"/>
      <c r="V169" s="3670"/>
      <c r="W169" s="3594" t="s">
        <v>244</v>
      </c>
      <c r="X169" s="3298"/>
      <c r="Y169" s="3298"/>
      <c r="Z169" s="3670"/>
      <c r="AA169" s="3298" t="s">
        <v>244</v>
      </c>
      <c r="AB169" s="3298"/>
      <c r="AC169" s="3298"/>
      <c r="AD169" s="3595"/>
      <c r="AE169" s="3672">
        <v>0</v>
      </c>
      <c r="AF169" s="3298"/>
      <c r="AG169" s="3298"/>
      <c r="AH169" s="3595"/>
      <c r="AI169" s="3673"/>
    </row>
    <row r="170" spans="1:35" ht="18" customHeight="1" x14ac:dyDescent="0.2">
      <c r="A170" s="107"/>
      <c r="B170" s="3668" t="s">
        <v>278</v>
      </c>
      <c r="C170" s="3594" t="s">
        <v>273</v>
      </c>
      <c r="D170" s="3298"/>
      <c r="E170" s="3298"/>
      <c r="F170" s="3670"/>
      <c r="G170" s="3594" t="s">
        <v>273</v>
      </c>
      <c r="H170" s="3298"/>
      <c r="I170" s="3298"/>
      <c r="J170" s="3670"/>
      <c r="K170" s="3594" t="s">
        <v>273</v>
      </c>
      <c r="L170" s="3298"/>
      <c r="M170" s="3298"/>
      <c r="N170" s="3670"/>
      <c r="O170" s="3594" t="s">
        <v>273</v>
      </c>
      <c r="P170" s="3298"/>
      <c r="Q170" s="3298"/>
      <c r="R170" s="3670"/>
      <c r="S170" s="3594" t="s">
        <v>273</v>
      </c>
      <c r="T170" s="3298"/>
      <c r="U170" s="3298"/>
      <c r="V170" s="3670"/>
      <c r="W170" s="3594" t="s">
        <v>279</v>
      </c>
      <c r="X170" s="2561"/>
      <c r="Y170" s="2561"/>
      <c r="Z170" s="2562"/>
      <c r="AA170" s="3594" t="s">
        <v>279</v>
      </c>
      <c r="AB170" s="2561"/>
      <c r="AC170" s="2561"/>
      <c r="AD170" s="2858"/>
      <c r="AE170" s="3672">
        <v>68</v>
      </c>
      <c r="AF170" s="3298"/>
      <c r="AG170" s="3298"/>
      <c r="AH170" s="3595"/>
      <c r="AI170" s="3673"/>
    </row>
    <row r="171" spans="1:35" ht="18" customHeight="1" x14ac:dyDescent="0.2">
      <c r="A171" s="107"/>
      <c r="B171" s="3668"/>
      <c r="C171" s="3692" t="s">
        <v>244</v>
      </c>
      <c r="D171" s="3693"/>
      <c r="E171" s="3693"/>
      <c r="F171" s="3694"/>
      <c r="G171" s="3692" t="s">
        <v>244</v>
      </c>
      <c r="H171" s="3693"/>
      <c r="I171" s="3693"/>
      <c r="J171" s="3694"/>
      <c r="K171" s="3692" t="s">
        <v>244</v>
      </c>
      <c r="L171" s="3693"/>
      <c r="M171" s="3693"/>
      <c r="N171" s="3694"/>
      <c r="O171" s="3692" t="s">
        <v>244</v>
      </c>
      <c r="P171" s="3693"/>
      <c r="Q171" s="3693"/>
      <c r="R171" s="3694"/>
      <c r="S171" s="3692" t="s">
        <v>244</v>
      </c>
      <c r="T171" s="3693"/>
      <c r="U171" s="3693"/>
      <c r="V171" s="3682"/>
      <c r="W171" s="3692" t="s">
        <v>244</v>
      </c>
      <c r="X171" s="3682"/>
      <c r="Y171" s="3693"/>
      <c r="Z171" s="3694"/>
      <c r="AA171" s="3692" t="s">
        <v>244</v>
      </c>
      <c r="AB171" s="3682"/>
      <c r="AC171" s="3693"/>
      <c r="AD171" s="3694"/>
      <c r="AE171" s="3695" t="s">
        <v>280</v>
      </c>
      <c r="AF171" s="3693"/>
      <c r="AG171" s="3693"/>
      <c r="AH171" s="3682"/>
      <c r="AI171" s="3683"/>
    </row>
    <row r="172" spans="1:35" ht="18" customHeight="1" x14ac:dyDescent="0.2">
      <c r="A172" s="68"/>
      <c r="B172" s="107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8"/>
      <c r="AI172" s="108"/>
    </row>
    <row r="173" spans="1:35" ht="18" customHeight="1" thickBot="1" x14ac:dyDescent="0.25">
      <c r="A173" s="2543"/>
      <c r="B173" s="2817" t="s">
        <v>44</v>
      </c>
      <c r="C173" s="2707">
        <v>1</v>
      </c>
      <c r="D173" s="2707">
        <v>2</v>
      </c>
      <c r="E173" s="2706">
        <v>3</v>
      </c>
      <c r="F173" s="2706">
        <v>4</v>
      </c>
      <c r="G173" s="2706">
        <v>5</v>
      </c>
      <c r="H173" s="2706">
        <v>6</v>
      </c>
      <c r="I173" s="2706">
        <v>7</v>
      </c>
      <c r="J173" s="2707">
        <v>8</v>
      </c>
      <c r="K173" s="2707">
        <v>9</v>
      </c>
      <c r="L173" s="2706">
        <v>10</v>
      </c>
      <c r="M173" s="2706">
        <v>11</v>
      </c>
      <c r="N173" s="2706">
        <v>12</v>
      </c>
      <c r="O173" s="2706">
        <v>13</v>
      </c>
      <c r="P173" s="2706">
        <v>14</v>
      </c>
      <c r="Q173" s="2707">
        <v>15</v>
      </c>
      <c r="R173" s="2707">
        <v>16</v>
      </c>
      <c r="S173" s="2706">
        <v>17</v>
      </c>
      <c r="T173" s="2706">
        <v>18</v>
      </c>
      <c r="U173" s="2706">
        <v>19</v>
      </c>
      <c r="V173" s="2706">
        <v>20</v>
      </c>
      <c r="W173" s="2706">
        <v>21</v>
      </c>
      <c r="X173" s="2707">
        <v>22</v>
      </c>
      <c r="Y173" s="2707">
        <v>23</v>
      </c>
      <c r="Z173" s="2706">
        <v>24</v>
      </c>
      <c r="AA173" s="2706">
        <v>25</v>
      </c>
      <c r="AB173" s="2706">
        <v>26</v>
      </c>
      <c r="AC173" s="2706">
        <v>27</v>
      </c>
      <c r="AD173" s="2706">
        <v>28</v>
      </c>
      <c r="AE173" s="2706"/>
      <c r="AF173" s="2706"/>
      <c r="AG173" s="3501"/>
      <c r="AH173" s="110"/>
      <c r="AI173" s="111"/>
    </row>
    <row r="174" spans="1:35" ht="18" customHeight="1" x14ac:dyDescent="0.2">
      <c r="A174" s="3339">
        <v>1</v>
      </c>
      <c r="B174" s="3600" t="s">
        <v>391</v>
      </c>
      <c r="C174" s="3202">
        <v>22</v>
      </c>
      <c r="D174" s="3622" t="s">
        <v>550</v>
      </c>
      <c r="E174" s="3543" t="s">
        <v>50</v>
      </c>
      <c r="F174" s="3543" t="s">
        <v>50</v>
      </c>
      <c r="G174" s="3614" t="s">
        <v>50</v>
      </c>
      <c r="H174" s="3614" t="s">
        <v>50</v>
      </c>
      <c r="I174" s="3614" t="s">
        <v>50</v>
      </c>
      <c r="J174" s="3614"/>
      <c r="K174" s="3614"/>
      <c r="L174" s="3202">
        <v>23</v>
      </c>
      <c r="M174" s="3202">
        <v>23</v>
      </c>
      <c r="N174" s="3202">
        <v>23</v>
      </c>
      <c r="O174" s="3221">
        <v>23</v>
      </c>
      <c r="P174" s="3221">
        <v>23</v>
      </c>
      <c r="Q174" s="3221">
        <v>23</v>
      </c>
      <c r="R174" s="3221">
        <v>23</v>
      </c>
      <c r="S174" s="3625" t="s">
        <v>50</v>
      </c>
      <c r="T174" s="3625" t="s">
        <v>50</v>
      </c>
      <c r="U174" s="3625" t="s">
        <v>50</v>
      </c>
      <c r="V174" s="3625" t="s">
        <v>50</v>
      </c>
      <c r="W174" s="3614" t="s">
        <v>50</v>
      </c>
      <c r="X174" s="3614"/>
      <c r="Y174" s="3614"/>
      <c r="Z174" s="3662">
        <v>21</v>
      </c>
      <c r="AA174" s="3662">
        <v>21</v>
      </c>
      <c r="AB174" s="3662">
        <v>21</v>
      </c>
      <c r="AC174" s="3662">
        <v>21</v>
      </c>
      <c r="AD174" s="3662">
        <v>21</v>
      </c>
      <c r="AE174" s="3202"/>
      <c r="AF174" s="3202"/>
      <c r="AG174" s="3341"/>
      <c r="AH174" s="67"/>
      <c r="AI174" s="67"/>
    </row>
    <row r="175" spans="1:35" ht="18" customHeight="1" x14ac:dyDescent="0.2">
      <c r="A175" s="3696">
        <v>2</v>
      </c>
      <c r="B175" s="3600" t="s">
        <v>452</v>
      </c>
      <c r="C175" s="3421">
        <v>23</v>
      </c>
      <c r="D175" s="3614">
        <v>23</v>
      </c>
      <c r="E175" s="3618" t="s">
        <v>50</v>
      </c>
      <c r="F175" s="3614" t="s">
        <v>50</v>
      </c>
      <c r="G175" s="3614" t="s">
        <v>50</v>
      </c>
      <c r="H175" s="3614" t="s">
        <v>50</v>
      </c>
      <c r="I175" s="3614" t="s">
        <v>50</v>
      </c>
      <c r="J175" s="3614"/>
      <c r="K175" s="3614"/>
      <c r="L175" s="3697">
        <v>21</v>
      </c>
      <c r="M175" s="3697">
        <v>21</v>
      </c>
      <c r="N175" s="3697">
        <v>21</v>
      </c>
      <c r="O175" s="3697">
        <v>21</v>
      </c>
      <c r="P175" s="3421">
        <v>21</v>
      </c>
      <c r="Q175" s="3614">
        <v>21</v>
      </c>
      <c r="R175" s="3614">
        <v>21</v>
      </c>
      <c r="S175" s="3625" t="s">
        <v>50</v>
      </c>
      <c r="T175" s="3625" t="s">
        <v>50</v>
      </c>
      <c r="U175" s="3625" t="s">
        <v>50</v>
      </c>
      <c r="V175" s="3625" t="s">
        <v>50</v>
      </c>
      <c r="W175" s="3614" t="s">
        <v>50</v>
      </c>
      <c r="X175" s="3614"/>
      <c r="Y175" s="3614"/>
      <c r="Z175" s="3618" t="s">
        <v>401</v>
      </c>
      <c r="AA175" s="3697">
        <v>22</v>
      </c>
      <c r="AB175" s="3697">
        <v>22</v>
      </c>
      <c r="AC175" s="3697">
        <v>22</v>
      </c>
      <c r="AD175" s="3697">
        <v>22</v>
      </c>
      <c r="AE175" s="3697"/>
      <c r="AF175" s="3697"/>
      <c r="AG175" s="3698"/>
      <c r="AH175" s="67"/>
      <c r="AI175" s="67"/>
    </row>
    <row r="176" spans="1:35" ht="18" customHeight="1" x14ac:dyDescent="0.2">
      <c r="A176" s="3696">
        <v>3</v>
      </c>
      <c r="B176" s="3600"/>
      <c r="C176" s="3614">
        <v>21</v>
      </c>
      <c r="D176" s="3614">
        <v>21</v>
      </c>
      <c r="E176" s="3618" t="s">
        <v>50</v>
      </c>
      <c r="F176" s="3614" t="s">
        <v>50</v>
      </c>
      <c r="G176" s="3614" t="s">
        <v>50</v>
      </c>
      <c r="H176" s="3614" t="s">
        <v>50</v>
      </c>
      <c r="I176" s="3614" t="s">
        <v>50</v>
      </c>
      <c r="J176" s="3614"/>
      <c r="K176" s="3614"/>
      <c r="L176" s="3699">
        <v>22</v>
      </c>
      <c r="M176" s="3614">
        <v>22</v>
      </c>
      <c r="N176" s="3697">
        <v>22</v>
      </c>
      <c r="O176" s="3697">
        <v>22</v>
      </c>
      <c r="P176" s="3618">
        <v>22</v>
      </c>
      <c r="Q176" s="3614">
        <v>22</v>
      </c>
      <c r="R176" s="3614">
        <v>22</v>
      </c>
      <c r="S176" s="3625" t="s">
        <v>50</v>
      </c>
      <c r="T176" s="3625" t="s">
        <v>50</v>
      </c>
      <c r="U176" s="3625" t="s">
        <v>50</v>
      </c>
      <c r="V176" s="3625" t="s">
        <v>50</v>
      </c>
      <c r="W176" s="3614" t="s">
        <v>50</v>
      </c>
      <c r="X176" s="3614"/>
      <c r="Y176" s="3614"/>
      <c r="Z176" s="3618" t="s">
        <v>179</v>
      </c>
      <c r="AA176" s="3614">
        <v>23</v>
      </c>
      <c r="AB176" s="3614">
        <v>23</v>
      </c>
      <c r="AC176" s="3614">
        <v>23</v>
      </c>
      <c r="AD176" s="3614">
        <v>23</v>
      </c>
      <c r="AE176" s="3614"/>
      <c r="AF176" s="3614"/>
      <c r="AG176" s="3698"/>
      <c r="AH176" s="67"/>
      <c r="AI176" s="67"/>
    </row>
    <row r="177" spans="1:35" ht="18" customHeight="1" x14ac:dyDescent="0.2">
      <c r="A177" s="3696">
        <v>4</v>
      </c>
      <c r="B177" s="371" t="s">
        <v>281</v>
      </c>
      <c r="C177" s="3700"/>
      <c r="D177" s="3700"/>
      <c r="E177" s="3700">
        <v>22</v>
      </c>
      <c r="F177" s="3700">
        <v>22</v>
      </c>
      <c r="G177" s="3700">
        <v>22</v>
      </c>
      <c r="H177" s="3701">
        <v>22</v>
      </c>
      <c r="I177" s="3701">
        <v>22</v>
      </c>
      <c r="J177" s="3701">
        <v>22</v>
      </c>
      <c r="K177" s="3701">
        <v>22</v>
      </c>
      <c r="L177" s="3701" t="s">
        <v>50</v>
      </c>
      <c r="M177" s="3701" t="s">
        <v>50</v>
      </c>
      <c r="N177" s="3701" t="s">
        <v>50</v>
      </c>
      <c r="O177" s="3701" t="s">
        <v>50</v>
      </c>
      <c r="P177" s="3700" t="s">
        <v>50</v>
      </c>
      <c r="Q177" s="3700"/>
      <c r="R177" s="3702"/>
      <c r="S177" s="3700">
        <v>23</v>
      </c>
      <c r="T177" s="3700">
        <v>23</v>
      </c>
      <c r="U177" s="3700">
        <v>23</v>
      </c>
      <c r="V177" s="3700">
        <v>23</v>
      </c>
      <c r="W177" s="3703">
        <v>23</v>
      </c>
      <c r="X177" s="3700">
        <v>23</v>
      </c>
      <c r="Y177" s="3700">
        <v>23</v>
      </c>
      <c r="Z177" s="3703" t="s">
        <v>50</v>
      </c>
      <c r="AA177" s="3700" t="s">
        <v>50</v>
      </c>
      <c r="AB177" s="3700" t="s">
        <v>50</v>
      </c>
      <c r="AC177" s="3700" t="s">
        <v>50</v>
      </c>
      <c r="AD177" s="3700" t="s">
        <v>50</v>
      </c>
      <c r="AE177" s="3614"/>
      <c r="AF177" s="3614"/>
      <c r="AG177" s="3626"/>
      <c r="AH177" s="67"/>
      <c r="AI177" s="67"/>
    </row>
    <row r="178" spans="1:35" ht="18" customHeight="1" x14ac:dyDescent="0.2">
      <c r="A178" s="3696">
        <v>5</v>
      </c>
      <c r="B178" s="2515" t="s">
        <v>282</v>
      </c>
      <c r="C178" s="3619"/>
      <c r="D178" s="3619"/>
      <c r="E178" s="3619">
        <v>23</v>
      </c>
      <c r="F178" s="3619">
        <v>23</v>
      </c>
      <c r="G178" s="3619">
        <v>23</v>
      </c>
      <c r="H178" s="3619">
        <v>23</v>
      </c>
      <c r="I178" s="3619">
        <v>23</v>
      </c>
      <c r="J178" s="3619">
        <v>23</v>
      </c>
      <c r="K178" s="3614">
        <v>23</v>
      </c>
      <c r="L178" s="3619" t="s">
        <v>50</v>
      </c>
      <c r="M178" s="3619" t="s">
        <v>50</v>
      </c>
      <c r="N178" s="3619" t="s">
        <v>50</v>
      </c>
      <c r="O178" s="3619" t="s">
        <v>50</v>
      </c>
      <c r="P178" s="3619" t="s">
        <v>50</v>
      </c>
      <c r="Q178" s="3619"/>
      <c r="R178" s="3619"/>
      <c r="S178" s="3393">
        <v>21</v>
      </c>
      <c r="T178" s="3393">
        <v>21</v>
      </c>
      <c r="U178" s="3393">
        <v>21</v>
      </c>
      <c r="V178" s="3393">
        <v>21</v>
      </c>
      <c r="W178" s="3393">
        <v>21</v>
      </c>
      <c r="X178" s="3393">
        <v>21</v>
      </c>
      <c r="Y178" s="3393">
        <v>21</v>
      </c>
      <c r="Z178" s="3619" t="s">
        <v>50</v>
      </c>
      <c r="AA178" s="3619" t="s">
        <v>50</v>
      </c>
      <c r="AB178" s="3619" t="s">
        <v>50</v>
      </c>
      <c r="AC178" s="3619" t="s">
        <v>50</v>
      </c>
      <c r="AD178" s="3619" t="s">
        <v>50</v>
      </c>
      <c r="AE178" s="3697"/>
      <c r="AF178" s="3614"/>
      <c r="AG178" s="3626"/>
      <c r="AH178" s="67"/>
      <c r="AI178" s="67"/>
    </row>
    <row r="179" spans="1:35" ht="18" customHeight="1" x14ac:dyDescent="0.2">
      <c r="A179" s="3704">
        <v>6</v>
      </c>
      <c r="B179" s="3601"/>
      <c r="C179" s="1363"/>
      <c r="D179" s="1363"/>
      <c r="E179" s="655">
        <v>21</v>
      </c>
      <c r="F179" s="655">
        <v>21</v>
      </c>
      <c r="G179" s="3638">
        <v>21</v>
      </c>
      <c r="H179" s="3638">
        <v>21</v>
      </c>
      <c r="I179" s="3638">
        <v>21</v>
      </c>
      <c r="J179" s="3638">
        <v>21</v>
      </c>
      <c r="K179" s="3638">
        <v>21</v>
      </c>
      <c r="L179" s="3625" t="s">
        <v>50</v>
      </c>
      <c r="M179" s="3625" t="s">
        <v>50</v>
      </c>
      <c r="N179" s="3625" t="s">
        <v>50</v>
      </c>
      <c r="O179" s="3625" t="s">
        <v>50</v>
      </c>
      <c r="P179" s="3614" t="s">
        <v>50</v>
      </c>
      <c r="Q179" s="3614"/>
      <c r="R179" s="3699"/>
      <c r="S179" s="1363">
        <v>22</v>
      </c>
      <c r="T179" s="1363">
        <v>22</v>
      </c>
      <c r="U179" s="3705">
        <v>22</v>
      </c>
      <c r="V179" s="3705">
        <v>22</v>
      </c>
      <c r="W179" s="3706">
        <v>22</v>
      </c>
      <c r="X179" s="1363">
        <v>22</v>
      </c>
      <c r="Y179" s="1363">
        <v>22</v>
      </c>
      <c r="Z179" s="3618" t="s">
        <v>50</v>
      </c>
      <c r="AA179" s="3614" t="s">
        <v>50</v>
      </c>
      <c r="AB179" s="3614" t="s">
        <v>50</v>
      </c>
      <c r="AC179" s="3614" t="s">
        <v>50</v>
      </c>
      <c r="AD179" s="3614" t="s">
        <v>50</v>
      </c>
      <c r="AE179" s="1363"/>
      <c r="AF179" s="1363"/>
      <c r="AG179" s="3640"/>
      <c r="AH179" s="67"/>
      <c r="AI179" s="67"/>
    </row>
    <row r="180" spans="1:35" ht="18" customHeight="1" x14ac:dyDescent="0.2">
      <c r="A180" s="129"/>
      <c r="B180" s="127"/>
      <c r="C180" s="128"/>
      <c r="D180" s="128"/>
      <c r="E180" s="140"/>
      <c r="F180" s="128"/>
      <c r="G180" s="128"/>
      <c r="H180" s="145"/>
      <c r="I180" s="145"/>
      <c r="J180" s="145"/>
      <c r="K180" s="145"/>
      <c r="L180" s="145"/>
      <c r="M180" s="145"/>
      <c r="N180" s="125"/>
      <c r="O180" s="125"/>
      <c r="P180" s="140"/>
      <c r="Q180" s="128"/>
      <c r="R180" s="128"/>
      <c r="S180" s="140"/>
      <c r="T180" s="128"/>
      <c r="U180" s="128"/>
      <c r="V180" s="128"/>
      <c r="W180" s="128"/>
      <c r="X180" s="128"/>
      <c r="Y180" s="128"/>
      <c r="Z180" s="128"/>
      <c r="AA180" s="128"/>
      <c r="AB180" s="125"/>
      <c r="AC180" s="125"/>
      <c r="AD180" s="140"/>
      <c r="AE180" s="128"/>
      <c r="AF180" s="128"/>
      <c r="AG180" s="140"/>
      <c r="AH180" s="67"/>
      <c r="AI180" s="67"/>
    </row>
    <row r="181" spans="1:35" ht="18" customHeight="1" x14ac:dyDescent="0.2">
      <c r="A181" s="69"/>
      <c r="B181" s="70"/>
      <c r="C181" s="120"/>
      <c r="D181" s="120"/>
      <c r="E181" s="106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106"/>
      <c r="Q181" s="120"/>
      <c r="R181" s="120"/>
      <c r="S181" s="106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1"/>
      <c r="AD181" s="121"/>
      <c r="AE181" s="121"/>
      <c r="AF181" s="120"/>
      <c r="AG181" s="106"/>
      <c r="AH181" s="67"/>
      <c r="AI181" s="67"/>
    </row>
    <row r="182" spans="1:35" ht="18" customHeight="1" x14ac:dyDescent="0.2">
      <c r="A182" s="103" t="s">
        <v>284</v>
      </c>
      <c r="D182" s="48"/>
      <c r="E182" s="48"/>
      <c r="F182" s="48"/>
      <c r="G182" s="65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</row>
    <row r="183" spans="1:35" ht="18" customHeight="1" x14ac:dyDescent="0.2">
      <c r="A183" s="1"/>
      <c r="B183" s="3265" t="s">
        <v>255</v>
      </c>
      <c r="C183" s="3266"/>
      <c r="D183" s="3291" t="s">
        <v>17</v>
      </c>
      <c r="E183" s="3177"/>
      <c r="F183" s="3270"/>
      <c r="G183" s="3266"/>
      <c r="H183" s="3291" t="s">
        <v>18</v>
      </c>
      <c r="I183" s="3177"/>
      <c r="J183" s="3270"/>
      <c r="K183" s="3266"/>
      <c r="L183" s="3291" t="s">
        <v>19</v>
      </c>
      <c r="M183" s="3177"/>
      <c r="N183" s="3270"/>
      <c r="O183" s="3266"/>
      <c r="P183" s="3291" t="s">
        <v>20</v>
      </c>
      <c r="Q183" s="3177"/>
      <c r="R183" s="3270"/>
      <c r="S183" s="3266"/>
      <c r="T183" s="3291" t="s">
        <v>21</v>
      </c>
      <c r="U183" s="3177"/>
      <c r="V183" s="3270"/>
      <c r="W183" s="3266"/>
      <c r="X183" s="3291" t="s">
        <v>22</v>
      </c>
      <c r="Y183" s="3177"/>
      <c r="Z183" s="3270"/>
      <c r="AA183" s="3266"/>
      <c r="AB183" s="3291" t="s">
        <v>23</v>
      </c>
      <c r="AC183" s="3177"/>
      <c r="AD183" s="3177"/>
      <c r="AE183" s="3294"/>
      <c r="AF183" s="3177"/>
      <c r="AG183" s="3177"/>
      <c r="AH183" s="3177"/>
      <c r="AI183" s="3178"/>
    </row>
    <row r="184" spans="1:35" ht="18" customHeight="1" x14ac:dyDescent="0.2">
      <c r="A184" s="1"/>
      <c r="B184" s="3668" t="s">
        <v>235</v>
      </c>
      <c r="C184" s="3594" t="s">
        <v>256</v>
      </c>
      <c r="D184" s="3476"/>
      <c r="E184" s="3476"/>
      <c r="F184" s="3670"/>
      <c r="G184" s="3594" t="s">
        <v>256</v>
      </c>
      <c r="H184" s="3476"/>
      <c r="I184" s="3476"/>
      <c r="J184" s="3670"/>
      <c r="K184" s="3594" t="s">
        <v>256</v>
      </c>
      <c r="L184" s="3476"/>
      <c r="M184" s="3476"/>
      <c r="N184" s="3670"/>
      <c r="O184" s="3594" t="s">
        <v>285</v>
      </c>
      <c r="P184" s="3476"/>
      <c r="Q184" s="3476"/>
      <c r="R184" s="3670"/>
      <c r="S184" s="3594" t="s">
        <v>244</v>
      </c>
      <c r="T184" s="3476"/>
      <c r="U184" s="3476"/>
      <c r="V184" s="3670"/>
      <c r="W184" s="3359"/>
      <c r="X184" s="3707"/>
      <c r="Y184" s="3707"/>
      <c r="Z184" s="3671"/>
      <c r="AA184" s="3669"/>
      <c r="AB184" s="3476"/>
      <c r="AC184" s="3476"/>
      <c r="AD184" s="3595"/>
      <c r="AE184" s="3672"/>
      <c r="AF184" s="3476"/>
      <c r="AG184" s="3476"/>
      <c r="AH184" s="3595"/>
      <c r="AI184" s="3361"/>
    </row>
    <row r="185" spans="1:35" ht="18" customHeight="1" x14ac:dyDescent="0.2">
      <c r="A185" s="1"/>
      <c r="B185" s="3668" t="s">
        <v>236</v>
      </c>
      <c r="C185" s="3594" t="s">
        <v>286</v>
      </c>
      <c r="D185" s="3476"/>
      <c r="E185" s="3476"/>
      <c r="F185" s="3670"/>
      <c r="G185" s="3594" t="s">
        <v>286</v>
      </c>
      <c r="H185" s="3476"/>
      <c r="I185" s="3476"/>
      <c r="J185" s="3670"/>
      <c r="K185" s="3594" t="s">
        <v>286</v>
      </c>
      <c r="L185" s="3476"/>
      <c r="M185" s="3476"/>
      <c r="N185" s="3670"/>
      <c r="O185" s="3594" t="s">
        <v>286</v>
      </c>
      <c r="P185" s="3476"/>
      <c r="Q185" s="3476"/>
      <c r="R185" s="3670"/>
      <c r="S185" s="3594" t="s">
        <v>256</v>
      </c>
      <c r="T185" s="3476"/>
      <c r="U185" s="3476"/>
      <c r="V185" s="3670"/>
      <c r="W185" s="3594"/>
      <c r="X185" s="3476"/>
      <c r="Y185" s="3476"/>
      <c r="Z185" s="3670"/>
      <c r="AA185" s="3476"/>
      <c r="AB185" s="3476"/>
      <c r="AC185" s="3476"/>
      <c r="AD185" s="3595"/>
      <c r="AE185" s="3672"/>
      <c r="AF185" s="3476"/>
      <c r="AG185" s="3476"/>
      <c r="AH185" s="3595"/>
      <c r="AI185" s="3361"/>
    </row>
    <row r="186" spans="1:35" ht="18" customHeight="1" x14ac:dyDescent="0.2">
      <c r="A186" s="1"/>
      <c r="B186" s="3668" t="s">
        <v>243</v>
      </c>
      <c r="C186" s="3594" t="s">
        <v>286</v>
      </c>
      <c r="D186" s="3476"/>
      <c r="E186" s="3476"/>
      <c r="F186" s="3670"/>
      <c r="G186" s="3594" t="s">
        <v>286</v>
      </c>
      <c r="H186" s="3476"/>
      <c r="I186" s="3476"/>
      <c r="J186" s="3670"/>
      <c r="K186" s="3594" t="s">
        <v>286</v>
      </c>
      <c r="L186" s="3476"/>
      <c r="M186" s="3476"/>
      <c r="N186" s="3670"/>
      <c r="O186" s="3594" t="s">
        <v>286</v>
      </c>
      <c r="P186" s="3476"/>
      <c r="Q186" s="3476"/>
      <c r="R186" s="3670"/>
      <c r="S186" s="3594" t="s">
        <v>286</v>
      </c>
      <c r="T186" s="3476"/>
      <c r="U186" s="3476"/>
      <c r="V186" s="3670"/>
      <c r="W186" s="2857" t="s">
        <v>260</v>
      </c>
      <c r="X186" s="2795"/>
      <c r="Y186" s="2795"/>
      <c r="Z186" s="2562"/>
      <c r="AA186" s="2560"/>
      <c r="AB186" s="2795"/>
      <c r="AC186" s="2795"/>
      <c r="AD186" s="2858"/>
      <c r="AE186" s="3672"/>
      <c r="AF186" s="3476"/>
      <c r="AG186" s="3476"/>
      <c r="AH186" s="3595"/>
      <c r="AI186" s="3361"/>
    </row>
    <row r="187" spans="1:35" ht="18" customHeight="1" x14ac:dyDescent="0.2">
      <c r="A187" s="1"/>
      <c r="B187" s="147" t="s">
        <v>245</v>
      </c>
      <c r="C187" s="3692"/>
      <c r="D187" s="3562"/>
      <c r="E187" s="3562"/>
      <c r="F187" s="3694"/>
      <c r="G187" s="3692"/>
      <c r="H187" s="3562"/>
      <c r="I187" s="3562"/>
      <c r="J187" s="3694"/>
      <c r="K187" s="3692"/>
      <c r="L187" s="3562"/>
      <c r="M187" s="3562"/>
      <c r="N187" s="3694"/>
      <c r="O187" s="3692"/>
      <c r="P187" s="3562"/>
      <c r="Q187" s="3562"/>
      <c r="R187" s="3694"/>
      <c r="S187" s="3692"/>
      <c r="T187" s="3562"/>
      <c r="U187" s="3562"/>
      <c r="V187" s="3682"/>
      <c r="W187" s="3692"/>
      <c r="X187" s="3682"/>
      <c r="Y187" s="3562"/>
      <c r="Z187" s="3694"/>
      <c r="AA187" s="3692"/>
      <c r="AB187" s="3682"/>
      <c r="AC187" s="3562"/>
      <c r="AD187" s="3694"/>
      <c r="AE187" s="3362"/>
      <c r="AF187" s="3562"/>
      <c r="AG187" s="3562"/>
      <c r="AH187" s="3682"/>
      <c r="AI187" s="3569"/>
    </row>
    <row r="188" spans="1:35" ht="18" customHeight="1" x14ac:dyDescent="0.2">
      <c r="A188" s="68"/>
      <c r="B188" s="1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</row>
    <row r="189" spans="1:35" ht="18" customHeight="1" thickBot="1" x14ac:dyDescent="0.25">
      <c r="A189" s="2543"/>
      <c r="B189" s="2817" t="s">
        <v>44</v>
      </c>
      <c r="C189" s="2707">
        <v>1</v>
      </c>
      <c r="D189" s="2707">
        <v>2</v>
      </c>
      <c r="E189" s="2706">
        <v>3</v>
      </c>
      <c r="F189" s="2706">
        <v>4</v>
      </c>
      <c r="G189" s="2706">
        <v>5</v>
      </c>
      <c r="H189" s="2706">
        <v>6</v>
      </c>
      <c r="I189" s="2706">
        <v>7</v>
      </c>
      <c r="J189" s="2707">
        <v>8</v>
      </c>
      <c r="K189" s="2707">
        <v>9</v>
      </c>
      <c r="L189" s="2706">
        <v>10</v>
      </c>
      <c r="M189" s="2706">
        <v>11</v>
      </c>
      <c r="N189" s="2706">
        <v>12</v>
      </c>
      <c r="O189" s="2706">
        <v>13</v>
      </c>
      <c r="P189" s="2706">
        <v>14</v>
      </c>
      <c r="Q189" s="2707">
        <v>15</v>
      </c>
      <c r="R189" s="2707">
        <v>16</v>
      </c>
      <c r="S189" s="2706">
        <v>17</v>
      </c>
      <c r="T189" s="3103">
        <v>18</v>
      </c>
      <c r="U189" s="3103">
        <v>19</v>
      </c>
      <c r="V189" s="3103">
        <v>20</v>
      </c>
      <c r="W189" s="3103">
        <v>21</v>
      </c>
      <c r="X189" s="3104">
        <v>22</v>
      </c>
      <c r="Y189" s="3104">
        <v>23</v>
      </c>
      <c r="Z189" s="3103">
        <v>24</v>
      </c>
      <c r="AA189" s="2706">
        <v>25</v>
      </c>
      <c r="AB189" s="2706">
        <v>26</v>
      </c>
      <c r="AC189" s="2706">
        <v>27</v>
      </c>
      <c r="AD189" s="2706">
        <v>28</v>
      </c>
      <c r="AE189" s="2706"/>
      <c r="AF189" s="2706"/>
      <c r="AG189" s="3501"/>
      <c r="AH189" s="110"/>
      <c r="AI189" s="111"/>
    </row>
    <row r="190" spans="1:35" ht="18" customHeight="1" x14ac:dyDescent="0.2">
      <c r="A190" s="3318">
        <v>1</v>
      </c>
      <c r="B190" s="3363" t="s">
        <v>462</v>
      </c>
      <c r="C190" s="3366" t="s">
        <v>290</v>
      </c>
      <c r="D190" s="3164"/>
      <c r="E190" s="3164" t="s">
        <v>46</v>
      </c>
      <c r="F190" s="3165" t="s">
        <v>46</v>
      </c>
      <c r="G190" s="3164" t="s">
        <v>46</v>
      </c>
      <c r="H190" s="3165" t="s">
        <v>46</v>
      </c>
      <c r="I190" s="3165" t="s">
        <v>46</v>
      </c>
      <c r="J190" s="3165"/>
      <c r="K190" s="3164"/>
      <c r="L190" s="3164" t="s">
        <v>46</v>
      </c>
      <c r="M190" s="3164" t="s">
        <v>46</v>
      </c>
      <c r="N190" s="3164" t="s">
        <v>46</v>
      </c>
      <c r="O190" s="3164" t="s">
        <v>46</v>
      </c>
      <c r="P190" s="3162" t="s">
        <v>46</v>
      </c>
      <c r="Q190" s="3164"/>
      <c r="R190" s="3164"/>
      <c r="S190" s="3164" t="s">
        <v>46</v>
      </c>
      <c r="T190" s="3164" t="s">
        <v>46</v>
      </c>
      <c r="U190" s="3515" t="s">
        <v>290</v>
      </c>
      <c r="V190" s="3164" t="s">
        <v>46</v>
      </c>
      <c r="W190" s="3164" t="s">
        <v>46</v>
      </c>
      <c r="X190" s="3366" t="s">
        <v>290</v>
      </c>
      <c r="Y190" s="3164"/>
      <c r="Z190" s="3164" t="s">
        <v>46</v>
      </c>
      <c r="AA190" s="3165" t="s">
        <v>46</v>
      </c>
      <c r="AB190" s="3164" t="s">
        <v>46</v>
      </c>
      <c r="AC190" s="3165" t="s">
        <v>46</v>
      </c>
      <c r="AD190" s="3165" t="s">
        <v>46</v>
      </c>
      <c r="AE190" s="3164"/>
      <c r="AF190" s="3164"/>
      <c r="AG190" s="3239"/>
      <c r="AH190" s="132"/>
      <c r="AI190" s="116"/>
    </row>
    <row r="191" spans="1:35" ht="18" customHeight="1" x14ac:dyDescent="0.2">
      <c r="A191" s="3685">
        <v>2</v>
      </c>
      <c r="B191" s="3364" t="s">
        <v>287</v>
      </c>
      <c r="C191" s="3366"/>
      <c r="D191" s="3366"/>
      <c r="E191" s="3366" t="s">
        <v>289</v>
      </c>
      <c r="F191" s="3519" t="s">
        <v>289</v>
      </c>
      <c r="G191" s="3366" t="s">
        <v>289</v>
      </c>
      <c r="H191" s="3366" t="s">
        <v>289</v>
      </c>
      <c r="I191" s="3366" t="s">
        <v>289</v>
      </c>
      <c r="J191" s="3366"/>
      <c r="K191" s="3366"/>
      <c r="L191" s="3708" t="s">
        <v>290</v>
      </c>
      <c r="M191" s="3708" t="s">
        <v>290</v>
      </c>
      <c r="N191" s="3708" t="s">
        <v>290</v>
      </c>
      <c r="O191" s="3708" t="s">
        <v>290</v>
      </c>
      <c r="P191" s="3708" t="s">
        <v>290</v>
      </c>
      <c r="Q191" s="3519" t="s">
        <v>290</v>
      </c>
      <c r="R191" s="3709"/>
      <c r="S191" s="3366" t="s">
        <v>288</v>
      </c>
      <c r="T191" s="3366" t="s">
        <v>288</v>
      </c>
      <c r="U191" s="3366" t="s">
        <v>288</v>
      </c>
      <c r="V191" s="3366" t="s">
        <v>288</v>
      </c>
      <c r="W191" s="3366" t="s">
        <v>50</v>
      </c>
      <c r="X191" s="3366"/>
      <c r="Y191" s="3366"/>
      <c r="Z191" s="3366" t="s">
        <v>289</v>
      </c>
      <c r="AA191" s="3519" t="s">
        <v>289</v>
      </c>
      <c r="AB191" s="3366" t="s">
        <v>289</v>
      </c>
      <c r="AC191" s="3366" t="s">
        <v>289</v>
      </c>
      <c r="AD191" s="3366" t="s">
        <v>289</v>
      </c>
      <c r="AE191" s="3366"/>
      <c r="AF191" s="3366"/>
      <c r="AG191" s="3510"/>
      <c r="AH191" s="132"/>
      <c r="AI191" s="116"/>
    </row>
    <row r="192" spans="1:35" ht="18" customHeight="1" x14ac:dyDescent="0.2">
      <c r="A192" s="3685">
        <v>3</v>
      </c>
      <c r="B192" s="3367" t="s">
        <v>516</v>
      </c>
      <c r="C192" s="3366"/>
      <c r="D192" s="3366"/>
      <c r="E192" s="3366" t="s">
        <v>290</v>
      </c>
      <c r="F192" s="3366" t="s">
        <v>290</v>
      </c>
      <c r="G192" s="3366" t="s">
        <v>290</v>
      </c>
      <c r="H192" s="3366" t="s">
        <v>290</v>
      </c>
      <c r="I192" s="3366" t="s">
        <v>290</v>
      </c>
      <c r="J192" s="3366" t="s">
        <v>290</v>
      </c>
      <c r="K192" s="3366"/>
      <c r="L192" s="3366" t="s">
        <v>288</v>
      </c>
      <c r="M192" s="3366" t="s">
        <v>288</v>
      </c>
      <c r="N192" s="3509" t="s">
        <v>288</v>
      </c>
      <c r="O192" s="3509" t="s">
        <v>551</v>
      </c>
      <c r="P192" s="3485" t="s">
        <v>50</v>
      </c>
      <c r="Q192" s="3366"/>
      <c r="R192" s="3366"/>
      <c r="S192" s="3366" t="s">
        <v>289</v>
      </c>
      <c r="T192" s="3366" t="s">
        <v>289</v>
      </c>
      <c r="U192" s="3366" t="s">
        <v>289</v>
      </c>
      <c r="V192" s="3366" t="s">
        <v>289</v>
      </c>
      <c r="W192" s="3366" t="s">
        <v>289</v>
      </c>
      <c r="X192" s="3366"/>
      <c r="Y192" s="3366"/>
      <c r="Z192" s="3366" t="s">
        <v>290</v>
      </c>
      <c r="AA192" s="3366" t="s">
        <v>290</v>
      </c>
      <c r="AB192" s="3366" t="s">
        <v>290</v>
      </c>
      <c r="AC192" s="3366" t="s">
        <v>290</v>
      </c>
      <c r="AD192" s="3366" t="s">
        <v>290</v>
      </c>
      <c r="AE192" s="3366"/>
      <c r="AF192" s="3366"/>
      <c r="AG192" s="3510"/>
      <c r="AH192" s="132"/>
      <c r="AI192" s="116"/>
    </row>
    <row r="193" spans="1:35" ht="18" customHeight="1" x14ac:dyDescent="0.2">
      <c r="A193" s="3685">
        <v>4</v>
      </c>
      <c r="B193" s="3367" t="s">
        <v>517</v>
      </c>
      <c r="C193" s="3513"/>
      <c r="D193" s="3366"/>
      <c r="E193" s="3366"/>
      <c r="F193" s="3366"/>
      <c r="G193" s="3366"/>
      <c r="H193" s="3366"/>
      <c r="I193" s="3366"/>
      <c r="J193" s="3366"/>
      <c r="K193" s="3366"/>
      <c r="L193" s="3366"/>
      <c r="M193" s="3366"/>
      <c r="N193" s="3366"/>
      <c r="O193" s="3366"/>
      <c r="P193" s="3366"/>
      <c r="Q193" s="3366"/>
      <c r="R193" s="3366"/>
      <c r="S193" s="3366"/>
      <c r="T193" s="3366"/>
      <c r="U193" s="3366"/>
      <c r="V193" s="3366"/>
      <c r="W193" s="3513"/>
      <c r="X193" s="3513"/>
      <c r="Y193" s="3366"/>
      <c r="Z193" s="3366"/>
      <c r="AA193" s="3366"/>
      <c r="AB193" s="3366"/>
      <c r="AC193" s="3366"/>
      <c r="AD193" s="3366"/>
      <c r="AE193" s="3366"/>
      <c r="AF193" s="3366"/>
      <c r="AG193" s="3710"/>
      <c r="AH193" s="132"/>
      <c r="AI193" s="116"/>
    </row>
    <row r="194" spans="1:35" ht="18" customHeight="1" x14ac:dyDescent="0.2">
      <c r="A194" s="3685">
        <v>5</v>
      </c>
      <c r="B194" s="3367" t="s">
        <v>292</v>
      </c>
      <c r="C194" s="3366"/>
      <c r="D194" s="3366"/>
      <c r="E194" s="3366"/>
      <c r="F194" s="3366"/>
      <c r="G194" s="3366"/>
      <c r="H194" s="3366"/>
      <c r="I194" s="3366"/>
      <c r="J194" s="3366"/>
      <c r="K194" s="3366"/>
      <c r="L194" s="3366"/>
      <c r="M194" s="3366"/>
      <c r="N194" s="3366"/>
      <c r="O194" s="3366"/>
      <c r="P194" s="3366"/>
      <c r="Q194" s="3366"/>
      <c r="R194" s="3366"/>
      <c r="S194" s="3366"/>
      <c r="T194" s="3366"/>
      <c r="U194" s="3366"/>
      <c r="V194" s="3513"/>
      <c r="W194" s="3366"/>
      <c r="X194" s="3366"/>
      <c r="Y194" s="3366"/>
      <c r="Z194" s="3366"/>
      <c r="AA194" s="3366"/>
      <c r="AB194" s="3366"/>
      <c r="AC194" s="3366"/>
      <c r="AD194" s="3366"/>
      <c r="AE194" s="3366"/>
      <c r="AF194" s="3513"/>
      <c r="AG194" s="3510"/>
      <c r="AH194" s="132"/>
      <c r="AI194" s="116"/>
    </row>
    <row r="195" spans="1:35" ht="18" customHeight="1" x14ac:dyDescent="0.2">
      <c r="A195" s="3685">
        <v>6</v>
      </c>
      <c r="B195" s="3511" t="s">
        <v>293</v>
      </c>
      <c r="C195" s="3366"/>
      <c r="D195" s="3521"/>
      <c r="E195" s="3366" t="s">
        <v>46</v>
      </c>
      <c r="F195" s="3513" t="s">
        <v>46</v>
      </c>
      <c r="G195" s="3513" t="s">
        <v>46</v>
      </c>
      <c r="H195" s="3513" t="s">
        <v>46</v>
      </c>
      <c r="I195" s="3513" t="s">
        <v>46</v>
      </c>
      <c r="J195" s="3366"/>
      <c r="K195" s="3366"/>
      <c r="L195" s="3514" t="s">
        <v>46</v>
      </c>
      <c r="M195" s="3366" t="s">
        <v>46</v>
      </c>
      <c r="N195" s="3366" t="s">
        <v>46</v>
      </c>
      <c r="O195" s="3366" t="s">
        <v>46</v>
      </c>
      <c r="P195" s="3366" t="s">
        <v>46</v>
      </c>
      <c r="Q195" s="3514"/>
      <c r="R195" s="3366"/>
      <c r="S195" s="3366" t="s">
        <v>46</v>
      </c>
      <c r="T195" s="3366" t="s">
        <v>46</v>
      </c>
      <c r="U195" s="3366" t="s">
        <v>46</v>
      </c>
      <c r="V195" s="3366" t="s">
        <v>46</v>
      </c>
      <c r="W195" s="3366" t="s">
        <v>46</v>
      </c>
      <c r="X195" s="3366"/>
      <c r="Y195" s="3521"/>
      <c r="Z195" s="3366" t="s">
        <v>46</v>
      </c>
      <c r="AA195" s="3513" t="s">
        <v>46</v>
      </c>
      <c r="AB195" s="3513" t="s">
        <v>46</v>
      </c>
      <c r="AC195" s="3513" t="s">
        <v>46</v>
      </c>
      <c r="AD195" s="3513" t="s">
        <v>46</v>
      </c>
      <c r="AE195" s="3366"/>
      <c r="AF195" s="3366"/>
      <c r="AG195" s="3603"/>
      <c r="AH195" s="124"/>
      <c r="AI195" s="67"/>
    </row>
    <row r="196" spans="1:35" ht="18" customHeight="1" x14ac:dyDescent="0.2">
      <c r="A196" s="3689"/>
      <c r="B196" s="3531"/>
      <c r="C196" s="3534"/>
      <c r="D196" s="3534"/>
      <c r="E196" s="3534"/>
      <c r="F196" s="3534"/>
      <c r="G196" s="3534"/>
      <c r="H196" s="3534"/>
      <c r="I196" s="3534"/>
      <c r="J196" s="3534"/>
      <c r="K196" s="3534"/>
      <c r="L196" s="3534"/>
      <c r="M196" s="3534"/>
      <c r="N196" s="3534"/>
      <c r="O196" s="3534"/>
      <c r="P196" s="3534"/>
      <c r="Q196" s="3534"/>
      <c r="R196" s="3534"/>
      <c r="S196" s="3534"/>
      <c r="T196" s="3534"/>
      <c r="U196" s="3534"/>
      <c r="V196" s="3534"/>
      <c r="W196" s="3534"/>
      <c r="X196" s="3534"/>
      <c r="Y196" s="3534"/>
      <c r="Z196" s="3534"/>
      <c r="AA196" s="3534"/>
      <c r="AB196" s="3534"/>
      <c r="AC196" s="3534"/>
      <c r="AD196" s="3534"/>
      <c r="AE196" s="3534"/>
      <c r="AF196" s="3534"/>
      <c r="AG196" s="3552"/>
      <c r="AH196" s="67"/>
      <c r="AI196" s="67"/>
    </row>
    <row r="197" spans="1:35" ht="18" customHeight="1" x14ac:dyDescent="0.2">
      <c r="A197" s="129"/>
      <c r="B197" s="127"/>
      <c r="C197" s="128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28"/>
      <c r="AH197" s="67"/>
      <c r="AI197" s="67"/>
    </row>
    <row r="198" spans="1:35" ht="18" customHeight="1" x14ac:dyDescent="0.2">
      <c r="A198" s="129"/>
      <c r="B198" s="127"/>
      <c r="C198" s="128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28"/>
      <c r="AH198" s="67"/>
      <c r="AI198" s="67"/>
    </row>
    <row r="199" spans="1:35" ht="18" customHeight="1" x14ac:dyDescent="0.2">
      <c r="A199" s="97" t="s">
        <v>294</v>
      </c>
      <c r="B199" s="48"/>
      <c r="C199" s="66"/>
      <c r="D199" s="48"/>
      <c r="E199" s="48"/>
      <c r="F199" s="66"/>
      <c r="G199" s="48"/>
      <c r="H199" s="48"/>
      <c r="I199" s="66"/>
      <c r="J199" s="66"/>
      <c r="K199" s="48"/>
      <c r="L199" s="66"/>
      <c r="M199" s="48"/>
      <c r="N199" s="48"/>
      <c r="O199" s="66"/>
      <c r="P199" s="48"/>
      <c r="Q199" s="66"/>
      <c r="R199" s="66"/>
      <c r="S199" s="48"/>
      <c r="T199" s="48"/>
      <c r="U199" s="66"/>
      <c r="V199" s="48"/>
      <c r="W199" s="66"/>
      <c r="X199" s="66"/>
      <c r="Y199" s="48"/>
      <c r="Z199" s="48"/>
      <c r="AA199" s="48"/>
      <c r="AB199" s="48"/>
      <c r="AC199" s="48"/>
      <c r="AD199" s="48"/>
      <c r="AE199" s="66"/>
      <c r="AF199" s="48"/>
      <c r="AG199" s="48"/>
      <c r="AH199" s="67"/>
      <c r="AI199" s="67"/>
    </row>
    <row r="200" spans="1:35" ht="18" customHeight="1" x14ac:dyDescent="0.2">
      <c r="A200" s="69"/>
      <c r="B200" s="1509" t="s">
        <v>295</v>
      </c>
      <c r="C200" s="1510"/>
      <c r="D200" s="224" t="s">
        <v>17</v>
      </c>
      <c r="E200" s="225"/>
      <c r="F200" s="1927"/>
      <c r="G200" s="1511"/>
      <c r="H200" s="224" t="s">
        <v>18</v>
      </c>
      <c r="I200" s="225"/>
      <c r="J200" s="1927"/>
      <c r="K200" s="1511"/>
      <c r="L200" s="224" t="s">
        <v>19</v>
      </c>
      <c r="M200" s="225"/>
      <c r="N200" s="1927"/>
      <c r="O200" s="1511"/>
      <c r="P200" s="224" t="s">
        <v>20</v>
      </c>
      <c r="Q200" s="225"/>
      <c r="R200" s="1927"/>
      <c r="S200" s="1511"/>
      <c r="T200" s="224" t="s">
        <v>21</v>
      </c>
      <c r="U200" s="225"/>
      <c r="V200" s="1927"/>
      <c r="W200" s="1511"/>
      <c r="X200" s="224" t="s">
        <v>22</v>
      </c>
      <c r="Y200" s="225"/>
      <c r="Z200" s="1927"/>
      <c r="AA200" s="1511"/>
      <c r="AB200" s="224" t="s">
        <v>23</v>
      </c>
      <c r="AC200" s="225"/>
      <c r="AD200" s="225"/>
      <c r="AE200" s="1512" t="s">
        <v>126</v>
      </c>
      <c r="AF200" s="225"/>
      <c r="AG200" s="225"/>
      <c r="AH200" s="225"/>
      <c r="AI200" s="1928"/>
    </row>
    <row r="201" spans="1:35" ht="18" customHeight="1" x14ac:dyDescent="0.2">
      <c r="A201" s="69"/>
      <c r="B201" s="3488" t="s">
        <v>296</v>
      </c>
      <c r="C201" s="3368" t="s">
        <v>414</v>
      </c>
      <c r="D201" s="3369" t="s">
        <v>298</v>
      </c>
      <c r="E201" s="3370"/>
      <c r="F201" s="3371"/>
      <c r="G201" s="3372"/>
      <c r="H201" s="3373" t="s">
        <v>298</v>
      </c>
      <c r="I201" s="3374"/>
      <c r="J201" s="3371"/>
      <c r="K201" s="3372"/>
      <c r="L201" s="3373" t="s">
        <v>298</v>
      </c>
      <c r="M201" s="3374"/>
      <c r="N201" s="3371"/>
      <c r="O201" s="3372"/>
      <c r="P201" s="3373" t="s">
        <v>299</v>
      </c>
      <c r="Q201" s="3374"/>
      <c r="R201" s="3371"/>
      <c r="S201" s="3372"/>
      <c r="T201" s="3373" t="s">
        <v>300</v>
      </c>
      <c r="U201" s="3374"/>
      <c r="V201" s="3371"/>
      <c r="W201" s="3375"/>
      <c r="X201" s="3376"/>
      <c r="Y201" s="3376"/>
      <c r="Z201" s="3377"/>
      <c r="AA201" s="3375"/>
      <c r="AB201" s="3376"/>
      <c r="AC201" s="3376"/>
      <c r="AD201" s="3376"/>
      <c r="AE201" s="3375"/>
      <c r="AF201" s="3376"/>
      <c r="AG201" s="3376"/>
      <c r="AH201" s="3378"/>
      <c r="AI201" s="3379"/>
    </row>
    <row r="202" spans="1:35" ht="18" customHeight="1" x14ac:dyDescent="0.2">
      <c r="A202" s="69"/>
      <c r="B202" s="3488" t="s">
        <v>301</v>
      </c>
      <c r="C202" s="3368" t="s">
        <v>174</v>
      </c>
      <c r="D202" s="3369" t="s">
        <v>298</v>
      </c>
      <c r="E202" s="3370"/>
      <c r="F202" s="3371"/>
      <c r="G202" s="3372"/>
      <c r="H202" s="3373" t="s">
        <v>298</v>
      </c>
      <c r="I202" s="3374"/>
      <c r="J202" s="3371"/>
      <c r="K202" s="3372"/>
      <c r="L202" s="3373" t="s">
        <v>302</v>
      </c>
      <c r="M202" s="3374"/>
      <c r="N202" s="3371"/>
      <c r="O202" s="3372"/>
      <c r="P202" s="3373" t="s">
        <v>303</v>
      </c>
      <c r="Q202" s="3374"/>
      <c r="R202" s="3371"/>
      <c r="S202" s="3372"/>
      <c r="T202" s="3373" t="s">
        <v>304</v>
      </c>
      <c r="U202" s="3374"/>
      <c r="V202" s="3371"/>
      <c r="W202" s="3375"/>
      <c r="X202" s="3376"/>
      <c r="Y202" s="3376"/>
      <c r="Z202" s="3377"/>
      <c r="AA202" s="3375"/>
      <c r="AB202" s="3376"/>
      <c r="AC202" s="3376"/>
      <c r="AD202" s="3376"/>
      <c r="AE202" s="3375"/>
      <c r="AF202" s="3376"/>
      <c r="AG202" s="3376"/>
      <c r="AH202" s="3378"/>
      <c r="AI202" s="3379"/>
    </row>
    <row r="203" spans="1:35" ht="18" customHeight="1" x14ac:dyDescent="0.2">
      <c r="A203" s="69"/>
      <c r="B203" s="3488" t="s">
        <v>305</v>
      </c>
      <c r="C203" s="3368" t="s">
        <v>154</v>
      </c>
      <c r="D203" s="3369" t="s">
        <v>306</v>
      </c>
      <c r="E203" s="3370"/>
      <c r="F203" s="3371"/>
      <c r="G203" s="3372"/>
      <c r="H203" s="3369" t="s">
        <v>306</v>
      </c>
      <c r="I203" s="3374"/>
      <c r="J203" s="3371"/>
      <c r="K203" s="3372"/>
      <c r="L203" s="3369" t="s">
        <v>306</v>
      </c>
      <c r="M203" s="3374"/>
      <c r="N203" s="3371"/>
      <c r="O203" s="3372"/>
      <c r="P203" s="3373" t="s">
        <v>307</v>
      </c>
      <c r="Q203" s="3374"/>
      <c r="R203" s="3371"/>
      <c r="S203" s="3372"/>
      <c r="T203" s="3373" t="s">
        <v>304</v>
      </c>
      <c r="U203" s="3374"/>
      <c r="V203" s="3371"/>
      <c r="W203" s="3375"/>
      <c r="X203" s="3376"/>
      <c r="Y203" s="3376"/>
      <c r="Z203" s="3377"/>
      <c r="AA203" s="3375"/>
      <c r="AB203" s="3376"/>
      <c r="AC203" s="3376"/>
      <c r="AD203" s="3376"/>
      <c r="AE203" s="3375"/>
      <c r="AF203" s="3376"/>
      <c r="AG203" s="3376"/>
      <c r="AH203" s="3378"/>
      <c r="AI203" s="3379"/>
    </row>
    <row r="204" spans="1:35" ht="18" customHeight="1" x14ac:dyDescent="0.2">
      <c r="A204" s="69"/>
      <c r="B204" s="3488" t="s">
        <v>308</v>
      </c>
      <c r="C204" s="3368" t="s">
        <v>309</v>
      </c>
      <c r="D204" s="3369" t="s">
        <v>310</v>
      </c>
      <c r="E204" s="3370"/>
      <c r="F204" s="3371"/>
      <c r="G204" s="3372"/>
      <c r="H204" s="3373" t="s">
        <v>298</v>
      </c>
      <c r="I204" s="3374"/>
      <c r="J204" s="3371"/>
      <c r="K204" s="3372"/>
      <c r="L204" s="3373" t="s">
        <v>298</v>
      </c>
      <c r="M204" s="3374"/>
      <c r="N204" s="3371"/>
      <c r="O204" s="3372"/>
      <c r="P204" s="3373" t="s">
        <v>311</v>
      </c>
      <c r="Q204" s="3374"/>
      <c r="R204" s="3371"/>
      <c r="S204" s="3372"/>
      <c r="T204" s="3373" t="s">
        <v>312</v>
      </c>
      <c r="U204" s="3374"/>
      <c r="V204" s="3371"/>
      <c r="W204" s="3375"/>
      <c r="X204" s="3376"/>
      <c r="Y204" s="3376"/>
      <c r="Z204" s="3377"/>
      <c r="AA204" s="3375"/>
      <c r="AB204" s="3376"/>
      <c r="AC204" s="3376"/>
      <c r="AD204" s="3376"/>
      <c r="AE204" s="3375"/>
      <c r="AF204" s="3376"/>
      <c r="AG204" s="3376"/>
      <c r="AH204" s="3378"/>
      <c r="AI204" s="3379"/>
    </row>
    <row r="205" spans="1:35" ht="18" customHeight="1" x14ac:dyDescent="0.2">
      <c r="A205" s="69"/>
      <c r="B205" s="3380" t="s">
        <v>313</v>
      </c>
      <c r="C205" s="3368" t="s">
        <v>160</v>
      </c>
      <c r="D205" s="3369" t="s">
        <v>314</v>
      </c>
      <c r="E205" s="3370"/>
      <c r="F205" s="3381"/>
      <c r="G205" s="3382"/>
      <c r="H205" s="3369" t="s">
        <v>314</v>
      </c>
      <c r="I205" s="3383"/>
      <c r="J205" s="3381"/>
      <c r="K205" s="3382"/>
      <c r="L205" s="3369" t="s">
        <v>314</v>
      </c>
      <c r="M205" s="3383"/>
      <c r="N205" s="3381"/>
      <c r="O205" s="3382"/>
      <c r="P205" s="3373" t="s">
        <v>315</v>
      </c>
      <c r="Q205" s="3383"/>
      <c r="R205" s="3381"/>
      <c r="S205" s="3382"/>
      <c r="T205" s="3373" t="s">
        <v>304</v>
      </c>
      <c r="U205" s="3383"/>
      <c r="V205" s="3491"/>
      <c r="W205" s="3384"/>
      <c r="X205" s="1638"/>
      <c r="Y205" s="1638"/>
      <c r="Z205" s="1008"/>
      <c r="AA205" s="3384"/>
      <c r="AB205" s="1638"/>
      <c r="AC205" s="1638"/>
      <c r="AD205" s="1638"/>
      <c r="AE205" s="3384"/>
      <c r="AF205" s="1638"/>
      <c r="AG205" s="1638"/>
      <c r="AH205" s="1524"/>
      <c r="AI205" s="1002"/>
    </row>
    <row r="206" spans="1:35" ht="18" customHeight="1" x14ac:dyDescent="0.2">
      <c r="A206" s="69"/>
      <c r="B206" s="3488" t="s">
        <v>316</v>
      </c>
      <c r="C206" s="3368" t="s">
        <v>168</v>
      </c>
      <c r="D206" s="3369" t="s">
        <v>317</v>
      </c>
      <c r="E206" s="3370"/>
      <c r="F206" s="3371"/>
      <c r="G206" s="3372"/>
      <c r="H206" s="3369" t="s">
        <v>317</v>
      </c>
      <c r="I206" s="3374"/>
      <c r="J206" s="3371"/>
      <c r="K206" s="3372"/>
      <c r="L206" s="3369" t="s">
        <v>317</v>
      </c>
      <c r="M206" s="3374"/>
      <c r="N206" s="3371"/>
      <c r="O206" s="3372"/>
      <c r="P206" s="3373" t="s">
        <v>318</v>
      </c>
      <c r="Q206" s="3374"/>
      <c r="R206" s="3371"/>
      <c r="S206" s="3372"/>
      <c r="T206" s="3373" t="s">
        <v>304</v>
      </c>
      <c r="U206" s="3374"/>
      <c r="V206" s="3371"/>
      <c r="W206" s="3375"/>
      <c r="X206" s="3376"/>
      <c r="Y206" s="3376"/>
      <c r="Z206" s="3493"/>
      <c r="AA206" s="3375"/>
      <c r="AB206" s="3376"/>
      <c r="AC206" s="3376"/>
      <c r="AD206" s="3376"/>
      <c r="AE206" s="3375"/>
      <c r="AF206" s="3376"/>
      <c r="AG206" s="3376"/>
      <c r="AH206" s="3378"/>
      <c r="AI206" s="3379"/>
    </row>
    <row r="207" spans="1:35" ht="18" customHeight="1" x14ac:dyDescent="0.2">
      <c r="A207" s="69"/>
      <c r="B207" s="3488" t="s">
        <v>321</v>
      </c>
      <c r="C207" s="3368" t="s">
        <v>322</v>
      </c>
      <c r="D207" s="3369" t="s">
        <v>320</v>
      </c>
      <c r="E207" s="3370"/>
      <c r="F207" s="3371"/>
      <c r="G207" s="3372"/>
      <c r="H207" s="3373" t="s">
        <v>320</v>
      </c>
      <c r="I207" s="3374"/>
      <c r="J207" s="3371"/>
      <c r="K207" s="3372"/>
      <c r="L207" s="3373" t="s">
        <v>320</v>
      </c>
      <c r="M207" s="3374"/>
      <c r="N207" s="3374"/>
      <c r="O207" s="3372"/>
      <c r="P207" s="3373" t="s">
        <v>320</v>
      </c>
      <c r="Q207" s="3374"/>
      <c r="R207" s="3374"/>
      <c r="S207" s="3372"/>
      <c r="T207" s="3373" t="s">
        <v>304</v>
      </c>
      <c r="U207" s="3374"/>
      <c r="V207" s="3371"/>
      <c r="W207" s="3488"/>
      <c r="X207" s="3376"/>
      <c r="Y207" s="3376"/>
      <c r="Z207" s="3377"/>
      <c r="AA207" s="3385"/>
      <c r="AB207" s="3376"/>
      <c r="AC207" s="3376"/>
      <c r="AD207" s="3376"/>
      <c r="AE207" s="3375"/>
      <c r="AF207" s="3376"/>
      <c r="AG207" s="3376"/>
      <c r="AH207" s="3378"/>
      <c r="AI207" s="3379"/>
    </row>
    <row r="208" spans="1:35" ht="18" customHeight="1" x14ac:dyDescent="0.2">
      <c r="A208" s="69"/>
      <c r="B208" s="3488" t="s">
        <v>465</v>
      </c>
      <c r="C208" s="3368" t="s">
        <v>451</v>
      </c>
      <c r="D208" s="3369" t="s">
        <v>320</v>
      </c>
      <c r="E208" s="3370"/>
      <c r="F208" s="3371"/>
      <c r="G208" s="3372"/>
      <c r="H208" s="3373" t="s">
        <v>320</v>
      </c>
      <c r="I208" s="3374"/>
      <c r="J208" s="3371"/>
      <c r="K208" s="3372"/>
      <c r="L208" s="3373" t="s">
        <v>320</v>
      </c>
      <c r="M208" s="3374"/>
      <c r="N208" s="3374"/>
      <c r="O208" s="3372"/>
      <c r="P208" s="3373" t="s">
        <v>320</v>
      </c>
      <c r="Q208" s="3374"/>
      <c r="R208" s="3374"/>
      <c r="S208" s="3372"/>
      <c r="T208" s="3373" t="s">
        <v>304</v>
      </c>
      <c r="U208" s="3374"/>
      <c r="V208" s="3371"/>
      <c r="AA208" s="122"/>
      <c r="AE208" s="122"/>
      <c r="AH208" s="67"/>
      <c r="AI208" s="67"/>
    </row>
    <row r="209" spans="1:37" ht="18" customHeight="1" x14ac:dyDescent="0.2">
      <c r="A209" s="69"/>
      <c r="B209" t="s">
        <v>323</v>
      </c>
      <c r="C209" s="122"/>
      <c r="F209" s="122"/>
      <c r="I209" s="122"/>
      <c r="J209" s="122"/>
      <c r="L209" s="122"/>
      <c r="O209" s="122"/>
      <c r="Q209" s="122"/>
      <c r="R209" s="122"/>
      <c r="U209" s="122"/>
      <c r="W209" s="122"/>
      <c r="X209" s="122"/>
      <c r="AE209" s="122"/>
      <c r="AH209" s="67"/>
      <c r="AI209" s="67"/>
      <c r="AJ209" s="123"/>
    </row>
    <row r="210" spans="1:37" ht="18" customHeight="1" x14ac:dyDescent="0.2">
      <c r="A210" s="69"/>
      <c r="B210" s="1509" t="s">
        <v>295</v>
      </c>
      <c r="C210" s="1939"/>
      <c r="D210" s="224" t="s">
        <v>17</v>
      </c>
      <c r="E210" s="225"/>
      <c r="F210" s="1927"/>
      <c r="G210" s="1511"/>
      <c r="H210" s="224" t="s">
        <v>18</v>
      </c>
      <c r="I210" s="225"/>
      <c r="J210" s="1927"/>
      <c r="K210" s="1511"/>
      <c r="L210" s="224" t="s">
        <v>19</v>
      </c>
      <c r="M210" s="225"/>
      <c r="N210" s="1927"/>
      <c r="O210" s="1511"/>
      <c r="P210" s="224" t="s">
        <v>20</v>
      </c>
      <c r="Q210" s="225"/>
      <c r="R210" s="1927"/>
      <c r="S210" s="1511"/>
      <c r="T210" s="224" t="s">
        <v>21</v>
      </c>
      <c r="U210" s="225"/>
      <c r="V210" s="1927"/>
      <c r="W210" s="1511"/>
      <c r="X210" s="224" t="s">
        <v>22</v>
      </c>
      <c r="Y210" s="225"/>
      <c r="Z210" s="1927"/>
      <c r="AA210" s="1511"/>
      <c r="AB210" s="224" t="s">
        <v>23</v>
      </c>
      <c r="AC210" s="225"/>
      <c r="AD210" s="225"/>
      <c r="AE210" s="1512" t="s">
        <v>126</v>
      </c>
      <c r="AF210" s="225"/>
      <c r="AG210" s="225"/>
      <c r="AH210" s="225"/>
      <c r="AI210" s="1928"/>
      <c r="AJ210" s="123"/>
    </row>
    <row r="211" spans="1:37" ht="18" customHeight="1" x14ac:dyDescent="0.2">
      <c r="A211" s="69"/>
      <c r="B211" s="3488" t="s">
        <v>296</v>
      </c>
      <c r="C211" s="3368" t="s">
        <v>414</v>
      </c>
      <c r="D211" s="3369" t="s">
        <v>324</v>
      </c>
      <c r="E211" s="3370"/>
      <c r="F211" s="3371"/>
      <c r="G211" s="3372"/>
      <c r="H211" s="3369" t="s">
        <v>324</v>
      </c>
      <c r="I211" s="3374"/>
      <c r="J211" s="3371"/>
      <c r="K211" s="3372"/>
      <c r="L211" s="3369" t="s">
        <v>324</v>
      </c>
      <c r="M211" s="3374"/>
      <c r="N211" s="3371"/>
      <c r="O211" s="3372"/>
      <c r="P211" s="3373" t="s">
        <v>325</v>
      </c>
      <c r="Q211" s="3374"/>
      <c r="R211" s="3371"/>
      <c r="S211" s="3372"/>
      <c r="T211" s="3373" t="s">
        <v>326</v>
      </c>
      <c r="U211" s="3374"/>
      <c r="V211" s="3371"/>
      <c r="W211" s="3386"/>
      <c r="X211" s="3493"/>
      <c r="Y211" s="3493"/>
      <c r="Z211" s="3491"/>
      <c r="AA211" s="3386"/>
      <c r="AB211" s="3493"/>
      <c r="AC211" s="3493"/>
      <c r="AD211" s="3493"/>
      <c r="AE211" s="3386"/>
      <c r="AF211" s="3493"/>
      <c r="AG211" s="3493"/>
      <c r="AH211" s="3378"/>
      <c r="AI211" s="3379"/>
      <c r="AJ211" s="123"/>
    </row>
    <row r="212" spans="1:37" ht="18" customHeight="1" x14ac:dyDescent="0.2">
      <c r="A212" s="69"/>
      <c r="B212" s="3488" t="s">
        <v>301</v>
      </c>
      <c r="C212" s="3368" t="s">
        <v>174</v>
      </c>
      <c r="D212" s="3369" t="s">
        <v>324</v>
      </c>
      <c r="E212" s="3370"/>
      <c r="F212" s="3371"/>
      <c r="G212" s="3372"/>
      <c r="H212" s="3369" t="s">
        <v>324</v>
      </c>
      <c r="I212" s="3374"/>
      <c r="J212" s="3371"/>
      <c r="K212" s="3372"/>
      <c r="L212" s="3373" t="s">
        <v>302</v>
      </c>
      <c r="M212" s="3374"/>
      <c r="N212" s="3371"/>
      <c r="O212" s="3372"/>
      <c r="P212" s="3373" t="s">
        <v>327</v>
      </c>
      <c r="Q212" s="3374"/>
      <c r="R212" s="3371"/>
      <c r="S212" s="3372"/>
      <c r="T212" s="3373" t="s">
        <v>328</v>
      </c>
      <c r="U212" s="3374"/>
      <c r="V212" s="3371"/>
      <c r="W212" s="3386"/>
      <c r="X212" s="3493"/>
      <c r="Y212" s="3493"/>
      <c r="Z212" s="3491"/>
      <c r="AA212" s="3386"/>
      <c r="AB212" s="3493"/>
      <c r="AC212" s="3493"/>
      <c r="AD212" s="3493"/>
      <c r="AE212" s="3386"/>
      <c r="AF212" s="3493"/>
      <c r="AG212" s="3493"/>
      <c r="AH212" s="3378"/>
      <c r="AI212" s="3379"/>
      <c r="AJ212" s="123"/>
    </row>
    <row r="213" spans="1:37" ht="18" customHeight="1" x14ac:dyDescent="0.2">
      <c r="A213" s="69"/>
      <c r="B213" s="3488" t="s">
        <v>305</v>
      </c>
      <c r="C213" s="3368" t="s">
        <v>154</v>
      </c>
      <c r="D213" s="3369" t="s">
        <v>324</v>
      </c>
      <c r="E213" s="3370"/>
      <c r="F213" s="3371"/>
      <c r="G213" s="3372"/>
      <c r="H213" s="3369" t="s">
        <v>324</v>
      </c>
      <c r="I213" s="3374"/>
      <c r="J213" s="3371"/>
      <c r="K213" s="3372"/>
      <c r="L213" s="3369" t="s">
        <v>324</v>
      </c>
      <c r="M213" s="3493"/>
      <c r="N213" s="3371"/>
      <c r="O213" s="3372"/>
      <c r="P213" s="3373" t="s">
        <v>329</v>
      </c>
      <c r="Q213" s="3374"/>
      <c r="R213" s="3371"/>
      <c r="S213" s="3372"/>
      <c r="T213" s="3373" t="s">
        <v>328</v>
      </c>
      <c r="U213" s="3374"/>
      <c r="V213" s="3371"/>
      <c r="W213" s="3386"/>
      <c r="X213" s="3493"/>
      <c r="Y213" s="3493"/>
      <c r="Z213" s="3491"/>
      <c r="AA213" s="3386"/>
      <c r="AB213" s="3493"/>
      <c r="AC213" s="3493"/>
      <c r="AD213" s="3493"/>
      <c r="AE213" s="3386"/>
      <c r="AF213" s="3493"/>
      <c r="AG213" s="3493"/>
      <c r="AH213" s="3378"/>
      <c r="AI213" s="3379"/>
      <c r="AJ213" s="123"/>
    </row>
    <row r="214" spans="1:37" ht="18" customHeight="1" x14ac:dyDescent="0.2">
      <c r="A214" s="69"/>
      <c r="B214" s="3488" t="s">
        <v>308</v>
      </c>
      <c r="C214" s="3368" t="s">
        <v>309</v>
      </c>
      <c r="D214" s="3369" t="s">
        <v>330</v>
      </c>
      <c r="E214" s="3370"/>
      <c r="F214" s="3371"/>
      <c r="G214" s="3372"/>
      <c r="H214" s="3369" t="s">
        <v>330</v>
      </c>
      <c r="I214" s="3374"/>
      <c r="J214" s="3371"/>
      <c r="K214" s="3372"/>
      <c r="L214" s="3369" t="s">
        <v>314</v>
      </c>
      <c r="M214" s="3374"/>
      <c r="N214" s="3371"/>
      <c r="O214" s="3372"/>
      <c r="P214" s="3373" t="s">
        <v>331</v>
      </c>
      <c r="Q214" s="3374"/>
      <c r="R214" s="3371"/>
      <c r="S214" s="3372"/>
      <c r="T214" s="3373" t="s">
        <v>326</v>
      </c>
      <c r="U214" s="3374"/>
      <c r="V214" s="3371"/>
      <c r="W214" s="3386"/>
      <c r="X214" s="3493"/>
      <c r="Y214" s="3493"/>
      <c r="Z214" s="3491"/>
      <c r="AA214" s="3386"/>
      <c r="AB214" s="3493"/>
      <c r="AC214" s="3493"/>
      <c r="AD214" s="3493"/>
      <c r="AE214" s="3386"/>
      <c r="AF214" s="3493"/>
      <c r="AG214" s="3493"/>
      <c r="AH214" s="3378"/>
      <c r="AI214" s="3379"/>
      <c r="AJ214" s="123"/>
    </row>
    <row r="215" spans="1:37" ht="18" customHeight="1" x14ac:dyDescent="0.2">
      <c r="A215" s="69"/>
      <c r="B215" s="3380" t="s">
        <v>313</v>
      </c>
      <c r="C215" s="3368" t="s">
        <v>160</v>
      </c>
      <c r="D215" s="3369" t="s">
        <v>324</v>
      </c>
      <c r="E215" s="3370"/>
      <c r="F215" s="3371"/>
      <c r="G215" s="3372"/>
      <c r="H215" s="3369" t="s">
        <v>324</v>
      </c>
      <c r="I215" s="3374"/>
      <c r="J215" s="3371"/>
      <c r="K215" s="3372"/>
      <c r="L215" s="3369" t="s">
        <v>324</v>
      </c>
      <c r="M215" s="3374"/>
      <c r="N215" s="3371"/>
      <c r="O215" s="3372"/>
      <c r="P215" s="3373" t="s">
        <v>329</v>
      </c>
      <c r="Q215" s="3374"/>
      <c r="R215" s="3371"/>
      <c r="S215" s="3372"/>
      <c r="T215" s="3373" t="s">
        <v>328</v>
      </c>
      <c r="U215" s="3374"/>
      <c r="V215" s="3371"/>
      <c r="W215" s="3384"/>
      <c r="X215" s="1638"/>
      <c r="Y215" s="1638"/>
      <c r="Z215" s="1008"/>
      <c r="AA215" s="3384"/>
      <c r="AB215" s="1638"/>
      <c r="AC215" s="1638"/>
      <c r="AD215" s="1638"/>
      <c r="AE215" s="3384"/>
      <c r="AF215" s="1638"/>
      <c r="AG215" s="1638"/>
      <c r="AH215" s="1524"/>
      <c r="AI215" s="1002"/>
      <c r="AJ215" s="123"/>
    </row>
    <row r="216" spans="1:37" ht="18" customHeight="1" x14ac:dyDescent="0.2">
      <c r="A216" s="69"/>
      <c r="B216" s="3488" t="s">
        <v>316</v>
      </c>
      <c r="C216" s="3368" t="s">
        <v>168</v>
      </c>
      <c r="D216" s="3369" t="s">
        <v>324</v>
      </c>
      <c r="E216" s="3370"/>
      <c r="F216" s="3371"/>
      <c r="G216" s="3372"/>
      <c r="H216" s="3369" t="s">
        <v>324</v>
      </c>
      <c r="I216" s="3374"/>
      <c r="J216" s="3371"/>
      <c r="K216" s="3372"/>
      <c r="L216" s="3369" t="s">
        <v>324</v>
      </c>
      <c r="M216" s="3374"/>
      <c r="N216" s="3371"/>
      <c r="O216" s="3372"/>
      <c r="P216" s="3373" t="s">
        <v>325</v>
      </c>
      <c r="Q216" s="3374"/>
      <c r="R216" s="3371"/>
      <c r="S216" s="3372"/>
      <c r="T216" s="3373" t="s">
        <v>326</v>
      </c>
      <c r="U216" s="3374"/>
      <c r="V216" s="3371"/>
      <c r="W216" s="3386"/>
      <c r="X216" s="3493"/>
      <c r="Y216" s="3493"/>
      <c r="Z216" s="3493"/>
      <c r="AA216" s="3386"/>
      <c r="AB216" s="3493"/>
      <c r="AC216" s="3493"/>
      <c r="AD216" s="3493"/>
      <c r="AE216" s="3386"/>
      <c r="AF216" s="3493"/>
      <c r="AG216" s="3493"/>
      <c r="AH216" s="3378"/>
      <c r="AI216" s="3379"/>
      <c r="AJ216" s="123"/>
    </row>
    <row r="217" spans="1:37" ht="18" customHeight="1" x14ac:dyDescent="0.2">
      <c r="A217" s="69"/>
      <c r="B217" s="3488" t="s">
        <v>321</v>
      </c>
      <c r="C217" s="3368" t="s">
        <v>322</v>
      </c>
      <c r="D217" s="3369" t="s">
        <v>320</v>
      </c>
      <c r="E217" s="3370"/>
      <c r="F217" s="3371"/>
      <c r="G217" s="3372"/>
      <c r="H217" s="3373" t="s">
        <v>320</v>
      </c>
      <c r="I217" s="3374"/>
      <c r="J217" s="3371"/>
      <c r="K217" s="3372"/>
      <c r="L217" s="3373" t="s">
        <v>320</v>
      </c>
      <c r="M217" s="3374"/>
      <c r="N217" s="3374"/>
      <c r="O217" s="3372"/>
      <c r="P217" s="3373" t="s">
        <v>320</v>
      </c>
      <c r="Q217" s="3374"/>
      <c r="R217" s="3374"/>
      <c r="S217" s="3372"/>
      <c r="T217" s="3373" t="s">
        <v>304</v>
      </c>
      <c r="U217" s="3374"/>
      <c r="V217" s="3371"/>
      <c r="W217" s="3488"/>
      <c r="X217" s="3493"/>
      <c r="Y217" s="3493"/>
      <c r="Z217" s="3491"/>
      <c r="AA217" s="3385"/>
      <c r="AB217" s="3493"/>
      <c r="AC217" s="3493"/>
      <c r="AD217" s="3493"/>
      <c r="AE217" s="3386"/>
      <c r="AF217" s="3493"/>
      <c r="AG217" s="3493"/>
      <c r="AH217" s="3378"/>
      <c r="AI217" s="3379"/>
      <c r="AJ217" s="123"/>
    </row>
    <row r="218" spans="1:37" ht="18" customHeight="1" x14ac:dyDescent="0.2">
      <c r="A218" s="69"/>
      <c r="B218" s="3488" t="s">
        <v>465</v>
      </c>
      <c r="C218" s="3368" t="s">
        <v>451</v>
      </c>
      <c r="D218" s="3369" t="s">
        <v>320</v>
      </c>
      <c r="E218" s="3370"/>
      <c r="F218" s="3371"/>
      <c r="G218" s="3372"/>
      <c r="H218" s="3373" t="s">
        <v>320</v>
      </c>
      <c r="I218" s="3374"/>
      <c r="J218" s="3371"/>
      <c r="K218" s="3372"/>
      <c r="L218" s="3373" t="s">
        <v>320</v>
      </c>
      <c r="M218" s="3374"/>
      <c r="N218" s="3374"/>
      <c r="O218" s="3372"/>
      <c r="P218" s="3373" t="s">
        <v>320</v>
      </c>
      <c r="Q218" s="3374"/>
      <c r="R218" s="3374"/>
      <c r="S218" s="3372"/>
      <c r="T218" s="3373" t="s">
        <v>304</v>
      </c>
      <c r="U218" s="3374"/>
      <c r="V218" s="3371"/>
      <c r="W218" s="3488"/>
      <c r="X218" s="3493"/>
      <c r="Y218" s="3493"/>
      <c r="Z218" s="3491"/>
      <c r="AA218" s="3385"/>
      <c r="AB218" s="3493"/>
      <c r="AC218" s="3493"/>
      <c r="AD218" s="3493"/>
      <c r="AE218" s="3386"/>
      <c r="AF218" s="3493"/>
      <c r="AG218" s="3493"/>
      <c r="AH218" s="3378"/>
      <c r="AI218" s="3379"/>
      <c r="AJ218" s="123"/>
    </row>
    <row r="219" spans="1:37" ht="18" customHeight="1" thickBot="1" x14ac:dyDescent="0.25">
      <c r="A219" s="69"/>
      <c r="B219" s="133"/>
      <c r="C219" s="134"/>
      <c r="D219" s="135"/>
      <c r="E219" s="136"/>
      <c r="F219" s="136"/>
      <c r="G219" s="137"/>
      <c r="H219" s="135"/>
      <c r="I219" s="136"/>
      <c r="J219" s="136"/>
      <c r="K219" s="137"/>
      <c r="L219" s="135"/>
      <c r="M219" s="136"/>
      <c r="N219" s="136"/>
      <c r="O219" s="137"/>
      <c r="P219" s="127"/>
      <c r="Q219" s="136"/>
      <c r="R219" s="136"/>
      <c r="S219" s="137"/>
      <c r="T219" s="127"/>
      <c r="U219" s="136"/>
      <c r="V219" s="136"/>
      <c r="W219" s="136"/>
      <c r="X219" s="136"/>
      <c r="Y219" s="136"/>
      <c r="Z219" s="136"/>
      <c r="AA219" s="137"/>
      <c r="AB219" s="136"/>
      <c r="AC219" s="136"/>
      <c r="AD219" s="136"/>
      <c r="AE219" s="137"/>
      <c r="AF219" s="136"/>
      <c r="AG219" s="136"/>
      <c r="AH219" s="124"/>
      <c r="AI219" s="124"/>
      <c r="AJ219" s="123"/>
    </row>
    <row r="220" spans="1:37" ht="18" customHeight="1" x14ac:dyDescent="0.2">
      <c r="A220" s="96"/>
      <c r="B220" s="3387" t="s">
        <v>44</v>
      </c>
      <c r="C220" s="2707">
        <v>1</v>
      </c>
      <c r="D220" s="2707">
        <v>2</v>
      </c>
      <c r="E220" s="2706">
        <v>3</v>
      </c>
      <c r="F220" s="2706">
        <v>4</v>
      </c>
      <c r="G220" s="2706">
        <v>5</v>
      </c>
      <c r="H220" s="2706">
        <v>6</v>
      </c>
      <c r="I220" s="2706">
        <v>7</v>
      </c>
      <c r="J220" s="2707">
        <v>8</v>
      </c>
      <c r="K220" s="2707">
        <v>9</v>
      </c>
      <c r="L220" s="2706">
        <v>10</v>
      </c>
      <c r="M220" s="2706">
        <v>11</v>
      </c>
      <c r="N220" s="2706">
        <v>12</v>
      </c>
      <c r="O220" s="2706">
        <v>13</v>
      </c>
      <c r="P220" s="2706">
        <v>14</v>
      </c>
      <c r="Q220" s="2707">
        <v>15</v>
      </c>
      <c r="R220" s="2707">
        <v>16</v>
      </c>
      <c r="S220" s="2706">
        <v>17</v>
      </c>
      <c r="T220" s="2706">
        <v>18</v>
      </c>
      <c r="U220" s="2706">
        <v>19</v>
      </c>
      <c r="V220" s="2706">
        <v>20</v>
      </c>
      <c r="W220" s="2706">
        <v>21</v>
      </c>
      <c r="X220" s="2707">
        <v>22</v>
      </c>
      <c r="Y220" s="2707">
        <v>23</v>
      </c>
      <c r="Z220" s="2706">
        <v>24</v>
      </c>
      <c r="AA220" s="2706">
        <v>25</v>
      </c>
      <c r="AB220" s="2706">
        <v>26</v>
      </c>
      <c r="AC220" s="2706">
        <v>27</v>
      </c>
      <c r="AD220" s="2706">
        <v>28</v>
      </c>
      <c r="AE220" s="2706"/>
      <c r="AF220" s="2706"/>
      <c r="AG220" s="3501"/>
      <c r="AH220" s="117"/>
      <c r="AI220" s="111"/>
    </row>
    <row r="221" spans="1:37" ht="18" customHeight="1" x14ac:dyDescent="0.2">
      <c r="A221" s="69"/>
      <c r="B221" s="3600" t="s">
        <v>453</v>
      </c>
      <c r="C221" s="3618"/>
      <c r="D221" s="3618"/>
      <c r="E221" s="3618" t="s">
        <v>297</v>
      </c>
      <c r="F221" s="3618" t="s">
        <v>297</v>
      </c>
      <c r="G221" s="3618" t="s">
        <v>297</v>
      </c>
      <c r="H221" s="3618" t="s">
        <v>297</v>
      </c>
      <c r="I221" s="3618" t="s">
        <v>297</v>
      </c>
      <c r="J221" s="3618"/>
      <c r="K221" s="3618"/>
      <c r="L221" s="3618" t="s">
        <v>297</v>
      </c>
      <c r="M221" s="3618" t="s">
        <v>297</v>
      </c>
      <c r="N221" s="3618" t="s">
        <v>297</v>
      </c>
      <c r="O221" s="3618" t="s">
        <v>297</v>
      </c>
      <c r="P221" s="3618" t="s">
        <v>297</v>
      </c>
      <c r="Q221" s="3618"/>
      <c r="R221" s="3618"/>
      <c r="S221" s="3618" t="s">
        <v>297</v>
      </c>
      <c r="T221" s="3618" t="s">
        <v>297</v>
      </c>
      <c r="U221" s="3618" t="s">
        <v>297</v>
      </c>
      <c r="V221" s="3618" t="s">
        <v>297</v>
      </c>
      <c r="W221" s="3618" t="s">
        <v>297</v>
      </c>
      <c r="X221" s="3618"/>
      <c r="Y221" s="3618"/>
      <c r="Z221" s="3618" t="s">
        <v>297</v>
      </c>
      <c r="AA221" s="3618" t="s">
        <v>297</v>
      </c>
      <c r="AB221" s="3618" t="s">
        <v>297</v>
      </c>
      <c r="AC221" s="3618" t="s">
        <v>297</v>
      </c>
      <c r="AD221" s="3618" t="s">
        <v>297</v>
      </c>
      <c r="AE221" s="3618"/>
      <c r="AF221" s="3618"/>
      <c r="AG221" s="3626"/>
      <c r="AH221" s="116"/>
      <c r="AI221" s="116"/>
    </row>
    <row r="222" spans="1:37" ht="18" customHeight="1" x14ac:dyDescent="0.2">
      <c r="A222" s="69"/>
      <c r="B222" s="3388" t="s">
        <v>333</v>
      </c>
      <c r="C222" s="3618"/>
      <c r="D222" s="3618"/>
      <c r="E222" s="3389" t="s">
        <v>174</v>
      </c>
      <c r="F222" s="3389" t="s">
        <v>174</v>
      </c>
      <c r="G222" s="3389" t="s">
        <v>174</v>
      </c>
      <c r="H222" s="3389" t="s">
        <v>174</v>
      </c>
      <c r="I222" s="3389" t="s">
        <v>174</v>
      </c>
      <c r="J222" s="3389"/>
      <c r="K222" s="3389"/>
      <c r="L222" s="3389" t="s">
        <v>174</v>
      </c>
      <c r="M222" s="3389" t="s">
        <v>174</v>
      </c>
      <c r="N222" s="3389" t="s">
        <v>174</v>
      </c>
      <c r="O222" s="3389" t="s">
        <v>174</v>
      </c>
      <c r="P222" s="3389" t="s">
        <v>174</v>
      </c>
      <c r="Q222" s="3389"/>
      <c r="R222" s="3389"/>
      <c r="S222" s="3389" t="s">
        <v>174</v>
      </c>
      <c r="T222" s="3389" t="s">
        <v>174</v>
      </c>
      <c r="U222" s="3389" t="s">
        <v>174</v>
      </c>
      <c r="V222" s="3389" t="s">
        <v>174</v>
      </c>
      <c r="W222" s="3389" t="s">
        <v>174</v>
      </c>
      <c r="X222" s="3389"/>
      <c r="Y222" s="3389"/>
      <c r="Z222" s="3389" t="s">
        <v>174</v>
      </c>
      <c r="AA222" s="3389" t="s">
        <v>174</v>
      </c>
      <c r="AB222" s="3389" t="s">
        <v>174</v>
      </c>
      <c r="AC222" s="3389" t="s">
        <v>174</v>
      </c>
      <c r="AD222" s="3389" t="s">
        <v>174</v>
      </c>
      <c r="AE222" s="3618"/>
      <c r="AF222" s="3618"/>
      <c r="AG222" s="3626"/>
      <c r="AH222" s="116"/>
      <c r="AI222" s="116"/>
    </row>
    <row r="223" spans="1:37" ht="18" customHeight="1" x14ac:dyDescent="0.2">
      <c r="A223" s="69"/>
      <c r="B223" s="3391" t="s">
        <v>334</v>
      </c>
      <c r="C223" s="3618"/>
      <c r="D223" s="3618"/>
      <c r="E223" s="3618" t="s">
        <v>154</v>
      </c>
      <c r="F223" s="3711" t="s">
        <v>154</v>
      </c>
      <c r="G223" s="3618" t="s">
        <v>154</v>
      </c>
      <c r="H223" s="3618" t="s">
        <v>154</v>
      </c>
      <c r="I223" s="3618" t="s">
        <v>154</v>
      </c>
      <c r="J223" s="3618"/>
      <c r="K223" s="3618"/>
      <c r="L223" s="3618" t="s">
        <v>154</v>
      </c>
      <c r="M223" s="3625" t="s">
        <v>154</v>
      </c>
      <c r="N223" s="3543" t="s">
        <v>154</v>
      </c>
      <c r="O223" s="3618" t="s">
        <v>154</v>
      </c>
      <c r="P223" s="3618" t="s">
        <v>154</v>
      </c>
      <c r="Q223" s="3618"/>
      <c r="R223" s="3618"/>
      <c r="S223" s="3618" t="s">
        <v>154</v>
      </c>
      <c r="T223" s="3625" t="s">
        <v>154</v>
      </c>
      <c r="U223" s="3618" t="s">
        <v>154</v>
      </c>
      <c r="V223" s="3543" t="s">
        <v>154</v>
      </c>
      <c r="W223" s="3618" t="s">
        <v>154</v>
      </c>
      <c r="X223" s="3618"/>
      <c r="Y223" s="3618"/>
      <c r="Z223" s="3618" t="s">
        <v>154</v>
      </c>
      <c r="AA223" s="3625" t="s">
        <v>154</v>
      </c>
      <c r="AB223" s="3618" t="s">
        <v>154</v>
      </c>
      <c r="AC223" s="3618" t="s">
        <v>154</v>
      </c>
      <c r="AD223" s="3618" t="s">
        <v>154</v>
      </c>
      <c r="AE223" s="3618"/>
      <c r="AF223" s="3618"/>
      <c r="AG223" s="3626"/>
      <c r="AH223" s="116"/>
      <c r="AI223" s="116"/>
      <c r="AK223" t="s">
        <v>0</v>
      </c>
    </row>
    <row r="224" spans="1:37" ht="18" customHeight="1" x14ac:dyDescent="0.2">
      <c r="A224" s="69"/>
      <c r="B224" s="3388" t="s">
        <v>332</v>
      </c>
      <c r="C224" s="3618"/>
      <c r="D224" s="3618"/>
      <c r="E224" s="3618" t="s">
        <v>309</v>
      </c>
      <c r="F224" s="3618" t="s">
        <v>309</v>
      </c>
      <c r="G224" s="3618" t="s">
        <v>309</v>
      </c>
      <c r="H224" s="3618" t="s">
        <v>309</v>
      </c>
      <c r="I224" s="3625" t="s">
        <v>309</v>
      </c>
      <c r="J224" s="3618"/>
      <c r="K224" s="3618"/>
      <c r="L224" s="3421" t="s">
        <v>309</v>
      </c>
      <c r="M224" s="3618" t="s">
        <v>309</v>
      </c>
      <c r="N224" s="3618" t="s">
        <v>309</v>
      </c>
      <c r="O224" s="3618" t="s">
        <v>309</v>
      </c>
      <c r="P224" s="3625" t="s">
        <v>309</v>
      </c>
      <c r="Q224" s="3618"/>
      <c r="R224" s="3618"/>
      <c r="S224" s="3392" t="s">
        <v>309</v>
      </c>
      <c r="T224" s="3392" t="s">
        <v>466</v>
      </c>
      <c r="U224" s="3543" t="s">
        <v>309</v>
      </c>
      <c r="V224" s="3543" t="s">
        <v>309</v>
      </c>
      <c r="W224" s="3543" t="s">
        <v>309</v>
      </c>
      <c r="X224" s="3618"/>
      <c r="Y224" s="3618"/>
      <c r="Z224" s="3618" t="s">
        <v>309</v>
      </c>
      <c r="AA224" s="3618" t="s">
        <v>309</v>
      </c>
      <c r="AB224" s="3618" t="s">
        <v>309</v>
      </c>
      <c r="AC224" s="3618" t="s">
        <v>309</v>
      </c>
      <c r="AD224" s="3625" t="s">
        <v>309</v>
      </c>
      <c r="AE224" s="3618"/>
      <c r="AF224" s="3618"/>
      <c r="AG224" s="3626"/>
      <c r="AH224" s="116"/>
      <c r="AI224" s="116"/>
    </row>
    <row r="225" spans="1:35" ht="18" customHeight="1" x14ac:dyDescent="0.2">
      <c r="A225" s="69"/>
      <c r="B225" s="3496" t="s">
        <v>166</v>
      </c>
      <c r="C225" s="3618"/>
      <c r="D225" s="3618"/>
      <c r="E225" s="3618" t="s">
        <v>160</v>
      </c>
      <c r="F225" s="3618" t="s">
        <v>160</v>
      </c>
      <c r="G225" s="3618" t="s">
        <v>160</v>
      </c>
      <c r="H225" s="3618" t="s">
        <v>160</v>
      </c>
      <c r="I225" s="3618" t="s">
        <v>160</v>
      </c>
      <c r="J225" s="3618"/>
      <c r="K225" s="3618"/>
      <c r="L225" s="3618" t="s">
        <v>160</v>
      </c>
      <c r="M225" s="3543" t="s">
        <v>160</v>
      </c>
      <c r="N225" s="3618" t="s">
        <v>160</v>
      </c>
      <c r="O225" s="3618" t="s">
        <v>160</v>
      </c>
      <c r="P225" s="3618" t="s">
        <v>160</v>
      </c>
      <c r="Q225" s="3618"/>
      <c r="R225" s="3618"/>
      <c r="S225" s="3421" t="s">
        <v>160</v>
      </c>
      <c r="T225" s="3618" t="s">
        <v>160</v>
      </c>
      <c r="U225" s="3543" t="s">
        <v>160</v>
      </c>
      <c r="V225" s="3618" t="s">
        <v>160</v>
      </c>
      <c r="W225" s="3618" t="s">
        <v>160</v>
      </c>
      <c r="X225" s="3618"/>
      <c r="Y225" s="3618"/>
      <c r="Z225" s="3618" t="s">
        <v>160</v>
      </c>
      <c r="AA225" s="3618" t="s">
        <v>160</v>
      </c>
      <c r="AB225" s="3618" t="s">
        <v>160</v>
      </c>
      <c r="AC225" s="3618" t="s">
        <v>160</v>
      </c>
      <c r="AD225" s="3618" t="s">
        <v>160</v>
      </c>
      <c r="AE225" s="3618"/>
      <c r="AF225" s="3618"/>
      <c r="AG225" s="3395"/>
      <c r="AH225" s="116"/>
      <c r="AI225" s="116"/>
    </row>
    <row r="226" spans="1:35" ht="18" customHeight="1" x14ac:dyDescent="0.2">
      <c r="A226" s="69"/>
      <c r="B226" s="3396" t="s">
        <v>167</v>
      </c>
      <c r="C226" s="3618"/>
      <c r="D226" s="3618"/>
      <c r="E226" s="3397" t="s">
        <v>168</v>
      </c>
      <c r="F226" s="3397" t="s">
        <v>168</v>
      </c>
      <c r="G226" s="3397" t="s">
        <v>168</v>
      </c>
      <c r="H226" s="3397" t="s">
        <v>168</v>
      </c>
      <c r="I226" s="3397" t="s">
        <v>168</v>
      </c>
      <c r="J226" s="3618"/>
      <c r="K226" s="3618"/>
      <c r="L226" s="3397" t="s">
        <v>168</v>
      </c>
      <c r="M226" s="3397" t="s">
        <v>168</v>
      </c>
      <c r="N226" s="3397" t="s">
        <v>168</v>
      </c>
      <c r="O226" s="3397" t="s">
        <v>168</v>
      </c>
      <c r="P226" s="3397" t="s">
        <v>168</v>
      </c>
      <c r="Q226" s="3618"/>
      <c r="R226" s="3618"/>
      <c r="S226" s="3397" t="s">
        <v>168</v>
      </c>
      <c r="T226" s="3397" t="s">
        <v>168</v>
      </c>
      <c r="U226" s="3397" t="s">
        <v>168</v>
      </c>
      <c r="V226" s="3397" t="s">
        <v>168</v>
      </c>
      <c r="W226" s="3397" t="s">
        <v>168</v>
      </c>
      <c r="X226" s="3618"/>
      <c r="Y226" s="3618"/>
      <c r="Z226" s="3397" t="s">
        <v>168</v>
      </c>
      <c r="AA226" s="3397" t="s">
        <v>168</v>
      </c>
      <c r="AB226" s="3397" t="s">
        <v>168</v>
      </c>
      <c r="AC226" s="3397" t="s">
        <v>168</v>
      </c>
      <c r="AD226" s="3397" t="s">
        <v>168</v>
      </c>
      <c r="AE226" s="3618"/>
      <c r="AF226" s="3618"/>
      <c r="AG226" s="3626"/>
      <c r="AH226" s="116"/>
      <c r="AI226" s="116"/>
    </row>
    <row r="227" spans="1:35" ht="18" customHeight="1" x14ac:dyDescent="0.2">
      <c r="A227" s="69"/>
      <c r="B227" s="3606" t="s">
        <v>426</v>
      </c>
      <c r="C227" s="3618"/>
      <c r="D227" s="3618"/>
      <c r="E227" s="3618" t="s">
        <v>451</v>
      </c>
      <c r="F227" s="3618" t="s">
        <v>451</v>
      </c>
      <c r="G227" s="3618" t="s">
        <v>451</v>
      </c>
      <c r="H227" s="3618" t="s">
        <v>451</v>
      </c>
      <c r="I227" s="3618" t="s">
        <v>451</v>
      </c>
      <c r="J227" s="3618"/>
      <c r="K227" s="3618"/>
      <c r="L227" s="3618" t="s">
        <v>451</v>
      </c>
      <c r="M227" s="3618" t="s">
        <v>451</v>
      </c>
      <c r="N227" s="3618" t="s">
        <v>451</v>
      </c>
      <c r="O227" s="3618" t="s">
        <v>451</v>
      </c>
      <c r="P227" s="3618" t="s">
        <v>451</v>
      </c>
      <c r="Q227" s="3618"/>
      <c r="R227" s="3618"/>
      <c r="S227" s="3618" t="s">
        <v>451</v>
      </c>
      <c r="T227" s="3618" t="s">
        <v>451</v>
      </c>
      <c r="U227" s="3618" t="s">
        <v>451</v>
      </c>
      <c r="V227" s="3618" t="s">
        <v>451</v>
      </c>
      <c r="W227" s="3618" t="s">
        <v>451</v>
      </c>
      <c r="X227" s="3618"/>
      <c r="Y227" s="3618"/>
      <c r="Z227" s="3618" t="s">
        <v>451</v>
      </c>
      <c r="AA227" s="3618" t="s">
        <v>451</v>
      </c>
      <c r="AB227" s="3618" t="s">
        <v>451</v>
      </c>
      <c r="AC227" s="3618" t="s">
        <v>451</v>
      </c>
      <c r="AD227" s="3618" t="s">
        <v>451</v>
      </c>
      <c r="AE227" s="3618"/>
      <c r="AF227" s="3618"/>
      <c r="AG227" s="3618"/>
      <c r="AH227" s="67"/>
      <c r="AI227" s="67"/>
    </row>
    <row r="228" spans="1:35" ht="18" customHeight="1" x14ac:dyDescent="0.2">
      <c r="A228" s="96"/>
      <c r="B228" s="3606" t="s">
        <v>337</v>
      </c>
      <c r="C228" s="3618"/>
      <c r="D228" s="3618"/>
      <c r="E228" s="3618" t="s">
        <v>322</v>
      </c>
      <c r="F228" s="3618" t="s">
        <v>322</v>
      </c>
      <c r="G228" s="3618" t="s">
        <v>322</v>
      </c>
      <c r="H228" s="3618" t="s">
        <v>322</v>
      </c>
      <c r="I228" s="3618" t="s">
        <v>322</v>
      </c>
      <c r="J228" s="3618"/>
      <c r="K228" s="3618"/>
      <c r="L228" s="3618" t="s">
        <v>322</v>
      </c>
      <c r="M228" s="3618" t="s">
        <v>322</v>
      </c>
      <c r="N228" s="3618" t="s">
        <v>322</v>
      </c>
      <c r="O228" s="3543" t="s">
        <v>322</v>
      </c>
      <c r="P228" s="3618" t="s">
        <v>322</v>
      </c>
      <c r="Q228" s="3618"/>
      <c r="R228" s="3618"/>
      <c r="S228" s="3392" t="s">
        <v>322</v>
      </c>
      <c r="T228" s="3392" t="s">
        <v>338</v>
      </c>
      <c r="U228" s="3543" t="s">
        <v>322</v>
      </c>
      <c r="V228" s="3543" t="s">
        <v>322</v>
      </c>
      <c r="W228" s="3543" t="s">
        <v>322</v>
      </c>
      <c r="X228" s="3618"/>
      <c r="Y228" s="3618"/>
      <c r="Z228" s="3393" t="s">
        <v>322</v>
      </c>
      <c r="AA228" s="3393" t="s">
        <v>322</v>
      </c>
      <c r="AB228" s="3393" t="s">
        <v>322</v>
      </c>
      <c r="AC228" s="3393" t="s">
        <v>322</v>
      </c>
      <c r="AD228" s="3393" t="s">
        <v>322</v>
      </c>
      <c r="AE228" s="3618"/>
      <c r="AF228" s="3618"/>
      <c r="AG228" s="3618"/>
      <c r="AH228" s="73"/>
    </row>
    <row r="229" spans="1:35" ht="18" customHeight="1" x14ac:dyDescent="0.2"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</row>
    <row r="230" spans="1:35" ht="18" customHeight="1" x14ac:dyDescent="0.2">
      <c r="A230" s="1" t="s">
        <v>339</v>
      </c>
      <c r="B230" s="37"/>
    </row>
    <row r="231" spans="1:35" ht="18" customHeight="1" x14ac:dyDescent="0.2">
      <c r="A231" s="1"/>
      <c r="B231" s="3400" t="s">
        <v>340</v>
      </c>
      <c r="C231" s="3115" t="s">
        <v>17</v>
      </c>
      <c r="D231" s="3116"/>
      <c r="E231" s="3116"/>
      <c r="F231" s="3116"/>
      <c r="G231" s="3115" t="s">
        <v>18</v>
      </c>
      <c r="H231" s="3116"/>
      <c r="I231" s="3116"/>
      <c r="J231" s="3116"/>
      <c r="K231" s="3115" t="s">
        <v>19</v>
      </c>
      <c r="L231" s="3116"/>
      <c r="M231" s="3116"/>
      <c r="N231" s="3116"/>
      <c r="O231" s="3115" t="s">
        <v>20</v>
      </c>
      <c r="P231" s="3116"/>
      <c r="Q231" s="3116"/>
      <c r="R231" s="3116"/>
      <c r="S231" s="3115" t="s">
        <v>21</v>
      </c>
      <c r="T231" s="3116"/>
      <c r="U231" s="3116"/>
      <c r="V231" s="3116"/>
      <c r="W231" s="3115" t="s">
        <v>22</v>
      </c>
      <c r="X231" s="3177"/>
      <c r="Y231" s="3116"/>
      <c r="Z231" s="3117"/>
      <c r="AA231" s="3115" t="s">
        <v>23</v>
      </c>
      <c r="AB231" s="3177"/>
      <c r="AC231" s="3116"/>
      <c r="AD231" s="3117"/>
      <c r="AE231" s="3118"/>
      <c r="AF231" s="3116"/>
      <c r="AG231" s="3116"/>
      <c r="AH231" s="3116"/>
      <c r="AI231" s="3178"/>
    </row>
    <row r="232" spans="1:35" ht="18" customHeight="1" x14ac:dyDescent="0.2">
      <c r="A232" s="1"/>
      <c r="B232" s="3401">
        <v>3701</v>
      </c>
      <c r="C232" s="70" t="s">
        <v>341</v>
      </c>
      <c r="D232" s="70"/>
      <c r="E232" s="70"/>
      <c r="F232" s="70"/>
      <c r="G232" s="374" t="s">
        <v>342</v>
      </c>
      <c r="H232" s="70"/>
      <c r="I232" s="70"/>
      <c r="J232" s="70"/>
      <c r="K232" s="374" t="s">
        <v>342</v>
      </c>
      <c r="L232" s="70"/>
      <c r="M232" s="70"/>
      <c r="N232" s="70"/>
      <c r="O232" s="374" t="s">
        <v>342</v>
      </c>
      <c r="P232" s="70"/>
      <c r="Q232" s="70"/>
      <c r="R232" s="70"/>
      <c r="S232" s="374" t="s">
        <v>343</v>
      </c>
      <c r="T232" s="70"/>
      <c r="U232" s="70"/>
      <c r="V232" s="70"/>
      <c r="W232" s="3646"/>
      <c r="X232" s="3712"/>
      <c r="Y232" s="3560"/>
      <c r="Z232" s="3403"/>
      <c r="AA232" s="3646"/>
      <c r="AB232" s="3712"/>
      <c r="AC232" s="3560"/>
      <c r="AD232" s="3403"/>
      <c r="AE232" s="3669"/>
      <c r="AF232" s="3560"/>
      <c r="AG232" s="3560"/>
      <c r="AH232" s="3560"/>
      <c r="AI232" s="3361"/>
    </row>
    <row r="233" spans="1:35" ht="18" customHeight="1" x14ac:dyDescent="0.2">
      <c r="B233" s="3400">
        <v>3700</v>
      </c>
      <c r="C233" s="3560" t="s">
        <v>249</v>
      </c>
      <c r="D233" s="3560"/>
      <c r="E233" s="3560"/>
      <c r="F233" s="3560"/>
      <c r="G233" s="3404" t="s">
        <v>249</v>
      </c>
      <c r="H233" s="3560"/>
      <c r="I233" s="3560"/>
      <c r="J233" s="3560"/>
      <c r="K233" s="3404" t="s">
        <v>249</v>
      </c>
      <c r="L233" s="3560"/>
      <c r="M233" s="3560"/>
      <c r="N233" s="3560"/>
      <c r="O233" s="3404" t="s">
        <v>249</v>
      </c>
      <c r="P233" s="3560"/>
      <c r="Q233" s="3560"/>
      <c r="R233" s="3560"/>
      <c r="S233" s="3404" t="s">
        <v>250</v>
      </c>
      <c r="T233" s="3560"/>
      <c r="U233" s="3560"/>
      <c r="V233" s="3560"/>
      <c r="W233" s="3646"/>
      <c r="X233" s="3560"/>
      <c r="Y233" s="3560"/>
      <c r="Z233" s="3670"/>
      <c r="AA233" s="3669"/>
      <c r="AB233" s="3560"/>
      <c r="AC233" s="3560"/>
      <c r="AD233" s="3595"/>
      <c r="AE233" s="3405"/>
      <c r="AF233" s="3560"/>
      <c r="AG233" s="3560"/>
      <c r="AH233" s="3595"/>
      <c r="AI233" s="3361"/>
    </row>
    <row r="234" spans="1:35" ht="18" customHeight="1" x14ac:dyDescent="0.2">
      <c r="A234" s="1"/>
      <c r="B234" s="3400">
        <v>8514</v>
      </c>
      <c r="C234" s="3560" t="s">
        <v>342</v>
      </c>
      <c r="D234" s="3560"/>
      <c r="E234" s="3560"/>
      <c r="F234" s="3560"/>
      <c r="G234" s="3404" t="s">
        <v>342</v>
      </c>
      <c r="H234" s="3560"/>
      <c r="I234" s="3560"/>
      <c r="J234" s="3560"/>
      <c r="K234" s="3404" t="s">
        <v>342</v>
      </c>
      <c r="L234" s="3560"/>
      <c r="M234" s="3560"/>
      <c r="N234" s="3560"/>
      <c r="O234" s="3404" t="s">
        <v>342</v>
      </c>
      <c r="P234" s="3560"/>
      <c r="Q234" s="3560"/>
      <c r="R234" s="3560"/>
      <c r="S234" s="3404" t="s">
        <v>344</v>
      </c>
      <c r="T234" s="3560"/>
      <c r="U234" s="3560"/>
      <c r="V234" s="3560"/>
      <c r="W234" s="3646"/>
      <c r="X234" s="3560"/>
      <c r="Y234" s="3560"/>
      <c r="Z234" s="3670"/>
      <c r="AA234" s="3594"/>
      <c r="AB234" s="3560"/>
      <c r="AC234" s="3560"/>
      <c r="AD234" s="3595"/>
      <c r="AE234" s="3594"/>
      <c r="AF234" s="3560"/>
      <c r="AG234" s="3560"/>
      <c r="AH234" s="3595"/>
      <c r="AI234" s="3361"/>
    </row>
    <row r="235" spans="1:35" ht="18" customHeight="1" x14ac:dyDescent="0.2">
      <c r="A235" s="1"/>
      <c r="B235" s="3400">
        <v>8500</v>
      </c>
      <c r="C235" s="875" t="s">
        <v>345</v>
      </c>
      <c r="D235" s="875"/>
      <c r="E235" s="875"/>
      <c r="F235" s="875"/>
      <c r="G235" s="1022" t="s">
        <v>345</v>
      </c>
      <c r="H235" s="875"/>
      <c r="I235" s="875"/>
      <c r="J235" s="875"/>
      <c r="K235" s="1022" t="s">
        <v>345</v>
      </c>
      <c r="L235" s="875"/>
      <c r="M235" s="875"/>
      <c r="N235" s="875"/>
      <c r="O235" s="1022" t="s">
        <v>345</v>
      </c>
      <c r="P235" s="875"/>
      <c r="Q235" s="875"/>
      <c r="R235" s="875"/>
      <c r="S235" s="1022" t="s">
        <v>346</v>
      </c>
      <c r="T235" s="875"/>
      <c r="U235" s="875"/>
      <c r="V235" s="875"/>
      <c r="W235" s="3646"/>
      <c r="X235" s="875"/>
      <c r="Y235" s="875"/>
      <c r="Z235" s="1023"/>
      <c r="AA235" s="1024"/>
      <c r="AB235" s="875"/>
      <c r="AC235" s="875"/>
      <c r="AD235" s="1023"/>
      <c r="AE235" s="1024"/>
      <c r="AF235" s="875"/>
      <c r="AG235" s="875"/>
      <c r="AH235" s="1025"/>
      <c r="AI235" s="1026"/>
    </row>
    <row r="236" spans="1:35" ht="18" customHeight="1" x14ac:dyDescent="0.2">
      <c r="A236" s="1"/>
      <c r="B236" s="3400">
        <v>8514</v>
      </c>
      <c r="C236" s="1027" t="s">
        <v>342</v>
      </c>
      <c r="D236" s="1027"/>
      <c r="E236" s="1027"/>
      <c r="F236" s="1027"/>
      <c r="G236" s="1028" t="s">
        <v>342</v>
      </c>
      <c r="H236" s="1027"/>
      <c r="I236" s="1027"/>
      <c r="J236" s="1027"/>
      <c r="K236" s="1028" t="s">
        <v>342</v>
      </c>
      <c r="L236" s="1027"/>
      <c r="M236" s="1027"/>
      <c r="N236" s="1027"/>
      <c r="O236" s="1028" t="s">
        <v>342</v>
      </c>
      <c r="P236" s="1027"/>
      <c r="Q236" s="1027"/>
      <c r="R236" s="1027"/>
      <c r="S236" s="1028" t="s">
        <v>344</v>
      </c>
      <c r="T236" s="1027"/>
      <c r="U236" s="1027"/>
      <c r="V236" s="1027"/>
      <c r="W236" s="3406"/>
      <c r="X236" s="1030"/>
      <c r="Y236" s="875"/>
      <c r="Z236" s="1031"/>
      <c r="AA236" s="1032"/>
      <c r="AB236" s="1030"/>
      <c r="AC236" s="875"/>
      <c r="AD236" s="875"/>
      <c r="AE236" s="1033"/>
      <c r="AF236" s="875"/>
      <c r="AG236" s="875"/>
      <c r="AH236" s="875"/>
      <c r="AI236" s="1026"/>
    </row>
    <row r="237" spans="1:35" ht="18" customHeight="1" x14ac:dyDescent="0.2">
      <c r="A237" s="1"/>
      <c r="B237" s="3407" t="s">
        <v>347</v>
      </c>
      <c r="C237" s="3566" t="s">
        <v>10</v>
      </c>
      <c r="D237" s="3566"/>
      <c r="E237" s="3566"/>
      <c r="F237" s="3566"/>
      <c r="G237" s="3408" t="s">
        <v>10</v>
      </c>
      <c r="H237" s="3566"/>
      <c r="I237" s="3566"/>
      <c r="J237" s="3566"/>
      <c r="K237" s="3409" t="s">
        <v>10</v>
      </c>
      <c r="L237" s="3566"/>
      <c r="M237" s="3566"/>
      <c r="N237" s="3566"/>
      <c r="O237" s="3408" t="s">
        <v>10</v>
      </c>
      <c r="P237" s="3566"/>
      <c r="Q237" s="3566"/>
      <c r="R237" s="3566"/>
      <c r="S237" s="3408" t="s">
        <v>10</v>
      </c>
      <c r="T237" s="3566"/>
      <c r="U237" s="3566"/>
      <c r="V237" s="3566"/>
      <c r="W237" s="3409"/>
      <c r="X237" s="3566"/>
      <c r="Y237" s="3566"/>
      <c r="Z237" s="3694"/>
      <c r="AA237" s="3675"/>
      <c r="AB237" s="3566"/>
      <c r="AC237" s="3566"/>
      <c r="AD237" s="3682"/>
      <c r="AE237" s="3410"/>
      <c r="AF237" s="3566"/>
      <c r="AG237" s="3566"/>
      <c r="AH237" s="3682"/>
      <c r="AI237" s="3569"/>
    </row>
    <row r="238" spans="1:35" ht="18" customHeight="1" x14ac:dyDescent="0.2">
      <c r="A238" s="1"/>
      <c r="B238" s="5"/>
      <c r="C238" s="42"/>
      <c r="D238" s="70"/>
      <c r="E238" s="70"/>
      <c r="F238" s="46"/>
      <c r="G238" s="42"/>
      <c r="H238" s="70"/>
      <c r="I238" s="70"/>
      <c r="J238" s="46"/>
      <c r="K238" s="42"/>
      <c r="L238" s="70"/>
      <c r="M238" s="70"/>
      <c r="N238" s="46"/>
      <c r="O238" s="42"/>
      <c r="P238" s="70"/>
      <c r="Q238" s="70"/>
      <c r="R238" s="46"/>
      <c r="S238" s="42"/>
      <c r="T238" s="70"/>
      <c r="U238" s="70"/>
      <c r="V238" s="46"/>
      <c r="W238" s="46"/>
      <c r="Z238" s="46"/>
      <c r="AA238" s="46"/>
      <c r="AD238" s="46"/>
      <c r="AE238" s="46"/>
      <c r="AH238" s="46"/>
    </row>
    <row r="239" spans="1:35" ht="18" customHeight="1" x14ac:dyDescent="0.2">
      <c r="A239" s="1" t="s">
        <v>348</v>
      </c>
      <c r="B239" s="5"/>
      <c r="C239" s="42"/>
      <c r="D239" s="70"/>
      <c r="E239" s="70"/>
      <c r="F239" s="46"/>
      <c r="G239" s="42"/>
      <c r="H239" s="70"/>
      <c r="I239" s="70"/>
      <c r="J239" s="46"/>
      <c r="K239" s="42"/>
      <c r="L239" s="70"/>
      <c r="M239" s="70"/>
      <c r="N239" s="46"/>
      <c r="O239" s="42"/>
      <c r="P239" s="70"/>
      <c r="Q239" s="70"/>
      <c r="R239" s="46"/>
      <c r="S239" s="42"/>
      <c r="T239" s="70"/>
      <c r="U239" s="70"/>
      <c r="V239" s="46"/>
      <c r="W239" s="46"/>
      <c r="Z239" s="46"/>
      <c r="AA239" s="46"/>
      <c r="AD239" s="46"/>
      <c r="AE239" s="46"/>
      <c r="AH239" s="46"/>
    </row>
    <row r="240" spans="1:35" ht="18" customHeight="1" x14ac:dyDescent="0.2">
      <c r="A240" s="2543"/>
      <c r="B240" s="2817" t="s">
        <v>44</v>
      </c>
      <c r="C240" s="2707">
        <v>1</v>
      </c>
      <c r="D240" s="2707">
        <v>2</v>
      </c>
      <c r="E240" s="2706">
        <v>3</v>
      </c>
      <c r="F240" s="2706">
        <v>4</v>
      </c>
      <c r="G240" s="2706">
        <v>5</v>
      </c>
      <c r="H240" s="2706">
        <v>6</v>
      </c>
      <c r="I240" s="2706">
        <v>7</v>
      </c>
      <c r="J240" s="2707">
        <v>8</v>
      </c>
      <c r="K240" s="2707">
        <v>9</v>
      </c>
      <c r="L240" s="2706">
        <v>10</v>
      </c>
      <c r="M240" s="2706">
        <v>11</v>
      </c>
      <c r="N240" s="2706">
        <v>12</v>
      </c>
      <c r="O240" s="2706">
        <v>13</v>
      </c>
      <c r="P240" s="2706">
        <v>14</v>
      </c>
      <c r="Q240" s="2707">
        <v>15</v>
      </c>
      <c r="R240" s="2707">
        <v>16</v>
      </c>
      <c r="S240" s="2706">
        <v>17</v>
      </c>
      <c r="T240" s="2706">
        <v>18</v>
      </c>
      <c r="U240" s="2706">
        <v>19</v>
      </c>
      <c r="V240" s="2706">
        <v>20</v>
      </c>
      <c r="W240" s="2706">
        <v>21</v>
      </c>
      <c r="X240" s="2707">
        <v>22</v>
      </c>
      <c r="Y240" s="2707">
        <v>23</v>
      </c>
      <c r="Z240" s="2706">
        <v>24</v>
      </c>
      <c r="AA240" s="2706">
        <v>25</v>
      </c>
      <c r="AB240" s="2706">
        <v>26</v>
      </c>
      <c r="AC240" s="2706">
        <v>27</v>
      </c>
      <c r="AD240" s="2706">
        <v>28</v>
      </c>
      <c r="AE240" s="2706"/>
      <c r="AF240" s="2706"/>
      <c r="AG240" s="3501"/>
      <c r="AH240" s="110"/>
      <c r="AI240" s="111"/>
    </row>
    <row r="241" spans="1:35" ht="18" customHeight="1" x14ac:dyDescent="0.2">
      <c r="A241" s="3119"/>
      <c r="B241" s="3120" t="s">
        <v>349</v>
      </c>
      <c r="C241" s="3366"/>
      <c r="D241" s="3521"/>
      <c r="E241" s="3366" t="s">
        <v>46</v>
      </c>
      <c r="F241" s="3513" t="s">
        <v>46</v>
      </c>
      <c r="G241" s="3513" t="s">
        <v>46</v>
      </c>
      <c r="H241" s="3513" t="s">
        <v>46</v>
      </c>
      <c r="I241" s="3513" t="s">
        <v>46</v>
      </c>
      <c r="J241" s="3366"/>
      <c r="K241" s="3366"/>
      <c r="L241" s="3514" t="s">
        <v>46</v>
      </c>
      <c r="M241" s="3366" t="s">
        <v>46</v>
      </c>
      <c r="N241" s="3366" t="s">
        <v>46</v>
      </c>
      <c r="O241" s="3366" t="s">
        <v>46</v>
      </c>
      <c r="P241" s="3366" t="s">
        <v>46</v>
      </c>
      <c r="Q241" s="3514"/>
      <c r="R241" s="3366"/>
      <c r="S241" s="3366" t="s">
        <v>46</v>
      </c>
      <c r="T241" s="3366" t="s">
        <v>46</v>
      </c>
      <c r="U241" s="3366" t="s">
        <v>46</v>
      </c>
      <c r="V241" s="3366" t="s">
        <v>46</v>
      </c>
      <c r="W241" s="3366" t="s">
        <v>46</v>
      </c>
      <c r="X241" s="3366"/>
      <c r="Y241" s="3521"/>
      <c r="Z241" s="3366" t="s">
        <v>46</v>
      </c>
      <c r="AA241" s="3513" t="s">
        <v>46</v>
      </c>
      <c r="AB241" s="3513" t="s">
        <v>46</v>
      </c>
      <c r="AC241" s="3513" t="s">
        <v>46</v>
      </c>
      <c r="AD241" s="3513" t="s">
        <v>46</v>
      </c>
      <c r="AE241" s="3366"/>
      <c r="AF241" s="3366"/>
      <c r="AG241" s="3603"/>
      <c r="AH241" s="110"/>
      <c r="AI241" s="111"/>
    </row>
    <row r="242" spans="1:35" ht="18" customHeight="1" x14ac:dyDescent="0.2">
      <c r="A242" s="3414"/>
      <c r="B242" s="3415" t="s">
        <v>350</v>
      </c>
      <c r="C242" s="3416"/>
      <c r="D242" s="3416"/>
      <c r="E242" s="3416"/>
      <c r="F242" s="3416"/>
      <c r="G242" s="3614"/>
      <c r="H242" s="3614"/>
      <c r="I242" s="3614"/>
      <c r="J242" s="3416"/>
      <c r="K242" s="3416"/>
      <c r="L242" s="3416"/>
      <c r="M242" s="3416"/>
      <c r="N242" s="3614"/>
      <c r="O242" s="3614"/>
      <c r="P242" s="3614"/>
      <c r="Q242" s="3416"/>
      <c r="R242" s="3416"/>
      <c r="S242" s="3416"/>
      <c r="T242" s="3416"/>
      <c r="U242" s="3614"/>
      <c r="V242" s="3614"/>
      <c r="W242" s="3614"/>
      <c r="X242" s="3416"/>
      <c r="Y242" s="3416"/>
      <c r="Z242" s="3416"/>
      <c r="AA242" s="3416"/>
      <c r="AB242" s="3614"/>
      <c r="AC242" s="3614"/>
      <c r="AD242" s="3614"/>
      <c r="AE242" s="3416"/>
      <c r="AF242" s="3416"/>
      <c r="AG242" s="3417"/>
      <c r="AH242" s="110"/>
      <c r="AI242" s="111"/>
    </row>
    <row r="243" spans="1:35" ht="18" customHeight="1" x14ac:dyDescent="0.2">
      <c r="A243" s="3418">
        <v>8514</v>
      </c>
      <c r="B243" s="3419" t="s">
        <v>351</v>
      </c>
      <c r="C243" s="3366"/>
      <c r="D243" s="3521"/>
      <c r="E243" s="3366" t="s">
        <v>46</v>
      </c>
      <c r="F243" s="3513" t="s">
        <v>46</v>
      </c>
      <c r="G243" s="3513" t="s">
        <v>46</v>
      </c>
      <c r="H243" s="3513" t="s">
        <v>46</v>
      </c>
      <c r="I243" s="3513" t="s">
        <v>46</v>
      </c>
      <c r="J243" s="3366"/>
      <c r="K243" s="3366"/>
      <c r="L243" s="3514" t="s">
        <v>46</v>
      </c>
      <c r="M243" s="3366" t="s">
        <v>46</v>
      </c>
      <c r="N243" s="3366" t="s">
        <v>46</v>
      </c>
      <c r="O243" s="3366" t="s">
        <v>46</v>
      </c>
      <c r="P243" s="3366" t="s">
        <v>46</v>
      </c>
      <c r="Q243" s="3514"/>
      <c r="R243" s="3366"/>
      <c r="S243" s="3366" t="s">
        <v>46</v>
      </c>
      <c r="T243" s="3366" t="s">
        <v>46</v>
      </c>
      <c r="U243" s="3366" t="s">
        <v>46</v>
      </c>
      <c r="V243" s="3366" t="s">
        <v>46</v>
      </c>
      <c r="W243" s="3366" t="s">
        <v>46</v>
      </c>
      <c r="X243" s="3366"/>
      <c r="Y243" s="3521"/>
      <c r="Z243" s="3366" t="s">
        <v>46</v>
      </c>
      <c r="AA243" s="3513" t="s">
        <v>46</v>
      </c>
      <c r="AB243" s="3513" t="s">
        <v>46</v>
      </c>
      <c r="AC243" s="3513" t="s">
        <v>46</v>
      </c>
      <c r="AD243" s="3513" t="s">
        <v>46</v>
      </c>
      <c r="AE243" s="3366"/>
      <c r="AF243" s="3366"/>
      <c r="AG243" s="3603"/>
      <c r="AH243" s="115"/>
      <c r="AI243" s="116"/>
    </row>
    <row r="244" spans="1:35" ht="18" customHeight="1" x14ac:dyDescent="0.2">
      <c r="A244" s="3418">
        <v>3701</v>
      </c>
      <c r="B244" s="3420" t="s">
        <v>352</v>
      </c>
      <c r="C244" s="3416"/>
      <c r="D244" s="3416"/>
      <c r="E244" s="3416"/>
      <c r="F244" s="3416"/>
      <c r="G244" s="3614"/>
      <c r="H244" s="3614"/>
      <c r="I244" s="3614"/>
      <c r="J244" s="3416"/>
      <c r="K244" s="3416"/>
      <c r="L244" s="3416"/>
      <c r="M244" s="3416"/>
      <c r="N244" s="3614"/>
      <c r="O244" s="3614"/>
      <c r="P244" s="3614"/>
      <c r="Q244" s="3416"/>
      <c r="R244" s="3416"/>
      <c r="S244" s="3416"/>
      <c r="T244" s="3416"/>
      <c r="U244" s="3614"/>
      <c r="V244" s="3614"/>
      <c r="W244" s="3614"/>
      <c r="X244" s="3416"/>
      <c r="Y244" s="3416"/>
      <c r="Z244" s="3416"/>
      <c r="AA244" s="3416"/>
      <c r="AB244" s="3614"/>
      <c r="AC244" s="3614"/>
      <c r="AD244" s="3614"/>
      <c r="AE244" s="3416"/>
      <c r="AF244" s="3416"/>
      <c r="AG244" s="3417"/>
      <c r="AH244" s="115"/>
      <c r="AI244" s="116"/>
    </row>
    <row r="245" spans="1:35" ht="18" customHeight="1" x14ac:dyDescent="0.2">
      <c r="A245" s="3418">
        <v>3701</v>
      </c>
      <c r="B245" s="3391" t="s">
        <v>353</v>
      </c>
      <c r="C245" s="3366"/>
      <c r="D245" s="3521"/>
      <c r="E245" s="3366" t="s">
        <v>46</v>
      </c>
      <c r="F245" s="3513" t="s">
        <v>46</v>
      </c>
      <c r="G245" s="3513" t="s">
        <v>46</v>
      </c>
      <c r="H245" s="3513" t="s">
        <v>46</v>
      </c>
      <c r="I245" s="3513" t="s">
        <v>46</v>
      </c>
      <c r="J245" s="3366"/>
      <c r="K245" s="3366"/>
      <c r="L245" s="3514" t="s">
        <v>46</v>
      </c>
      <c r="M245" s="3366" t="s">
        <v>46</v>
      </c>
      <c r="N245" s="3366" t="s">
        <v>46</v>
      </c>
      <c r="O245" s="3366" t="s">
        <v>46</v>
      </c>
      <c r="P245" s="3366" t="s">
        <v>46</v>
      </c>
      <c r="Q245" s="3514"/>
      <c r="R245" s="3366"/>
      <c r="S245" s="3366" t="s">
        <v>46</v>
      </c>
      <c r="T245" s="3366" t="s">
        <v>46</v>
      </c>
      <c r="U245" s="3366" t="s">
        <v>46</v>
      </c>
      <c r="V245" s="3366" t="s">
        <v>46</v>
      </c>
      <c r="W245" s="3366" t="s">
        <v>46</v>
      </c>
      <c r="X245" s="3366"/>
      <c r="Y245" s="3521"/>
      <c r="Z245" s="3366" t="s">
        <v>46</v>
      </c>
      <c r="AA245" s="3513" t="s">
        <v>46</v>
      </c>
      <c r="AB245" s="3513" t="s">
        <v>46</v>
      </c>
      <c r="AC245" s="3513" t="s">
        <v>46</v>
      </c>
      <c r="AD245" s="3513" t="s">
        <v>46</v>
      </c>
      <c r="AE245" s="3366"/>
      <c r="AF245" s="3366"/>
      <c r="AG245" s="3603"/>
      <c r="AH245" s="115"/>
      <c r="AI245" s="116"/>
    </row>
    <row r="246" spans="1:35" ht="18" customHeight="1" x14ac:dyDescent="0.2">
      <c r="A246" s="3418">
        <v>3701</v>
      </c>
      <c r="B246" s="3391" t="s">
        <v>354</v>
      </c>
      <c r="C246" s="3366"/>
      <c r="D246" s="3521"/>
      <c r="E246" s="3366" t="s">
        <v>46</v>
      </c>
      <c r="F246" s="3513" t="s">
        <v>46</v>
      </c>
      <c r="G246" s="3713" t="s">
        <v>46</v>
      </c>
      <c r="H246" s="3513" t="s">
        <v>46</v>
      </c>
      <c r="I246" s="3513" t="s">
        <v>46</v>
      </c>
      <c r="J246" s="3366"/>
      <c r="K246" s="3366"/>
      <c r="L246" s="3514" t="s">
        <v>46</v>
      </c>
      <c r="M246" s="3366" t="s">
        <v>46</v>
      </c>
      <c r="N246" s="3366" t="s">
        <v>46</v>
      </c>
      <c r="O246" s="3366" t="s">
        <v>46</v>
      </c>
      <c r="P246" s="3366" t="s">
        <v>46</v>
      </c>
      <c r="Q246" s="3514"/>
      <c r="R246" s="3366"/>
      <c r="S246" s="3509" t="s">
        <v>46</v>
      </c>
      <c r="T246" s="3509" t="s">
        <v>46</v>
      </c>
      <c r="U246" s="3509" t="s">
        <v>46</v>
      </c>
      <c r="V246" s="3509" t="s">
        <v>79</v>
      </c>
      <c r="W246" s="3366" t="s">
        <v>46</v>
      </c>
      <c r="X246" s="3366"/>
      <c r="Y246" s="3521"/>
      <c r="Z246" s="3366" t="s">
        <v>46</v>
      </c>
      <c r="AA246" s="3513" t="s">
        <v>46</v>
      </c>
      <c r="AB246" s="3513" t="s">
        <v>46</v>
      </c>
      <c r="AC246" s="3513" t="s">
        <v>46</v>
      </c>
      <c r="AD246" s="3513" t="s">
        <v>46</v>
      </c>
      <c r="AE246" s="3366"/>
      <c r="AF246" s="3366"/>
      <c r="AG246" s="3603"/>
      <c r="AH246" s="115"/>
      <c r="AI246" s="116"/>
    </row>
    <row r="247" spans="1:35" ht="18" customHeight="1" x14ac:dyDescent="0.2">
      <c r="A247" s="3418">
        <v>3701</v>
      </c>
      <c r="B247" s="3391" t="s">
        <v>355</v>
      </c>
      <c r="C247" s="3366"/>
      <c r="D247" s="3521"/>
      <c r="E247" s="3366" t="s">
        <v>46</v>
      </c>
      <c r="F247" s="3513" t="s">
        <v>46</v>
      </c>
      <c r="G247" s="3513" t="s">
        <v>46</v>
      </c>
      <c r="H247" s="3513" t="s">
        <v>46</v>
      </c>
      <c r="I247" s="3513" t="s">
        <v>46</v>
      </c>
      <c r="J247" s="3366"/>
      <c r="K247" s="3366"/>
      <c r="L247" s="3522" t="s">
        <v>46</v>
      </c>
      <c r="M247" s="3522" t="s">
        <v>46</v>
      </c>
      <c r="N247" s="3522" t="s">
        <v>46</v>
      </c>
      <c r="O247" s="3522" t="s">
        <v>46</v>
      </c>
      <c r="P247" s="3522" t="s">
        <v>46</v>
      </c>
      <c r="Q247" s="3514"/>
      <c r="R247" s="3366"/>
      <c r="S247" s="3366" t="s">
        <v>46</v>
      </c>
      <c r="T247" s="3366" t="s">
        <v>46</v>
      </c>
      <c r="U247" s="3714" t="s">
        <v>46</v>
      </c>
      <c r="V247" s="3366" t="s">
        <v>46</v>
      </c>
      <c r="W247" s="3715" t="s">
        <v>46</v>
      </c>
      <c r="X247" s="3366"/>
      <c r="Y247" s="3521"/>
      <c r="Z247" s="3366" t="s">
        <v>46</v>
      </c>
      <c r="AA247" s="3513" t="s">
        <v>46</v>
      </c>
      <c r="AB247" s="3509" t="s">
        <v>46</v>
      </c>
      <c r="AC247" s="3509" t="s">
        <v>46</v>
      </c>
      <c r="AD247" s="3509" t="s">
        <v>356</v>
      </c>
      <c r="AE247" s="3366"/>
      <c r="AF247" s="3366"/>
      <c r="AG247" s="3603"/>
      <c r="AH247" s="115"/>
      <c r="AI247" s="116"/>
    </row>
    <row r="248" spans="1:35" ht="18" customHeight="1" x14ac:dyDescent="0.2">
      <c r="A248" s="3418">
        <v>3701</v>
      </c>
      <c r="B248" s="3420" t="s">
        <v>357</v>
      </c>
      <c r="C248" s="3416"/>
      <c r="D248" s="3416"/>
      <c r="E248" s="3416"/>
      <c r="F248" s="3416"/>
      <c r="G248" s="3614"/>
      <c r="H248" s="3614"/>
      <c r="I248" s="3614"/>
      <c r="J248" s="3416"/>
      <c r="K248" s="3416"/>
      <c r="L248" s="3416"/>
      <c r="M248" s="3416"/>
      <c r="N248" s="3614"/>
      <c r="O248" s="3614"/>
      <c r="P248" s="3614"/>
      <c r="Q248" s="3416"/>
      <c r="R248" s="3416"/>
      <c r="S248" s="3416"/>
      <c r="T248" s="3416"/>
      <c r="U248" s="3614"/>
      <c r="V248" s="3614"/>
      <c r="W248" s="3614"/>
      <c r="X248" s="3416"/>
      <c r="Y248" s="3416"/>
      <c r="Z248" s="3416"/>
      <c r="AA248" s="3416"/>
      <c r="AB248" s="3614"/>
      <c r="AC248" s="3614"/>
      <c r="AD248" s="3614"/>
      <c r="AE248" s="3416"/>
      <c r="AF248" s="3416"/>
      <c r="AG248" s="3417"/>
      <c r="AH248" s="115"/>
      <c r="AI248" s="116"/>
    </row>
    <row r="249" spans="1:35" ht="18" customHeight="1" x14ac:dyDescent="0.2">
      <c r="A249" s="3418">
        <v>3701</v>
      </c>
      <c r="B249" s="3391" t="s">
        <v>358</v>
      </c>
      <c r="C249" s="3366"/>
      <c r="D249" s="3521"/>
      <c r="E249" s="3366" t="s">
        <v>46</v>
      </c>
      <c r="F249" s="3513" t="s">
        <v>46</v>
      </c>
      <c r="G249" s="3513" t="s">
        <v>46</v>
      </c>
      <c r="H249" s="3513" t="s">
        <v>46</v>
      </c>
      <c r="I249" s="3513" t="s">
        <v>46</v>
      </c>
      <c r="J249" s="3366"/>
      <c r="K249" s="3366"/>
      <c r="L249" s="3514" t="s">
        <v>46</v>
      </c>
      <c r="M249" s="3366" t="s">
        <v>46</v>
      </c>
      <c r="N249" s="3366" t="s">
        <v>46</v>
      </c>
      <c r="O249" s="3713" t="s">
        <v>46</v>
      </c>
      <c r="P249" s="3713" t="s">
        <v>46</v>
      </c>
      <c r="Q249" s="3366"/>
      <c r="S249" s="3366" t="s">
        <v>46</v>
      </c>
      <c r="T249" s="3366" t="s">
        <v>46</v>
      </c>
      <c r="U249" s="3366" t="s">
        <v>46</v>
      </c>
      <c r="V249" s="3366" t="s">
        <v>46</v>
      </c>
      <c r="W249" s="3366" t="s">
        <v>46</v>
      </c>
      <c r="X249" s="3366"/>
      <c r="Y249" s="3521"/>
      <c r="Z249" s="3366" t="s">
        <v>46</v>
      </c>
      <c r="AA249" s="3513" t="s">
        <v>46</v>
      </c>
      <c r="AB249" s="3513" t="s">
        <v>46</v>
      </c>
      <c r="AC249" s="3513" t="s">
        <v>46</v>
      </c>
      <c r="AD249" s="3513" t="s">
        <v>46</v>
      </c>
      <c r="AE249" s="3366"/>
      <c r="AF249" s="3366"/>
      <c r="AG249" s="3603"/>
      <c r="AH249" s="115"/>
      <c r="AI249" s="116"/>
    </row>
    <row r="250" spans="1:35" ht="18" customHeight="1" x14ac:dyDescent="0.2">
      <c r="A250" s="3418">
        <v>3701</v>
      </c>
      <c r="B250" s="3391" t="s">
        <v>541</v>
      </c>
      <c r="C250" s="3366"/>
      <c r="D250" s="3521"/>
      <c r="E250" s="3366" t="s">
        <v>46</v>
      </c>
      <c r="F250" s="3513" t="s">
        <v>46</v>
      </c>
      <c r="G250" s="3513" t="s">
        <v>46</v>
      </c>
      <c r="H250" s="3513" t="s">
        <v>46</v>
      </c>
      <c r="I250" s="3513" t="s">
        <v>46</v>
      </c>
      <c r="J250" s="3366"/>
      <c r="K250" s="3366"/>
      <c r="L250" s="3514" t="s">
        <v>46</v>
      </c>
      <c r="M250" s="3366" t="s">
        <v>46</v>
      </c>
      <c r="N250" s="3366" t="s">
        <v>46</v>
      </c>
      <c r="O250" s="3366" t="s">
        <v>46</v>
      </c>
      <c r="P250" s="3366" t="s">
        <v>46</v>
      </c>
      <c r="Q250" s="3514"/>
      <c r="R250" s="3366"/>
      <c r="S250" s="3515" t="s">
        <v>46</v>
      </c>
      <c r="T250" s="3366" t="s">
        <v>46</v>
      </c>
      <c r="U250" s="3366" t="s">
        <v>46</v>
      </c>
      <c r="V250" s="3366" t="s">
        <v>46</v>
      </c>
      <c r="W250" s="3366" t="s">
        <v>46</v>
      </c>
      <c r="X250" s="3366"/>
      <c r="Y250" s="3521"/>
      <c r="Z250" s="3366" t="s">
        <v>46</v>
      </c>
      <c r="AA250" s="3513" t="s">
        <v>46</v>
      </c>
      <c r="AB250" s="3513" t="s">
        <v>46</v>
      </c>
      <c r="AC250" s="3513" t="s">
        <v>46</v>
      </c>
      <c r="AD250" s="3522" t="s">
        <v>46</v>
      </c>
      <c r="AE250" s="3366"/>
      <c r="AF250" s="3366"/>
      <c r="AG250" s="3603"/>
      <c r="AH250" s="115"/>
      <c r="AI250" s="116"/>
    </row>
    <row r="251" spans="1:35" ht="18" customHeight="1" x14ac:dyDescent="0.2">
      <c r="A251" s="3422">
        <v>3701</v>
      </c>
      <c r="B251" s="3391" t="s">
        <v>360</v>
      </c>
      <c r="C251" s="3366"/>
      <c r="D251" s="3521"/>
      <c r="E251" s="3366" t="s">
        <v>46</v>
      </c>
      <c r="F251" s="3513" t="s">
        <v>46</v>
      </c>
      <c r="G251" s="3513" t="s">
        <v>46</v>
      </c>
      <c r="H251" s="3513" t="s">
        <v>46</v>
      </c>
      <c r="I251" s="3513" t="s">
        <v>46</v>
      </c>
      <c r="J251" s="3366"/>
      <c r="K251" s="3366"/>
      <c r="L251" s="3514" t="s">
        <v>46</v>
      </c>
      <c r="M251" s="3366" t="s">
        <v>46</v>
      </c>
      <c r="N251" s="3507" t="s">
        <v>46</v>
      </c>
      <c r="O251" s="3507" t="s">
        <v>46</v>
      </c>
      <c r="P251" s="3507" t="s">
        <v>46</v>
      </c>
      <c r="Q251" s="3514"/>
      <c r="R251" s="3366"/>
      <c r="S251" s="3366" t="s">
        <v>46</v>
      </c>
      <c r="T251" s="3366" t="s">
        <v>46</v>
      </c>
      <c r="U251" s="3366" t="s">
        <v>46</v>
      </c>
      <c r="V251" s="3366" t="s">
        <v>46</v>
      </c>
      <c r="W251" s="3366" t="s">
        <v>46</v>
      </c>
      <c r="X251" s="3366"/>
      <c r="Y251" s="3521"/>
      <c r="Z251" s="3366" t="s">
        <v>46</v>
      </c>
      <c r="AA251" s="3513" t="s">
        <v>46</v>
      </c>
      <c r="AB251" s="3513" t="s">
        <v>46</v>
      </c>
      <c r="AC251" s="3513" t="s">
        <v>46</v>
      </c>
      <c r="AD251" s="3513" t="s">
        <v>46</v>
      </c>
      <c r="AE251" s="3366"/>
      <c r="AF251" s="3366"/>
      <c r="AG251" s="3603"/>
      <c r="AH251" s="115"/>
      <c r="AI251" s="116"/>
    </row>
    <row r="252" spans="1:35" ht="18" customHeight="1" x14ac:dyDescent="0.2">
      <c r="A252" s="3418">
        <v>3701</v>
      </c>
      <c r="B252" s="3391" t="s">
        <v>361</v>
      </c>
      <c r="C252" s="3366"/>
      <c r="D252" s="3521"/>
      <c r="E252" s="3684" t="s">
        <v>46</v>
      </c>
      <c r="F252" s="3684" t="s">
        <v>46</v>
      </c>
      <c r="G252" s="3513" t="s">
        <v>46</v>
      </c>
      <c r="H252" s="3513" t="s">
        <v>46</v>
      </c>
      <c r="I252" s="3513" t="s">
        <v>46</v>
      </c>
      <c r="J252" s="3366"/>
      <c r="K252" s="3366"/>
      <c r="L252" s="3514" t="s">
        <v>46</v>
      </c>
      <c r="M252" s="3366" t="s">
        <v>46</v>
      </c>
      <c r="N252" s="3366" t="s">
        <v>46</v>
      </c>
      <c r="O252" s="3366" t="s">
        <v>46</v>
      </c>
      <c r="P252" s="3366" t="s">
        <v>46</v>
      </c>
      <c r="Q252" s="3514"/>
      <c r="R252" s="3366"/>
      <c r="S252" s="3366" t="s">
        <v>46</v>
      </c>
      <c r="T252" s="3366" t="s">
        <v>46</v>
      </c>
      <c r="U252" s="3366" t="s">
        <v>46</v>
      </c>
      <c r="V252" s="3366" t="s">
        <v>46</v>
      </c>
      <c r="W252" s="3366" t="s">
        <v>46</v>
      </c>
      <c r="X252" s="3366"/>
      <c r="Y252" s="3521"/>
      <c r="Z252" s="3366" t="s">
        <v>46</v>
      </c>
      <c r="AA252" s="3513" t="s">
        <v>46</v>
      </c>
      <c r="AB252" s="3513" t="s">
        <v>46</v>
      </c>
      <c r="AC252" s="3513" t="s">
        <v>46</v>
      </c>
      <c r="AD252" s="3513" t="s">
        <v>46</v>
      </c>
      <c r="AE252" s="3366"/>
      <c r="AF252" s="3366"/>
      <c r="AG252" s="3603"/>
      <c r="AH252" s="115"/>
      <c r="AI252" s="116"/>
    </row>
    <row r="253" spans="1:35" ht="18" customHeight="1" x14ac:dyDescent="0.2">
      <c r="A253" s="3418">
        <v>3701</v>
      </c>
      <c r="B253" s="3391" t="s">
        <v>362</v>
      </c>
      <c r="C253" s="3366"/>
      <c r="D253" s="3521"/>
      <c r="E253" s="3366" t="s">
        <v>46</v>
      </c>
      <c r="F253" s="3513" t="s">
        <v>46</v>
      </c>
      <c r="G253" s="3513" t="s">
        <v>46</v>
      </c>
      <c r="H253" s="3513" t="s">
        <v>46</v>
      </c>
      <c r="I253" s="3513" t="s">
        <v>46</v>
      </c>
      <c r="J253" s="3366"/>
      <c r="K253" s="3366"/>
      <c r="L253" s="3522" t="s">
        <v>46</v>
      </c>
      <c r="M253" s="3522" t="s">
        <v>46</v>
      </c>
      <c r="N253" s="3522" t="s">
        <v>46</v>
      </c>
      <c r="O253" s="3522" t="s">
        <v>46</v>
      </c>
      <c r="P253" s="3522" t="s">
        <v>46</v>
      </c>
      <c r="Q253" s="3514"/>
      <c r="R253" s="3366"/>
      <c r="S253" s="3366" t="s">
        <v>46</v>
      </c>
      <c r="T253" s="3366" t="s">
        <v>46</v>
      </c>
      <c r="U253" s="3366" t="s">
        <v>46</v>
      </c>
      <c r="V253" s="3366" t="s">
        <v>46</v>
      </c>
      <c r="W253" s="3366" t="s">
        <v>46</v>
      </c>
      <c r="X253" s="3366"/>
      <c r="Y253" s="3521"/>
      <c r="Z253" s="3366" t="s">
        <v>46</v>
      </c>
      <c r="AA253" s="3513" t="s">
        <v>46</v>
      </c>
      <c r="AB253" s="3513" t="s">
        <v>46</v>
      </c>
      <c r="AC253" s="3513" t="s">
        <v>46</v>
      </c>
      <c r="AD253" s="3513" t="s">
        <v>46</v>
      </c>
      <c r="AE253" s="3366"/>
      <c r="AF253" s="3366"/>
      <c r="AG253" s="3603"/>
      <c r="AH253" s="115"/>
      <c r="AI253" s="116"/>
    </row>
    <row r="254" spans="1:35" ht="18" customHeight="1" x14ac:dyDescent="0.2">
      <c r="A254" s="3418"/>
      <c r="B254" s="3391" t="s">
        <v>363</v>
      </c>
      <c r="C254" s="3366"/>
      <c r="D254" s="3521"/>
      <c r="E254" s="3366" t="s">
        <v>46</v>
      </c>
      <c r="F254" s="3513" t="s">
        <v>46</v>
      </c>
      <c r="G254" s="3513" t="s">
        <v>46</v>
      </c>
      <c r="H254" s="3513" t="s">
        <v>46</v>
      </c>
      <c r="I254" s="3513" t="s">
        <v>46</v>
      </c>
      <c r="J254" s="3366"/>
      <c r="K254" s="3366"/>
      <c r="L254" s="3509" t="s">
        <v>46</v>
      </c>
      <c r="M254" s="3509" t="s">
        <v>46</v>
      </c>
      <c r="N254" s="3509" t="s">
        <v>46</v>
      </c>
      <c r="O254" s="3509" t="s">
        <v>46</v>
      </c>
      <c r="P254" s="3509" t="s">
        <v>46</v>
      </c>
      <c r="Q254" s="3514"/>
      <c r="R254" s="3366"/>
      <c r="S254" s="3509" t="s">
        <v>46</v>
      </c>
      <c r="T254" s="3509" t="s">
        <v>46</v>
      </c>
      <c r="U254" s="3509" t="s">
        <v>46</v>
      </c>
      <c r="V254" s="3509" t="s">
        <v>46</v>
      </c>
      <c r="W254" s="3509" t="s">
        <v>46</v>
      </c>
      <c r="X254" s="3509"/>
      <c r="Y254" s="3509" t="s">
        <v>405</v>
      </c>
      <c r="Z254" s="3366" t="s">
        <v>46</v>
      </c>
      <c r="AA254" s="3513" t="s">
        <v>46</v>
      </c>
      <c r="AB254" s="3513" t="s">
        <v>46</v>
      </c>
      <c r="AC254" s="3513" t="s">
        <v>46</v>
      </c>
      <c r="AD254" s="3513" t="s">
        <v>46</v>
      </c>
      <c r="AE254" s="3366"/>
      <c r="AF254" s="3366"/>
      <c r="AG254" s="3603"/>
      <c r="AH254" s="115"/>
      <c r="AI254" s="116"/>
    </row>
    <row r="255" spans="1:35" ht="18" customHeight="1" x14ac:dyDescent="0.2">
      <c r="A255" s="3418"/>
      <c r="B255" s="3391" t="s">
        <v>364</v>
      </c>
      <c r="C255" s="3366"/>
      <c r="D255" s="3521"/>
      <c r="E255" s="3366" t="s">
        <v>46</v>
      </c>
      <c r="F255" s="3513" t="s">
        <v>46</v>
      </c>
      <c r="G255" s="3485" t="s">
        <v>46</v>
      </c>
      <c r="H255" s="3509" t="s">
        <v>46</v>
      </c>
      <c r="I255" s="3509" t="s">
        <v>46</v>
      </c>
      <c r="J255" s="3366"/>
      <c r="K255" s="3366"/>
      <c r="L255" s="3509" t="s">
        <v>46</v>
      </c>
      <c r="M255" s="3509" t="s">
        <v>46</v>
      </c>
      <c r="N255" s="3509" t="s">
        <v>46</v>
      </c>
      <c r="O255" s="3509" t="s">
        <v>46</v>
      </c>
      <c r="P255" s="3509" t="s">
        <v>46</v>
      </c>
      <c r="Q255" s="3509"/>
      <c r="R255" s="3509" t="s">
        <v>405</v>
      </c>
      <c r="S255" s="3366" t="s">
        <v>46</v>
      </c>
      <c r="T255" s="3366" t="s">
        <v>46</v>
      </c>
      <c r="U255" s="3366" t="s">
        <v>46</v>
      </c>
      <c r="V255" s="3366" t="s">
        <v>46</v>
      </c>
      <c r="W255" s="3366" t="s">
        <v>46</v>
      </c>
      <c r="X255" s="3366"/>
      <c r="Y255" s="3521"/>
      <c r="Z255" s="3366" t="s">
        <v>46</v>
      </c>
      <c r="AA255" s="3513" t="s">
        <v>46</v>
      </c>
      <c r="AB255" s="3513" t="s">
        <v>46</v>
      </c>
      <c r="AC255" s="3513" t="s">
        <v>46</v>
      </c>
      <c r="AD255" s="3513" t="s">
        <v>46</v>
      </c>
      <c r="AE255" s="3366"/>
      <c r="AF255" s="3366"/>
      <c r="AG255" s="3603"/>
      <c r="AH255" s="115"/>
      <c r="AI255" s="116"/>
    </row>
    <row r="256" spans="1:35" ht="18" customHeight="1" x14ac:dyDescent="0.2">
      <c r="A256" s="3418"/>
      <c r="B256" s="3391" t="s">
        <v>365</v>
      </c>
      <c r="C256" s="3366"/>
      <c r="D256" s="3521"/>
      <c r="E256" s="3366" t="s">
        <v>46</v>
      </c>
      <c r="F256" s="3513" t="s">
        <v>46</v>
      </c>
      <c r="G256" s="3513" t="s">
        <v>46</v>
      </c>
      <c r="H256" s="3513" t="s">
        <v>46</v>
      </c>
      <c r="I256" s="3513" t="s">
        <v>46</v>
      </c>
      <c r="J256" s="3366"/>
      <c r="K256" s="3366"/>
      <c r="L256" s="3514" t="s">
        <v>46</v>
      </c>
      <c r="M256" s="3366" t="s">
        <v>46</v>
      </c>
      <c r="N256" s="3366" t="s">
        <v>46</v>
      </c>
      <c r="O256" s="3366" t="s">
        <v>46</v>
      </c>
      <c r="P256" s="3366" t="s">
        <v>46</v>
      </c>
      <c r="Q256" s="3514"/>
      <c r="R256" s="3366"/>
      <c r="S256" s="3366" t="s">
        <v>46</v>
      </c>
      <c r="T256" s="3366" t="s">
        <v>46</v>
      </c>
      <c r="U256" s="3509" t="s">
        <v>46</v>
      </c>
      <c r="V256" s="3509" t="s">
        <v>46</v>
      </c>
      <c r="W256" s="3366" t="s">
        <v>46</v>
      </c>
      <c r="X256" s="3366"/>
      <c r="Y256" s="3521"/>
      <c r="Z256" s="3366" t="s">
        <v>46</v>
      </c>
      <c r="AA256" s="3513" t="s">
        <v>46</v>
      </c>
      <c r="AB256" s="3513" t="s">
        <v>46</v>
      </c>
      <c r="AC256" s="3513" t="s">
        <v>46</v>
      </c>
      <c r="AD256" s="3513" t="s">
        <v>46</v>
      </c>
      <c r="AE256" s="3366"/>
      <c r="AF256" s="3366"/>
      <c r="AG256" s="3603"/>
      <c r="AH256" s="115"/>
      <c r="AI256" s="116"/>
    </row>
    <row r="257" spans="1:35" ht="18" customHeight="1" x14ac:dyDescent="0.2">
      <c r="A257" s="3418"/>
      <c r="B257" s="3420" t="s">
        <v>366</v>
      </c>
      <c r="C257" s="3416"/>
      <c r="D257" s="3416"/>
      <c r="E257" s="3416"/>
      <c r="F257" s="3416"/>
      <c r="G257" s="3614"/>
      <c r="H257" s="3614"/>
      <c r="I257" s="3614"/>
      <c r="J257" s="3416"/>
      <c r="K257" s="3416"/>
      <c r="L257" s="3416"/>
      <c r="M257" s="3416"/>
      <c r="N257" s="3614"/>
      <c r="O257" s="3614"/>
      <c r="P257" s="3614"/>
      <c r="Q257" s="3416"/>
      <c r="R257" s="3416"/>
      <c r="S257" s="3416"/>
      <c r="T257" s="3416"/>
      <c r="U257" s="3614"/>
      <c r="V257" s="3614"/>
      <c r="W257" s="3614"/>
      <c r="X257" s="3416"/>
      <c r="Y257" s="3416"/>
      <c r="Z257" s="3416"/>
      <c r="AA257" s="3416"/>
      <c r="AB257" s="3614"/>
      <c r="AC257" s="3614"/>
      <c r="AD257" s="3614"/>
      <c r="AE257" s="3416"/>
      <c r="AF257" s="3416"/>
      <c r="AG257" s="3417"/>
      <c r="AH257" s="115"/>
      <c r="AI257" s="116"/>
    </row>
    <row r="258" spans="1:35" ht="18" customHeight="1" x14ac:dyDescent="0.2">
      <c r="A258" s="3418"/>
      <c r="B258" s="3391" t="s">
        <v>367</v>
      </c>
      <c r="C258" s="3366"/>
      <c r="D258" s="3521"/>
      <c r="E258" s="3366" t="s">
        <v>46</v>
      </c>
      <c r="F258" s="3513" t="s">
        <v>46</v>
      </c>
      <c r="G258" s="3513" t="s">
        <v>46</v>
      </c>
      <c r="H258" s="3513" t="s">
        <v>46</v>
      </c>
      <c r="I258" s="3513" t="s">
        <v>46</v>
      </c>
      <c r="J258" s="3366"/>
      <c r="K258" s="3366"/>
      <c r="L258" s="3522" t="s">
        <v>46</v>
      </c>
      <c r="M258" s="3522" t="s">
        <v>46</v>
      </c>
      <c r="N258" s="3522" t="s">
        <v>46</v>
      </c>
      <c r="O258" s="3522" t="s">
        <v>46</v>
      </c>
      <c r="P258" s="3522" t="s">
        <v>46</v>
      </c>
      <c r="Q258" s="3514"/>
      <c r="R258" s="3366"/>
      <c r="S258" s="3366" t="s">
        <v>46</v>
      </c>
      <c r="T258" s="3366" t="s">
        <v>46</v>
      </c>
      <c r="U258" s="3366" t="s">
        <v>46</v>
      </c>
      <c r="V258" s="3366" t="s">
        <v>46</v>
      </c>
      <c r="W258" s="3366" t="s">
        <v>46</v>
      </c>
      <c r="X258" s="3366"/>
      <c r="Y258" s="3521"/>
      <c r="Z258" s="3366" t="s">
        <v>46</v>
      </c>
      <c r="AA258" s="3513" t="s">
        <v>46</v>
      </c>
      <c r="AB258" s="3513" t="s">
        <v>46</v>
      </c>
      <c r="AC258" s="3513" t="s">
        <v>46</v>
      </c>
      <c r="AD258" s="3513" t="s">
        <v>46</v>
      </c>
      <c r="AE258" s="3366"/>
      <c r="AF258" s="3366"/>
      <c r="AG258" s="3603"/>
      <c r="AH258" s="115"/>
      <c r="AI258" s="116"/>
    </row>
    <row r="259" spans="1:35" ht="18" customHeight="1" x14ac:dyDescent="0.2">
      <c r="A259" s="3418"/>
      <c r="B259" s="3391" t="s">
        <v>368</v>
      </c>
      <c r="C259" s="3366"/>
      <c r="D259" s="3521"/>
      <c r="E259" s="3366" t="s">
        <v>46</v>
      </c>
      <c r="F259" s="3513" t="s">
        <v>46</v>
      </c>
      <c r="G259" s="3513" t="s">
        <v>46</v>
      </c>
      <c r="H259" s="3513" t="s">
        <v>46</v>
      </c>
      <c r="I259" s="3513" t="s">
        <v>46</v>
      </c>
      <c r="J259" s="3366"/>
      <c r="K259" s="3366"/>
      <c r="L259" s="3514" t="s">
        <v>46</v>
      </c>
      <c r="M259" s="3509" t="s">
        <v>46</v>
      </c>
      <c r="N259" s="3509" t="s">
        <v>79</v>
      </c>
      <c r="O259" s="3485" t="s">
        <v>46</v>
      </c>
      <c r="P259" s="3485" t="s">
        <v>46</v>
      </c>
      <c r="Q259" s="3485"/>
      <c r="R259" s="3485"/>
      <c r="S259" s="3485" t="s">
        <v>46</v>
      </c>
      <c r="T259" s="3485" t="s">
        <v>46</v>
      </c>
      <c r="U259" s="3366" t="s">
        <v>46</v>
      </c>
      <c r="V259" s="3366" t="s">
        <v>46</v>
      </c>
      <c r="W259" s="3366" t="s">
        <v>46</v>
      </c>
      <c r="X259" s="3366"/>
      <c r="Y259" s="3521"/>
      <c r="Z259" s="3366" t="s">
        <v>46</v>
      </c>
      <c r="AA259" s="3513" t="s">
        <v>46</v>
      </c>
      <c r="AB259" s="3513" t="s">
        <v>46</v>
      </c>
      <c r="AC259" s="3513" t="s">
        <v>46</v>
      </c>
      <c r="AD259" s="3513" t="s">
        <v>46</v>
      </c>
      <c r="AE259" s="3366"/>
      <c r="AF259" s="3366"/>
      <c r="AG259" s="3603"/>
      <c r="AH259" s="115"/>
      <c r="AI259" s="116"/>
    </row>
    <row r="260" spans="1:35" ht="18" customHeight="1" x14ac:dyDescent="0.2">
      <c r="A260" s="3418"/>
      <c r="B260" s="3391"/>
      <c r="C260" s="3366"/>
      <c r="D260" s="3521"/>
      <c r="E260" s="3366" t="s">
        <v>46</v>
      </c>
      <c r="F260" s="3513" t="s">
        <v>46</v>
      </c>
      <c r="G260" s="3513" t="s">
        <v>46</v>
      </c>
      <c r="H260" s="3513" t="s">
        <v>46</v>
      </c>
      <c r="I260" s="3513" t="s">
        <v>46</v>
      </c>
      <c r="J260" s="3366"/>
      <c r="K260" s="3366"/>
      <c r="L260" s="3514" t="s">
        <v>46</v>
      </c>
      <c r="M260" s="3366" t="s">
        <v>46</v>
      </c>
      <c r="N260" s="3366" t="s">
        <v>46</v>
      </c>
      <c r="O260" s="3366" t="s">
        <v>46</v>
      </c>
      <c r="P260" s="3366" t="s">
        <v>46</v>
      </c>
      <c r="Q260" s="3514"/>
      <c r="R260" s="3366"/>
      <c r="S260" s="3366" t="s">
        <v>46</v>
      </c>
      <c r="T260" s="3366" t="s">
        <v>46</v>
      </c>
      <c r="U260" s="3366" t="s">
        <v>46</v>
      </c>
      <c r="V260" s="3366" t="s">
        <v>46</v>
      </c>
      <c r="W260" s="3366" t="s">
        <v>46</v>
      </c>
      <c r="X260" s="3366"/>
      <c r="Y260" s="3521"/>
      <c r="Z260" s="3366" t="s">
        <v>46</v>
      </c>
      <c r="AA260" s="3513" t="s">
        <v>46</v>
      </c>
      <c r="AB260" s="3513" t="s">
        <v>46</v>
      </c>
      <c r="AC260" s="3513" t="s">
        <v>46</v>
      </c>
      <c r="AD260" s="3513" t="s">
        <v>46</v>
      </c>
      <c r="AE260" s="3366"/>
      <c r="AF260" s="3366"/>
      <c r="AG260" s="3603"/>
      <c r="AH260" s="112"/>
      <c r="AI260" s="67"/>
    </row>
    <row r="261" spans="1:35" ht="18" customHeight="1" x14ac:dyDescent="0.2">
      <c r="A261" s="3418"/>
      <c r="B261" s="3391" t="s">
        <v>369</v>
      </c>
      <c r="C261" s="3366"/>
      <c r="D261" s="3521"/>
      <c r="E261" s="3509" t="s">
        <v>46</v>
      </c>
      <c r="F261" s="3509" t="s">
        <v>46</v>
      </c>
      <c r="G261" s="3509" t="s">
        <v>46</v>
      </c>
      <c r="H261" s="3509" t="s">
        <v>46</v>
      </c>
      <c r="I261" s="3509" t="s">
        <v>46</v>
      </c>
      <c r="J261" s="3509"/>
      <c r="K261" s="3509"/>
      <c r="L261" s="3509" t="s">
        <v>46</v>
      </c>
      <c r="M261" s="3509" t="s">
        <v>46</v>
      </c>
      <c r="N261" s="3509" t="s">
        <v>46</v>
      </c>
      <c r="O261" s="3509" t="s">
        <v>46</v>
      </c>
      <c r="P261" s="3509" t="s">
        <v>46</v>
      </c>
      <c r="Q261" s="3509"/>
      <c r="R261" s="3509"/>
      <c r="S261" s="3509" t="s">
        <v>46</v>
      </c>
      <c r="T261" s="3509" t="s">
        <v>46</v>
      </c>
      <c r="U261" s="3509" t="s">
        <v>46</v>
      </c>
      <c r="V261" s="3509" t="s">
        <v>46</v>
      </c>
      <c r="W261" s="3509" t="s">
        <v>46</v>
      </c>
      <c r="X261" s="3509"/>
      <c r="Y261" s="3509"/>
      <c r="Z261" s="3509" t="s">
        <v>46</v>
      </c>
      <c r="AA261" s="3509" t="s">
        <v>46</v>
      </c>
      <c r="AB261" s="3509" t="s">
        <v>46</v>
      </c>
      <c r="AC261" s="3509" t="s">
        <v>46</v>
      </c>
      <c r="AD261" s="3509" t="s">
        <v>46</v>
      </c>
      <c r="AE261" s="3366"/>
      <c r="AF261" s="3366"/>
      <c r="AG261" s="3603"/>
      <c r="AH261" s="112"/>
      <c r="AI261" s="67"/>
    </row>
    <row r="262" spans="1:35" ht="18" customHeight="1" x14ac:dyDescent="0.2">
      <c r="A262" s="3543"/>
      <c r="B262" s="2629"/>
      <c r="C262" s="3614"/>
      <c r="D262" s="3614"/>
      <c r="E262" s="3614"/>
      <c r="F262" s="3614"/>
      <c r="G262" s="3614"/>
      <c r="H262" s="3614"/>
      <c r="I262" s="3614"/>
      <c r="J262" s="3614"/>
      <c r="K262" s="3614"/>
      <c r="L262" s="3614"/>
      <c r="M262" s="3614"/>
      <c r="N262" s="3614"/>
      <c r="O262" s="3614"/>
      <c r="P262" s="3614"/>
      <c r="Q262" s="3614"/>
      <c r="R262" s="3614"/>
      <c r="S262" s="3614"/>
      <c r="T262" s="3614"/>
      <c r="U262" s="3614"/>
      <c r="V262" s="3614"/>
      <c r="W262" s="3614"/>
      <c r="X262" s="3614"/>
      <c r="Y262" s="3614"/>
      <c r="Z262" s="3614"/>
      <c r="AA262" s="3614"/>
      <c r="AB262" s="3614"/>
      <c r="AC262" s="3614"/>
      <c r="AD262" s="3614"/>
      <c r="AE262" s="3614"/>
      <c r="AF262" s="3614"/>
      <c r="AG262" s="3417"/>
      <c r="AH262" s="112"/>
      <c r="AI262" s="67"/>
    </row>
    <row r="263" spans="1:35" ht="18" customHeight="1" x14ac:dyDescent="0.2">
      <c r="A263" s="3543"/>
      <c r="B263" s="3391"/>
      <c r="C263" s="3614"/>
      <c r="D263" s="3614"/>
      <c r="E263" s="3614"/>
      <c r="F263" s="3614"/>
      <c r="G263" s="3614"/>
      <c r="H263" s="3614"/>
      <c r="I263" s="3614"/>
      <c r="J263" s="3614"/>
      <c r="K263" s="3614"/>
      <c r="L263" s="3614"/>
      <c r="M263" s="3614"/>
      <c r="N263" s="3625"/>
      <c r="O263" s="3625"/>
      <c r="P263" s="3625"/>
      <c r="Q263" s="3697"/>
      <c r="R263" s="3625"/>
      <c r="S263" s="3614"/>
      <c r="T263" s="3614"/>
      <c r="U263" s="3625"/>
      <c r="V263" s="3625"/>
      <c r="W263" s="3625"/>
      <c r="X263" s="3614"/>
      <c r="Y263" s="3625"/>
      <c r="Z263" s="3614"/>
      <c r="AA263" s="3614"/>
      <c r="AB263" s="3614"/>
      <c r="AC263" s="3614"/>
      <c r="AD263" s="3614"/>
      <c r="AE263" s="3614"/>
      <c r="AF263" s="3625"/>
      <c r="AG263" s="3425"/>
      <c r="AH263" s="112"/>
      <c r="AI263" s="67"/>
    </row>
    <row r="264" spans="1:35" ht="18" customHeight="1" x14ac:dyDescent="0.2">
      <c r="A264" s="3543"/>
      <c r="B264" s="3543"/>
      <c r="C264" s="3614"/>
      <c r="D264" s="3614"/>
      <c r="E264" s="3614"/>
      <c r="F264" s="3614"/>
      <c r="G264" s="3614"/>
      <c r="H264" s="3614"/>
      <c r="I264" s="3614"/>
      <c r="J264" s="3614"/>
      <c r="K264" s="3614"/>
      <c r="L264" s="3614"/>
      <c r="M264" s="3614"/>
      <c r="N264" s="3614"/>
      <c r="O264" s="3614"/>
      <c r="P264" s="3614"/>
      <c r="Q264" s="3614"/>
      <c r="R264" s="3614"/>
      <c r="S264" s="3614"/>
      <c r="T264" s="3614"/>
      <c r="U264" s="3614"/>
      <c r="V264" s="3614"/>
      <c r="W264" s="3614"/>
      <c r="X264" s="3614"/>
      <c r="Y264" s="3614"/>
      <c r="Z264" s="3614"/>
      <c r="AA264" s="3614"/>
      <c r="AB264" s="3614"/>
      <c r="AC264" s="3614"/>
      <c r="AD264" s="3614"/>
      <c r="AE264" s="3614"/>
      <c r="AF264" s="3614"/>
      <c r="AG264" s="3417"/>
      <c r="AH264" s="112"/>
      <c r="AI264" s="67"/>
    </row>
    <row r="265" spans="1:35" ht="18" customHeight="1" x14ac:dyDescent="0.2">
      <c r="A265" s="3543"/>
      <c r="B265" s="3543"/>
      <c r="C265" s="3614"/>
      <c r="D265" s="3614"/>
      <c r="E265" s="3614"/>
      <c r="F265" s="3614"/>
      <c r="G265" s="3614"/>
      <c r="H265" s="3426"/>
      <c r="I265" s="3614"/>
      <c r="J265" s="3614"/>
      <c r="K265" s="3614"/>
      <c r="L265" s="3614"/>
      <c r="M265" s="3614"/>
      <c r="N265" s="3614"/>
      <c r="O265" s="3614"/>
      <c r="P265" s="3614"/>
      <c r="Q265" s="3614"/>
      <c r="R265" s="3614"/>
      <c r="S265" s="3614"/>
      <c r="T265" s="3614"/>
      <c r="U265" s="3614"/>
      <c r="V265" s="3614"/>
      <c r="W265" s="3614"/>
      <c r="X265" s="3614"/>
      <c r="Y265" s="3614"/>
      <c r="Z265" s="3614"/>
      <c r="AA265" s="3614"/>
      <c r="AB265" s="3614"/>
      <c r="AC265" s="3614"/>
      <c r="AD265" s="3614"/>
      <c r="AE265" s="3614"/>
      <c r="AF265" s="3614"/>
      <c r="AG265" s="3427"/>
      <c r="AH265" s="112"/>
      <c r="AI265" s="67"/>
    </row>
    <row r="266" spans="1:35" ht="18" customHeight="1" x14ac:dyDescent="0.2">
      <c r="A266" s="3418"/>
      <c r="B266" s="3428"/>
      <c r="C266" s="3614"/>
      <c r="D266" s="3614"/>
      <c r="E266" s="3614"/>
      <c r="F266" s="3614"/>
      <c r="G266" s="3614"/>
      <c r="H266" s="3614"/>
      <c r="I266" s="3614"/>
      <c r="J266" s="3614"/>
      <c r="K266" s="3614"/>
      <c r="L266" s="3614"/>
      <c r="M266" s="3614"/>
      <c r="N266" s="3614"/>
      <c r="O266" s="3614"/>
      <c r="P266" s="3614"/>
      <c r="Q266" s="3614"/>
      <c r="R266" s="3614"/>
      <c r="S266" s="3614"/>
      <c r="T266" s="3614"/>
      <c r="U266" s="3614"/>
      <c r="V266" s="3614"/>
      <c r="W266" s="3614"/>
      <c r="X266" s="3614"/>
      <c r="Y266" s="3614"/>
      <c r="Z266" s="3614"/>
      <c r="AA266" s="3614"/>
      <c r="AB266" s="3614"/>
      <c r="AC266" s="3614"/>
      <c r="AD266" s="3614"/>
      <c r="AE266" s="3614"/>
      <c r="AF266" s="3614"/>
      <c r="AG266" s="3427"/>
      <c r="AH266" s="112"/>
      <c r="AI266" s="67"/>
    </row>
    <row r="267" spans="1:35" ht="18" customHeight="1" x14ac:dyDescent="0.2">
      <c r="A267" s="3418"/>
      <c r="B267" s="3429"/>
      <c r="C267" s="3614"/>
      <c r="D267" s="3614"/>
      <c r="E267" s="3614"/>
      <c r="F267" s="3614"/>
      <c r="G267" s="3614"/>
      <c r="H267" s="3614"/>
      <c r="I267" s="3614"/>
      <c r="J267" s="3614"/>
      <c r="K267" s="3614"/>
      <c r="L267" s="3614"/>
      <c r="M267" s="3614"/>
      <c r="N267" s="3614"/>
      <c r="O267" s="3614"/>
      <c r="P267" s="3614"/>
      <c r="Q267" s="3614"/>
      <c r="R267" s="3614"/>
      <c r="S267" s="3614"/>
      <c r="T267" s="3614"/>
      <c r="U267" s="3614"/>
      <c r="V267" s="3614"/>
      <c r="W267" s="3614"/>
      <c r="X267" s="3614"/>
      <c r="Y267" s="3614"/>
      <c r="Z267" s="3614"/>
      <c r="AA267" s="3614"/>
      <c r="AB267" s="3614"/>
      <c r="AC267" s="3614"/>
      <c r="AD267" s="3614"/>
      <c r="AE267" s="3614"/>
      <c r="AF267" s="3614"/>
      <c r="AG267" s="3427"/>
      <c r="AH267" s="112"/>
      <c r="AI267" s="67"/>
    </row>
    <row r="268" spans="1:35" ht="18" customHeight="1" x14ac:dyDescent="0.2">
      <c r="A268" s="68"/>
      <c r="B268" s="74"/>
      <c r="C268" s="66"/>
      <c r="D268" s="66"/>
      <c r="E268" s="66"/>
      <c r="F268" s="66"/>
      <c r="G268" s="66"/>
      <c r="H268" s="66"/>
      <c r="I268" s="66"/>
      <c r="J268" s="66"/>
      <c r="L268" s="66"/>
      <c r="M268" s="66"/>
      <c r="N268" s="66"/>
      <c r="O268" s="66"/>
      <c r="P268" s="48"/>
      <c r="Q268" s="48"/>
      <c r="R268" s="48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7"/>
      <c r="AI268" s="67"/>
    </row>
    <row r="269" spans="1:35" ht="18" customHeight="1" x14ac:dyDescent="0.2"/>
    <row r="270" spans="1:35" ht="18" customHeight="1" x14ac:dyDescent="0.2"/>
    <row r="271" spans="1:35" ht="18" customHeight="1" x14ac:dyDescent="0.2"/>
    <row r="272" spans="1:35" ht="18" customHeight="1" x14ac:dyDescent="0.2">
      <c r="A272" s="103" t="s">
        <v>370</v>
      </c>
    </row>
    <row r="273" spans="1:35" ht="18" customHeight="1" x14ac:dyDescent="0.2">
      <c r="B273" s="3124" t="s">
        <v>340</v>
      </c>
      <c r="C273" s="3266"/>
      <c r="D273" s="3291" t="s">
        <v>17</v>
      </c>
      <c r="E273" s="3177"/>
      <c r="F273" s="3270"/>
      <c r="G273" s="3266"/>
      <c r="H273" s="3291" t="s">
        <v>18</v>
      </c>
      <c r="I273" s="3177"/>
      <c r="J273" s="3270"/>
      <c r="K273" s="3266"/>
      <c r="L273" s="3291" t="s">
        <v>19</v>
      </c>
      <c r="M273" s="3177"/>
      <c r="N273" s="3270"/>
      <c r="O273" s="3266"/>
      <c r="P273" s="3291" t="s">
        <v>20</v>
      </c>
      <c r="Q273" s="3177"/>
      <c r="R273" s="3270"/>
      <c r="S273" s="3266"/>
      <c r="T273" s="3291" t="s">
        <v>21</v>
      </c>
      <c r="U273" s="3177"/>
      <c r="V273" s="3270"/>
      <c r="W273" s="3266"/>
      <c r="X273" s="3291" t="s">
        <v>22</v>
      </c>
      <c r="Y273" s="3177"/>
      <c r="Z273" s="3270"/>
      <c r="AA273" s="3266"/>
      <c r="AB273" s="3291" t="s">
        <v>23</v>
      </c>
      <c r="AC273" s="3177"/>
      <c r="AD273" s="3177"/>
      <c r="AE273" s="3294"/>
      <c r="AF273" s="3177"/>
      <c r="AG273" s="3177"/>
      <c r="AH273" s="3177"/>
      <c r="AI273" s="3178"/>
    </row>
    <row r="274" spans="1:35" ht="18" customHeight="1" x14ac:dyDescent="0.2">
      <c r="B274" s="3430" t="s">
        <v>235</v>
      </c>
      <c r="C274" s="1059" t="s">
        <v>371</v>
      </c>
      <c r="D274" s="1030"/>
      <c r="E274" s="1060"/>
      <c r="F274" s="1061"/>
      <c r="G274" s="1059" t="s">
        <v>371</v>
      </c>
      <c r="H274" s="1030"/>
      <c r="I274" s="1060"/>
      <c r="J274" s="1061"/>
      <c r="K274" s="1059" t="s">
        <v>371</v>
      </c>
      <c r="L274" s="1030"/>
      <c r="M274" s="1060"/>
      <c r="N274" s="1061"/>
      <c r="O274" s="1059" t="s">
        <v>371</v>
      </c>
      <c r="P274" s="1062"/>
      <c r="Q274" s="1060"/>
      <c r="R274" s="1061"/>
      <c r="S274" s="1063" t="s">
        <v>372</v>
      </c>
      <c r="T274" s="1030"/>
      <c r="U274" s="1060"/>
      <c r="V274" s="1061"/>
      <c r="W274" s="1032"/>
      <c r="X274" s="1030"/>
      <c r="Y274" s="875"/>
      <c r="Z274" s="1031"/>
      <c r="AA274" s="1032"/>
      <c r="AB274" s="1030"/>
      <c r="AC274" s="875"/>
      <c r="AD274" s="875"/>
      <c r="AE274" s="1033"/>
      <c r="AF274" s="875"/>
      <c r="AG274" s="467"/>
      <c r="AH274" s="467"/>
      <c r="AI274" s="1026"/>
    </row>
    <row r="275" spans="1:35" ht="18" customHeight="1" x14ac:dyDescent="0.2">
      <c r="A275" s="70"/>
      <c r="B275" s="3430" t="s">
        <v>236</v>
      </c>
      <c r="C275" s="1059" t="s">
        <v>552</v>
      </c>
      <c r="D275" s="1030"/>
      <c r="E275" s="1060"/>
      <c r="F275" s="1061"/>
      <c r="G275" s="1059" t="s">
        <v>552</v>
      </c>
      <c r="H275" s="1030"/>
      <c r="I275" s="1060"/>
      <c r="J275" s="1061"/>
      <c r="K275" s="1059" t="s">
        <v>552</v>
      </c>
      <c r="L275" s="1030"/>
      <c r="M275" s="1060"/>
      <c r="N275" s="1061"/>
      <c r="O275" s="1059" t="s">
        <v>552</v>
      </c>
      <c r="P275" s="1030"/>
      <c r="Q275" s="1060"/>
      <c r="R275" s="1061"/>
      <c r="S275" s="1059" t="s">
        <v>553</v>
      </c>
      <c r="T275" s="1030"/>
      <c r="U275" s="1060"/>
      <c r="V275" s="1061"/>
      <c r="W275" s="1032"/>
      <c r="X275" s="1030"/>
      <c r="Y275" s="875"/>
      <c r="Z275" s="1031"/>
      <c r="AA275" s="1032"/>
      <c r="AB275" s="1030"/>
      <c r="AC275" s="875"/>
      <c r="AD275" s="875"/>
      <c r="AE275" s="1033"/>
      <c r="AF275" s="875"/>
      <c r="AG275" s="467"/>
      <c r="AH275" s="467"/>
      <c r="AI275" s="1026"/>
    </row>
    <row r="276" spans="1:35" ht="18" customHeight="1" thickBot="1" x14ac:dyDescent="0.25">
      <c r="B276" s="3432" t="s">
        <v>554</v>
      </c>
      <c r="C276" s="3359" t="s">
        <v>552</v>
      </c>
      <c r="D276" s="3716"/>
      <c r="E276" s="1060"/>
      <c r="F276" s="1061"/>
      <c r="G276" s="3359" t="s">
        <v>552</v>
      </c>
      <c r="H276" s="3716"/>
      <c r="I276" s="1060"/>
      <c r="J276" s="1061"/>
      <c r="K276" s="3359" t="s">
        <v>552</v>
      </c>
      <c r="L276" s="3716"/>
      <c r="M276" s="1060"/>
      <c r="N276" s="1061"/>
      <c r="O276" s="3359" t="s">
        <v>552</v>
      </c>
      <c r="P276" s="3716"/>
      <c r="Q276" s="1060"/>
      <c r="R276" s="1061"/>
      <c r="S276" s="3359" t="s">
        <v>553</v>
      </c>
      <c r="T276" s="1030"/>
      <c r="U276" s="1060"/>
      <c r="V276" s="1061"/>
      <c r="W276" s="1032"/>
      <c r="X276" s="1030"/>
      <c r="Y276" s="875"/>
      <c r="Z276" s="1031"/>
      <c r="AA276" s="1032"/>
      <c r="AB276" s="1030"/>
      <c r="AC276" s="875"/>
      <c r="AD276" s="875"/>
      <c r="AE276" s="1033"/>
      <c r="AF276" s="875"/>
      <c r="AG276" s="467"/>
      <c r="AH276" s="467"/>
      <c r="AI276" s="1026"/>
    </row>
    <row r="277" spans="1:35" ht="18" customHeight="1" x14ac:dyDescent="0.2">
      <c r="B277" s="37"/>
      <c r="C277" s="42"/>
      <c r="D277" s="5"/>
      <c r="G277" s="42"/>
      <c r="H277" s="5"/>
      <c r="K277" s="42"/>
      <c r="L277" s="5"/>
      <c r="O277" s="42"/>
      <c r="P277" s="5"/>
      <c r="S277" s="42"/>
      <c r="T277" s="42"/>
      <c r="X277" s="42"/>
      <c r="AB277" s="42"/>
      <c r="AE277" s="42"/>
    </row>
    <row r="278" spans="1:35" ht="18" customHeight="1" x14ac:dyDescent="0.2">
      <c r="A278" s="1068" t="s">
        <v>374</v>
      </c>
    </row>
    <row r="279" spans="1:35" ht="18" customHeight="1" x14ac:dyDescent="0.2">
      <c r="A279" s="2543"/>
      <c r="B279" s="2817" t="s">
        <v>44</v>
      </c>
      <c r="C279" s="2707">
        <v>1</v>
      </c>
      <c r="D279" s="2707">
        <v>2</v>
      </c>
      <c r="E279" s="2706">
        <v>3</v>
      </c>
      <c r="F279" s="2706">
        <v>4</v>
      </c>
      <c r="G279" s="2706">
        <v>5</v>
      </c>
      <c r="H279" s="2706">
        <v>6</v>
      </c>
      <c r="I279" s="2706">
        <v>7</v>
      </c>
      <c r="J279" s="2707">
        <v>8</v>
      </c>
      <c r="K279" s="2707">
        <v>9</v>
      </c>
      <c r="L279" s="2706">
        <v>10</v>
      </c>
      <c r="M279" s="2706">
        <v>11</v>
      </c>
      <c r="N279" s="2706">
        <v>12</v>
      </c>
      <c r="O279" s="2706">
        <v>13</v>
      </c>
      <c r="P279" s="2706">
        <v>14</v>
      </c>
      <c r="Q279" s="2707">
        <v>15</v>
      </c>
      <c r="R279" s="2707">
        <v>16</v>
      </c>
      <c r="S279" s="2706">
        <v>17</v>
      </c>
      <c r="T279" s="2706">
        <v>18</v>
      </c>
      <c r="U279" s="2706">
        <v>19</v>
      </c>
      <c r="V279" s="2706">
        <v>20</v>
      </c>
      <c r="W279" s="2706">
        <v>21</v>
      </c>
      <c r="X279" s="2707">
        <v>22</v>
      </c>
      <c r="Y279" s="2707">
        <v>23</v>
      </c>
      <c r="Z279" s="2706">
        <v>24</v>
      </c>
      <c r="AA279" s="2706">
        <v>25</v>
      </c>
      <c r="AB279" s="2706">
        <v>26</v>
      </c>
      <c r="AC279" s="2706">
        <v>27</v>
      </c>
      <c r="AD279" s="2706">
        <v>28</v>
      </c>
      <c r="AE279" s="2706"/>
      <c r="AF279" s="2706"/>
      <c r="AG279" s="3501"/>
      <c r="AH279" s="110"/>
      <c r="AI279" s="111"/>
    </row>
    <row r="280" spans="1:35" ht="18" customHeight="1" x14ac:dyDescent="0.2">
      <c r="A280" s="3125">
        <v>3702</v>
      </c>
      <c r="B280" s="3126" t="s">
        <v>375</v>
      </c>
      <c r="C280" s="3164"/>
      <c r="D280" s="3164"/>
      <c r="E280" s="3164" t="s">
        <v>46</v>
      </c>
      <c r="F280" s="3164" t="s">
        <v>46</v>
      </c>
      <c r="G280" s="3164" t="s">
        <v>46</v>
      </c>
      <c r="H280" s="3164" t="s">
        <v>46</v>
      </c>
      <c r="I280" s="3164" t="s">
        <v>46</v>
      </c>
      <c r="J280" s="3164"/>
      <c r="K280" s="3164"/>
      <c r="L280" s="3164" t="s">
        <v>46</v>
      </c>
      <c r="M280" s="3164" t="s">
        <v>46</v>
      </c>
      <c r="N280" s="3164" t="s">
        <v>46</v>
      </c>
      <c r="O280" s="3164" t="s">
        <v>46</v>
      </c>
      <c r="P280" s="3164" t="s">
        <v>46</v>
      </c>
      <c r="Q280" s="3164"/>
      <c r="R280" s="3164"/>
      <c r="S280" s="3164" t="s">
        <v>46</v>
      </c>
      <c r="T280" s="3164" t="s">
        <v>46</v>
      </c>
      <c r="U280" s="3164" t="s">
        <v>46</v>
      </c>
      <c r="V280" s="3164" t="s">
        <v>46</v>
      </c>
      <c r="W280" s="3164" t="s">
        <v>46</v>
      </c>
      <c r="X280" s="3164"/>
      <c r="Y280" s="3164"/>
      <c r="Z280" s="3164" t="s">
        <v>46</v>
      </c>
      <c r="AA280" s="3164" t="s">
        <v>46</v>
      </c>
      <c r="AB280" s="3164" t="s">
        <v>46</v>
      </c>
      <c r="AC280" s="3164" t="s">
        <v>46</v>
      </c>
      <c r="AD280" s="3164" t="s">
        <v>46</v>
      </c>
      <c r="AE280" s="3164"/>
      <c r="AF280" s="3164"/>
      <c r="AG280" s="3239"/>
      <c r="AH280" s="115"/>
      <c r="AI280" s="116"/>
    </row>
    <row r="281" spans="1:35" ht="18" customHeight="1" x14ac:dyDescent="0.2">
      <c r="A281" s="3505"/>
      <c r="B281" s="3485"/>
      <c r="C281" s="3366"/>
      <c r="D281" s="3366"/>
      <c r="E281" s="3366" t="s">
        <v>46</v>
      </c>
      <c r="F281" s="3366" t="s">
        <v>46</v>
      </c>
      <c r="G281" s="3366" t="s">
        <v>46</v>
      </c>
      <c r="H281" s="3366" t="s">
        <v>46</v>
      </c>
      <c r="I281" s="3366" t="s">
        <v>46</v>
      </c>
      <c r="J281" s="3366"/>
      <c r="K281" s="3366"/>
      <c r="L281" s="3366" t="s">
        <v>46</v>
      </c>
      <c r="M281" s="3366" t="s">
        <v>46</v>
      </c>
      <c r="N281" s="3366" t="s">
        <v>46</v>
      </c>
      <c r="O281" s="3366" t="s">
        <v>46</v>
      </c>
      <c r="P281" s="3366" t="s">
        <v>46</v>
      </c>
      <c r="Q281" s="3366"/>
      <c r="R281" s="3366"/>
      <c r="S281" s="3366" t="s">
        <v>46</v>
      </c>
      <c r="T281" s="3366" t="s">
        <v>46</v>
      </c>
      <c r="U281" s="3366" t="s">
        <v>46</v>
      </c>
      <c r="V281" s="3366" t="s">
        <v>46</v>
      </c>
      <c r="W281" s="3366" t="s">
        <v>46</v>
      </c>
      <c r="X281" s="3366"/>
      <c r="Y281" s="3366"/>
      <c r="Z281" s="3366" t="s">
        <v>46</v>
      </c>
      <c r="AA281" s="3366" t="s">
        <v>46</v>
      </c>
      <c r="AB281" s="3366" t="s">
        <v>46</v>
      </c>
      <c r="AC281" s="3366" t="s">
        <v>46</v>
      </c>
      <c r="AD281" s="3366" t="s">
        <v>46</v>
      </c>
      <c r="AE281" s="3366"/>
      <c r="AF281" s="3366"/>
      <c r="AG281" s="3510"/>
      <c r="AH281" s="115"/>
      <c r="AI281" s="116"/>
    </row>
    <row r="282" spans="1:35" ht="18" customHeight="1" x14ac:dyDescent="0.2">
      <c r="A282" s="3438"/>
      <c r="B282" s="3439" t="s">
        <v>376</v>
      </c>
      <c r="C282" s="3504"/>
      <c r="D282" s="3504"/>
      <c r="E282" s="3504"/>
      <c r="F282" s="3504"/>
      <c r="G282" s="3504"/>
      <c r="H282" s="3504"/>
      <c r="I282" s="3504"/>
      <c r="J282" s="3504"/>
      <c r="K282" s="3504"/>
      <c r="L282" s="3504"/>
      <c r="M282" s="3504"/>
      <c r="N282" s="3504"/>
      <c r="O282" s="3504"/>
      <c r="P282" s="3504"/>
      <c r="Q282" s="3504"/>
      <c r="R282" s="3504"/>
      <c r="S282" s="3504"/>
      <c r="T282" s="3504"/>
      <c r="U282" s="3504"/>
      <c r="V282" s="3504"/>
      <c r="W282" s="3504"/>
      <c r="X282" s="3504"/>
      <c r="Y282" s="3504"/>
      <c r="Z282" s="3504"/>
      <c r="AA282" s="3504"/>
      <c r="AB282" s="3504"/>
      <c r="AC282" s="3504"/>
      <c r="AD282" s="3504"/>
      <c r="AE282" s="3504"/>
      <c r="AF282" s="3504"/>
      <c r="AG282" s="3440"/>
      <c r="AH282" s="113"/>
      <c r="AI282" s="114"/>
    </row>
    <row r="283" spans="1:35" ht="18" customHeight="1" x14ac:dyDescent="0.2">
      <c r="A283" s="3434">
        <v>3702</v>
      </c>
      <c r="B283" s="3511" t="s">
        <v>377</v>
      </c>
      <c r="C283" s="3521"/>
      <c r="D283" s="3519"/>
      <c r="E283" s="3519" t="s">
        <v>378</v>
      </c>
      <c r="F283" s="3521" t="s">
        <v>378</v>
      </c>
      <c r="G283" s="3521" t="s">
        <v>378</v>
      </c>
      <c r="H283" s="3521" t="s">
        <v>378</v>
      </c>
      <c r="I283" s="3521" t="s">
        <v>378</v>
      </c>
      <c r="J283" s="3521"/>
      <c r="K283" s="3519"/>
      <c r="L283" s="3519" t="s">
        <v>382</v>
      </c>
      <c r="M283" s="3519" t="s">
        <v>382</v>
      </c>
      <c r="N283" s="3519" t="s">
        <v>382</v>
      </c>
      <c r="O283" s="3519" t="s">
        <v>382</v>
      </c>
      <c r="P283" s="3519" t="s">
        <v>382</v>
      </c>
      <c r="Q283" s="3521"/>
      <c r="R283" s="3519"/>
      <c r="S283" s="3519" t="s">
        <v>380</v>
      </c>
      <c r="T283" s="3521" t="s">
        <v>380</v>
      </c>
      <c r="U283" s="3521" t="s">
        <v>380</v>
      </c>
      <c r="V283" s="3521" t="s">
        <v>380</v>
      </c>
      <c r="W283" s="3521" t="s">
        <v>380</v>
      </c>
      <c r="X283" s="3521"/>
      <c r="Y283" s="3519"/>
      <c r="Z283" s="3519" t="s">
        <v>378</v>
      </c>
      <c r="AA283" s="3521" t="s">
        <v>378</v>
      </c>
      <c r="AB283" s="3521" t="s">
        <v>378</v>
      </c>
      <c r="AC283" s="3521" t="s">
        <v>378</v>
      </c>
      <c r="AD283" s="3521" t="s">
        <v>378</v>
      </c>
      <c r="AE283" s="3521"/>
      <c r="AF283" s="3521"/>
      <c r="AG283" s="3603"/>
      <c r="AH283" s="115"/>
      <c r="AI283" s="116"/>
    </row>
    <row r="284" spans="1:35" ht="18" customHeight="1" x14ac:dyDescent="0.2">
      <c r="A284" s="3434"/>
      <c r="B284" s="3511" t="s">
        <v>379</v>
      </c>
      <c r="C284" s="3521"/>
      <c r="D284" s="3521"/>
      <c r="E284" s="3519" t="s">
        <v>380</v>
      </c>
      <c r="F284" s="3521" t="s">
        <v>380</v>
      </c>
      <c r="G284" s="3521" t="s">
        <v>380</v>
      </c>
      <c r="H284" s="3521" t="s">
        <v>380</v>
      </c>
      <c r="I284" s="3521" t="s">
        <v>380</v>
      </c>
      <c r="J284" s="3521"/>
      <c r="K284" s="3521"/>
      <c r="L284" s="3519" t="s">
        <v>378</v>
      </c>
      <c r="M284" s="3519" t="s">
        <v>378</v>
      </c>
      <c r="N284" s="3519" t="s">
        <v>378</v>
      </c>
      <c r="O284" s="3519" t="s">
        <v>378</v>
      </c>
      <c r="P284" s="3519" t="s">
        <v>378</v>
      </c>
      <c r="Q284" s="3521"/>
      <c r="R284" s="3521"/>
      <c r="S284" s="3519" t="s">
        <v>382</v>
      </c>
      <c r="T284" s="3521" t="s">
        <v>382</v>
      </c>
      <c r="U284" s="3521" t="s">
        <v>382</v>
      </c>
      <c r="V284" s="3521" t="s">
        <v>382</v>
      </c>
      <c r="W284" s="3521" t="s">
        <v>382</v>
      </c>
      <c r="X284" s="3521"/>
      <c r="Y284" s="3521"/>
      <c r="Z284" s="3519" t="s">
        <v>380</v>
      </c>
      <c r="AA284" s="3521" t="s">
        <v>380</v>
      </c>
      <c r="AB284" s="3521" t="s">
        <v>380</v>
      </c>
      <c r="AC284" s="3521" t="s">
        <v>380</v>
      </c>
      <c r="AD284" s="3521" t="s">
        <v>380</v>
      </c>
      <c r="AE284" s="3521"/>
      <c r="AF284" s="3521"/>
      <c r="AG284" s="3441"/>
      <c r="AH284" s="115"/>
      <c r="AI284" s="116"/>
    </row>
    <row r="285" spans="1:35" ht="18" customHeight="1" thickBot="1" x14ac:dyDescent="0.25">
      <c r="A285" s="3442"/>
      <c r="B285" s="3531" t="s">
        <v>381</v>
      </c>
      <c r="C285" s="3535"/>
      <c r="D285" s="3572"/>
      <c r="E285" s="3572" t="s">
        <v>382</v>
      </c>
      <c r="F285" s="3535" t="s">
        <v>382</v>
      </c>
      <c r="G285" s="3535" t="s">
        <v>382</v>
      </c>
      <c r="H285" s="3535" t="s">
        <v>382</v>
      </c>
      <c r="I285" s="3535" t="s">
        <v>382</v>
      </c>
      <c r="J285" s="3535"/>
      <c r="K285" s="3572"/>
      <c r="L285" s="3572" t="s">
        <v>380</v>
      </c>
      <c r="M285" s="3535" t="s">
        <v>380</v>
      </c>
      <c r="N285" s="3535" t="s">
        <v>380</v>
      </c>
      <c r="O285" s="3535" t="s">
        <v>380</v>
      </c>
      <c r="P285" s="3535" t="s">
        <v>380</v>
      </c>
      <c r="Q285" s="3535"/>
      <c r="R285" s="3572"/>
      <c r="S285" s="3519" t="s">
        <v>378</v>
      </c>
      <c r="T285" s="3519" t="s">
        <v>378</v>
      </c>
      <c r="U285" s="3519" t="s">
        <v>378</v>
      </c>
      <c r="V285" s="3519" t="s">
        <v>378</v>
      </c>
      <c r="W285" s="3519" t="s">
        <v>378</v>
      </c>
      <c r="X285" s="3535"/>
      <c r="Y285" s="3572"/>
      <c r="Z285" s="3572" t="s">
        <v>382</v>
      </c>
      <c r="AA285" s="3535" t="s">
        <v>382</v>
      </c>
      <c r="AB285" s="3535" t="s">
        <v>382</v>
      </c>
      <c r="AC285" s="3535" t="s">
        <v>382</v>
      </c>
      <c r="AD285" s="3535" t="s">
        <v>382</v>
      </c>
      <c r="AE285" s="3535"/>
      <c r="AF285" s="3535"/>
      <c r="AG285" s="3591"/>
      <c r="AH285" s="115"/>
      <c r="AI285" s="116"/>
    </row>
    <row r="286" spans="1:35" ht="18" customHeight="1" x14ac:dyDescent="0.2"/>
    <row r="287" spans="1:35" ht="18" customHeight="1" x14ac:dyDescent="0.2"/>
    <row r="288" spans="1:35" ht="18" customHeight="1" x14ac:dyDescent="0.2">
      <c r="A288" s="103" t="s">
        <v>383</v>
      </c>
    </row>
    <row r="289" spans="1:36" ht="18" customHeight="1" x14ac:dyDescent="0.2">
      <c r="A289" s="1"/>
      <c r="B289" s="3124" t="s">
        <v>340</v>
      </c>
      <c r="C289" s="3266"/>
      <c r="D289" s="3291" t="s">
        <v>17</v>
      </c>
      <c r="E289" s="3177"/>
      <c r="F289" s="3270"/>
      <c r="G289" s="3266"/>
      <c r="H289" s="3291" t="s">
        <v>18</v>
      </c>
      <c r="I289" s="3177"/>
      <c r="J289" s="3270"/>
      <c r="K289" s="3266"/>
      <c r="L289" s="3291" t="s">
        <v>19</v>
      </c>
      <c r="M289" s="3177"/>
      <c r="N289" s="3270"/>
      <c r="O289" s="3266"/>
      <c r="P289" s="3291" t="s">
        <v>20</v>
      </c>
      <c r="Q289" s="3177"/>
      <c r="R289" s="3270"/>
      <c r="S289" s="3266"/>
      <c r="T289" s="3291" t="s">
        <v>21</v>
      </c>
      <c r="U289" s="3177"/>
      <c r="V289" s="3270"/>
      <c r="W289" s="3266"/>
      <c r="X289" s="3291" t="s">
        <v>22</v>
      </c>
      <c r="Y289" s="3177"/>
      <c r="Z289" s="3270"/>
      <c r="AA289" s="3266"/>
      <c r="AB289" s="3291" t="s">
        <v>23</v>
      </c>
      <c r="AC289" s="3177"/>
      <c r="AD289" s="3177"/>
      <c r="AE289" s="3294"/>
      <c r="AF289" s="3177"/>
      <c r="AG289" s="3177"/>
      <c r="AH289" s="3177"/>
      <c r="AI289" s="3178"/>
    </row>
    <row r="290" spans="1:36" ht="18" customHeight="1" x14ac:dyDescent="0.2">
      <c r="A290" s="1"/>
      <c r="B290" s="452"/>
      <c r="C290" s="457"/>
      <c r="D290" s="1030"/>
      <c r="E290" s="467"/>
      <c r="F290" s="1077"/>
      <c r="G290" s="457"/>
      <c r="H290" s="1030"/>
      <c r="I290" s="467"/>
      <c r="J290" s="1077"/>
      <c r="K290" s="457"/>
      <c r="L290" s="1030"/>
      <c r="M290" s="467"/>
      <c r="N290" s="1077"/>
      <c r="O290" s="457"/>
      <c r="P290" s="1030"/>
      <c r="Q290" s="467"/>
      <c r="R290" s="1077"/>
      <c r="S290" s="457"/>
      <c r="T290" s="1030"/>
      <c r="U290" s="467"/>
      <c r="V290" s="1077"/>
      <c r="W290" s="457"/>
      <c r="X290" s="1030"/>
      <c r="Y290" s="467"/>
      <c r="Z290" s="1077"/>
      <c r="AA290" s="457"/>
      <c r="AB290" s="1030"/>
      <c r="AC290" s="467"/>
      <c r="AD290" s="467"/>
      <c r="AE290" s="1033"/>
      <c r="AF290" s="467"/>
      <c r="AG290" s="467"/>
      <c r="AH290" s="467"/>
      <c r="AI290" s="1026"/>
    </row>
    <row r="291" spans="1:36" ht="18" customHeight="1" x14ac:dyDescent="0.2">
      <c r="A291" s="70"/>
      <c r="B291" s="3430"/>
      <c r="C291" s="3594"/>
      <c r="D291" s="3476"/>
      <c r="E291" s="3476"/>
      <c r="F291" s="3670"/>
      <c r="G291" s="3594"/>
      <c r="H291" s="3476"/>
      <c r="I291" s="3476"/>
      <c r="J291" s="3670"/>
      <c r="K291" s="3594"/>
      <c r="L291" s="3476"/>
      <c r="M291" s="3476"/>
      <c r="N291" s="3670"/>
      <c r="O291" s="3594"/>
      <c r="P291" s="3476"/>
      <c r="Q291" s="3476"/>
      <c r="R291" s="3670"/>
      <c r="S291" s="3594"/>
      <c r="T291" s="3476"/>
      <c r="U291" s="3476"/>
      <c r="V291" s="3670"/>
      <c r="W291" s="3594"/>
      <c r="X291" s="3476"/>
      <c r="Y291" s="3476"/>
      <c r="Z291" s="3670"/>
      <c r="AA291" s="3669"/>
      <c r="AB291" s="3476"/>
      <c r="AC291" s="3476"/>
      <c r="AD291" s="3595"/>
      <c r="AE291" s="3445"/>
      <c r="AF291" s="3476"/>
      <c r="AG291" s="3476"/>
      <c r="AH291" s="3595"/>
      <c r="AI291" s="3361"/>
    </row>
    <row r="292" spans="1:36" ht="18" customHeight="1" x14ac:dyDescent="0.2">
      <c r="A292" s="1"/>
      <c r="B292" s="3674"/>
      <c r="C292" s="3675"/>
      <c r="D292" s="3562"/>
      <c r="E292" s="3562"/>
      <c r="F292" s="3694"/>
      <c r="G292" s="3675"/>
      <c r="H292" s="3562"/>
      <c r="I292" s="3562"/>
      <c r="J292" s="3694"/>
      <c r="K292" s="3675"/>
      <c r="L292" s="3562"/>
      <c r="M292" s="3562"/>
      <c r="N292" s="3694"/>
      <c r="O292" s="3675"/>
      <c r="P292" s="3562"/>
      <c r="Q292" s="3562"/>
      <c r="R292" s="3694"/>
      <c r="S292" s="3675"/>
      <c r="T292" s="3562"/>
      <c r="U292" s="3562"/>
      <c r="V292" s="3694"/>
      <c r="W292" s="3692"/>
      <c r="X292" s="3562"/>
      <c r="Y292" s="3562"/>
      <c r="Z292" s="3694"/>
      <c r="AA292" s="3692"/>
      <c r="AB292" s="3562"/>
      <c r="AC292" s="3562"/>
      <c r="AD292" s="3682"/>
      <c r="AE292" s="3692"/>
      <c r="AF292" s="3562"/>
      <c r="AG292" s="3562"/>
      <c r="AH292" s="3682"/>
      <c r="AI292" s="3569"/>
    </row>
    <row r="293" spans="1:36" ht="18" customHeight="1" x14ac:dyDescent="0.2">
      <c r="A293" s="1"/>
      <c r="B293" s="5"/>
      <c r="C293" s="42"/>
      <c r="F293" s="46"/>
      <c r="G293" s="42"/>
      <c r="J293" s="46"/>
      <c r="K293" s="42"/>
      <c r="N293" s="46"/>
      <c r="O293" s="42"/>
      <c r="R293" s="46"/>
      <c r="S293" s="42"/>
      <c r="V293" s="46"/>
      <c r="W293" s="46"/>
      <c r="Z293" s="46"/>
      <c r="AA293" s="46"/>
      <c r="AD293" s="46"/>
      <c r="AE293" s="46"/>
      <c r="AH293" s="46"/>
    </row>
    <row r="294" spans="1:36" ht="18" customHeight="1" x14ac:dyDescent="0.2">
      <c r="A294" s="103" t="s">
        <v>384</v>
      </c>
      <c r="B294" s="5"/>
      <c r="C294" s="42"/>
      <c r="F294" s="46"/>
      <c r="G294" s="42"/>
      <c r="J294" s="46"/>
      <c r="K294" s="42"/>
      <c r="N294" s="46"/>
      <c r="O294" s="42"/>
      <c r="R294" s="46"/>
      <c r="S294" s="42"/>
      <c r="V294" s="46"/>
      <c r="W294" s="46"/>
      <c r="Z294" s="46"/>
      <c r="AA294" s="46"/>
      <c r="AD294" s="46"/>
      <c r="AE294" s="46"/>
      <c r="AH294" s="208"/>
      <c r="AI294" s="123"/>
      <c r="AJ294" s="123"/>
    </row>
    <row r="295" spans="1:36" ht="18" customHeight="1" x14ac:dyDescent="0.2">
      <c r="A295" s="2543" t="s">
        <v>43</v>
      </c>
      <c r="B295" s="2817" t="s">
        <v>44</v>
      </c>
      <c r="C295" s="2707">
        <v>1</v>
      </c>
      <c r="D295" s="2707">
        <v>2</v>
      </c>
      <c r="E295" s="2706">
        <v>3</v>
      </c>
      <c r="F295" s="2706">
        <v>4</v>
      </c>
      <c r="G295" s="2706">
        <v>5</v>
      </c>
      <c r="H295" s="2706">
        <v>6</v>
      </c>
      <c r="I295" s="2706">
        <v>7</v>
      </c>
      <c r="J295" s="2707">
        <v>8</v>
      </c>
      <c r="K295" s="2707">
        <v>9</v>
      </c>
      <c r="L295" s="2706">
        <v>10</v>
      </c>
      <c r="M295" s="2706">
        <v>11</v>
      </c>
      <c r="N295" s="2706">
        <v>12</v>
      </c>
      <c r="O295" s="2706">
        <v>13</v>
      </c>
      <c r="P295" s="2706">
        <v>14</v>
      </c>
      <c r="Q295" s="2707">
        <v>15</v>
      </c>
      <c r="R295" s="2707">
        <v>16</v>
      </c>
      <c r="S295" s="2706">
        <v>17</v>
      </c>
      <c r="T295" s="2706">
        <v>18</v>
      </c>
      <c r="U295" s="2706">
        <v>19</v>
      </c>
      <c r="V295" s="2706">
        <v>20</v>
      </c>
      <c r="W295" s="2706">
        <v>21</v>
      </c>
      <c r="X295" s="2707">
        <v>22</v>
      </c>
      <c r="Y295" s="2707">
        <v>23</v>
      </c>
      <c r="Z295" s="2706">
        <v>24</v>
      </c>
      <c r="AA295" s="2706">
        <v>25</v>
      </c>
      <c r="AB295" s="2706">
        <v>26</v>
      </c>
      <c r="AC295" s="2706">
        <v>27</v>
      </c>
      <c r="AD295" s="2706">
        <v>28</v>
      </c>
      <c r="AE295" s="2706"/>
      <c r="AF295" s="2706"/>
      <c r="AG295" s="3501"/>
      <c r="AH295" s="209"/>
      <c r="AI295" s="210"/>
      <c r="AJ295" s="123"/>
    </row>
    <row r="296" spans="1:36" ht="18" customHeight="1" x14ac:dyDescent="0.2">
      <c r="A296" s="3128"/>
      <c r="B296" s="3227"/>
      <c r="C296" s="3202"/>
      <c r="D296" s="3202"/>
      <c r="E296" s="3202" t="s">
        <v>46</v>
      </c>
      <c r="F296" s="3202" t="s">
        <v>46</v>
      </c>
      <c r="G296" s="3202" t="s">
        <v>46</v>
      </c>
      <c r="H296" s="3202" t="s">
        <v>46</v>
      </c>
      <c r="I296" s="3202" t="s">
        <v>46</v>
      </c>
      <c r="J296" s="3202"/>
      <c r="K296" s="3202"/>
      <c r="L296" s="3202" t="s">
        <v>46</v>
      </c>
      <c r="M296" s="3202" t="s">
        <v>46</v>
      </c>
      <c r="N296" s="3202" t="s">
        <v>46</v>
      </c>
      <c r="O296" s="3202" t="s">
        <v>46</v>
      </c>
      <c r="P296" s="3202" t="s">
        <v>46</v>
      </c>
      <c r="Q296" s="3202"/>
      <c r="R296" s="3202"/>
      <c r="S296" s="3202" t="s">
        <v>46</v>
      </c>
      <c r="T296" s="3202" t="s">
        <v>46</v>
      </c>
      <c r="U296" s="3202" t="s">
        <v>46</v>
      </c>
      <c r="V296" s="3202" t="s">
        <v>46</v>
      </c>
      <c r="W296" s="3202" t="s">
        <v>46</v>
      </c>
      <c r="X296" s="3202"/>
      <c r="Y296" s="3202"/>
      <c r="Z296" s="3202" t="s">
        <v>46</v>
      </c>
      <c r="AA296" s="3202" t="s">
        <v>46</v>
      </c>
      <c r="AB296" s="3202" t="s">
        <v>46</v>
      </c>
      <c r="AC296" s="3202" t="s">
        <v>46</v>
      </c>
      <c r="AD296" s="3202" t="s">
        <v>46</v>
      </c>
      <c r="AE296" s="3202"/>
      <c r="AF296" s="3202"/>
      <c r="AG296" s="3341"/>
      <c r="AH296" s="211"/>
      <c r="AI296" s="212"/>
      <c r="AJ296" s="123"/>
    </row>
    <row r="297" spans="1:36" ht="18" customHeight="1" x14ac:dyDescent="0.2">
      <c r="A297" s="3446"/>
      <c r="B297" s="3600" t="s">
        <v>385</v>
      </c>
      <c r="C297" s="3614"/>
      <c r="D297" s="3614"/>
      <c r="E297" s="3614" t="s">
        <v>46</v>
      </c>
      <c r="F297" s="3614" t="s">
        <v>46</v>
      </c>
      <c r="G297" s="3614" t="s">
        <v>46</v>
      </c>
      <c r="H297" s="3614" t="s">
        <v>46</v>
      </c>
      <c r="I297" s="3614" t="s">
        <v>46</v>
      </c>
      <c r="J297" s="3614"/>
      <c r="K297" s="3614"/>
      <c r="L297" s="3614" t="s">
        <v>46</v>
      </c>
      <c r="M297" s="3614" t="s">
        <v>46</v>
      </c>
      <c r="N297" s="3614" t="s">
        <v>46</v>
      </c>
      <c r="O297" s="3614" t="s">
        <v>46</v>
      </c>
      <c r="P297" s="3614" t="s">
        <v>46</v>
      </c>
      <c r="Q297" s="3614"/>
      <c r="R297" s="3614"/>
      <c r="S297" s="3614" t="s">
        <v>46</v>
      </c>
      <c r="T297" s="3614" t="s">
        <v>46</v>
      </c>
      <c r="U297" s="3614" t="s">
        <v>46</v>
      </c>
      <c r="V297" s="3614" t="s">
        <v>46</v>
      </c>
      <c r="W297" s="3614" t="s">
        <v>46</v>
      </c>
      <c r="X297" s="3614"/>
      <c r="Y297" s="3614"/>
      <c r="Z297" s="3614" t="s">
        <v>46</v>
      </c>
      <c r="AA297" s="3614" t="s">
        <v>46</v>
      </c>
      <c r="AB297" s="3614" t="s">
        <v>46</v>
      </c>
      <c r="AC297" s="3614" t="s">
        <v>46</v>
      </c>
      <c r="AD297" s="3614" t="s">
        <v>46</v>
      </c>
      <c r="AE297" s="3614"/>
      <c r="AF297" s="3614"/>
      <c r="AG297" s="3717"/>
      <c r="AH297" s="211"/>
      <c r="AI297" s="212"/>
      <c r="AJ297" s="123"/>
    </row>
    <row r="298" spans="1:36" ht="18" customHeight="1" x14ac:dyDescent="0.2">
      <c r="A298" s="3418"/>
      <c r="B298" s="3600" t="s">
        <v>386</v>
      </c>
      <c r="C298" s="3614"/>
      <c r="D298" s="3614"/>
      <c r="E298" s="3614" t="s">
        <v>46</v>
      </c>
      <c r="F298" s="3614" t="s">
        <v>46</v>
      </c>
      <c r="G298" s="3614" t="s">
        <v>46</v>
      </c>
      <c r="H298" s="3614" t="s">
        <v>46</v>
      </c>
      <c r="I298" s="3614" t="s">
        <v>46</v>
      </c>
      <c r="J298" s="3614"/>
      <c r="K298" s="3614"/>
      <c r="L298" s="3614" t="s">
        <v>46</v>
      </c>
      <c r="M298" s="3614" t="s">
        <v>46</v>
      </c>
      <c r="N298" s="3614" t="s">
        <v>46</v>
      </c>
      <c r="O298" s="3614" t="s">
        <v>46</v>
      </c>
      <c r="P298" s="3614" t="s">
        <v>46</v>
      </c>
      <c r="Q298" s="3614"/>
      <c r="R298" s="3614"/>
      <c r="S298" s="3614" t="s">
        <v>46</v>
      </c>
      <c r="T298" s="3614" t="s">
        <v>46</v>
      </c>
      <c r="U298" s="3614" t="s">
        <v>46</v>
      </c>
      <c r="V298" s="3614" t="s">
        <v>46</v>
      </c>
      <c r="W298" s="3614" t="s">
        <v>46</v>
      </c>
      <c r="X298" s="3614"/>
      <c r="Y298" s="3614"/>
      <c r="Z298" s="3614" t="s">
        <v>46</v>
      </c>
      <c r="AA298" s="3614" t="s">
        <v>46</v>
      </c>
      <c r="AB298" s="3614" t="s">
        <v>46</v>
      </c>
      <c r="AC298" s="3614" t="s">
        <v>46</v>
      </c>
      <c r="AD298" s="3614" t="s">
        <v>46</v>
      </c>
      <c r="AE298" s="3614"/>
      <c r="AF298" s="3614"/>
      <c r="AG298" s="3698"/>
      <c r="AH298" s="211"/>
      <c r="AI298" s="212"/>
      <c r="AJ298" s="123"/>
    </row>
    <row r="299" spans="1:36" ht="18" customHeight="1" x14ac:dyDescent="0.2">
      <c r="A299" s="3418"/>
      <c r="B299" s="3600" t="s">
        <v>387</v>
      </c>
      <c r="C299" s="3614"/>
      <c r="D299" s="3614"/>
      <c r="E299" s="3614" t="s">
        <v>46</v>
      </c>
      <c r="F299" s="3614" t="s">
        <v>46</v>
      </c>
      <c r="G299" s="3614" t="s">
        <v>46</v>
      </c>
      <c r="H299" s="3625" t="s">
        <v>46</v>
      </c>
      <c r="I299" s="3625" t="s">
        <v>46</v>
      </c>
      <c r="J299" s="3614"/>
      <c r="K299" s="3614"/>
      <c r="L299" s="3614" t="s">
        <v>46</v>
      </c>
      <c r="M299" s="3614" t="s">
        <v>46</v>
      </c>
      <c r="N299" s="3614" t="s">
        <v>46</v>
      </c>
      <c r="O299" s="3625" t="s">
        <v>46</v>
      </c>
      <c r="P299" s="3625" t="s">
        <v>46</v>
      </c>
      <c r="Q299" s="3614"/>
      <c r="R299" s="3614"/>
      <c r="S299" s="3614" t="s">
        <v>46</v>
      </c>
      <c r="T299" s="3614" t="s">
        <v>46</v>
      </c>
      <c r="U299" s="3614" t="s">
        <v>46</v>
      </c>
      <c r="V299" s="3625" t="s">
        <v>46</v>
      </c>
      <c r="W299" s="3625" t="s">
        <v>46</v>
      </c>
      <c r="X299" s="3614"/>
      <c r="Y299" s="3614"/>
      <c r="Z299" s="3614" t="s">
        <v>46</v>
      </c>
      <c r="AA299" s="3614" t="s">
        <v>46</v>
      </c>
      <c r="AB299" s="3614" t="s">
        <v>46</v>
      </c>
      <c r="AC299" s="3625" t="s">
        <v>46</v>
      </c>
      <c r="AD299" s="3625" t="s">
        <v>46</v>
      </c>
      <c r="AE299" s="3614"/>
      <c r="AF299" s="3614"/>
      <c r="AG299" s="3698"/>
      <c r="AH299" s="211"/>
      <c r="AI299" s="212"/>
      <c r="AJ299" s="123"/>
    </row>
    <row r="300" spans="1:36" ht="18" customHeight="1" x14ac:dyDescent="0.2">
      <c r="A300" s="3418"/>
      <c r="B300" s="3600" t="s">
        <v>388</v>
      </c>
      <c r="C300" s="3614"/>
      <c r="D300" s="3614"/>
      <c r="E300" s="3614" t="s">
        <v>46</v>
      </c>
      <c r="F300" s="3614" t="s">
        <v>46</v>
      </c>
      <c r="G300" s="3614" t="s">
        <v>46</v>
      </c>
      <c r="H300" s="3614" t="s">
        <v>46</v>
      </c>
      <c r="I300" s="3614" t="s">
        <v>46</v>
      </c>
      <c r="J300" s="3614"/>
      <c r="K300" s="3614"/>
      <c r="L300" s="3614" t="s">
        <v>46</v>
      </c>
      <c r="M300" s="3614" t="s">
        <v>46</v>
      </c>
      <c r="N300" s="3614" t="s">
        <v>46</v>
      </c>
      <c r="O300" s="3614" t="s">
        <v>46</v>
      </c>
      <c r="P300" s="3614" t="s">
        <v>46</v>
      </c>
      <c r="Q300" s="3614"/>
      <c r="R300" s="3614"/>
      <c r="S300" s="3614" t="s">
        <v>46</v>
      </c>
      <c r="T300" s="3614" t="s">
        <v>46</v>
      </c>
      <c r="U300" s="3614" t="s">
        <v>46</v>
      </c>
      <c r="V300" s="3614" t="s">
        <v>46</v>
      </c>
      <c r="W300" s="3614" t="s">
        <v>46</v>
      </c>
      <c r="X300" s="3614"/>
      <c r="Y300" s="3614"/>
      <c r="Z300" s="3614" t="s">
        <v>46</v>
      </c>
      <c r="AA300" s="3614" t="s">
        <v>46</v>
      </c>
      <c r="AB300" s="3614" t="s">
        <v>46</v>
      </c>
      <c r="AC300" s="3614" t="s">
        <v>46</v>
      </c>
      <c r="AD300" s="3614" t="s">
        <v>46</v>
      </c>
      <c r="AE300" s="3614"/>
      <c r="AF300" s="3614"/>
      <c r="AG300" s="3717"/>
      <c r="AH300" s="211"/>
      <c r="AI300" s="212"/>
      <c r="AJ300" s="123"/>
    </row>
    <row r="301" spans="1:36" ht="18" customHeight="1" x14ac:dyDescent="0.2">
      <c r="A301" s="3418"/>
      <c r="B301" s="3600" t="s">
        <v>389</v>
      </c>
      <c r="C301" s="3614"/>
      <c r="D301" s="3614"/>
      <c r="E301" s="3614" t="s">
        <v>46</v>
      </c>
      <c r="F301" s="3614" t="s">
        <v>46</v>
      </c>
      <c r="G301" s="3614" t="s">
        <v>46</v>
      </c>
      <c r="H301" s="3614" t="s">
        <v>46</v>
      </c>
      <c r="I301" s="3614" t="s">
        <v>46</v>
      </c>
      <c r="J301" s="3614"/>
      <c r="K301" s="3614"/>
      <c r="L301" s="3614" t="s">
        <v>46</v>
      </c>
      <c r="M301" s="3614" t="s">
        <v>46</v>
      </c>
      <c r="N301" s="3614" t="s">
        <v>46</v>
      </c>
      <c r="O301" s="3614" t="s">
        <v>46</v>
      </c>
      <c r="P301" s="3614" t="s">
        <v>46</v>
      </c>
      <c r="Q301" s="3614"/>
      <c r="R301" s="3614"/>
      <c r="S301" s="3614" t="s">
        <v>46</v>
      </c>
      <c r="T301" s="3614" t="s">
        <v>46</v>
      </c>
      <c r="U301" s="3614" t="s">
        <v>46</v>
      </c>
      <c r="V301" s="3614" t="s">
        <v>46</v>
      </c>
      <c r="W301" s="3614" t="s">
        <v>46</v>
      </c>
      <c r="X301" s="3614"/>
      <c r="Y301" s="3614"/>
      <c r="Z301" s="3614" t="s">
        <v>46</v>
      </c>
      <c r="AA301" s="3614" t="s">
        <v>46</v>
      </c>
      <c r="AB301" s="3614" t="s">
        <v>46</v>
      </c>
      <c r="AC301" s="3614" t="s">
        <v>46</v>
      </c>
      <c r="AD301" s="3614" t="s">
        <v>46</v>
      </c>
      <c r="AE301" s="3614"/>
      <c r="AF301" s="3614"/>
      <c r="AG301" s="3626"/>
      <c r="AH301" s="211"/>
      <c r="AI301" s="212"/>
      <c r="AJ301" s="123"/>
    </row>
    <row r="302" spans="1:36" ht="18" customHeight="1" x14ac:dyDescent="0.2">
      <c r="A302" s="3418"/>
      <c r="B302" s="3600" t="s">
        <v>390</v>
      </c>
      <c r="C302" s="3614"/>
      <c r="D302" s="3614"/>
      <c r="E302" s="3614" t="s">
        <v>46</v>
      </c>
      <c r="F302" s="3614" t="s">
        <v>46</v>
      </c>
      <c r="G302" s="3614" t="s">
        <v>46</v>
      </c>
      <c r="H302" s="3614" t="s">
        <v>46</v>
      </c>
      <c r="I302" s="3614" t="s">
        <v>46</v>
      </c>
      <c r="J302" s="3614"/>
      <c r="K302" s="3614"/>
      <c r="L302" s="3614" t="s">
        <v>46</v>
      </c>
      <c r="M302" s="3614" t="s">
        <v>46</v>
      </c>
      <c r="N302" s="3614" t="s">
        <v>46</v>
      </c>
      <c r="O302" s="3614" t="s">
        <v>46</v>
      </c>
      <c r="P302" s="3614" t="s">
        <v>46</v>
      </c>
      <c r="Q302" s="3614"/>
      <c r="R302" s="3614"/>
      <c r="S302" s="3614" t="s">
        <v>46</v>
      </c>
      <c r="T302" s="3614" t="s">
        <v>46</v>
      </c>
      <c r="U302" s="3614" t="s">
        <v>46</v>
      </c>
      <c r="V302" s="3614" t="s">
        <v>46</v>
      </c>
      <c r="W302" s="3614" t="s">
        <v>46</v>
      </c>
      <c r="X302" s="3614"/>
      <c r="Y302" s="3614"/>
      <c r="Z302" s="3614" t="s">
        <v>46</v>
      </c>
      <c r="AA302" s="3614" t="s">
        <v>46</v>
      </c>
      <c r="AB302" s="3614" t="s">
        <v>46</v>
      </c>
      <c r="AC302" s="3614" t="s">
        <v>46</v>
      </c>
      <c r="AD302" s="3614" t="s">
        <v>46</v>
      </c>
      <c r="AE302" s="3614"/>
      <c r="AF302" s="3614"/>
      <c r="AG302" s="3626"/>
      <c r="AH302" s="211"/>
      <c r="AI302" s="212"/>
      <c r="AJ302" s="123"/>
    </row>
    <row r="303" spans="1:36" ht="18" customHeight="1" x14ac:dyDescent="0.2">
      <c r="A303" s="3418"/>
      <c r="B303" s="3600" t="s">
        <v>391</v>
      </c>
      <c r="C303" s="3614"/>
      <c r="D303" s="3614"/>
      <c r="E303" s="3614" t="s">
        <v>46</v>
      </c>
      <c r="F303" s="3614" t="s">
        <v>46</v>
      </c>
      <c r="G303" s="3614" t="s">
        <v>46</v>
      </c>
      <c r="H303" s="3614" t="s">
        <v>46</v>
      </c>
      <c r="I303" s="3614" t="s">
        <v>46</v>
      </c>
      <c r="J303" s="3614"/>
      <c r="K303" s="3614"/>
      <c r="L303" s="3614" t="s">
        <v>46</v>
      </c>
      <c r="M303" s="3614" t="s">
        <v>46</v>
      </c>
      <c r="N303" s="3614" t="s">
        <v>46</v>
      </c>
      <c r="O303" s="3614" t="s">
        <v>46</v>
      </c>
      <c r="P303" s="3614" t="s">
        <v>46</v>
      </c>
      <c r="Q303" s="3614"/>
      <c r="R303" s="3614"/>
      <c r="S303" s="3614" t="s">
        <v>46</v>
      </c>
      <c r="T303" s="3614" t="s">
        <v>46</v>
      </c>
      <c r="U303" s="3614" t="s">
        <v>46</v>
      </c>
      <c r="V303" s="3614" t="s">
        <v>46</v>
      </c>
      <c r="W303" s="3614" t="s">
        <v>46</v>
      </c>
      <c r="X303" s="3614"/>
      <c r="Y303" s="3614"/>
      <c r="Z303" s="3614" t="s">
        <v>46</v>
      </c>
      <c r="AA303" s="3614" t="s">
        <v>46</v>
      </c>
      <c r="AB303" s="3614" t="s">
        <v>46</v>
      </c>
      <c r="AC303" s="3614" t="s">
        <v>46</v>
      </c>
      <c r="AD303" s="3614" t="s">
        <v>46</v>
      </c>
      <c r="AE303" s="3614"/>
      <c r="AF303" s="3614"/>
      <c r="AG303" s="3626"/>
      <c r="AH303" s="211"/>
      <c r="AI303" s="212"/>
      <c r="AJ303" s="123"/>
    </row>
    <row r="304" spans="1:36" ht="18" customHeight="1" x14ac:dyDescent="0.2">
      <c r="A304" s="3418"/>
      <c r="B304" s="3600" t="s">
        <v>392</v>
      </c>
      <c r="C304" s="3614"/>
      <c r="D304" s="3614"/>
      <c r="E304" s="3614" t="s">
        <v>46</v>
      </c>
      <c r="F304" s="3614" t="s">
        <v>46</v>
      </c>
      <c r="G304" s="3614" t="s">
        <v>46</v>
      </c>
      <c r="H304" s="3614" t="s">
        <v>46</v>
      </c>
      <c r="I304" s="3614" t="s">
        <v>46</v>
      </c>
      <c r="J304" s="3614"/>
      <c r="K304" s="3614"/>
      <c r="L304" s="3614" t="s">
        <v>46</v>
      </c>
      <c r="M304" s="3614" t="s">
        <v>46</v>
      </c>
      <c r="N304" s="3614" t="s">
        <v>46</v>
      </c>
      <c r="O304" s="3614" t="s">
        <v>46</v>
      </c>
      <c r="P304" s="3614" t="s">
        <v>46</v>
      </c>
      <c r="Q304" s="3614"/>
      <c r="R304" s="3614"/>
      <c r="S304" s="3614" t="s">
        <v>46</v>
      </c>
      <c r="T304" s="3614" t="s">
        <v>46</v>
      </c>
      <c r="U304" s="3614" t="s">
        <v>46</v>
      </c>
      <c r="V304" s="3614" t="s">
        <v>46</v>
      </c>
      <c r="W304" s="3614" t="s">
        <v>46</v>
      </c>
      <c r="X304" s="3614"/>
      <c r="Y304" s="3614"/>
      <c r="Z304" s="3614" t="s">
        <v>46</v>
      </c>
      <c r="AA304" s="3614" t="s">
        <v>46</v>
      </c>
      <c r="AB304" s="3614" t="s">
        <v>46</v>
      </c>
      <c r="AC304" s="3614" t="s">
        <v>46</v>
      </c>
      <c r="AD304" s="3614" t="s">
        <v>46</v>
      </c>
      <c r="AE304" s="3614"/>
      <c r="AF304" s="3614"/>
      <c r="AG304" s="3626"/>
      <c r="AH304" s="211"/>
      <c r="AI304" s="212"/>
      <c r="AJ304" s="123"/>
    </row>
    <row r="305" spans="1:36" ht="18" customHeight="1" x14ac:dyDescent="0.2">
      <c r="A305" s="3418"/>
      <c r="B305" s="3600" t="s">
        <v>393</v>
      </c>
      <c r="C305" s="3699"/>
      <c r="D305" s="3614"/>
      <c r="E305" s="3614" t="s">
        <v>46</v>
      </c>
      <c r="F305" s="3614" t="s">
        <v>46</v>
      </c>
      <c r="G305" s="3614" t="s">
        <v>46</v>
      </c>
      <c r="H305" s="3614" t="s">
        <v>46</v>
      </c>
      <c r="I305" s="3614" t="s">
        <v>46</v>
      </c>
      <c r="J305" s="3699"/>
      <c r="K305" s="3614"/>
      <c r="L305" s="3614" t="s">
        <v>46</v>
      </c>
      <c r="M305" s="3614" t="s">
        <v>46</v>
      </c>
      <c r="N305" s="3614" t="s">
        <v>46</v>
      </c>
      <c r="O305" s="3614" t="s">
        <v>46</v>
      </c>
      <c r="P305" s="3614" t="s">
        <v>46</v>
      </c>
      <c r="Q305" s="3699"/>
      <c r="R305" s="3614"/>
      <c r="S305" s="3614" t="s">
        <v>46</v>
      </c>
      <c r="T305" s="3614" t="s">
        <v>46</v>
      </c>
      <c r="U305" s="3614" t="s">
        <v>46</v>
      </c>
      <c r="V305" s="3614" t="s">
        <v>46</v>
      </c>
      <c r="W305" s="3614" t="s">
        <v>46</v>
      </c>
      <c r="X305" s="3699"/>
      <c r="Y305" s="3614"/>
      <c r="Z305" s="3614" t="s">
        <v>46</v>
      </c>
      <c r="AA305" s="3614" t="s">
        <v>46</v>
      </c>
      <c r="AB305" s="3614" t="s">
        <v>46</v>
      </c>
      <c r="AC305" s="3614" t="s">
        <v>46</v>
      </c>
      <c r="AD305" s="3614" t="s">
        <v>46</v>
      </c>
      <c r="AE305" s="3699"/>
      <c r="AF305" s="3614"/>
      <c r="AG305" s="3626"/>
      <c r="AH305" s="211"/>
      <c r="AI305" s="212"/>
      <c r="AJ305" s="123"/>
    </row>
    <row r="306" spans="1:36" ht="18" customHeight="1" x14ac:dyDescent="0.2">
      <c r="A306" s="3447"/>
      <c r="B306" s="3628" t="s">
        <v>394</v>
      </c>
      <c r="C306" s="3718"/>
      <c r="D306" s="3718"/>
      <c r="E306" s="3718" t="s">
        <v>46</v>
      </c>
      <c r="F306" s="3718" t="s">
        <v>46</v>
      </c>
      <c r="G306" s="3718" t="s">
        <v>46</v>
      </c>
      <c r="H306" s="3718" t="s">
        <v>46</v>
      </c>
      <c r="I306" s="3718" t="s">
        <v>46</v>
      </c>
      <c r="J306" s="3718"/>
      <c r="K306" s="3718"/>
      <c r="L306" s="3718" t="s">
        <v>46</v>
      </c>
      <c r="M306" s="3718" t="s">
        <v>46</v>
      </c>
      <c r="N306" s="3718" t="s">
        <v>46</v>
      </c>
      <c r="O306" s="3718" t="s">
        <v>46</v>
      </c>
      <c r="P306" s="3718" t="s">
        <v>46</v>
      </c>
      <c r="Q306" s="3718"/>
      <c r="R306" s="3718"/>
      <c r="S306" s="3718" t="s">
        <v>46</v>
      </c>
      <c r="T306" s="3718" t="s">
        <v>46</v>
      </c>
      <c r="U306" s="3718" t="s">
        <v>46</v>
      </c>
      <c r="V306" s="3718" t="s">
        <v>46</v>
      </c>
      <c r="W306" s="3718" t="s">
        <v>46</v>
      </c>
      <c r="X306" s="3718"/>
      <c r="Y306" s="3718"/>
      <c r="Z306" s="3718" t="s">
        <v>46</v>
      </c>
      <c r="AA306" s="3718" t="s">
        <v>46</v>
      </c>
      <c r="AB306" s="3718" t="s">
        <v>46</v>
      </c>
      <c r="AC306" s="3718" t="s">
        <v>46</v>
      </c>
      <c r="AD306" s="3718" t="s">
        <v>46</v>
      </c>
      <c r="AE306" s="3718"/>
      <c r="AF306" s="3718"/>
      <c r="AG306" s="3719"/>
      <c r="AH306" s="211"/>
      <c r="AI306" s="212"/>
      <c r="AJ306" s="123"/>
    </row>
    <row r="307" spans="1:36" ht="18" customHeight="1" x14ac:dyDescent="0.2">
      <c r="A307" s="3418"/>
      <c r="B307" s="3600"/>
      <c r="C307" s="3614"/>
      <c r="D307" s="3657"/>
      <c r="E307" s="3614"/>
      <c r="F307" s="3614"/>
      <c r="G307" s="3614"/>
      <c r="H307" s="3614"/>
      <c r="I307" s="3614"/>
      <c r="J307" s="3614"/>
      <c r="K307" s="3614"/>
      <c r="L307" s="3614"/>
      <c r="M307" s="3614"/>
      <c r="N307" s="3614"/>
      <c r="O307" s="3614"/>
      <c r="P307" s="3614"/>
      <c r="Q307" s="3614"/>
      <c r="R307" s="3614"/>
      <c r="S307" s="3614"/>
      <c r="T307" s="3614"/>
      <c r="U307" s="3614"/>
      <c r="V307" s="3614"/>
      <c r="W307" s="3614"/>
      <c r="X307" s="3614"/>
      <c r="Y307" s="3614"/>
      <c r="Z307" s="3614"/>
      <c r="AA307" s="3614"/>
      <c r="AB307" s="3614"/>
      <c r="AC307" s="3614"/>
      <c r="AD307" s="3614"/>
      <c r="AE307" s="3614"/>
      <c r="AF307" s="3614"/>
      <c r="AG307" s="3626"/>
      <c r="AH307" s="211"/>
      <c r="AI307" s="212"/>
      <c r="AJ307" s="123"/>
    </row>
    <row r="308" spans="1:36" ht="18" customHeight="1" x14ac:dyDescent="0.2">
      <c r="A308" s="372"/>
      <c r="B308" s="1085"/>
      <c r="C308" s="712"/>
      <c r="D308" s="712"/>
      <c r="E308" s="712"/>
      <c r="F308" s="712"/>
      <c r="G308" s="712"/>
      <c r="H308" s="712"/>
      <c r="I308" s="712"/>
      <c r="J308" s="712"/>
      <c r="K308" s="712"/>
      <c r="L308" s="712"/>
      <c r="M308" s="712"/>
      <c r="N308" s="711"/>
      <c r="O308" s="711"/>
      <c r="P308" s="712"/>
      <c r="Q308" s="712"/>
      <c r="R308" s="712"/>
      <c r="S308" s="712"/>
      <c r="T308" s="712"/>
      <c r="U308" s="712"/>
      <c r="V308" s="712"/>
      <c r="W308" s="712"/>
      <c r="X308" s="712"/>
      <c r="Y308" s="712"/>
      <c r="Z308" s="712"/>
      <c r="AA308" s="712"/>
      <c r="AB308" s="711"/>
      <c r="AC308" s="711"/>
      <c r="AD308" s="712"/>
      <c r="AE308" s="712"/>
      <c r="AF308" s="712"/>
      <c r="AG308" s="1086"/>
      <c r="AH308" s="211"/>
      <c r="AI308" s="213"/>
      <c r="AJ308" s="123"/>
    </row>
    <row r="309" spans="1:36" ht="18" customHeight="1" x14ac:dyDescent="0.2">
      <c r="A309" s="3720"/>
      <c r="B309" s="3721"/>
      <c r="C309" s="3722"/>
      <c r="D309" s="3449"/>
      <c r="E309" s="3449"/>
      <c r="F309" s="3449"/>
      <c r="G309" s="3449"/>
      <c r="H309" s="3449"/>
      <c r="I309" s="3449"/>
      <c r="J309" s="3449"/>
      <c r="K309" s="3449"/>
      <c r="L309" s="3449"/>
      <c r="M309" s="3449"/>
      <c r="N309" s="3450"/>
      <c r="O309" s="3450"/>
      <c r="P309" s="3449"/>
      <c r="Q309" s="3449"/>
      <c r="R309" s="3449"/>
      <c r="S309" s="3449"/>
      <c r="T309" s="3449"/>
      <c r="U309" s="3449"/>
      <c r="V309" s="3449"/>
      <c r="W309" s="3449"/>
      <c r="X309" s="3449"/>
      <c r="Y309" s="3449"/>
      <c r="Z309" s="3449"/>
      <c r="AA309" s="3449"/>
      <c r="AB309" s="3450"/>
      <c r="AC309" s="3450"/>
      <c r="AD309" s="3449"/>
      <c r="AE309" s="3449"/>
      <c r="AF309" s="3449"/>
      <c r="AG309" s="3723"/>
      <c r="AH309" s="211"/>
      <c r="AI309" s="213"/>
      <c r="AJ309" s="123"/>
    </row>
    <row r="310" spans="1:36" ht="18" customHeight="1" x14ac:dyDescent="0.2">
      <c r="AH310" s="123"/>
      <c r="AI310" s="123"/>
      <c r="AJ310" s="123"/>
    </row>
    <row r="311" spans="1:36" x14ac:dyDescent="0.2">
      <c r="AH311" s="123"/>
      <c r="AI311" s="123"/>
      <c r="AJ311" s="123"/>
    </row>
    <row r="312" spans="1:36" x14ac:dyDescent="0.2">
      <c r="AH312" s="123"/>
      <c r="AI312" s="123"/>
      <c r="AJ312" s="123"/>
    </row>
    <row r="313" spans="1:36" x14ac:dyDescent="0.2">
      <c r="AH313" s="123"/>
      <c r="AI313" s="123"/>
      <c r="AJ313" s="123"/>
    </row>
  </sheetData>
  <sheetProtection algorithmName="SHA-512" hashValue="wgCSq51TuvCR6RmDGyb/g8ogioTd/PovE2Zcjg3KaG64rSqi2twLWgsN1ZeVKsdyFPAmIUqJKO83q655q3sKtA==" saltValue="di1riyveYW1mnT0QsexQFw==" spinCount="100000" sheet="1" objects="1" scenarios="1"/>
  <mergeCells count="1">
    <mergeCell ref="T37:Z37"/>
  </mergeCells>
  <pageMargins left="0.7" right="0.7" top="0.75" bottom="0.75" header="0.3" footer="0.3"/>
  <pageSetup paperSize="9" scale="10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26">
    <pageSetUpPr fitToPage="1"/>
  </sheetPr>
  <dimension ref="A1:AN319"/>
  <sheetViews>
    <sheetView topLeftCell="A12" workbookViewId="0">
      <pane xSplit="2" topLeftCell="C1" activePane="topRight" state="frozen"/>
      <selection activeCell="N67" sqref="N67"/>
      <selection pane="topRight" activeCell="R169" sqref="R169"/>
    </sheetView>
  </sheetViews>
  <sheetFormatPr defaultRowHeight="12" x14ac:dyDescent="0.2"/>
  <cols>
    <col min="1" max="1" width="6.5703125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9" max="39" width="11.85546875" customWidth="1"/>
    <col min="40" max="40" width="13" customWidth="1"/>
  </cols>
  <sheetData>
    <row r="1" spans="1:38" ht="18" customHeight="1" x14ac:dyDescent="0.2">
      <c r="A1" t="s">
        <v>0</v>
      </c>
      <c r="B1" s="1" t="s">
        <v>1</v>
      </c>
      <c r="U1" t="s">
        <v>433</v>
      </c>
    </row>
    <row r="2" spans="1:38" ht="18" customHeight="1" x14ac:dyDescent="0.2">
      <c r="B2" s="3724" t="s">
        <v>2</v>
      </c>
      <c r="C2" s="3725" t="s">
        <v>3</v>
      </c>
      <c r="D2" s="3726"/>
      <c r="E2" s="3727" t="s">
        <v>4</v>
      </c>
      <c r="F2" s="3728"/>
      <c r="G2" s="3729"/>
      <c r="H2" s="3729"/>
      <c r="I2" s="3729"/>
      <c r="J2" s="3729"/>
      <c r="K2" s="3730"/>
      <c r="L2" s="3731" t="s">
        <v>5</v>
      </c>
      <c r="M2" s="3732"/>
      <c r="N2" s="3733"/>
      <c r="O2" s="3734" t="s">
        <v>6</v>
      </c>
      <c r="P2" s="3735"/>
      <c r="Q2" s="3736"/>
      <c r="R2" s="3737"/>
      <c r="S2" s="3738" t="s">
        <v>7</v>
      </c>
      <c r="T2" s="3739"/>
      <c r="U2" s="3740"/>
      <c r="V2" s="3739"/>
      <c r="W2" s="3741" t="s">
        <v>8</v>
      </c>
      <c r="X2" s="3742"/>
      <c r="Y2" s="3743"/>
      <c r="Z2" s="105" t="s">
        <v>9</v>
      </c>
      <c r="AA2" s="3744"/>
      <c r="AB2" s="3745"/>
      <c r="AC2" s="3746"/>
      <c r="AD2" s="3747" t="s">
        <v>10</v>
      </c>
      <c r="AE2" s="3748"/>
      <c r="AF2" s="3748"/>
      <c r="AG2" s="3749"/>
    </row>
    <row r="3" spans="1:38" ht="18" customHeight="1" x14ac:dyDescent="0.2">
      <c r="A3" s="1"/>
      <c r="B3" s="3750" t="s">
        <v>10</v>
      </c>
      <c r="C3" s="3751" t="s">
        <v>10</v>
      </c>
      <c r="D3" s="3752"/>
      <c r="E3" s="543"/>
      <c r="F3" s="544"/>
      <c r="G3" s="544"/>
      <c r="H3" s="545" t="s">
        <v>10</v>
      </c>
      <c r="I3" s="546"/>
      <c r="J3" s="546"/>
      <c r="K3" s="547"/>
      <c r="L3" s="3753" t="s">
        <v>11</v>
      </c>
      <c r="M3" s="3754"/>
      <c r="N3" s="3755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3754"/>
      <c r="AA3" s="3754"/>
      <c r="AB3" s="3756"/>
      <c r="AC3" s="3757"/>
      <c r="AD3" s="3758" t="s">
        <v>13</v>
      </c>
      <c r="AE3" s="3759"/>
      <c r="AF3" s="3759"/>
      <c r="AG3" s="3760"/>
      <c r="AH3" s="3761" t="s">
        <v>14</v>
      </c>
      <c r="AI3" s="3761"/>
      <c r="AJ3" s="3761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3762"/>
      <c r="D5" s="3763" t="s">
        <v>17</v>
      </c>
      <c r="E5" s="3764"/>
      <c r="F5" s="3762"/>
      <c r="G5" s="3763" t="s">
        <v>18</v>
      </c>
      <c r="H5" s="3764"/>
      <c r="I5" s="3762"/>
      <c r="J5" s="3763" t="s">
        <v>19</v>
      </c>
      <c r="K5" s="3764"/>
      <c r="L5" s="3762"/>
      <c r="M5" s="3763" t="s">
        <v>20</v>
      </c>
      <c r="N5" s="3764"/>
      <c r="O5" s="3762"/>
      <c r="P5" s="3763" t="s">
        <v>21</v>
      </c>
      <c r="Q5" s="3764"/>
      <c r="R5" s="3762"/>
      <c r="S5" s="3763" t="s">
        <v>22</v>
      </c>
      <c r="T5" s="3765"/>
      <c r="U5" s="3766"/>
      <c r="V5" s="3767" t="s">
        <v>23</v>
      </c>
      <c r="W5" s="3765"/>
    </row>
    <row r="6" spans="1:38" ht="18" customHeight="1" x14ac:dyDescent="0.2">
      <c r="A6" s="3768"/>
      <c r="B6" s="3769" t="s">
        <v>24</v>
      </c>
      <c r="C6" s="3770" t="s">
        <v>25</v>
      </c>
      <c r="D6" s="3771"/>
      <c r="E6" s="3772"/>
      <c r="F6" s="3773" t="s">
        <v>25</v>
      </c>
      <c r="G6" s="3774"/>
      <c r="H6" s="3774"/>
      <c r="I6" s="3770" t="s">
        <v>26</v>
      </c>
      <c r="J6" s="3774"/>
      <c r="K6" s="3772"/>
      <c r="L6" s="3773" t="s">
        <v>26</v>
      </c>
      <c r="M6" s="3774"/>
      <c r="N6" s="3772"/>
      <c r="O6" s="3773" t="s">
        <v>27</v>
      </c>
      <c r="P6" s="3774"/>
      <c r="Q6" s="3772"/>
      <c r="R6" s="3774"/>
      <c r="S6" s="3774"/>
      <c r="T6" s="3774"/>
      <c r="U6" s="3769"/>
      <c r="V6" s="3774"/>
      <c r="W6" s="3772"/>
      <c r="X6" s="3774"/>
      <c r="Y6" s="3774"/>
      <c r="Z6" s="3774"/>
      <c r="AA6" s="3774"/>
      <c r="AB6" s="3775"/>
      <c r="AC6" s="3772"/>
      <c r="AD6" s="123"/>
      <c r="AE6" s="123"/>
      <c r="AF6" s="123"/>
      <c r="AG6" s="123"/>
    </row>
    <row r="7" spans="1:38" ht="18" customHeight="1" x14ac:dyDescent="0.2">
      <c r="A7" s="3768"/>
      <c r="B7" s="3769" t="s">
        <v>28</v>
      </c>
      <c r="C7" s="3770" t="s">
        <v>29</v>
      </c>
      <c r="D7" s="3774"/>
      <c r="E7" s="3772"/>
      <c r="F7" s="3773" t="s">
        <v>29</v>
      </c>
      <c r="G7" s="3774"/>
      <c r="H7" s="3774"/>
      <c r="I7" s="3770" t="s">
        <v>29</v>
      </c>
      <c r="J7" s="3774"/>
      <c r="K7" s="3772"/>
      <c r="L7" s="3773" t="s">
        <v>29</v>
      </c>
      <c r="M7" s="3774"/>
      <c r="N7" s="3772"/>
      <c r="O7" s="3773" t="s">
        <v>30</v>
      </c>
      <c r="P7" s="3774"/>
      <c r="Q7" s="3772"/>
      <c r="R7" s="3774"/>
      <c r="S7" s="3774"/>
      <c r="T7" s="3774"/>
      <c r="U7" s="3769"/>
      <c r="V7" s="3774"/>
      <c r="W7" s="3772"/>
      <c r="X7" s="3774"/>
      <c r="Y7" s="3774"/>
      <c r="Z7" s="3774"/>
      <c r="AA7" s="3774"/>
      <c r="AB7" s="3776"/>
      <c r="AC7" s="3772"/>
      <c r="AD7" s="123"/>
      <c r="AE7" s="123"/>
      <c r="AF7" s="123"/>
      <c r="AG7" s="123"/>
    </row>
    <row r="8" spans="1:38" ht="18" customHeight="1" x14ac:dyDescent="0.2">
      <c r="A8" s="3769"/>
      <c r="B8" s="3769" t="s">
        <v>31</v>
      </c>
      <c r="C8" s="3777" t="s">
        <v>32</v>
      </c>
      <c r="D8" s="3778"/>
      <c r="E8" s="3779"/>
      <c r="F8" s="3773" t="s">
        <v>33</v>
      </c>
      <c r="G8" s="3778"/>
      <c r="H8" s="3778"/>
      <c r="I8" s="3777" t="s">
        <v>33</v>
      </c>
      <c r="J8" s="3778"/>
      <c r="K8" s="3779"/>
      <c r="L8" s="3773" t="s">
        <v>33</v>
      </c>
      <c r="M8" s="3778"/>
      <c r="N8" s="3778"/>
      <c r="O8" s="3777" t="s">
        <v>34</v>
      </c>
      <c r="P8" s="3778"/>
      <c r="Q8" s="3779"/>
      <c r="R8" s="1148" t="s">
        <v>35</v>
      </c>
      <c r="S8" s="367"/>
      <c r="T8" s="367"/>
      <c r="U8" s="1149" t="s">
        <v>35</v>
      </c>
      <c r="V8" s="367"/>
      <c r="W8" s="1150"/>
      <c r="X8" s="3774"/>
      <c r="Y8" s="3774"/>
      <c r="Z8" s="3774"/>
      <c r="AA8" s="3774"/>
      <c r="AB8" s="3776"/>
      <c r="AC8" s="3772"/>
      <c r="AD8" s="123"/>
      <c r="AE8" s="123"/>
      <c r="AF8" s="123"/>
      <c r="AG8" s="123"/>
    </row>
    <row r="9" spans="1:38" ht="18" customHeight="1" x14ac:dyDescent="0.2">
      <c r="A9" s="3769"/>
      <c r="B9" s="3769" t="s">
        <v>36</v>
      </c>
      <c r="C9" s="3770" t="s">
        <v>37</v>
      </c>
      <c r="D9" s="3778"/>
      <c r="E9" s="3779"/>
      <c r="F9" s="3773" t="s">
        <v>37</v>
      </c>
      <c r="G9" s="3774"/>
      <c r="H9" s="3774"/>
      <c r="I9" s="3770" t="s">
        <v>37</v>
      </c>
      <c r="J9" s="3774"/>
      <c r="K9" s="3772"/>
      <c r="L9" s="3773" t="s">
        <v>37</v>
      </c>
      <c r="M9" s="3774"/>
      <c r="N9" s="3772"/>
      <c r="O9" s="3773" t="s">
        <v>38</v>
      </c>
      <c r="P9" s="3774"/>
      <c r="Q9" s="3772"/>
      <c r="R9" s="3773" t="s">
        <v>39</v>
      </c>
      <c r="S9" s="3774"/>
      <c r="T9" s="3774"/>
      <c r="U9" s="3770" t="s">
        <v>40</v>
      </c>
      <c r="V9" s="3774"/>
      <c r="W9" s="3772"/>
      <c r="X9" s="3774"/>
      <c r="Y9" s="3774"/>
      <c r="Z9" s="3774"/>
      <c r="AA9" s="3774"/>
      <c r="AB9" s="3776"/>
      <c r="AC9" s="3772"/>
      <c r="AD9" s="123"/>
      <c r="AE9" s="123"/>
      <c r="AF9" s="123"/>
      <c r="AG9" s="123"/>
    </row>
    <row r="10" spans="1:38" ht="18" customHeight="1" x14ac:dyDescent="0.2">
      <c r="A10" s="103" t="s">
        <v>10</v>
      </c>
    </row>
    <row r="11" spans="1:38" ht="18" customHeight="1" x14ac:dyDescent="0.2">
      <c r="A11" s="103" t="s">
        <v>10</v>
      </c>
      <c r="AG11" s="123"/>
      <c r="AH11" s="244"/>
      <c r="AI11" s="111"/>
      <c r="AJ11" s="3780" t="s">
        <v>41</v>
      </c>
    </row>
    <row r="12" spans="1:38" ht="18" customHeight="1" x14ac:dyDescent="0.2">
      <c r="AH12" s="116"/>
      <c r="AI12" s="116"/>
      <c r="AJ12" s="3780">
        <v>160.33000000000001</v>
      </c>
    </row>
    <row r="13" spans="1:38" ht="18" customHeight="1" thickBot="1" x14ac:dyDescent="0.25">
      <c r="B13" s="61" t="s">
        <v>42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4"/>
      <c r="AI13" s="114"/>
    </row>
    <row r="14" spans="1:38" ht="18" customHeight="1" thickBot="1" x14ac:dyDescent="0.25">
      <c r="A14" s="3781" t="s">
        <v>43</v>
      </c>
      <c r="B14" s="3782" t="s">
        <v>44</v>
      </c>
      <c r="C14" s="3220">
        <v>1</v>
      </c>
      <c r="D14" s="3220">
        <v>2</v>
      </c>
      <c r="E14" s="3146">
        <v>3</v>
      </c>
      <c r="F14" s="3146">
        <v>4</v>
      </c>
      <c r="G14" s="3146">
        <v>5</v>
      </c>
      <c r="H14" s="3146">
        <v>6</v>
      </c>
      <c r="I14" s="3146">
        <v>7</v>
      </c>
      <c r="J14" s="3220">
        <v>8</v>
      </c>
      <c r="K14" s="3220">
        <v>9</v>
      </c>
      <c r="L14" s="3146">
        <v>10</v>
      </c>
      <c r="M14" s="3146">
        <v>11</v>
      </c>
      <c r="N14" s="3146">
        <v>12</v>
      </c>
      <c r="O14" s="3146">
        <v>13</v>
      </c>
      <c r="P14" s="3146">
        <v>14</v>
      </c>
      <c r="Q14" s="3220">
        <v>15</v>
      </c>
      <c r="R14" s="3220">
        <v>16</v>
      </c>
      <c r="S14" s="3146">
        <v>17</v>
      </c>
      <c r="T14" s="3146">
        <v>18</v>
      </c>
      <c r="U14" s="3146">
        <v>19</v>
      </c>
      <c r="V14" s="3146">
        <v>20</v>
      </c>
      <c r="W14" s="3146">
        <v>21</v>
      </c>
      <c r="X14" s="3220">
        <v>22</v>
      </c>
      <c r="Y14" s="3220">
        <v>23</v>
      </c>
      <c r="Z14" s="3146">
        <v>24</v>
      </c>
      <c r="AA14" s="3146">
        <v>25</v>
      </c>
      <c r="AB14" s="3146">
        <v>26</v>
      </c>
      <c r="AC14" s="3146">
        <v>27</v>
      </c>
      <c r="AD14" s="3146">
        <v>28</v>
      </c>
      <c r="AE14" s="3220">
        <v>29</v>
      </c>
      <c r="AF14" s="3220">
        <v>30</v>
      </c>
      <c r="AG14" s="3146">
        <v>31</v>
      </c>
      <c r="AH14" s="116"/>
      <c r="AI14" s="116"/>
    </row>
    <row r="15" spans="1:38" ht="18" customHeight="1" x14ac:dyDescent="0.2">
      <c r="A15" s="3142">
        <v>8500</v>
      </c>
      <c r="B15" s="3161" t="s">
        <v>45</v>
      </c>
      <c r="C15" s="3162"/>
      <c r="D15" s="3185"/>
      <c r="E15" s="3163" t="s">
        <v>46</v>
      </c>
      <c r="F15" s="3163" t="s">
        <v>46</v>
      </c>
      <c r="G15" s="3163" t="s">
        <v>46</v>
      </c>
      <c r="H15" s="3163" t="s">
        <v>46</v>
      </c>
      <c r="I15" s="3163" t="s">
        <v>46</v>
      </c>
      <c r="J15" s="3162"/>
      <c r="K15" s="3185"/>
      <c r="L15" s="3163" t="s">
        <v>46</v>
      </c>
      <c r="M15" s="3163" t="s">
        <v>46</v>
      </c>
      <c r="N15" s="3163" t="s">
        <v>46</v>
      </c>
      <c r="O15" s="3163" t="s">
        <v>46</v>
      </c>
      <c r="P15" s="3163" t="s">
        <v>46</v>
      </c>
      <c r="Q15" s="3162"/>
      <c r="R15" s="3185"/>
      <c r="S15" s="3163" t="s">
        <v>46</v>
      </c>
      <c r="T15" s="3163" t="s">
        <v>46</v>
      </c>
      <c r="U15" s="3163" t="s">
        <v>46</v>
      </c>
      <c r="V15" s="3163" t="s">
        <v>46</v>
      </c>
      <c r="W15" s="3163" t="s">
        <v>46</v>
      </c>
      <c r="X15" s="3162"/>
      <c r="Y15" s="3185"/>
      <c r="Z15" s="3163" t="s">
        <v>46</v>
      </c>
      <c r="AA15" s="3163" t="s">
        <v>46</v>
      </c>
      <c r="AB15" s="3163" t="s">
        <v>46</v>
      </c>
      <c r="AC15" s="3163" t="s">
        <v>46</v>
      </c>
      <c r="AD15" s="3163" t="s">
        <v>46</v>
      </c>
      <c r="AE15" s="3162"/>
      <c r="AF15" s="3185"/>
      <c r="AG15" s="3783" t="s">
        <v>46</v>
      </c>
      <c r="AH15" s="116"/>
      <c r="AI15" s="116"/>
      <c r="AL15" t="s">
        <v>0</v>
      </c>
    </row>
    <row r="16" spans="1:38" ht="18" customHeight="1" x14ac:dyDescent="0.2">
      <c r="A16" s="3784">
        <v>8500</v>
      </c>
      <c r="B16" s="3511" t="s">
        <v>555</v>
      </c>
      <c r="C16" s="3785"/>
      <c r="D16" s="3519"/>
      <c r="E16" s="3513" t="s">
        <v>46</v>
      </c>
      <c r="F16" s="3513" t="s">
        <v>46</v>
      </c>
      <c r="G16" s="3513" t="s">
        <v>46</v>
      </c>
      <c r="H16" s="3513" t="s">
        <v>46</v>
      </c>
      <c r="I16" s="3513" t="s">
        <v>46</v>
      </c>
      <c r="J16" s="3785"/>
      <c r="K16" s="3519"/>
      <c r="L16" s="3513" t="s">
        <v>46</v>
      </c>
      <c r="M16" s="3513" t="s">
        <v>46</v>
      </c>
      <c r="N16" s="3513" t="s">
        <v>46</v>
      </c>
      <c r="O16" s="3513" t="s">
        <v>46</v>
      </c>
      <c r="P16" s="3513" t="s">
        <v>46</v>
      </c>
      <c r="Q16" s="3785"/>
      <c r="R16" s="3519"/>
      <c r="S16" s="3513" t="s">
        <v>46</v>
      </c>
      <c r="T16" s="3513" t="s">
        <v>46</v>
      </c>
      <c r="U16" s="3513" t="s">
        <v>46</v>
      </c>
      <c r="V16" s="3513" t="s">
        <v>46</v>
      </c>
      <c r="W16" s="3513" t="s">
        <v>46</v>
      </c>
      <c r="X16" s="3786" t="s">
        <v>104</v>
      </c>
      <c r="Y16" s="3519"/>
      <c r="Z16" s="3513" t="s">
        <v>46</v>
      </c>
      <c r="AA16" s="3513" t="s">
        <v>46</v>
      </c>
      <c r="AB16" s="3513" t="s">
        <v>46</v>
      </c>
      <c r="AC16" s="3513" t="s">
        <v>46</v>
      </c>
      <c r="AD16" s="3513" t="s">
        <v>24</v>
      </c>
      <c r="AE16" s="3785"/>
      <c r="AF16" s="3519"/>
      <c r="AG16" s="3710" t="s">
        <v>46</v>
      </c>
      <c r="AH16" s="116"/>
      <c r="AI16" s="116"/>
      <c r="AL16" t="s">
        <v>0</v>
      </c>
    </row>
    <row r="17" spans="1:40" ht="18" customHeight="1" x14ac:dyDescent="0.2">
      <c r="A17" s="3784">
        <v>8500</v>
      </c>
      <c r="B17" s="3511" t="s">
        <v>556</v>
      </c>
      <c r="C17" s="3785"/>
      <c r="D17" s="3519"/>
      <c r="E17" s="3513" t="s">
        <v>46</v>
      </c>
      <c r="F17" s="3513" t="s">
        <v>46</v>
      </c>
      <c r="G17" s="3513" t="s">
        <v>46</v>
      </c>
      <c r="H17" s="3513" t="s">
        <v>46</v>
      </c>
      <c r="I17" s="3513" t="s">
        <v>46</v>
      </c>
      <c r="J17" s="3785"/>
      <c r="K17" s="3519"/>
      <c r="L17" s="3513" t="s">
        <v>46</v>
      </c>
      <c r="M17" s="3513" t="s">
        <v>46</v>
      </c>
      <c r="N17" s="3513" t="s">
        <v>46</v>
      </c>
      <c r="O17" s="3513" t="s">
        <v>46</v>
      </c>
      <c r="P17" s="3513" t="s">
        <v>46</v>
      </c>
      <c r="Q17" s="3785"/>
      <c r="R17" s="3519"/>
      <c r="S17" s="3513" t="s">
        <v>46</v>
      </c>
      <c r="T17" s="3513" t="s">
        <v>46</v>
      </c>
      <c r="U17" s="3513" t="s">
        <v>46</v>
      </c>
      <c r="V17" s="3513" t="s">
        <v>46</v>
      </c>
      <c r="W17" s="3513" t="s">
        <v>46</v>
      </c>
      <c r="X17" s="3785"/>
      <c r="Y17" s="3519"/>
      <c r="Z17" s="3513" t="s">
        <v>46</v>
      </c>
      <c r="AA17" s="3513" t="s">
        <v>46</v>
      </c>
      <c r="AB17" s="3513" t="s">
        <v>46</v>
      </c>
      <c r="AC17" s="3513" t="s">
        <v>46</v>
      </c>
      <c r="AD17" s="3513" t="s">
        <v>46</v>
      </c>
      <c r="AE17" s="3785"/>
      <c r="AF17" s="3519"/>
      <c r="AG17" s="3710" t="s">
        <v>46</v>
      </c>
      <c r="AH17" s="116"/>
      <c r="AI17" s="116"/>
      <c r="AL17" t="s">
        <v>0</v>
      </c>
    </row>
    <row r="18" spans="1:40" ht="18" customHeight="1" thickBot="1" x14ac:dyDescent="0.25">
      <c r="A18" s="418" t="s">
        <v>47</v>
      </c>
      <c r="B18" s="3787"/>
      <c r="C18" s="3787"/>
      <c r="D18" s="3787"/>
      <c r="E18" s="3787"/>
      <c r="F18" s="3787"/>
      <c r="G18" s="3787"/>
      <c r="H18" s="3787"/>
      <c r="I18" s="3787"/>
      <c r="J18" s="3787"/>
      <c r="K18" s="3787"/>
      <c r="L18" s="3787"/>
      <c r="M18" s="3787"/>
      <c r="N18" s="3787"/>
      <c r="O18" s="3787"/>
      <c r="P18" s="3787"/>
      <c r="Q18" s="3787"/>
      <c r="R18" s="3787"/>
      <c r="S18" s="3787"/>
      <c r="T18" s="3787"/>
      <c r="U18" s="3787"/>
      <c r="V18" s="3787"/>
      <c r="W18" s="3787"/>
      <c r="X18" s="3787"/>
      <c r="Y18" s="3787"/>
      <c r="Z18" s="3787"/>
      <c r="AA18" s="3787"/>
      <c r="AB18" s="3787"/>
      <c r="AC18" s="3787"/>
      <c r="AD18" s="3787"/>
      <c r="AE18" s="3787"/>
      <c r="AF18" s="3787"/>
      <c r="AG18" s="3787"/>
      <c r="AH18" s="116"/>
      <c r="AI18" s="116"/>
    </row>
    <row r="19" spans="1:40" ht="18" customHeight="1" x14ac:dyDescent="0.2">
      <c r="A19" s="3148">
        <v>8546</v>
      </c>
      <c r="B19" s="594" t="s">
        <v>48</v>
      </c>
      <c r="C19" s="596" t="s">
        <v>53</v>
      </c>
      <c r="D19" s="595" t="s">
        <v>53</v>
      </c>
      <c r="E19" s="595" t="s">
        <v>49</v>
      </c>
      <c r="F19" s="597" t="s">
        <v>49</v>
      </c>
      <c r="G19" s="597" t="s">
        <v>49</v>
      </c>
      <c r="H19" s="597" t="s">
        <v>49</v>
      </c>
      <c r="I19" s="595" t="s">
        <v>49</v>
      </c>
      <c r="J19" s="596"/>
      <c r="K19" s="597"/>
      <c r="L19" s="595" t="s">
        <v>50</v>
      </c>
      <c r="M19" s="595" t="s">
        <v>50</v>
      </c>
      <c r="N19" s="595" t="s">
        <v>50</v>
      </c>
      <c r="O19" s="595" t="s">
        <v>50</v>
      </c>
      <c r="P19" s="595" t="s">
        <v>50</v>
      </c>
      <c r="Q19" s="595" t="s">
        <v>0</v>
      </c>
      <c r="R19" s="595"/>
      <c r="S19" s="595" t="s">
        <v>51</v>
      </c>
      <c r="T19" s="595" t="s">
        <v>51</v>
      </c>
      <c r="U19" s="595" t="s">
        <v>51</v>
      </c>
      <c r="V19" s="595" t="s">
        <v>51</v>
      </c>
      <c r="W19" s="595" t="s">
        <v>51</v>
      </c>
      <c r="X19" s="595" t="s">
        <v>52</v>
      </c>
      <c r="Y19" s="595" t="s">
        <v>52</v>
      </c>
      <c r="Z19" s="595" t="s">
        <v>50</v>
      </c>
      <c r="AA19" s="595" t="s">
        <v>50</v>
      </c>
      <c r="AB19" s="595" t="s">
        <v>50</v>
      </c>
      <c r="AC19" s="595" t="s">
        <v>50</v>
      </c>
      <c r="AD19" s="595" t="s">
        <v>50</v>
      </c>
      <c r="AE19" s="596" t="s">
        <v>53</v>
      </c>
      <c r="AF19" s="595" t="s">
        <v>53</v>
      </c>
      <c r="AG19" s="3788" t="s">
        <v>24</v>
      </c>
      <c r="AH19" s="116"/>
      <c r="AI19" s="116"/>
    </row>
    <row r="20" spans="1:40" ht="18" customHeight="1" x14ac:dyDescent="0.2">
      <c r="A20" s="3505">
        <v>8500</v>
      </c>
      <c r="B20" s="3506"/>
      <c r="C20" s="3366"/>
      <c r="D20" s="3366"/>
      <c r="E20" s="3366" t="s">
        <v>50</v>
      </c>
      <c r="F20" s="3366" t="s">
        <v>50</v>
      </c>
      <c r="G20" s="3366" t="s">
        <v>50</v>
      </c>
      <c r="H20" s="3366" t="s">
        <v>50</v>
      </c>
      <c r="I20" s="3366" t="s">
        <v>50</v>
      </c>
      <c r="J20" s="3366"/>
      <c r="K20" s="3366"/>
      <c r="L20" s="353" t="s">
        <v>51</v>
      </c>
      <c r="M20" s="419" t="s">
        <v>51</v>
      </c>
      <c r="N20" s="419" t="s">
        <v>51</v>
      </c>
      <c r="O20" s="419" t="s">
        <v>51</v>
      </c>
      <c r="P20" s="419" t="s">
        <v>51</v>
      </c>
      <c r="Q20" s="419" t="s">
        <v>52</v>
      </c>
      <c r="R20" s="419" t="s">
        <v>52</v>
      </c>
      <c r="S20" s="3366" t="s">
        <v>50</v>
      </c>
      <c r="T20" s="3366" t="s">
        <v>50</v>
      </c>
      <c r="U20" s="3366" t="s">
        <v>50</v>
      </c>
      <c r="V20" s="3366" t="s">
        <v>50</v>
      </c>
      <c r="W20" s="3366" t="s">
        <v>50</v>
      </c>
      <c r="X20" s="3366" t="s">
        <v>53</v>
      </c>
      <c r="Y20" s="3366" t="s">
        <v>53</v>
      </c>
      <c r="Z20" s="3366" t="s">
        <v>49</v>
      </c>
      <c r="AA20" s="3366" t="s">
        <v>49</v>
      </c>
      <c r="AB20" s="3366" t="s">
        <v>49</v>
      </c>
      <c r="AC20" s="3366" t="s">
        <v>49</v>
      </c>
      <c r="AD20" s="3366" t="s">
        <v>49</v>
      </c>
      <c r="AE20" s="3366"/>
      <c r="AF20" s="3366"/>
      <c r="AG20" s="3789" t="s">
        <v>49</v>
      </c>
      <c r="AH20" s="116"/>
      <c r="AI20" s="116"/>
    </row>
    <row r="21" spans="1:40" ht="18" customHeight="1" x14ac:dyDescent="0.2">
      <c r="A21" s="3505">
        <v>8500</v>
      </c>
      <c r="B21" s="3511" t="s">
        <v>55</v>
      </c>
      <c r="C21" s="3514"/>
      <c r="D21" s="3512"/>
      <c r="E21" s="3541" t="s">
        <v>51</v>
      </c>
      <c r="F21" s="3509" t="s">
        <v>424</v>
      </c>
      <c r="G21" s="3515" t="s">
        <v>51</v>
      </c>
      <c r="H21" s="3512" t="s">
        <v>51</v>
      </c>
      <c r="I21" s="3513" t="s">
        <v>51</v>
      </c>
      <c r="J21" s="3512" t="s">
        <v>52</v>
      </c>
      <c r="K21" s="3512" t="s">
        <v>52</v>
      </c>
      <c r="L21" s="3512" t="s">
        <v>50</v>
      </c>
      <c r="M21" s="3512" t="s">
        <v>50</v>
      </c>
      <c r="N21" s="3366" t="s">
        <v>50</v>
      </c>
      <c r="O21" s="3366" t="s">
        <v>50</v>
      </c>
      <c r="P21" s="3514" t="s">
        <v>50</v>
      </c>
      <c r="Q21" s="3514" t="s">
        <v>53</v>
      </c>
      <c r="R21" s="3514" t="s">
        <v>53</v>
      </c>
      <c r="S21" s="3512" t="s">
        <v>49</v>
      </c>
      <c r="T21" s="3512" t="s">
        <v>49</v>
      </c>
      <c r="U21" s="3512" t="s">
        <v>49</v>
      </c>
      <c r="V21" s="3512" t="s">
        <v>49</v>
      </c>
      <c r="W21" s="3520" t="s">
        <v>49</v>
      </c>
      <c r="X21" s="3790"/>
      <c r="Y21" s="3516"/>
      <c r="Z21" s="3516" t="s">
        <v>50</v>
      </c>
      <c r="AA21" s="3514" t="s">
        <v>50</v>
      </c>
      <c r="AB21" s="3514" t="s">
        <v>50</v>
      </c>
      <c r="AC21" s="3514" t="s">
        <v>50</v>
      </c>
      <c r="AD21" s="3512" t="s">
        <v>50</v>
      </c>
      <c r="AE21" s="3514"/>
      <c r="AF21" s="3512"/>
      <c r="AG21" s="3517" t="s">
        <v>51</v>
      </c>
      <c r="AH21" s="114"/>
      <c r="AI21" s="114"/>
      <c r="AJ21" s="241"/>
      <c r="AK21" s="241"/>
      <c r="AL21" s="241"/>
      <c r="AM21" s="241"/>
      <c r="AN21" s="241"/>
    </row>
    <row r="22" spans="1:40" ht="18" customHeight="1" x14ac:dyDescent="0.2">
      <c r="A22" s="3505">
        <v>8546</v>
      </c>
      <c r="B22" s="3511" t="s">
        <v>542</v>
      </c>
      <c r="C22" s="3520" t="s">
        <v>52</v>
      </c>
      <c r="D22" s="3519" t="s">
        <v>52</v>
      </c>
      <c r="E22" s="3519" t="s">
        <v>50</v>
      </c>
      <c r="F22" s="3512" t="s">
        <v>50</v>
      </c>
      <c r="G22" s="3512" t="s">
        <v>50</v>
      </c>
      <c r="H22" s="3512" t="s">
        <v>50</v>
      </c>
      <c r="I22" s="3512" t="s">
        <v>50</v>
      </c>
      <c r="J22" s="3514" t="s">
        <v>53</v>
      </c>
      <c r="K22" s="3514" t="s">
        <v>53</v>
      </c>
      <c r="L22" s="3512" t="s">
        <v>49</v>
      </c>
      <c r="M22" s="3514" t="s">
        <v>49</v>
      </c>
      <c r="N22" s="3514" t="s">
        <v>49</v>
      </c>
      <c r="O22" s="3512" t="s">
        <v>49</v>
      </c>
      <c r="P22" s="3514" t="s">
        <v>49</v>
      </c>
      <c r="Q22" s="3514"/>
      <c r="R22" s="3514"/>
      <c r="S22" s="3514" t="s">
        <v>50</v>
      </c>
      <c r="T22" s="3514" t="s">
        <v>50</v>
      </c>
      <c r="U22" s="3366" t="s">
        <v>50</v>
      </c>
      <c r="V22" s="3366" t="s">
        <v>68</v>
      </c>
      <c r="W22" s="3512" t="s">
        <v>68</v>
      </c>
      <c r="X22" s="3512" t="s">
        <v>68</v>
      </c>
      <c r="Y22" s="3512" t="s">
        <v>68</v>
      </c>
      <c r="Z22" s="3512" t="s">
        <v>51</v>
      </c>
      <c r="AA22" s="3512" t="s">
        <v>51</v>
      </c>
      <c r="AB22" s="3512" t="s">
        <v>51</v>
      </c>
      <c r="AC22" s="3542" t="s">
        <v>51</v>
      </c>
      <c r="AD22" s="3512" t="s">
        <v>51</v>
      </c>
      <c r="AE22" s="3520" t="s">
        <v>52</v>
      </c>
      <c r="AF22" s="3519" t="s">
        <v>52</v>
      </c>
      <c r="AG22" s="3517" t="s">
        <v>50</v>
      </c>
      <c r="AH22" s="116"/>
      <c r="AI22" s="116"/>
      <c r="AJ22" s="123"/>
      <c r="AK22" s="123"/>
      <c r="AL22" s="123"/>
      <c r="AM22" s="215"/>
      <c r="AN22" s="215"/>
    </row>
    <row r="23" spans="1:40" ht="18" customHeight="1" x14ac:dyDescent="0.2">
      <c r="A23" s="3505">
        <v>8546</v>
      </c>
      <c r="B23" s="3511"/>
      <c r="C23" s="3512"/>
      <c r="D23" s="3520"/>
      <c r="E23" s="3512" t="s">
        <v>24</v>
      </c>
      <c r="F23" s="3514" t="s">
        <v>24</v>
      </c>
      <c r="G23" s="3512" t="s">
        <v>24</v>
      </c>
      <c r="H23" s="3512" t="s">
        <v>24</v>
      </c>
      <c r="I23" s="3520" t="s">
        <v>24</v>
      </c>
      <c r="J23" s="3512"/>
      <c r="K23" s="3512"/>
      <c r="L23" s="3512" t="s">
        <v>28</v>
      </c>
      <c r="M23" s="3513" t="s">
        <v>28</v>
      </c>
      <c r="N23" s="3521" t="s">
        <v>28</v>
      </c>
      <c r="O23" s="3513" t="s">
        <v>28</v>
      </c>
      <c r="P23" s="3513" t="s">
        <v>28</v>
      </c>
      <c r="Q23" s="3513"/>
      <c r="R23" s="3513"/>
      <c r="S23" s="3513" t="s">
        <v>24</v>
      </c>
      <c r="T23" s="3512" t="s">
        <v>24</v>
      </c>
      <c r="U23" s="3512" t="s">
        <v>24</v>
      </c>
      <c r="V23" s="3512" t="s">
        <v>24</v>
      </c>
      <c r="W23" s="3512" t="s">
        <v>24</v>
      </c>
      <c r="X23" s="3520"/>
      <c r="Y23" s="3512"/>
      <c r="Z23" s="3512" t="s">
        <v>28</v>
      </c>
      <c r="AA23" s="3524" t="s">
        <v>28</v>
      </c>
      <c r="AB23" s="3524" t="s">
        <v>28</v>
      </c>
      <c r="AC23" s="3524" t="s">
        <v>28</v>
      </c>
      <c r="AD23" s="3524" t="s">
        <v>28</v>
      </c>
      <c r="AE23" s="3512"/>
      <c r="AF23" s="3520"/>
      <c r="AG23" s="3517" t="s">
        <v>50</v>
      </c>
      <c r="AH23" s="116"/>
      <c r="AI23" s="116"/>
      <c r="AJ23" s="123"/>
      <c r="AK23" s="123"/>
      <c r="AL23" s="123"/>
      <c r="AM23" s="215"/>
      <c r="AN23" s="215"/>
    </row>
    <row r="24" spans="1:40" ht="18" customHeight="1" x14ac:dyDescent="0.2">
      <c r="A24" s="3151">
        <v>8546</v>
      </c>
      <c r="B24" s="2942" t="s">
        <v>470</v>
      </c>
      <c r="C24" s="3152" t="s">
        <v>0</v>
      </c>
      <c r="D24" s="3152" t="s">
        <v>0</v>
      </c>
      <c r="E24" s="3153" t="s">
        <v>28</v>
      </c>
      <c r="F24" s="3153" t="s">
        <v>28</v>
      </c>
      <c r="G24" s="3153" t="s">
        <v>28</v>
      </c>
      <c r="H24" s="3153" t="s">
        <v>28</v>
      </c>
      <c r="I24" s="3153" t="s">
        <v>28</v>
      </c>
      <c r="J24" s="3155"/>
      <c r="K24" s="3155"/>
      <c r="L24" s="3155" t="s">
        <v>24</v>
      </c>
      <c r="M24" s="3157" t="s">
        <v>24</v>
      </c>
      <c r="N24" s="3527" t="s">
        <v>24</v>
      </c>
      <c r="O24" s="3154" t="s">
        <v>24</v>
      </c>
      <c r="P24" s="2481" t="s">
        <v>24</v>
      </c>
      <c r="Q24" s="2481"/>
      <c r="R24" s="3159"/>
      <c r="S24" s="3153" t="s">
        <v>28</v>
      </c>
      <c r="T24" s="3153" t="s">
        <v>28</v>
      </c>
      <c r="U24" s="3153" t="s">
        <v>28</v>
      </c>
      <c r="V24" s="3153" t="s">
        <v>28</v>
      </c>
      <c r="W24" s="3153" t="s">
        <v>28</v>
      </c>
      <c r="X24" s="3159"/>
      <c r="Y24" s="3159"/>
      <c r="Z24" s="3159" t="s">
        <v>24</v>
      </c>
      <c r="AA24" s="3159" t="s">
        <v>24</v>
      </c>
      <c r="AB24" s="3159" t="s">
        <v>24</v>
      </c>
      <c r="AC24" s="3204" t="s">
        <v>24</v>
      </c>
      <c r="AD24" s="3204" t="s">
        <v>510</v>
      </c>
      <c r="AE24" s="3155" t="s">
        <v>0</v>
      </c>
      <c r="AF24" s="3154" t="s">
        <v>0</v>
      </c>
      <c r="AG24" s="3529" t="s">
        <v>46</v>
      </c>
      <c r="AH24" s="116"/>
      <c r="AI24" s="116"/>
      <c r="AJ24" s="123"/>
      <c r="AK24" s="123"/>
      <c r="AL24" s="123"/>
      <c r="AM24" s="215"/>
      <c r="AN24" s="215"/>
    </row>
    <row r="25" spans="1:40" ht="18" customHeight="1" thickBot="1" x14ac:dyDescent="0.25">
      <c r="A25" s="348" t="s">
        <v>60</v>
      </c>
      <c r="B25" s="349"/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349"/>
      <c r="S25" s="349"/>
      <c r="T25" s="349"/>
      <c r="U25" s="349"/>
      <c r="V25" s="349"/>
      <c r="W25" s="349"/>
      <c r="X25" s="349"/>
      <c r="Y25" s="349"/>
      <c r="Z25" s="349"/>
      <c r="AA25" s="349"/>
      <c r="AB25" s="349"/>
      <c r="AC25" s="349"/>
      <c r="AD25" s="349"/>
      <c r="AE25" s="349"/>
      <c r="AF25" s="349"/>
      <c r="AG25" s="349"/>
      <c r="AJ25" s="123"/>
      <c r="AK25" s="123"/>
      <c r="AL25" s="123"/>
      <c r="AM25" s="215"/>
      <c r="AN25" s="215"/>
    </row>
    <row r="26" spans="1:40" ht="18" customHeight="1" x14ac:dyDescent="0.2">
      <c r="A26" s="626">
        <v>8500</v>
      </c>
      <c r="B26" s="3161" t="s">
        <v>61</v>
      </c>
      <c r="C26" s="3162"/>
      <c r="D26" s="3163"/>
      <c r="E26" s="3163" t="s">
        <v>46</v>
      </c>
      <c r="F26" s="3163" t="s">
        <v>46</v>
      </c>
      <c r="G26" s="3164" t="s">
        <v>46</v>
      </c>
      <c r="H26" s="3164" t="s">
        <v>46</v>
      </c>
      <c r="I26" s="3165" t="s">
        <v>46</v>
      </c>
      <c r="J26" s="3162"/>
      <c r="K26" s="3163"/>
      <c r="L26" s="3163" t="s">
        <v>46</v>
      </c>
      <c r="M26" s="3163" t="s">
        <v>46</v>
      </c>
      <c r="N26" s="3166" t="s">
        <v>46</v>
      </c>
      <c r="O26" s="3164" t="s">
        <v>46</v>
      </c>
      <c r="P26" s="3163" t="s">
        <v>46</v>
      </c>
      <c r="Q26" s="3162"/>
      <c r="R26" s="3163"/>
      <c r="S26" s="3163" t="s">
        <v>46</v>
      </c>
      <c r="T26" s="3163" t="s">
        <v>46</v>
      </c>
      <c r="U26" s="3164" t="s">
        <v>46</v>
      </c>
      <c r="V26" s="3164" t="s">
        <v>46</v>
      </c>
      <c r="W26" s="3163" t="s">
        <v>46</v>
      </c>
      <c r="X26" s="3162"/>
      <c r="Y26" s="3163"/>
      <c r="Z26" s="3791" t="s">
        <v>46</v>
      </c>
      <c r="AA26" s="3791" t="s">
        <v>46</v>
      </c>
      <c r="AB26" s="3667" t="s">
        <v>46</v>
      </c>
      <c r="AC26" s="3667" t="s">
        <v>46</v>
      </c>
      <c r="AD26" s="3791" t="s">
        <v>46</v>
      </c>
      <c r="AE26" s="3162"/>
      <c r="AF26" s="3163"/>
      <c r="AG26" s="3239" t="s">
        <v>46</v>
      </c>
      <c r="AJ26" s="3780" t="s">
        <v>41</v>
      </c>
      <c r="AK26" s="3780" t="s">
        <v>62</v>
      </c>
      <c r="AL26" s="3780" t="s">
        <v>63</v>
      </c>
      <c r="AM26" s="3780" t="s">
        <v>64</v>
      </c>
      <c r="AN26" s="3780" t="s">
        <v>65</v>
      </c>
    </row>
    <row r="27" spans="1:40" ht="18" customHeight="1" x14ac:dyDescent="0.2">
      <c r="A27" s="626">
        <v>8500</v>
      </c>
      <c r="B27" s="3511" t="s">
        <v>67</v>
      </c>
      <c r="C27" s="3512"/>
      <c r="D27" s="3512"/>
      <c r="E27" s="3512" t="s">
        <v>46</v>
      </c>
      <c r="F27" s="3513" t="s">
        <v>46</v>
      </c>
      <c r="G27" s="3512" t="s">
        <v>46</v>
      </c>
      <c r="H27" s="3512" t="s">
        <v>46</v>
      </c>
      <c r="I27" s="3512" t="s">
        <v>46</v>
      </c>
      <c r="J27" s="3514"/>
      <c r="K27" s="3514"/>
      <c r="L27" s="3512" t="s">
        <v>51</v>
      </c>
      <c r="M27" s="3512" t="s">
        <v>51</v>
      </c>
      <c r="N27" s="3512" t="s">
        <v>51</v>
      </c>
      <c r="O27" s="3512" t="s">
        <v>51</v>
      </c>
      <c r="P27" s="3512" t="s">
        <v>51</v>
      </c>
      <c r="Q27" s="3512" t="s">
        <v>52</v>
      </c>
      <c r="R27" s="3366" t="s">
        <v>52</v>
      </c>
      <c r="S27" s="3512" t="s">
        <v>50</v>
      </c>
      <c r="T27" s="3512" t="s">
        <v>50</v>
      </c>
      <c r="U27" s="3512" t="s">
        <v>50</v>
      </c>
      <c r="V27" s="3512" t="s">
        <v>50</v>
      </c>
      <c r="W27" s="3512" t="s">
        <v>50</v>
      </c>
      <c r="X27" s="3514" t="s">
        <v>53</v>
      </c>
      <c r="Y27" s="3366" t="s">
        <v>53</v>
      </c>
      <c r="Z27" s="3366" t="s">
        <v>49</v>
      </c>
      <c r="AA27" s="3366" t="s">
        <v>49</v>
      </c>
      <c r="AB27" s="3365" t="s">
        <v>49</v>
      </c>
      <c r="AC27" s="3365" t="s">
        <v>49</v>
      </c>
      <c r="AD27" s="3365" t="s">
        <v>49</v>
      </c>
      <c r="AE27" s="3509"/>
      <c r="AF27" s="3509"/>
      <c r="AG27" s="3792" t="s">
        <v>102</v>
      </c>
      <c r="AH27" s="123"/>
      <c r="AJ27" s="3793">
        <f>$AJ$12</f>
        <v>160.33000000000001</v>
      </c>
      <c r="AK27" s="3793"/>
      <c r="AL27" s="3793">
        <f>IF(AJ27="","",SUM(AJ27:AK27))</f>
        <v>160.33000000000001</v>
      </c>
      <c r="AM27" s="3794">
        <f>IF(AJ27="","",AL27-_xlfn.SINGLE(NormTid))</f>
        <v>0</v>
      </c>
      <c r="AN27" s="3794">
        <f>IF(AM27="","",AM27+'Februar 2025'!AN26)</f>
        <v>0</v>
      </c>
    </row>
    <row r="28" spans="1:40" ht="18" customHeight="1" x14ac:dyDescent="0.2">
      <c r="A28" s="3545"/>
      <c r="B28" s="3511" t="s">
        <v>75</v>
      </c>
      <c r="C28" s="3516"/>
      <c r="D28" s="3516"/>
      <c r="E28" s="3516" t="s">
        <v>46</v>
      </c>
      <c r="F28" s="3519" t="s">
        <v>46</v>
      </c>
      <c r="G28" s="3519" t="s">
        <v>46</v>
      </c>
      <c r="H28" s="3366" t="s">
        <v>46</v>
      </c>
      <c r="I28" s="3366" t="s">
        <v>46</v>
      </c>
      <c r="J28" s="3519"/>
      <c r="K28" s="3519"/>
      <c r="L28" s="3519" t="s">
        <v>46</v>
      </c>
      <c r="M28" s="3519" t="s">
        <v>46</v>
      </c>
      <c r="N28" s="3519" t="s">
        <v>46</v>
      </c>
      <c r="O28" s="3366" t="s">
        <v>46</v>
      </c>
      <c r="P28" s="3507" t="s">
        <v>46</v>
      </c>
      <c r="Q28" s="3519"/>
      <c r="R28" s="3519"/>
      <c r="S28" s="3514" t="s">
        <v>46</v>
      </c>
      <c r="T28" s="3521" t="s">
        <v>46</v>
      </c>
      <c r="U28" s="3521" t="s">
        <v>46</v>
      </c>
      <c r="V28" s="3366" t="s">
        <v>297</v>
      </c>
      <c r="W28" s="3366" t="s">
        <v>154</v>
      </c>
      <c r="X28" s="3366"/>
      <c r="Y28" s="3519"/>
      <c r="Z28" s="3519" t="s">
        <v>46</v>
      </c>
      <c r="AA28" s="3519" t="s">
        <v>46</v>
      </c>
      <c r="AB28" s="3519" t="s">
        <v>46</v>
      </c>
      <c r="AC28" s="3519" t="s">
        <v>46</v>
      </c>
      <c r="AD28" s="3366" t="s">
        <v>46</v>
      </c>
      <c r="AE28" s="3366"/>
      <c r="AF28" s="3366"/>
      <c r="AG28" s="3546" t="s">
        <v>46</v>
      </c>
      <c r="AH28" s="123"/>
    </row>
    <row r="29" spans="1:40" ht="18" customHeight="1" x14ac:dyDescent="0.2">
      <c r="A29" s="646"/>
      <c r="B29" s="3547" t="s">
        <v>78</v>
      </c>
      <c r="C29" s="3551"/>
      <c r="D29" s="3532"/>
      <c r="E29" s="3532" t="s">
        <v>46</v>
      </c>
      <c r="F29" s="3532" t="s">
        <v>46</v>
      </c>
      <c r="G29" s="3534" t="s">
        <v>46</v>
      </c>
      <c r="H29" s="3534" t="s">
        <v>46</v>
      </c>
      <c r="I29" s="3532" t="s">
        <v>46</v>
      </c>
      <c r="J29" s="3551"/>
      <c r="K29" s="3532"/>
      <c r="L29" s="3532" t="s">
        <v>46</v>
      </c>
      <c r="M29" s="3532" t="s">
        <v>46</v>
      </c>
      <c r="N29" s="3535" t="s">
        <v>46</v>
      </c>
      <c r="O29" s="3534" t="s">
        <v>46</v>
      </c>
      <c r="P29" s="3532" t="s">
        <v>46</v>
      </c>
      <c r="Q29" s="3551"/>
      <c r="R29" s="3532"/>
      <c r="S29" s="3532" t="s">
        <v>46</v>
      </c>
      <c r="T29" s="3532" t="s">
        <v>46</v>
      </c>
      <c r="U29" s="3534" t="s">
        <v>46</v>
      </c>
      <c r="V29" s="3534" t="s">
        <v>46</v>
      </c>
      <c r="W29" s="3532" t="s">
        <v>46</v>
      </c>
      <c r="X29" s="3551"/>
      <c r="Y29" s="3532"/>
      <c r="Z29" s="3532" t="s">
        <v>46</v>
      </c>
      <c r="AA29" s="3532" t="s">
        <v>46</v>
      </c>
      <c r="AB29" s="3534" t="s">
        <v>46</v>
      </c>
      <c r="AC29" s="3534" t="s">
        <v>46</v>
      </c>
      <c r="AD29" s="3532" t="s">
        <v>46</v>
      </c>
      <c r="AE29" s="3551"/>
      <c r="AF29" s="3532"/>
      <c r="AG29" s="3552" t="s">
        <v>46</v>
      </c>
      <c r="AH29" s="123"/>
    </row>
    <row r="30" spans="1:40" ht="18" customHeight="1" x14ac:dyDescent="0.2">
      <c r="A30" s="245"/>
      <c r="B30" s="246"/>
      <c r="C30" s="247"/>
      <c r="D30" s="248"/>
      <c r="E30" s="248"/>
      <c r="F30" s="248"/>
      <c r="G30" s="246"/>
      <c r="H30" s="246"/>
      <c r="I30" s="248"/>
      <c r="J30" s="247"/>
      <c r="K30" s="248"/>
      <c r="L30" s="246"/>
      <c r="M30" s="246"/>
      <c r="N30" s="246"/>
      <c r="O30" s="246"/>
      <c r="P30" s="248"/>
      <c r="Q30" s="247"/>
      <c r="R30" s="248"/>
      <c r="S30" s="248"/>
      <c r="T30" s="248"/>
      <c r="U30" s="246"/>
      <c r="V30" s="246"/>
      <c r="W30" s="248"/>
      <c r="X30" s="247"/>
      <c r="Y30" s="248"/>
      <c r="Z30" s="248"/>
      <c r="AA30" s="248"/>
      <c r="AB30" s="246"/>
      <c r="AC30" s="246"/>
      <c r="AD30" s="248"/>
      <c r="AE30" s="247"/>
      <c r="AF30" s="248"/>
      <c r="AG30" s="246"/>
      <c r="AH30" s="123"/>
    </row>
    <row r="31" spans="1:40" ht="18" customHeight="1" x14ac:dyDescent="0.2">
      <c r="A31" s="249"/>
      <c r="B31" s="250"/>
      <c r="C31" s="251" t="s">
        <v>0</v>
      </c>
      <c r="D31" s="252" t="s">
        <v>0</v>
      </c>
      <c r="E31" s="252"/>
      <c r="F31" s="252"/>
      <c r="G31" s="250"/>
      <c r="H31" s="250"/>
      <c r="I31" s="252"/>
      <c r="J31" s="251"/>
      <c r="K31" s="252"/>
      <c r="L31" s="251"/>
      <c r="M31" s="252"/>
      <c r="N31" s="250"/>
      <c r="O31" s="250"/>
      <c r="P31" s="252"/>
      <c r="Q31" s="251"/>
      <c r="R31" s="252"/>
      <c r="S31" s="252" t="s">
        <v>142</v>
      </c>
      <c r="T31" s="252"/>
      <c r="U31" s="252"/>
      <c r="V31" s="252"/>
      <c r="W31" s="252"/>
      <c r="X31" s="251"/>
      <c r="Y31" s="252"/>
      <c r="Z31" s="252"/>
      <c r="AA31" s="252">
        <v>79</v>
      </c>
      <c r="AB31" s="250">
        <v>79</v>
      </c>
      <c r="AC31" s="250">
        <v>79</v>
      </c>
      <c r="AD31" s="252">
        <v>79</v>
      </c>
      <c r="AE31" s="251"/>
      <c r="AF31" s="252"/>
      <c r="AG31" s="252"/>
      <c r="AH31" s="123"/>
    </row>
    <row r="32" spans="1:40" ht="18" customHeight="1" x14ac:dyDescent="0.2">
      <c r="A32" s="249"/>
      <c r="B32" s="250"/>
      <c r="C32" s="251"/>
      <c r="D32" s="252"/>
      <c r="E32" s="252"/>
      <c r="F32" s="252"/>
      <c r="G32" s="250">
        <v>4</v>
      </c>
      <c r="H32" s="250"/>
      <c r="I32" s="252"/>
      <c r="J32" s="251"/>
      <c r="K32" s="252"/>
      <c r="L32" s="250"/>
      <c r="M32" s="250"/>
      <c r="N32" s="250"/>
      <c r="O32" s="250"/>
      <c r="P32" s="252"/>
      <c r="Q32" s="251"/>
      <c r="R32" s="252"/>
      <c r="S32" s="252"/>
      <c r="T32" s="252"/>
      <c r="U32" s="250"/>
      <c r="V32" s="250"/>
      <c r="W32" s="250"/>
      <c r="X32" s="3519"/>
      <c r="Y32" s="3519"/>
      <c r="Z32" s="252"/>
      <c r="AA32" s="252"/>
      <c r="AB32" s="250"/>
      <c r="AC32" s="250"/>
      <c r="AD32" s="252"/>
      <c r="AE32" s="251"/>
      <c r="AF32" s="252"/>
      <c r="AG32" s="250"/>
      <c r="AH32" s="123"/>
    </row>
    <row r="33" spans="1:38" ht="18" customHeight="1" x14ac:dyDescent="0.2">
      <c r="A33" s="249"/>
      <c r="B33" s="250"/>
      <c r="C33" s="251"/>
      <c r="D33" s="252"/>
      <c r="E33" s="252"/>
      <c r="F33" s="252"/>
      <c r="G33" s="250"/>
      <c r="H33" s="250"/>
      <c r="I33" s="252"/>
      <c r="J33" s="251"/>
      <c r="K33" s="252"/>
      <c r="L33" s="250"/>
      <c r="M33" s="250"/>
      <c r="N33" s="250"/>
      <c r="O33" s="250"/>
      <c r="P33" s="252"/>
      <c r="Q33" s="251"/>
      <c r="R33" s="252"/>
      <c r="S33" s="252"/>
      <c r="T33" s="252"/>
      <c r="U33" s="250"/>
      <c r="V33" s="250"/>
      <c r="W33" s="252"/>
      <c r="X33" s="251"/>
      <c r="Y33" s="251"/>
      <c r="Z33" s="252"/>
      <c r="AA33" s="252"/>
      <c r="AB33" s="250"/>
      <c r="AC33" s="250"/>
      <c r="AD33" s="252"/>
      <c r="AE33" s="251"/>
      <c r="AF33" s="252"/>
      <c r="AG33" s="250"/>
      <c r="AH33" s="123"/>
    </row>
    <row r="34" spans="1:38" ht="18" customHeight="1" x14ac:dyDescent="0.2">
      <c r="A34" s="249"/>
      <c r="B34" s="250"/>
      <c r="C34" s="251"/>
      <c r="D34" s="252"/>
      <c r="E34" s="252"/>
      <c r="F34" s="252"/>
      <c r="G34" s="250"/>
      <c r="H34" s="250"/>
      <c r="I34" s="252"/>
      <c r="J34" s="251"/>
      <c r="K34" s="252"/>
      <c r="L34" s="250"/>
      <c r="M34" s="250"/>
      <c r="N34" s="250"/>
      <c r="O34" s="250"/>
      <c r="P34" s="252"/>
      <c r="Q34" s="251"/>
      <c r="R34" s="252"/>
      <c r="S34" s="252"/>
      <c r="T34" s="252"/>
      <c r="U34" s="250"/>
      <c r="V34" s="250"/>
      <c r="W34" s="252"/>
      <c r="X34" s="251"/>
      <c r="Y34" s="252"/>
      <c r="Z34" s="252"/>
      <c r="AA34" s="252"/>
      <c r="AB34" s="250"/>
      <c r="AC34" s="250"/>
      <c r="AD34" s="252"/>
      <c r="AE34" s="251"/>
      <c r="AF34" s="252"/>
      <c r="AG34" s="250"/>
      <c r="AH34" s="123"/>
    </row>
    <row r="35" spans="1:38" ht="18" customHeight="1" x14ac:dyDescent="0.2">
      <c r="A35" s="249"/>
      <c r="B35" s="250"/>
      <c r="C35" s="250"/>
      <c r="D35" s="250"/>
      <c r="E35" s="250">
        <v>23</v>
      </c>
      <c r="F35" s="250">
        <v>23</v>
      </c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  <c r="AB35" s="250"/>
      <c r="AC35" s="250"/>
      <c r="AD35" s="250"/>
      <c r="AE35" s="250"/>
      <c r="AF35" s="250"/>
      <c r="AG35" s="250"/>
    </row>
    <row r="36" spans="1:38" ht="18" customHeight="1" x14ac:dyDescent="0.2">
      <c r="A36" s="249"/>
      <c r="B36" s="250"/>
      <c r="C36" s="250"/>
      <c r="D36" s="250"/>
      <c r="E36" s="250"/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0"/>
      <c r="V36" s="250"/>
      <c r="W36" s="250"/>
      <c r="X36" s="250"/>
      <c r="Y36" s="250"/>
      <c r="Z36" s="250"/>
      <c r="AA36" s="250"/>
      <c r="AB36" s="250"/>
      <c r="AC36" s="250"/>
      <c r="AD36" s="250"/>
      <c r="AE36" s="250"/>
      <c r="AF36" s="250"/>
      <c r="AG36" s="250"/>
    </row>
    <row r="37" spans="1:38" ht="18" customHeight="1" x14ac:dyDescent="0.2">
      <c r="A37" s="103" t="s">
        <v>82</v>
      </c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 t="s">
        <v>0</v>
      </c>
      <c r="P37" s="48"/>
      <c r="Q37" s="48" t="s">
        <v>83</v>
      </c>
      <c r="R37" s="48" t="s">
        <v>0</v>
      </c>
      <c r="S37" s="48" t="s">
        <v>84</v>
      </c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K37" s="1"/>
    </row>
    <row r="38" spans="1:38" ht="18" customHeight="1" x14ac:dyDescent="0.2">
      <c r="A38" s="3170" t="s">
        <v>85</v>
      </c>
      <c r="B38" s="3171"/>
      <c r="C38" s="3171"/>
      <c r="D38" s="3172" t="s">
        <v>86</v>
      </c>
      <c r="E38" s="3173"/>
      <c r="F38" s="3173"/>
      <c r="G38" s="3173"/>
      <c r="H38" s="3173"/>
      <c r="I38" s="3173"/>
      <c r="J38" s="3173"/>
      <c r="K38" s="3173"/>
      <c r="L38" s="3173"/>
      <c r="M38" s="3174" t="s">
        <v>87</v>
      </c>
      <c r="N38" s="3173"/>
      <c r="O38" s="3173"/>
      <c r="P38" s="3173"/>
      <c r="Q38" s="3173"/>
      <c r="R38" s="3173"/>
      <c r="S38" s="3175"/>
      <c r="T38" s="4985" t="s">
        <v>88</v>
      </c>
      <c r="U38" s="4985"/>
      <c r="V38" s="4985"/>
      <c r="W38" s="4985"/>
      <c r="X38" s="4985"/>
      <c r="Y38" s="4985"/>
      <c r="Z38" s="4985"/>
      <c r="AA38" s="3176" t="s">
        <v>89</v>
      </c>
      <c r="AB38" s="3177"/>
      <c r="AC38" s="3177"/>
      <c r="AD38" s="3177"/>
      <c r="AE38" s="3177"/>
      <c r="AF38" s="3177"/>
      <c r="AG38" s="3178"/>
      <c r="AK38" s="1"/>
    </row>
    <row r="39" spans="1:38" ht="18" customHeight="1" x14ac:dyDescent="0.2">
      <c r="A39" s="3553" t="s">
        <v>90</v>
      </c>
      <c r="B39" s="2795"/>
      <c r="C39" s="2795"/>
      <c r="D39" s="3554" t="s">
        <v>91</v>
      </c>
      <c r="E39" s="3555"/>
      <c r="F39" s="3754"/>
      <c r="G39" s="3754"/>
      <c r="H39" s="3754"/>
      <c r="I39" s="3754"/>
      <c r="J39" s="3754"/>
      <c r="K39" s="3754"/>
      <c r="L39" s="3556"/>
      <c r="M39" s="2799" t="s">
        <v>92</v>
      </c>
      <c r="N39" s="2795"/>
      <c r="O39" s="2800"/>
      <c r="P39" s="2795"/>
      <c r="Q39" s="2795"/>
      <c r="R39" s="2795"/>
      <c r="S39" s="2801"/>
      <c r="T39" s="3554" t="s">
        <v>93</v>
      </c>
      <c r="U39" s="3754"/>
      <c r="V39" s="3555"/>
      <c r="W39" s="3754"/>
      <c r="X39" s="3754"/>
      <c r="Y39" s="3754"/>
      <c r="Z39" s="3556"/>
      <c r="AA39" s="104" t="s">
        <v>94</v>
      </c>
      <c r="AD39" s="60"/>
      <c r="AG39" s="63"/>
      <c r="AK39" s="1"/>
    </row>
    <row r="40" spans="1:38" ht="18" customHeight="1" x14ac:dyDescent="0.2">
      <c r="A40" s="3557" t="s">
        <v>95</v>
      </c>
      <c r="B40" s="3754"/>
      <c r="C40" s="3754"/>
      <c r="D40" s="3558"/>
      <c r="E40" s="3754"/>
      <c r="F40" s="3754"/>
      <c r="G40" s="3556"/>
      <c r="H40" s="3559" t="s">
        <v>96</v>
      </c>
      <c r="I40" s="3754"/>
      <c r="J40" s="3754"/>
      <c r="K40" s="3754"/>
      <c r="L40" s="3754"/>
      <c r="M40" s="3560"/>
      <c r="N40" s="3754"/>
      <c r="O40" s="3754"/>
      <c r="P40" s="3754"/>
      <c r="Q40" s="3754"/>
      <c r="R40" s="3754"/>
      <c r="S40" s="3754"/>
      <c r="T40" s="3558"/>
      <c r="U40" s="103" t="s">
        <v>97</v>
      </c>
      <c r="AA40" s="2800"/>
      <c r="AB40" s="2795"/>
      <c r="AC40" s="2795"/>
      <c r="AD40" s="2795"/>
      <c r="AE40" s="2795"/>
      <c r="AF40" s="2795"/>
      <c r="AG40" s="2806"/>
      <c r="AK40" s="42"/>
    </row>
    <row r="41" spans="1:38" ht="18" customHeight="1" x14ac:dyDescent="0.2">
      <c r="A41" s="3561" t="s">
        <v>98</v>
      </c>
      <c r="B41" s="3562"/>
      <c r="C41" s="3562"/>
      <c r="D41" s="3563"/>
      <c r="E41" s="3562"/>
      <c r="F41" s="3562"/>
      <c r="G41" s="3564"/>
      <c r="H41" s="3565" t="s">
        <v>99</v>
      </c>
      <c r="I41" s="3564"/>
      <c r="J41" s="3562"/>
      <c r="K41" s="3562"/>
      <c r="L41" s="3562"/>
      <c r="M41" s="3566"/>
      <c r="N41" s="3562"/>
      <c r="O41" s="3562"/>
      <c r="P41" s="3562"/>
      <c r="Q41" s="3567"/>
      <c r="R41" s="3567"/>
      <c r="S41" s="3567"/>
      <c r="T41" s="3563"/>
      <c r="U41" s="3568" t="s">
        <v>100</v>
      </c>
      <c r="V41" s="3562"/>
      <c r="W41" s="3562"/>
      <c r="X41" s="3562"/>
      <c r="Y41" s="3562"/>
      <c r="Z41" s="3562"/>
      <c r="AA41" s="3562"/>
      <c r="AB41" s="3562"/>
      <c r="AC41" s="3562"/>
      <c r="AD41" s="3562"/>
      <c r="AE41" s="3562"/>
      <c r="AF41" s="3562"/>
      <c r="AG41" s="3569"/>
      <c r="AK41" s="1"/>
    </row>
    <row r="42" spans="1:38" ht="18" customHeight="1" x14ac:dyDescent="0.2">
      <c r="B42" s="64" t="s">
        <v>42</v>
      </c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1"/>
    </row>
    <row r="43" spans="1:38" ht="18" customHeight="1" thickBot="1" x14ac:dyDescent="0.25">
      <c r="A43" s="2816" t="s">
        <v>43</v>
      </c>
      <c r="B43" s="2817" t="s">
        <v>546</v>
      </c>
      <c r="C43" s="2707">
        <v>1</v>
      </c>
      <c r="D43" s="2707">
        <v>2</v>
      </c>
      <c r="E43" s="2706">
        <v>3</v>
      </c>
      <c r="F43" s="2706">
        <v>4</v>
      </c>
      <c r="G43" s="2706">
        <v>5</v>
      </c>
      <c r="H43" s="2706">
        <v>6</v>
      </c>
      <c r="I43" s="2706">
        <v>7</v>
      </c>
      <c r="J43" s="2707">
        <v>8</v>
      </c>
      <c r="K43" s="2707">
        <v>9</v>
      </c>
      <c r="L43" s="2706">
        <v>10</v>
      </c>
      <c r="M43" s="2706">
        <v>11</v>
      </c>
      <c r="N43" s="2706">
        <v>12</v>
      </c>
      <c r="O43" s="2706">
        <v>13</v>
      </c>
      <c r="P43" s="2706">
        <v>14</v>
      </c>
      <c r="Q43" s="2707">
        <v>15</v>
      </c>
      <c r="R43" s="2707">
        <v>16</v>
      </c>
      <c r="S43" s="2706">
        <v>17</v>
      </c>
      <c r="T43" s="2706">
        <v>18</v>
      </c>
      <c r="U43" s="2706">
        <v>19</v>
      </c>
      <c r="V43" s="2706">
        <v>20</v>
      </c>
      <c r="W43" s="2706">
        <v>21</v>
      </c>
      <c r="X43" s="2707">
        <v>22</v>
      </c>
      <c r="Y43" s="2707">
        <v>23</v>
      </c>
      <c r="Z43" s="2706">
        <v>24</v>
      </c>
      <c r="AA43" s="2706">
        <v>25</v>
      </c>
      <c r="AB43" s="2706">
        <v>26</v>
      </c>
      <c r="AC43" s="2706">
        <v>27</v>
      </c>
      <c r="AD43" s="2706">
        <v>28</v>
      </c>
      <c r="AE43" s="2707">
        <v>29</v>
      </c>
      <c r="AF43" s="2707">
        <v>30</v>
      </c>
      <c r="AG43" s="2706">
        <v>31</v>
      </c>
      <c r="AH43" s="110"/>
      <c r="AI43" s="111"/>
      <c r="AL43" t="s">
        <v>0</v>
      </c>
    </row>
    <row r="44" spans="1:38" ht="18" customHeight="1" thickBot="1" x14ac:dyDescent="0.25">
      <c r="A44" s="3179">
        <v>1</v>
      </c>
      <c r="B44" s="3777" t="s">
        <v>178</v>
      </c>
      <c r="C44" s="3166"/>
      <c r="D44" s="3164"/>
      <c r="E44" s="3183" t="s">
        <v>50</v>
      </c>
      <c r="F44" s="3183" t="s">
        <v>50</v>
      </c>
      <c r="G44" s="3166" t="s">
        <v>50</v>
      </c>
      <c r="H44" s="3166" t="s">
        <v>50</v>
      </c>
      <c r="I44" s="3166" t="s">
        <v>50</v>
      </c>
      <c r="J44" s="3164"/>
      <c r="K44" s="3166"/>
      <c r="L44" s="3166">
        <v>1</v>
      </c>
      <c r="M44" s="3166">
        <v>1</v>
      </c>
      <c r="N44" s="3166">
        <v>1</v>
      </c>
      <c r="O44" s="3164">
        <v>1</v>
      </c>
      <c r="P44" s="3166">
        <v>1</v>
      </c>
      <c r="Q44" s="3165"/>
      <c r="R44" s="3164"/>
      <c r="S44" s="3166">
        <v>9</v>
      </c>
      <c r="T44" s="3166">
        <v>9</v>
      </c>
      <c r="U44" s="3166">
        <v>9</v>
      </c>
      <c r="V44" s="3166">
        <v>9</v>
      </c>
      <c r="W44" s="3166">
        <v>9</v>
      </c>
      <c r="X44" s="3165" t="s">
        <v>70</v>
      </c>
      <c r="Y44" s="3572" t="s">
        <v>70</v>
      </c>
      <c r="Z44" s="3166" t="s">
        <v>50</v>
      </c>
      <c r="AA44" s="3182" t="s">
        <v>50</v>
      </c>
      <c r="AB44" s="3182" t="s">
        <v>50</v>
      </c>
      <c r="AC44" s="3182" t="s">
        <v>50</v>
      </c>
      <c r="AD44" s="3165" t="s">
        <v>50</v>
      </c>
      <c r="AE44" s="3193" t="s">
        <v>103</v>
      </c>
      <c r="AF44" s="3193" t="s">
        <v>104</v>
      </c>
      <c r="AG44" s="3795">
        <v>6</v>
      </c>
      <c r="AH44" s="115"/>
      <c r="AI44" s="116"/>
    </row>
    <row r="45" spans="1:38" ht="18" customHeight="1" x14ac:dyDescent="0.2">
      <c r="A45" s="3571">
        <v>6</v>
      </c>
      <c r="B45" s="3511" t="s">
        <v>105</v>
      </c>
      <c r="C45" s="3516"/>
      <c r="D45" s="3516"/>
      <c r="E45" s="3516" t="s">
        <v>50</v>
      </c>
      <c r="F45" s="3516" t="s">
        <v>50</v>
      </c>
      <c r="G45" s="3516" t="s">
        <v>50</v>
      </c>
      <c r="H45" s="3516" t="s">
        <v>50</v>
      </c>
      <c r="I45" s="3516" t="s">
        <v>50</v>
      </c>
      <c r="J45" s="3516"/>
      <c r="K45" s="3516"/>
      <c r="L45" s="3515">
        <v>5</v>
      </c>
      <c r="M45" s="3515">
        <v>5</v>
      </c>
      <c r="N45" s="3515">
        <v>5</v>
      </c>
      <c r="O45" s="3516">
        <v>5</v>
      </c>
      <c r="P45" s="3516">
        <v>5</v>
      </c>
      <c r="Q45" s="3516"/>
      <c r="R45" s="3516"/>
      <c r="S45" s="3516">
        <v>10</v>
      </c>
      <c r="T45" s="3516">
        <v>10</v>
      </c>
      <c r="U45" s="3516">
        <v>10</v>
      </c>
      <c r="V45" s="3516">
        <v>10</v>
      </c>
      <c r="W45" s="3516">
        <v>10</v>
      </c>
      <c r="X45" s="3516" t="s">
        <v>106</v>
      </c>
      <c r="Y45" s="3516" t="s">
        <v>106</v>
      </c>
      <c r="Z45" s="3516" t="s">
        <v>50</v>
      </c>
      <c r="AA45" s="3516" t="s">
        <v>50</v>
      </c>
      <c r="AB45" s="3516" t="s">
        <v>50</v>
      </c>
      <c r="AC45" s="3516" t="s">
        <v>50</v>
      </c>
      <c r="AD45" s="3516" t="s">
        <v>50</v>
      </c>
      <c r="AE45" s="3516" t="s">
        <v>107</v>
      </c>
      <c r="AF45" s="3516" t="s">
        <v>107</v>
      </c>
      <c r="AG45" s="3510">
        <v>7</v>
      </c>
      <c r="AH45" s="115"/>
      <c r="AI45" s="116"/>
    </row>
    <row r="46" spans="1:38" ht="18" customHeight="1" thickBot="1" x14ac:dyDescent="0.25">
      <c r="A46" s="3573">
        <v>11</v>
      </c>
      <c r="B46" s="3531" t="s">
        <v>108</v>
      </c>
      <c r="C46" s="3535"/>
      <c r="D46" s="3535"/>
      <c r="E46" s="3796">
        <v>4</v>
      </c>
      <c r="F46" s="3575">
        <v>4</v>
      </c>
      <c r="G46" s="3575" t="s">
        <v>399</v>
      </c>
      <c r="H46" s="3575">
        <v>4</v>
      </c>
      <c r="I46" s="3575">
        <v>4</v>
      </c>
      <c r="J46" s="3575"/>
      <c r="K46" s="3444"/>
      <c r="L46" s="3535">
        <v>3</v>
      </c>
      <c r="M46" s="3572">
        <v>3</v>
      </c>
      <c r="N46" s="3535">
        <v>3</v>
      </c>
      <c r="O46" s="3535">
        <v>3</v>
      </c>
      <c r="P46" s="3535">
        <v>3</v>
      </c>
      <c r="Q46" s="3587"/>
      <c r="R46" s="3535"/>
      <c r="S46" s="3535">
        <v>11</v>
      </c>
      <c r="T46" s="3532">
        <v>11</v>
      </c>
      <c r="U46" s="3535">
        <v>11</v>
      </c>
      <c r="V46" s="3535">
        <v>11</v>
      </c>
      <c r="W46" s="3535">
        <v>11</v>
      </c>
      <c r="X46" s="3535" t="s">
        <v>109</v>
      </c>
      <c r="Y46" s="3535" t="s">
        <v>109</v>
      </c>
      <c r="Z46" s="3535" t="s">
        <v>50</v>
      </c>
      <c r="AA46" s="3535" t="s">
        <v>50</v>
      </c>
      <c r="AB46" s="3535" t="s">
        <v>50</v>
      </c>
      <c r="AC46" s="3535" t="s">
        <v>50</v>
      </c>
      <c r="AD46" s="3584" t="s">
        <v>50</v>
      </c>
      <c r="AE46" s="3797" t="s">
        <v>104</v>
      </c>
      <c r="AF46" s="3797" t="s">
        <v>104</v>
      </c>
      <c r="AG46" s="3578">
        <v>8</v>
      </c>
      <c r="AH46" s="115"/>
      <c r="AI46" s="116"/>
    </row>
    <row r="47" spans="1:38" ht="18" customHeight="1" thickBot="1" x14ac:dyDescent="0.25">
      <c r="A47" s="3179">
        <v>2</v>
      </c>
      <c r="B47" s="3798" t="s">
        <v>156</v>
      </c>
      <c r="C47" s="3168" t="s">
        <v>104</v>
      </c>
      <c r="D47" s="3168" t="s">
        <v>104</v>
      </c>
      <c r="E47" s="3163">
        <v>1</v>
      </c>
      <c r="F47" s="3185">
        <v>1</v>
      </c>
      <c r="G47" s="3185">
        <v>1</v>
      </c>
      <c r="H47" s="3166">
        <v>1</v>
      </c>
      <c r="I47" s="3194">
        <v>1</v>
      </c>
      <c r="J47" s="3164"/>
      <c r="K47" s="3164"/>
      <c r="L47" s="3166">
        <v>9</v>
      </c>
      <c r="M47" s="3166">
        <v>9</v>
      </c>
      <c r="N47" s="3166">
        <v>9</v>
      </c>
      <c r="O47" s="3165">
        <v>9</v>
      </c>
      <c r="P47" s="3166">
        <v>9</v>
      </c>
      <c r="Q47" s="3165" t="s">
        <v>70</v>
      </c>
      <c r="R47" s="3572" t="s">
        <v>70</v>
      </c>
      <c r="S47" s="3164" t="s">
        <v>50</v>
      </c>
      <c r="T47" s="3165" t="s">
        <v>50</v>
      </c>
      <c r="U47" s="3165" t="s">
        <v>50</v>
      </c>
      <c r="V47" s="3165" t="s">
        <v>50</v>
      </c>
      <c r="W47" s="3165" t="s">
        <v>50</v>
      </c>
      <c r="X47" s="3165" t="s">
        <v>103</v>
      </c>
      <c r="Y47" s="3166" t="s">
        <v>104</v>
      </c>
      <c r="Z47" s="3166">
        <v>6</v>
      </c>
      <c r="AA47" s="3166">
        <v>6</v>
      </c>
      <c r="AB47" s="3166">
        <v>6</v>
      </c>
      <c r="AC47" s="3165">
        <v>6</v>
      </c>
      <c r="AD47" s="3165">
        <v>6</v>
      </c>
      <c r="AE47" s="3166"/>
      <c r="AF47" s="3166"/>
      <c r="AG47" s="3184" t="s">
        <v>50</v>
      </c>
      <c r="AH47" s="115"/>
      <c r="AI47" s="116"/>
    </row>
    <row r="48" spans="1:38" ht="18" customHeight="1" x14ac:dyDescent="0.2">
      <c r="A48" s="3571">
        <v>7</v>
      </c>
      <c r="B48" s="3511" t="s">
        <v>114</v>
      </c>
      <c r="C48" s="3580"/>
      <c r="D48" s="3514"/>
      <c r="E48" s="3507">
        <v>5</v>
      </c>
      <c r="F48" s="3507">
        <v>5</v>
      </c>
      <c r="G48" s="3507">
        <v>5</v>
      </c>
      <c r="H48" s="3507">
        <v>5</v>
      </c>
      <c r="I48" s="3366">
        <v>5</v>
      </c>
      <c r="J48" s="3519"/>
      <c r="K48" s="3519"/>
      <c r="L48" s="3366" t="s">
        <v>51</v>
      </c>
      <c r="M48" s="3366" t="s">
        <v>51</v>
      </c>
      <c r="N48" s="3366" t="s">
        <v>51</v>
      </c>
      <c r="O48" s="3366" t="s">
        <v>51</v>
      </c>
      <c r="P48" s="3366" t="s">
        <v>51</v>
      </c>
      <c r="Q48" s="3366" t="s">
        <v>52</v>
      </c>
      <c r="R48" s="3366" t="s">
        <v>52</v>
      </c>
      <c r="S48" s="3519" t="s">
        <v>50</v>
      </c>
      <c r="T48" s="3519" t="s">
        <v>50</v>
      </c>
      <c r="U48" s="3580" t="s">
        <v>50</v>
      </c>
      <c r="V48" s="3580" t="s">
        <v>50</v>
      </c>
      <c r="W48" s="3581" t="s">
        <v>50</v>
      </c>
      <c r="X48" s="3521" t="s">
        <v>107</v>
      </c>
      <c r="Y48" s="3521" t="s">
        <v>107</v>
      </c>
      <c r="Z48" s="3521">
        <v>7</v>
      </c>
      <c r="AA48" s="3521">
        <v>7</v>
      </c>
      <c r="AB48" s="3521">
        <v>7</v>
      </c>
      <c r="AC48" s="3521">
        <v>7</v>
      </c>
      <c r="AD48" s="3521">
        <v>7</v>
      </c>
      <c r="AE48" s="3521"/>
      <c r="AF48" s="3521" t="s">
        <v>68</v>
      </c>
      <c r="AG48" s="3799">
        <v>4</v>
      </c>
      <c r="AH48" s="115"/>
      <c r="AI48" s="116"/>
    </row>
    <row r="49" spans="1:40" ht="18" customHeight="1" thickBot="1" x14ac:dyDescent="0.25">
      <c r="A49" s="3573">
        <v>12</v>
      </c>
      <c r="B49" s="3582" t="s">
        <v>115</v>
      </c>
      <c r="C49" s="3443"/>
      <c r="D49" s="3443"/>
      <c r="E49" s="3572">
        <v>3</v>
      </c>
      <c r="F49" s="3572">
        <v>3</v>
      </c>
      <c r="G49" s="3572">
        <v>3</v>
      </c>
      <c r="H49" s="3572">
        <v>3</v>
      </c>
      <c r="I49" s="3572">
        <v>3</v>
      </c>
      <c r="J49" s="3572"/>
      <c r="K49" s="3572"/>
      <c r="L49" s="3572">
        <v>11</v>
      </c>
      <c r="M49" s="3572">
        <v>11</v>
      </c>
      <c r="N49" s="3572">
        <v>11</v>
      </c>
      <c r="O49" s="3572">
        <v>11</v>
      </c>
      <c r="P49" s="3572">
        <v>11</v>
      </c>
      <c r="Q49" s="3572" t="s">
        <v>109</v>
      </c>
      <c r="R49" s="3572" t="s">
        <v>109</v>
      </c>
      <c r="S49" s="3572" t="s">
        <v>50</v>
      </c>
      <c r="T49" s="3800">
        <v>26</v>
      </c>
      <c r="U49" s="3801" t="s">
        <v>50</v>
      </c>
      <c r="V49" s="3572" t="s">
        <v>50</v>
      </c>
      <c r="W49" s="3572" t="s">
        <v>50</v>
      </c>
      <c r="X49" s="3572" t="s">
        <v>104</v>
      </c>
      <c r="Y49" s="3572" t="s">
        <v>104</v>
      </c>
      <c r="Z49" s="3575">
        <v>8</v>
      </c>
      <c r="AA49" s="3575">
        <v>8</v>
      </c>
      <c r="AB49" s="3575">
        <v>8</v>
      </c>
      <c r="AC49" s="3575">
        <v>8</v>
      </c>
      <c r="AD49" s="3575" t="s">
        <v>418</v>
      </c>
      <c r="AE49" s="3572"/>
      <c r="AF49" s="3572"/>
      <c r="AG49" s="3585" t="s">
        <v>50</v>
      </c>
      <c r="AH49" s="115"/>
      <c r="AI49" s="116"/>
    </row>
    <row r="50" spans="1:40" ht="18" customHeight="1" thickBot="1" x14ac:dyDescent="0.25">
      <c r="A50" s="3179">
        <v>3</v>
      </c>
      <c r="B50" s="3191" t="s">
        <v>116</v>
      </c>
      <c r="C50" s="711"/>
      <c r="D50" s="597"/>
      <c r="E50" s="1741">
        <v>9</v>
      </c>
      <c r="F50" s="712">
        <v>9</v>
      </c>
      <c r="G50" s="780">
        <v>9</v>
      </c>
      <c r="H50" s="712">
        <v>9</v>
      </c>
      <c r="I50" s="1784">
        <v>9</v>
      </c>
      <c r="J50" s="597" t="s">
        <v>70</v>
      </c>
      <c r="K50" s="3572" t="s">
        <v>70</v>
      </c>
      <c r="L50" s="597" t="s">
        <v>50</v>
      </c>
      <c r="M50" s="597" t="s">
        <v>50</v>
      </c>
      <c r="N50" s="597" t="s">
        <v>50</v>
      </c>
      <c r="O50" s="597" t="s">
        <v>50</v>
      </c>
      <c r="P50" s="597" t="s">
        <v>50</v>
      </c>
      <c r="Q50" s="597" t="s">
        <v>103</v>
      </c>
      <c r="R50" s="712" t="s">
        <v>104</v>
      </c>
      <c r="S50" s="712">
        <v>6</v>
      </c>
      <c r="T50" s="712">
        <v>6</v>
      </c>
      <c r="U50" s="712">
        <v>6</v>
      </c>
      <c r="V50" s="597">
        <v>6</v>
      </c>
      <c r="W50" s="597">
        <v>6</v>
      </c>
      <c r="X50" s="711"/>
      <c r="Y50" s="712"/>
      <c r="Z50" s="712" t="s">
        <v>50</v>
      </c>
      <c r="AA50" s="712" t="s">
        <v>50</v>
      </c>
      <c r="AB50" s="712" t="s">
        <v>50</v>
      </c>
      <c r="AC50" s="596" t="s">
        <v>50</v>
      </c>
      <c r="AD50" s="712" t="s">
        <v>50</v>
      </c>
      <c r="AE50" s="712"/>
      <c r="AF50" s="712"/>
      <c r="AG50" s="1086">
        <v>5</v>
      </c>
      <c r="AH50" s="115"/>
      <c r="AI50" s="116"/>
    </row>
    <row r="51" spans="1:40" ht="18" customHeight="1" x14ac:dyDescent="0.2">
      <c r="A51" s="3571">
        <v>8</v>
      </c>
      <c r="B51" s="3511" t="s">
        <v>117</v>
      </c>
      <c r="C51" s="3519"/>
      <c r="D51" s="3519"/>
      <c r="E51" s="3519">
        <v>10</v>
      </c>
      <c r="F51" s="3519">
        <v>10</v>
      </c>
      <c r="G51" s="3519">
        <v>10</v>
      </c>
      <c r="H51" s="3519">
        <v>10</v>
      </c>
      <c r="I51" s="3513">
        <v>10</v>
      </c>
      <c r="J51" s="3519" t="s">
        <v>106</v>
      </c>
      <c r="K51" s="3519" t="s">
        <v>106</v>
      </c>
      <c r="L51" s="3519" t="s">
        <v>50</v>
      </c>
      <c r="M51" s="3519" t="s">
        <v>50</v>
      </c>
      <c r="N51" s="3514" t="s">
        <v>50</v>
      </c>
      <c r="O51" s="3519" t="s">
        <v>50</v>
      </c>
      <c r="P51" s="3519" t="s">
        <v>50</v>
      </c>
      <c r="Q51" s="3519" t="s">
        <v>107</v>
      </c>
      <c r="R51" s="3519" t="s">
        <v>107</v>
      </c>
      <c r="S51" s="3519">
        <v>7</v>
      </c>
      <c r="T51" s="3519">
        <v>7</v>
      </c>
      <c r="U51" s="3519">
        <v>7</v>
      </c>
      <c r="V51" s="3521">
        <v>7</v>
      </c>
      <c r="W51" s="3521">
        <v>7</v>
      </c>
      <c r="X51" s="3366"/>
      <c r="Y51" s="3521"/>
      <c r="Z51" s="3521">
        <v>4</v>
      </c>
      <c r="AA51" s="3521">
        <v>4</v>
      </c>
      <c r="AB51" s="3521">
        <v>4</v>
      </c>
      <c r="AC51" s="3521">
        <v>4</v>
      </c>
      <c r="AD51" s="3514">
        <v>4</v>
      </c>
      <c r="AE51" s="3514"/>
      <c r="AF51" s="3580"/>
      <c r="AG51" s="3546">
        <v>3</v>
      </c>
      <c r="AH51" s="115"/>
      <c r="AI51" s="116" t="s">
        <v>557</v>
      </c>
    </row>
    <row r="52" spans="1:40" ht="18" customHeight="1" x14ac:dyDescent="0.2">
      <c r="A52" s="3573">
        <v>13</v>
      </c>
      <c r="B52" s="3531" t="s">
        <v>118</v>
      </c>
      <c r="C52" s="3584"/>
      <c r="D52" s="3584"/>
      <c r="E52" s="3584">
        <v>11</v>
      </c>
      <c r="F52" s="3584">
        <v>11</v>
      </c>
      <c r="G52" s="3535">
        <v>11</v>
      </c>
      <c r="H52" s="3535">
        <v>11</v>
      </c>
      <c r="I52" s="3535">
        <v>11</v>
      </c>
      <c r="J52" s="3534" t="s">
        <v>109</v>
      </c>
      <c r="K52" s="3535" t="s">
        <v>109</v>
      </c>
      <c r="L52" s="3536" t="s">
        <v>50</v>
      </c>
      <c r="M52" s="3535" t="s">
        <v>50</v>
      </c>
      <c r="N52" s="3536" t="s">
        <v>50</v>
      </c>
      <c r="O52" s="3536" t="s">
        <v>50</v>
      </c>
      <c r="P52" s="3536" t="s">
        <v>50</v>
      </c>
      <c r="Q52" s="3535" t="s">
        <v>104</v>
      </c>
      <c r="R52" s="3535" t="s">
        <v>104</v>
      </c>
      <c r="S52" s="3535">
        <v>8</v>
      </c>
      <c r="T52" s="3535">
        <v>8</v>
      </c>
      <c r="U52" s="3535">
        <v>8</v>
      </c>
      <c r="V52" s="3535">
        <v>8</v>
      </c>
      <c r="W52" s="3535">
        <v>8</v>
      </c>
      <c r="X52" s="3535"/>
      <c r="Y52" s="3534"/>
      <c r="Z52" s="3535" t="s">
        <v>50</v>
      </c>
      <c r="AA52" s="3535" t="s">
        <v>50</v>
      </c>
      <c r="AB52" s="3535" t="s">
        <v>50</v>
      </c>
      <c r="AC52" s="3535" t="s">
        <v>50</v>
      </c>
      <c r="AD52" s="3535" t="s">
        <v>50</v>
      </c>
      <c r="AE52" s="3534"/>
      <c r="AF52" s="3535"/>
      <c r="AG52" s="3578">
        <v>1</v>
      </c>
      <c r="AH52" s="115"/>
      <c r="AI52" s="116"/>
    </row>
    <row r="53" spans="1:40" ht="18" customHeight="1" x14ac:dyDescent="0.2">
      <c r="A53" s="3179">
        <v>4</v>
      </c>
      <c r="B53" s="3161" t="s">
        <v>119</v>
      </c>
      <c r="C53" s="3166" t="s">
        <v>70</v>
      </c>
      <c r="D53" s="3572" t="s">
        <v>70</v>
      </c>
      <c r="E53" s="3166" t="s">
        <v>50</v>
      </c>
      <c r="F53" s="3164" t="s">
        <v>50</v>
      </c>
      <c r="G53" s="3164" t="s">
        <v>50</v>
      </c>
      <c r="H53" s="3164" t="s">
        <v>50</v>
      </c>
      <c r="I53" s="3164" t="s">
        <v>50</v>
      </c>
      <c r="J53" s="3164" t="s">
        <v>103</v>
      </c>
      <c r="K53" s="3164" t="s">
        <v>104</v>
      </c>
      <c r="L53" s="3164">
        <v>6</v>
      </c>
      <c r="M53" s="3164">
        <v>6</v>
      </c>
      <c r="N53" s="3166">
        <v>6</v>
      </c>
      <c r="O53" s="3165">
        <v>6</v>
      </c>
      <c r="P53" s="3165">
        <v>6</v>
      </c>
      <c r="Q53" s="3165"/>
      <c r="R53" s="3165"/>
      <c r="S53" s="3165" t="s">
        <v>50</v>
      </c>
      <c r="T53" s="3166" t="s">
        <v>50</v>
      </c>
      <c r="U53" s="3166" t="s">
        <v>50</v>
      </c>
      <c r="V53" s="3185" t="s">
        <v>50</v>
      </c>
      <c r="W53" s="3185" t="s">
        <v>50</v>
      </c>
      <c r="X53" s="3185"/>
      <c r="Y53" s="3185"/>
      <c r="Z53" s="3185">
        <v>5</v>
      </c>
      <c r="AA53" s="3521">
        <v>5</v>
      </c>
      <c r="AB53" s="3521">
        <v>5</v>
      </c>
      <c r="AC53" s="3166">
        <v>5</v>
      </c>
      <c r="AD53" s="3166">
        <v>5</v>
      </c>
      <c r="AE53" s="3165"/>
      <c r="AF53" s="3166"/>
      <c r="AG53" s="3184">
        <v>10</v>
      </c>
      <c r="AH53" s="115"/>
      <c r="AI53" s="116"/>
    </row>
    <row r="54" spans="1:40" ht="18" customHeight="1" x14ac:dyDescent="0.2">
      <c r="A54" s="3571">
        <v>9</v>
      </c>
      <c r="B54" s="3511" t="s">
        <v>120</v>
      </c>
      <c r="C54" s="3521" t="s">
        <v>106</v>
      </c>
      <c r="D54" s="3521" t="s">
        <v>106</v>
      </c>
      <c r="E54" s="3521" t="s">
        <v>50</v>
      </c>
      <c r="F54" s="3521" t="s">
        <v>50</v>
      </c>
      <c r="G54" s="3521" t="s">
        <v>50</v>
      </c>
      <c r="H54" s="3521" t="s">
        <v>50</v>
      </c>
      <c r="I54" s="3521" t="s">
        <v>50</v>
      </c>
      <c r="J54" s="3521" t="s">
        <v>107</v>
      </c>
      <c r="K54" s="3521" t="s">
        <v>107</v>
      </c>
      <c r="L54" s="3521">
        <v>7</v>
      </c>
      <c r="M54" s="3521">
        <v>7</v>
      </c>
      <c r="N54" s="3521">
        <v>7</v>
      </c>
      <c r="O54" s="3521">
        <v>7</v>
      </c>
      <c r="P54" s="3521">
        <v>7</v>
      </c>
      <c r="Q54" s="3366"/>
      <c r="R54" s="3521"/>
      <c r="S54" s="3713">
        <v>4</v>
      </c>
      <c r="T54" s="3713">
        <v>4</v>
      </c>
      <c r="U54" s="3713">
        <v>4</v>
      </c>
      <c r="V54" s="3713">
        <v>4</v>
      </c>
      <c r="W54" s="3713">
        <v>4</v>
      </c>
      <c r="X54" s="3709"/>
      <c r="Y54" s="3709"/>
      <c r="Z54" s="3507">
        <v>3</v>
      </c>
      <c r="AA54" s="3507">
        <v>3</v>
      </c>
      <c r="AB54" s="3507">
        <v>3</v>
      </c>
      <c r="AC54" s="3507">
        <v>3</v>
      </c>
      <c r="AD54" s="3507">
        <v>3</v>
      </c>
      <c r="AE54" s="3521"/>
      <c r="AF54" s="3521"/>
      <c r="AG54" s="3546">
        <v>11</v>
      </c>
      <c r="AH54" s="115"/>
      <c r="AI54" s="116"/>
    </row>
    <row r="55" spans="1:40" ht="18" customHeight="1" x14ac:dyDescent="0.2">
      <c r="A55" s="3573">
        <v>14</v>
      </c>
      <c r="B55" s="3531" t="s">
        <v>121</v>
      </c>
      <c r="C55" s="3534" t="s">
        <v>109</v>
      </c>
      <c r="D55" s="3535" t="s">
        <v>109</v>
      </c>
      <c r="E55" s="3535" t="s">
        <v>50</v>
      </c>
      <c r="F55" s="3535" t="s">
        <v>50</v>
      </c>
      <c r="G55" s="3536" t="s">
        <v>50</v>
      </c>
      <c r="H55" s="3536" t="s">
        <v>50</v>
      </c>
      <c r="I55" s="3536" t="s">
        <v>50</v>
      </c>
      <c r="J55" s="3535" t="s">
        <v>104</v>
      </c>
      <c r="K55" s="3535" t="s">
        <v>104</v>
      </c>
      <c r="L55" s="3535">
        <v>8</v>
      </c>
      <c r="M55" s="3535">
        <v>8</v>
      </c>
      <c r="N55" s="3535">
        <v>8</v>
      </c>
      <c r="O55" s="3802">
        <v>8</v>
      </c>
      <c r="P55" s="3535">
        <v>8</v>
      </c>
      <c r="Q55" s="3535"/>
      <c r="R55" s="3534"/>
      <c r="S55" s="3535" t="s">
        <v>50</v>
      </c>
      <c r="T55" s="3535" t="s">
        <v>50</v>
      </c>
      <c r="U55" s="3535" t="s">
        <v>50</v>
      </c>
      <c r="V55" s="3535" t="s">
        <v>50</v>
      </c>
      <c r="W55" s="3535" t="s">
        <v>50</v>
      </c>
      <c r="X55" s="3534"/>
      <c r="Y55" s="3535"/>
      <c r="Z55" s="3443">
        <v>1</v>
      </c>
      <c r="AA55" s="3443">
        <v>1</v>
      </c>
      <c r="AB55" s="3443">
        <v>1</v>
      </c>
      <c r="AC55" s="3443">
        <v>1</v>
      </c>
      <c r="AD55" s="3443">
        <v>1</v>
      </c>
      <c r="AE55" s="3443"/>
      <c r="AF55" s="3443"/>
      <c r="AG55" s="3552">
        <v>9</v>
      </c>
      <c r="AH55" s="115"/>
      <c r="AI55" s="116"/>
      <c r="AK55" t="s">
        <v>0</v>
      </c>
    </row>
    <row r="56" spans="1:40" ht="18" customHeight="1" x14ac:dyDescent="0.2">
      <c r="A56" s="3179">
        <v>5</v>
      </c>
      <c r="B56" s="3511" t="s">
        <v>122</v>
      </c>
      <c r="C56" s="3164" t="s">
        <v>103</v>
      </c>
      <c r="D56" s="3164" t="s">
        <v>104</v>
      </c>
      <c r="E56" s="3164">
        <v>6</v>
      </c>
      <c r="F56" s="3185">
        <v>6</v>
      </c>
      <c r="G56" s="3165">
        <v>6</v>
      </c>
      <c r="H56" s="3165">
        <v>6</v>
      </c>
      <c r="I56" s="3165">
        <v>6</v>
      </c>
      <c r="J56" s="3165"/>
      <c r="K56" s="3166"/>
      <c r="L56" s="3166" t="s">
        <v>50</v>
      </c>
      <c r="M56" s="3166" t="s">
        <v>50</v>
      </c>
      <c r="N56" s="3196" t="s">
        <v>50</v>
      </c>
      <c r="O56" s="3164" t="s">
        <v>50</v>
      </c>
      <c r="P56" s="3166" t="s">
        <v>50</v>
      </c>
      <c r="Q56" s="3166"/>
      <c r="R56" s="3164"/>
      <c r="S56" s="3193">
        <v>5</v>
      </c>
      <c r="T56" s="3193">
        <v>5</v>
      </c>
      <c r="U56" s="3193">
        <v>5</v>
      </c>
      <c r="V56" s="3193">
        <v>5</v>
      </c>
      <c r="W56" s="3193">
        <v>5</v>
      </c>
      <c r="X56" s="3193"/>
      <c r="Y56" s="3193"/>
      <c r="Z56" s="3570">
        <v>1</v>
      </c>
      <c r="AA56" s="3570">
        <v>1</v>
      </c>
      <c r="AB56" s="3570">
        <v>1</v>
      </c>
      <c r="AC56" s="3570">
        <v>1</v>
      </c>
      <c r="AD56" s="3570">
        <v>1</v>
      </c>
      <c r="AE56" s="3570" t="s">
        <v>103</v>
      </c>
      <c r="AF56" s="3570" t="s">
        <v>104</v>
      </c>
      <c r="AG56" s="3239" t="s">
        <v>50</v>
      </c>
      <c r="AH56" s="115"/>
      <c r="AI56" s="116"/>
    </row>
    <row r="57" spans="1:40" ht="18" customHeight="1" x14ac:dyDescent="0.2">
      <c r="A57" s="3571">
        <v>10</v>
      </c>
      <c r="B57" s="3511" t="s">
        <v>123</v>
      </c>
      <c r="C57" s="3514" t="s">
        <v>107</v>
      </c>
      <c r="D57" s="3514" t="s">
        <v>107</v>
      </c>
      <c r="E57" s="3514">
        <v>7</v>
      </c>
      <c r="F57" s="3514">
        <v>7</v>
      </c>
      <c r="G57" s="3513">
        <v>7</v>
      </c>
      <c r="H57" s="3513">
        <v>7</v>
      </c>
      <c r="I57" s="3513">
        <v>7</v>
      </c>
      <c r="J57" s="3513"/>
      <c r="K57" s="3513"/>
      <c r="L57" s="3513">
        <v>4</v>
      </c>
      <c r="M57" s="3513">
        <v>4</v>
      </c>
      <c r="N57" s="3513">
        <v>4</v>
      </c>
      <c r="O57" s="3514">
        <v>4</v>
      </c>
      <c r="P57" s="3514">
        <v>4</v>
      </c>
      <c r="Q57" s="3514"/>
      <c r="R57" s="3514"/>
      <c r="S57" s="3514">
        <v>3</v>
      </c>
      <c r="T57" s="3513">
        <v>3</v>
      </c>
      <c r="U57" s="3513">
        <v>3</v>
      </c>
      <c r="V57" s="3519">
        <v>3</v>
      </c>
      <c r="W57" s="3519">
        <v>3</v>
      </c>
      <c r="X57" s="3519"/>
      <c r="Y57" s="3519"/>
      <c r="Z57" s="3522">
        <v>11</v>
      </c>
      <c r="AA57" s="3522">
        <v>11</v>
      </c>
      <c r="AB57" s="3522">
        <v>11</v>
      </c>
      <c r="AC57" s="3522">
        <v>11</v>
      </c>
      <c r="AD57" s="3522">
        <v>11</v>
      </c>
      <c r="AE57" s="3522" t="s">
        <v>109</v>
      </c>
      <c r="AF57" s="3522" t="s">
        <v>109</v>
      </c>
      <c r="AG57" s="3546" t="s">
        <v>50</v>
      </c>
      <c r="AH57" s="115"/>
      <c r="AI57" s="116"/>
    </row>
    <row r="58" spans="1:40" ht="18" customHeight="1" x14ac:dyDescent="0.2">
      <c r="A58" s="3573">
        <v>15</v>
      </c>
      <c r="B58" s="3531" t="s">
        <v>124</v>
      </c>
      <c r="C58" s="3575" t="s">
        <v>104</v>
      </c>
      <c r="D58" s="3575" t="s">
        <v>104</v>
      </c>
      <c r="E58" s="3575">
        <v>8</v>
      </c>
      <c r="F58" s="3575" t="s">
        <v>418</v>
      </c>
      <c r="G58" s="3803">
        <v>8</v>
      </c>
      <c r="H58" s="3803">
        <v>8</v>
      </c>
      <c r="I58" s="3803">
        <v>8</v>
      </c>
      <c r="J58" s="3536"/>
      <c r="K58" s="3534"/>
      <c r="L58" s="3535" t="s">
        <v>50</v>
      </c>
      <c r="M58" s="3535" t="s">
        <v>50</v>
      </c>
      <c r="N58" s="3535" t="s">
        <v>50</v>
      </c>
      <c r="O58" s="3572" t="s">
        <v>50</v>
      </c>
      <c r="P58" s="3572" t="s">
        <v>50</v>
      </c>
      <c r="Q58" s="3572"/>
      <c r="R58" s="3572"/>
      <c r="S58" s="3572">
        <v>1</v>
      </c>
      <c r="T58" s="3572">
        <v>1</v>
      </c>
      <c r="U58" s="3572">
        <v>1</v>
      </c>
      <c r="V58" s="3535">
        <v>1</v>
      </c>
      <c r="W58" s="3535">
        <v>1</v>
      </c>
      <c r="X58" s="3535"/>
      <c r="Y58" s="3534"/>
      <c r="Z58" s="3535">
        <v>9</v>
      </c>
      <c r="AA58" s="3535">
        <v>9</v>
      </c>
      <c r="AB58" s="3535">
        <v>9</v>
      </c>
      <c r="AC58" s="3535">
        <v>9</v>
      </c>
      <c r="AD58" s="3535">
        <v>9</v>
      </c>
      <c r="AE58" s="3534" t="s">
        <v>70</v>
      </c>
      <c r="AF58" s="3572" t="s">
        <v>70</v>
      </c>
      <c r="AG58" s="3591" t="s">
        <v>50</v>
      </c>
      <c r="AH58" s="115"/>
      <c r="AI58" s="116"/>
    </row>
    <row r="59" spans="1:40" ht="18" customHeight="1" x14ac:dyDescent="0.2">
      <c r="A59" s="62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1"/>
    </row>
    <row r="60" spans="1:40" ht="18" customHeight="1" x14ac:dyDescent="0.2">
      <c r="A60" s="69"/>
      <c r="B60" s="42" t="s">
        <v>125</v>
      </c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1"/>
    </row>
    <row r="61" spans="1:40" ht="18" customHeight="1" x14ac:dyDescent="0.2">
      <c r="A61" s="3767" t="s">
        <v>43</v>
      </c>
      <c r="B61" s="3767"/>
      <c r="C61" s="3766"/>
      <c r="D61" s="3767" t="s">
        <v>17</v>
      </c>
      <c r="E61" s="3765"/>
      <c r="F61" s="3766"/>
      <c r="G61" s="3767" t="s">
        <v>18</v>
      </c>
      <c r="H61" s="3765"/>
      <c r="I61" s="3766"/>
      <c r="J61" s="3767" t="s">
        <v>19</v>
      </c>
      <c r="K61" s="3765"/>
      <c r="L61" s="3766"/>
      <c r="M61" s="3767" t="s">
        <v>20</v>
      </c>
      <c r="N61" s="3765"/>
      <c r="O61" s="3766"/>
      <c r="P61" s="3767" t="s">
        <v>21</v>
      </c>
      <c r="Q61" s="3765"/>
      <c r="R61" s="3762"/>
      <c r="S61" s="3763" t="s">
        <v>22</v>
      </c>
      <c r="T61" s="3765"/>
      <c r="U61" s="3766"/>
      <c r="V61" s="3767" t="s">
        <v>23</v>
      </c>
      <c r="W61" s="3765"/>
      <c r="X61" s="3592" t="s">
        <v>126</v>
      </c>
      <c r="Y61" s="3765"/>
      <c r="Z61" s="3765"/>
      <c r="AA61" s="3593"/>
      <c r="AB61" s="3756"/>
      <c r="AC61" s="3756"/>
      <c r="AD61" s="3756"/>
      <c r="AE61" s="3756"/>
      <c r="AF61" s="3756"/>
      <c r="AG61" s="3757"/>
      <c r="AH61" s="1"/>
    </row>
    <row r="62" spans="1:40" ht="18" customHeight="1" x14ac:dyDescent="0.2">
      <c r="B62" s="3505" t="s">
        <v>131</v>
      </c>
      <c r="C62" s="2857" t="s">
        <v>132</v>
      </c>
      <c r="D62" s="2858"/>
      <c r="E62" s="2859"/>
      <c r="F62" s="2857" t="s">
        <v>132</v>
      </c>
      <c r="G62" s="2860"/>
      <c r="H62" s="2859"/>
      <c r="I62" s="3594" t="s">
        <v>132</v>
      </c>
      <c r="J62" s="3595"/>
      <c r="K62" s="3596"/>
      <c r="L62" s="3594" t="s">
        <v>132</v>
      </c>
      <c r="M62" s="3595"/>
      <c r="N62" s="3596"/>
      <c r="O62" s="3594" t="s">
        <v>133</v>
      </c>
      <c r="P62" s="3595"/>
      <c r="Q62" s="3755"/>
      <c r="R62" s="3597" t="s">
        <v>0</v>
      </c>
      <c r="S62" s="3595"/>
      <c r="T62" s="3596"/>
      <c r="U62" s="3595" t="s">
        <v>0</v>
      </c>
      <c r="V62" s="3595"/>
      <c r="W62" s="3755"/>
      <c r="X62" s="386" t="s">
        <v>0</v>
      </c>
      <c r="Y62" s="48"/>
      <c r="Z62" s="48"/>
      <c r="AA62" s="48"/>
      <c r="AB62" s="48"/>
      <c r="AC62" s="48"/>
      <c r="AD62" s="48"/>
      <c r="AE62" s="48"/>
      <c r="AF62" s="48"/>
      <c r="AG62" s="71"/>
      <c r="AH62" s="1"/>
    </row>
    <row r="63" spans="1:40" ht="18" customHeight="1" thickBot="1" x14ac:dyDescent="0.25">
      <c r="A63" s="37"/>
      <c r="B63" s="62"/>
      <c r="C63" s="46"/>
      <c r="D63" s="46"/>
      <c r="E63" s="6"/>
      <c r="F63" s="46"/>
      <c r="G63" s="46"/>
      <c r="H63" s="6"/>
      <c r="I63" s="46"/>
      <c r="J63" s="46"/>
      <c r="K63" s="6"/>
      <c r="L63" s="46"/>
      <c r="M63" s="46"/>
      <c r="N63" s="6"/>
      <c r="O63" s="46"/>
      <c r="P63" s="46"/>
      <c r="Q63" s="6"/>
      <c r="R63" s="46"/>
      <c r="S63" s="46"/>
      <c r="T63" s="6"/>
      <c r="U63" s="46"/>
      <c r="V63" s="46"/>
      <c r="W63" s="6"/>
      <c r="X63" s="6"/>
      <c r="Y63" s="48"/>
      <c r="Z63" s="48"/>
      <c r="AA63" s="48"/>
      <c r="AB63" s="48"/>
      <c r="AC63" s="48"/>
      <c r="AD63" s="48"/>
      <c r="AE63" s="48"/>
      <c r="AF63" s="48"/>
      <c r="AG63" s="48"/>
      <c r="AH63" s="1"/>
    </row>
    <row r="64" spans="1:40" ht="18" customHeight="1" thickBot="1" x14ac:dyDescent="0.25">
      <c r="A64" s="3598"/>
      <c r="B64" s="3599" t="s">
        <v>44</v>
      </c>
      <c r="C64" s="2707">
        <v>1</v>
      </c>
      <c r="D64" s="2707">
        <v>2</v>
      </c>
      <c r="E64" s="2706">
        <v>3</v>
      </c>
      <c r="F64" s="2706">
        <v>4</v>
      </c>
      <c r="G64" s="2706">
        <v>5</v>
      </c>
      <c r="H64" s="2706">
        <v>6</v>
      </c>
      <c r="I64" s="2706">
        <v>7</v>
      </c>
      <c r="J64" s="2707">
        <v>8</v>
      </c>
      <c r="K64" s="2707">
        <v>9</v>
      </c>
      <c r="L64" s="2706">
        <v>10</v>
      </c>
      <c r="M64" s="2706">
        <v>11</v>
      </c>
      <c r="N64" s="2706">
        <v>12</v>
      </c>
      <c r="O64" s="2706">
        <v>13</v>
      </c>
      <c r="P64" s="2706">
        <v>14</v>
      </c>
      <c r="Q64" s="2707">
        <v>15</v>
      </c>
      <c r="R64" s="2707">
        <v>16</v>
      </c>
      <c r="S64" s="2706">
        <v>17</v>
      </c>
      <c r="T64" s="2706">
        <v>18</v>
      </c>
      <c r="U64" s="2706">
        <v>19</v>
      </c>
      <c r="V64" s="2706">
        <v>20</v>
      </c>
      <c r="W64" s="2706">
        <v>21</v>
      </c>
      <c r="X64" s="2707">
        <v>22</v>
      </c>
      <c r="Y64" s="2707">
        <v>23</v>
      </c>
      <c r="Z64" s="2706">
        <v>24</v>
      </c>
      <c r="AA64" s="2706">
        <v>25</v>
      </c>
      <c r="AB64" s="2706">
        <v>26</v>
      </c>
      <c r="AC64" s="2706">
        <v>27</v>
      </c>
      <c r="AD64" s="2706">
        <v>28</v>
      </c>
      <c r="AE64" s="2707">
        <v>29</v>
      </c>
      <c r="AF64" s="2707">
        <v>30</v>
      </c>
      <c r="AG64" s="2706">
        <v>31</v>
      </c>
      <c r="AH64" s="1"/>
      <c r="AJ64" s="3780" t="s">
        <v>41</v>
      </c>
      <c r="AK64" s="3780" t="s">
        <v>62</v>
      </c>
      <c r="AL64" s="3780" t="s">
        <v>63</v>
      </c>
      <c r="AM64" s="3780" t="s">
        <v>64</v>
      </c>
      <c r="AN64" s="3780" t="s">
        <v>65</v>
      </c>
    </row>
    <row r="65" spans="1:40" ht="18" customHeight="1" x14ac:dyDescent="0.2">
      <c r="A65" s="3804"/>
      <c r="B65" s="3805" t="s">
        <v>146</v>
      </c>
      <c r="C65" s="3509"/>
      <c r="D65" s="3509"/>
      <c r="E65" s="3509" t="s">
        <v>46</v>
      </c>
      <c r="F65" s="3509" t="s">
        <v>46</v>
      </c>
      <c r="G65" s="3509" t="s">
        <v>46</v>
      </c>
      <c r="H65" s="3509" t="s">
        <v>46</v>
      </c>
      <c r="I65" s="3509" t="s">
        <v>46</v>
      </c>
      <c r="J65" s="3509"/>
      <c r="K65" s="3509" t="s">
        <v>405</v>
      </c>
      <c r="L65" s="3766" t="s">
        <v>46</v>
      </c>
      <c r="M65" s="3766" t="s">
        <v>46</v>
      </c>
      <c r="N65" s="3766" t="s">
        <v>68</v>
      </c>
      <c r="O65" s="3766" t="s">
        <v>50</v>
      </c>
      <c r="P65" s="3766" t="s">
        <v>50</v>
      </c>
      <c r="Q65" s="3766" t="s">
        <v>475</v>
      </c>
      <c r="R65" s="3766" t="s">
        <v>475</v>
      </c>
      <c r="S65" s="3766" t="s">
        <v>162</v>
      </c>
      <c r="T65" s="3766" t="s">
        <v>162</v>
      </c>
      <c r="U65" s="3766" t="s">
        <v>162</v>
      </c>
      <c r="V65" s="3766" t="s">
        <v>50</v>
      </c>
      <c r="W65" s="3766" t="s">
        <v>50</v>
      </c>
      <c r="X65" s="3766"/>
      <c r="Y65" s="3766"/>
      <c r="Z65" s="3766" t="s">
        <v>68</v>
      </c>
      <c r="AA65" s="3518" t="s">
        <v>49</v>
      </c>
      <c r="AB65" s="3766" t="s">
        <v>68</v>
      </c>
      <c r="AC65" s="3518" t="s">
        <v>49</v>
      </c>
      <c r="AD65" s="3515" t="s">
        <v>72</v>
      </c>
      <c r="AE65" s="3523" t="s">
        <v>72</v>
      </c>
      <c r="AF65" s="3766"/>
      <c r="AG65" s="3789" t="s">
        <v>49</v>
      </c>
      <c r="AH65" s="1"/>
      <c r="AJ65" s="3793">
        <f t="shared" ref="AJ65:AJ83" si="0">$AJ$12</f>
        <v>160.33000000000001</v>
      </c>
      <c r="AK65" s="3793"/>
      <c r="AL65" s="3793">
        <f t="shared" ref="AL65:AL83" si="1">IF(AJ65="","",SUM(AJ65:AK65))</f>
        <v>160.33000000000001</v>
      </c>
      <c r="AM65" s="3794">
        <f t="shared" ref="AM65:AM83" si="2">IF(AJ65="","",AL65-_xlfn.SINGLE(NormTid))</f>
        <v>0</v>
      </c>
      <c r="AN65" s="3794">
        <f>IF(AM65="","",AM65+'Februar 2025'!AN64)</f>
        <v>0</v>
      </c>
    </row>
    <row r="66" spans="1:40" ht="18" customHeight="1" x14ac:dyDescent="0.2">
      <c r="A66" s="3804"/>
      <c r="B66" s="3805" t="s">
        <v>151</v>
      </c>
      <c r="C66" s="3366" t="s">
        <v>162</v>
      </c>
      <c r="D66" s="3366" t="s">
        <v>162</v>
      </c>
      <c r="E66" s="3521" t="s">
        <v>50</v>
      </c>
      <c r="F66" s="3521" t="s">
        <v>50</v>
      </c>
      <c r="G66" s="3521" t="s">
        <v>50</v>
      </c>
      <c r="H66" s="3521" t="s">
        <v>50</v>
      </c>
      <c r="I66" s="3521" t="s">
        <v>50</v>
      </c>
      <c r="J66" s="3366"/>
      <c r="K66" s="3521"/>
      <c r="L66" s="3514" t="s">
        <v>50</v>
      </c>
      <c r="M66" s="3521" t="s">
        <v>50</v>
      </c>
      <c r="N66" s="3580" t="s">
        <v>50</v>
      </c>
      <c r="O66" s="3514" t="s">
        <v>50</v>
      </c>
      <c r="P66" s="3514" t="s">
        <v>50</v>
      </c>
      <c r="Q66" s="3521"/>
      <c r="R66" s="3521"/>
      <c r="S66" s="3521" t="s">
        <v>46</v>
      </c>
      <c r="T66" s="3521" t="s">
        <v>46</v>
      </c>
      <c r="U66" s="3521" t="s">
        <v>46</v>
      </c>
      <c r="V66" s="3366" t="s">
        <v>46</v>
      </c>
      <c r="W66" s="3366" t="s">
        <v>46</v>
      </c>
      <c r="X66" s="3521"/>
      <c r="Y66" s="3366"/>
      <c r="Z66" s="3521" t="s">
        <v>46</v>
      </c>
      <c r="AA66" s="3521" t="s">
        <v>46</v>
      </c>
      <c r="AB66" s="3521" t="s">
        <v>46</v>
      </c>
      <c r="AC66" s="3521" t="s">
        <v>46</v>
      </c>
      <c r="AD66" s="3521" t="s">
        <v>46</v>
      </c>
      <c r="AE66" s="3366"/>
      <c r="AF66" s="3521"/>
      <c r="AG66" s="3603" t="s">
        <v>46</v>
      </c>
      <c r="AH66" s="1"/>
      <c r="AJ66" s="3793">
        <f t="shared" si="0"/>
        <v>160.33000000000001</v>
      </c>
      <c r="AK66" s="3793"/>
      <c r="AL66" s="3793">
        <f t="shared" si="1"/>
        <v>160.33000000000001</v>
      </c>
      <c r="AM66" s="3794">
        <f t="shared" si="2"/>
        <v>0</v>
      </c>
      <c r="AN66" s="3794">
        <f>IF(AM66="","",AM66+'Februar 2025'!AN65)</f>
        <v>0</v>
      </c>
    </row>
    <row r="67" spans="1:40" ht="18" customHeight="1" thickBot="1" x14ac:dyDescent="0.25">
      <c r="A67" s="3804"/>
      <c r="B67" s="3777" t="s">
        <v>155</v>
      </c>
      <c r="C67" s="3509" t="s">
        <v>558</v>
      </c>
      <c r="D67" s="3766"/>
      <c r="E67" s="3518">
        <v>5</v>
      </c>
      <c r="F67" s="3515">
        <v>8</v>
      </c>
      <c r="G67" s="3518">
        <v>5</v>
      </c>
      <c r="H67" s="3518">
        <v>5</v>
      </c>
      <c r="I67" s="3518">
        <v>5</v>
      </c>
      <c r="J67" s="3519" t="s">
        <v>475</v>
      </c>
      <c r="K67" s="3519" t="s">
        <v>475</v>
      </c>
      <c r="L67" s="3519" t="s">
        <v>50</v>
      </c>
      <c r="M67" s="3519" t="s">
        <v>50</v>
      </c>
      <c r="N67" s="3519" t="s">
        <v>50</v>
      </c>
      <c r="O67" s="3519" t="s">
        <v>50</v>
      </c>
      <c r="P67" s="3519" t="s">
        <v>50</v>
      </c>
      <c r="Q67" s="3519"/>
      <c r="R67" s="3519"/>
      <c r="S67" s="3523">
        <v>25</v>
      </c>
      <c r="T67" s="3515">
        <v>25</v>
      </c>
      <c r="U67" s="3515">
        <v>25</v>
      </c>
      <c r="V67" s="3515">
        <v>25</v>
      </c>
      <c r="W67" s="3515">
        <v>25</v>
      </c>
      <c r="X67" s="3366" t="s">
        <v>72</v>
      </c>
      <c r="Y67" s="3514" t="s">
        <v>475</v>
      </c>
      <c r="Z67" s="3519" t="s">
        <v>50</v>
      </c>
      <c r="AA67" s="3519" t="s">
        <v>50</v>
      </c>
      <c r="AB67" s="3519" t="s">
        <v>50</v>
      </c>
      <c r="AC67" s="3518">
        <v>5</v>
      </c>
      <c r="AD67" s="3518">
        <v>5</v>
      </c>
      <c r="AE67" s="3519"/>
      <c r="AF67" s="3519"/>
      <c r="AG67" s="3603" t="s">
        <v>162</v>
      </c>
      <c r="AH67" s="1"/>
      <c r="AJ67" s="3793">
        <f t="shared" si="0"/>
        <v>160.33000000000001</v>
      </c>
      <c r="AK67" s="3793"/>
      <c r="AL67" s="3793">
        <f t="shared" si="1"/>
        <v>160.33000000000001</v>
      </c>
      <c r="AM67" s="3794">
        <f t="shared" si="2"/>
        <v>0</v>
      </c>
      <c r="AN67" s="3794">
        <f>IF(AM67="","",AM67+'Februar 2025'!AN66)</f>
        <v>0</v>
      </c>
    </row>
    <row r="68" spans="1:40" ht="18" customHeight="1" thickBot="1" x14ac:dyDescent="0.25">
      <c r="A68" s="368"/>
      <c r="B68" s="3798" t="s">
        <v>159</v>
      </c>
      <c r="C68" s="3366" t="s">
        <v>209</v>
      </c>
      <c r="D68" s="3366" t="s">
        <v>209</v>
      </c>
      <c r="E68" s="3366" t="s">
        <v>50</v>
      </c>
      <c r="F68" s="3519" t="s">
        <v>50</v>
      </c>
      <c r="G68" s="3519" t="s">
        <v>50</v>
      </c>
      <c r="H68" s="3513" t="s">
        <v>50</v>
      </c>
      <c r="I68" s="3519" t="s">
        <v>50</v>
      </c>
      <c r="J68" s="3513" t="s">
        <v>68</v>
      </c>
      <c r="K68" s="3513" t="s">
        <v>68</v>
      </c>
      <c r="L68" s="3201" t="s">
        <v>46</v>
      </c>
      <c r="M68" s="3201" t="s">
        <v>46</v>
      </c>
      <c r="N68" s="3201" t="s">
        <v>46</v>
      </c>
      <c r="O68" s="3806" t="s">
        <v>46</v>
      </c>
      <c r="P68" s="3806" t="s">
        <v>46</v>
      </c>
      <c r="Q68" s="3366" t="s">
        <v>162</v>
      </c>
      <c r="R68" s="3366" t="s">
        <v>162</v>
      </c>
      <c r="S68" s="3366" t="s">
        <v>50</v>
      </c>
      <c r="T68" s="3519" t="s">
        <v>50</v>
      </c>
      <c r="U68" s="3519" t="s">
        <v>50</v>
      </c>
      <c r="V68" s="3366" t="s">
        <v>50</v>
      </c>
      <c r="W68" s="3366" t="s">
        <v>50</v>
      </c>
      <c r="X68" s="3366"/>
      <c r="Y68" s="3366"/>
      <c r="Z68" s="3366">
        <v>11</v>
      </c>
      <c r="AA68" s="3519">
        <v>11</v>
      </c>
      <c r="AB68" s="3519">
        <v>11</v>
      </c>
      <c r="AC68" s="3366">
        <v>11</v>
      </c>
      <c r="AD68" s="3366">
        <v>11</v>
      </c>
      <c r="AE68" s="3519" t="s">
        <v>109</v>
      </c>
      <c r="AF68" s="3519" t="s">
        <v>109</v>
      </c>
      <c r="AG68" s="3603" t="s">
        <v>50</v>
      </c>
      <c r="AH68" s="1"/>
      <c r="AJ68" s="3793">
        <f t="shared" si="0"/>
        <v>160.33000000000001</v>
      </c>
      <c r="AK68" s="3793"/>
      <c r="AL68" s="3793">
        <f t="shared" si="1"/>
        <v>160.33000000000001</v>
      </c>
      <c r="AM68" s="3794">
        <f t="shared" si="2"/>
        <v>0</v>
      </c>
      <c r="AN68" s="3794">
        <f>IF(AM68="","",AM68+'Februar 2025'!AN67)</f>
        <v>0</v>
      </c>
    </row>
    <row r="69" spans="1:40" ht="18" customHeight="1" x14ac:dyDescent="0.2">
      <c r="A69" s="3807"/>
      <c r="B69" s="3777" t="s">
        <v>165</v>
      </c>
      <c r="C69" s="3519" t="s">
        <v>68</v>
      </c>
      <c r="D69" s="3581" t="s">
        <v>68</v>
      </c>
      <c r="E69" s="3366" t="s">
        <v>50</v>
      </c>
      <c r="F69" s="3366" t="s">
        <v>50</v>
      </c>
      <c r="G69" s="3366" t="s">
        <v>50</v>
      </c>
      <c r="H69" s="3366" t="s">
        <v>50</v>
      </c>
      <c r="I69" s="3366" t="s">
        <v>50</v>
      </c>
      <c r="J69" s="3519" t="s">
        <v>68</v>
      </c>
      <c r="K69" s="3519" t="s">
        <v>68</v>
      </c>
      <c r="L69" s="3519">
        <v>10</v>
      </c>
      <c r="M69" s="3519">
        <v>10</v>
      </c>
      <c r="N69" s="3519">
        <v>10</v>
      </c>
      <c r="O69" s="3366" t="s">
        <v>50</v>
      </c>
      <c r="P69" s="3366" t="s">
        <v>50</v>
      </c>
      <c r="Q69" s="3366">
        <v>23</v>
      </c>
      <c r="R69" s="3366">
        <v>23</v>
      </c>
      <c r="S69" s="3808" t="s">
        <v>50</v>
      </c>
      <c r="T69" s="3523" t="s">
        <v>50</v>
      </c>
      <c r="U69" s="3515" t="s">
        <v>50</v>
      </c>
      <c r="V69" s="3201" t="s">
        <v>162</v>
      </c>
      <c r="W69" s="3201" t="s">
        <v>162</v>
      </c>
      <c r="X69" s="3519">
        <v>21</v>
      </c>
      <c r="Y69" s="3519" t="s">
        <v>72</v>
      </c>
      <c r="Z69" s="3366" t="s">
        <v>50</v>
      </c>
      <c r="AA69" s="3366" t="s">
        <v>50</v>
      </c>
      <c r="AB69" s="3366">
        <v>3</v>
      </c>
      <c r="AC69" s="3366">
        <v>3</v>
      </c>
      <c r="AD69" s="3366">
        <v>3</v>
      </c>
      <c r="AE69" s="3366"/>
      <c r="AF69" s="3366"/>
      <c r="AG69" s="3510" t="s">
        <v>142</v>
      </c>
      <c r="AH69" s="1"/>
      <c r="AJ69" s="3793">
        <f t="shared" si="0"/>
        <v>160.33000000000001</v>
      </c>
      <c r="AK69" s="3793"/>
      <c r="AL69" s="3793">
        <f t="shared" si="1"/>
        <v>160.33000000000001</v>
      </c>
      <c r="AM69" s="3794">
        <f t="shared" si="2"/>
        <v>0</v>
      </c>
      <c r="AN69" s="3794">
        <f>IF(AM69="","",AM69+'Februar 2025'!AN68)</f>
        <v>0</v>
      </c>
    </row>
    <row r="70" spans="1:40" ht="18" customHeight="1" x14ac:dyDescent="0.2">
      <c r="A70" s="3809"/>
      <c r="B70" s="3810" t="s">
        <v>170</v>
      </c>
      <c r="C70" s="3523" t="s">
        <v>70</v>
      </c>
      <c r="D70" s="3519"/>
      <c r="E70" s="3514" t="s">
        <v>142</v>
      </c>
      <c r="F70" s="3521" t="s">
        <v>142</v>
      </c>
      <c r="G70" s="3521" t="s">
        <v>142</v>
      </c>
      <c r="H70" s="3366" t="s">
        <v>142</v>
      </c>
      <c r="I70" s="3366" t="s">
        <v>142</v>
      </c>
      <c r="J70" s="3519" t="s">
        <v>143</v>
      </c>
      <c r="K70" s="3519" t="s">
        <v>143</v>
      </c>
      <c r="L70" s="3519" t="s">
        <v>50</v>
      </c>
      <c r="M70" s="3519" t="s">
        <v>50</v>
      </c>
      <c r="N70" s="3514" t="s">
        <v>50</v>
      </c>
      <c r="O70" s="3514" t="s">
        <v>50</v>
      </c>
      <c r="P70" s="3523" t="s">
        <v>50</v>
      </c>
      <c r="Q70" s="3515"/>
      <c r="R70" s="3519"/>
      <c r="S70" s="3519">
        <v>4</v>
      </c>
      <c r="T70" s="3519">
        <v>4</v>
      </c>
      <c r="U70" s="3519">
        <v>4</v>
      </c>
      <c r="V70" s="3521" t="s">
        <v>399</v>
      </c>
      <c r="W70" s="3523" t="s">
        <v>399</v>
      </c>
      <c r="X70" s="3521" t="s">
        <v>80</v>
      </c>
      <c r="Y70" s="3523" t="s">
        <v>143</v>
      </c>
      <c r="Z70" s="3521" t="s">
        <v>404</v>
      </c>
      <c r="AA70" s="3519">
        <v>10</v>
      </c>
      <c r="AB70" s="3519">
        <v>10</v>
      </c>
      <c r="AC70" s="3366">
        <v>10</v>
      </c>
      <c r="AD70" s="3366">
        <v>10</v>
      </c>
      <c r="AE70" s="3366"/>
      <c r="AF70" s="3366"/>
      <c r="AG70" s="3546" t="s">
        <v>451</v>
      </c>
      <c r="AH70" s="1"/>
      <c r="AJ70" s="3793">
        <f t="shared" si="0"/>
        <v>160.33000000000001</v>
      </c>
      <c r="AK70" s="3793"/>
      <c r="AL70" s="3793">
        <f t="shared" si="1"/>
        <v>160.33000000000001</v>
      </c>
      <c r="AM70" s="3794">
        <f t="shared" si="2"/>
        <v>0</v>
      </c>
      <c r="AN70" s="3794">
        <f>IF(AM70="","",AM70+'Februar 2025'!AN69)</f>
        <v>0</v>
      </c>
    </row>
    <row r="71" spans="1:40" ht="18" customHeight="1" x14ac:dyDescent="0.2">
      <c r="A71" s="3809"/>
      <c r="B71" s="3798" t="s">
        <v>180</v>
      </c>
      <c r="C71" s="3366"/>
      <c r="D71" s="3366"/>
      <c r="E71" s="3366" t="s">
        <v>50</v>
      </c>
      <c r="F71" s="3366" t="s">
        <v>50</v>
      </c>
      <c r="G71" s="3366" t="s">
        <v>50</v>
      </c>
      <c r="H71" s="3366" t="s">
        <v>50</v>
      </c>
      <c r="I71" s="3366" t="s">
        <v>50</v>
      </c>
      <c r="J71" s="3366"/>
      <c r="K71" s="3366"/>
      <c r="L71" s="3366" t="s">
        <v>209</v>
      </c>
      <c r="M71" s="3366" t="s">
        <v>209</v>
      </c>
      <c r="N71" s="3366" t="s">
        <v>209</v>
      </c>
      <c r="O71" s="3366" t="s">
        <v>209</v>
      </c>
      <c r="P71" s="3366" t="s">
        <v>209</v>
      </c>
      <c r="Q71" s="3366"/>
      <c r="R71" s="3366"/>
      <c r="S71" s="3366" t="s">
        <v>50</v>
      </c>
      <c r="T71" s="3366" t="s">
        <v>50</v>
      </c>
      <c r="U71" s="3366" t="s">
        <v>50</v>
      </c>
      <c r="V71" s="3366" t="s">
        <v>50</v>
      </c>
      <c r="W71" s="3366" t="s">
        <v>50</v>
      </c>
      <c r="X71" s="3366"/>
      <c r="Y71" s="3366"/>
      <c r="Z71" s="3366" t="s">
        <v>209</v>
      </c>
      <c r="AA71" s="3366" t="s">
        <v>209</v>
      </c>
      <c r="AB71" s="3366" t="s">
        <v>209</v>
      </c>
      <c r="AC71" s="3366" t="s">
        <v>209</v>
      </c>
      <c r="AD71" s="3366" t="s">
        <v>209</v>
      </c>
      <c r="AE71" s="3519" t="s">
        <v>209</v>
      </c>
      <c r="AF71" s="3519" t="s">
        <v>209</v>
      </c>
      <c r="AG71" s="3609" t="s">
        <v>50</v>
      </c>
      <c r="AH71" s="1"/>
      <c r="AJ71" s="3793">
        <f t="shared" si="0"/>
        <v>160.33000000000001</v>
      </c>
      <c r="AK71" s="3793"/>
      <c r="AL71" s="3793">
        <f t="shared" si="1"/>
        <v>160.33000000000001</v>
      </c>
      <c r="AM71" s="3794">
        <f t="shared" si="2"/>
        <v>0</v>
      </c>
      <c r="AN71" s="3794">
        <f>IF(AM71="","",AM71+'Februar 2025'!AN71)</f>
        <v>0</v>
      </c>
    </row>
    <row r="72" spans="1:40" ht="18" customHeight="1" x14ac:dyDescent="0.2">
      <c r="A72" s="3809"/>
      <c r="B72" s="3804" t="s">
        <v>181</v>
      </c>
      <c r="C72" s="3521"/>
      <c r="D72" s="3521"/>
      <c r="E72" s="3521" t="s">
        <v>50</v>
      </c>
      <c r="F72" s="3519" t="s">
        <v>50</v>
      </c>
      <c r="G72" s="3519" t="s">
        <v>50</v>
      </c>
      <c r="H72" s="3366" t="s">
        <v>50</v>
      </c>
      <c r="I72" s="3366" t="s">
        <v>50</v>
      </c>
      <c r="J72" s="3366"/>
      <c r="K72" s="3610"/>
      <c r="L72" s="3610" t="s">
        <v>475</v>
      </c>
      <c r="M72" s="3366" t="s">
        <v>475</v>
      </c>
      <c r="N72" s="3366" t="s">
        <v>475</v>
      </c>
      <c r="O72" s="3366" t="s">
        <v>475</v>
      </c>
      <c r="P72" s="3366" t="s">
        <v>475</v>
      </c>
      <c r="Q72" s="3366"/>
      <c r="R72" s="3366"/>
      <c r="S72" s="3157" t="s">
        <v>50</v>
      </c>
      <c r="T72" s="3811" t="s">
        <v>50</v>
      </c>
      <c r="U72" s="3157" t="s">
        <v>50</v>
      </c>
      <c r="V72" s="2480" t="s">
        <v>50</v>
      </c>
      <c r="W72" s="2480" t="s">
        <v>50</v>
      </c>
      <c r="X72" s="3519"/>
      <c r="Y72" s="3519"/>
      <c r="Z72" s="3519" t="s">
        <v>475</v>
      </c>
      <c r="AA72" s="3519" t="s">
        <v>475</v>
      </c>
      <c r="AB72" s="3519" t="s">
        <v>475</v>
      </c>
      <c r="AC72" s="3520" t="s">
        <v>475</v>
      </c>
      <c r="AD72" s="3521" t="s">
        <v>475</v>
      </c>
      <c r="AE72" s="3521" t="s">
        <v>475</v>
      </c>
      <c r="AF72" s="3521" t="s">
        <v>475</v>
      </c>
      <c r="AG72" s="3609" t="s">
        <v>50</v>
      </c>
      <c r="AH72" s="1"/>
      <c r="AJ72" s="3793">
        <f t="shared" si="0"/>
        <v>160.33000000000001</v>
      </c>
      <c r="AK72" s="3793"/>
      <c r="AL72" s="3793">
        <f t="shared" si="1"/>
        <v>160.33000000000001</v>
      </c>
      <c r="AM72" s="3794">
        <f t="shared" si="2"/>
        <v>0</v>
      </c>
      <c r="AN72" s="3794">
        <f>IF(AM72="","",AM72+'Februar 2025'!AN72)</f>
        <v>0</v>
      </c>
    </row>
    <row r="73" spans="1:40" ht="18" customHeight="1" x14ac:dyDescent="0.2">
      <c r="A73" s="3809"/>
      <c r="B73" s="3812" t="s">
        <v>183</v>
      </c>
      <c r="C73" s="3521" t="s">
        <v>72</v>
      </c>
      <c r="D73" s="3521" t="s">
        <v>72</v>
      </c>
      <c r="E73" s="3521" t="s">
        <v>50</v>
      </c>
      <c r="F73" s="3519" t="s">
        <v>50</v>
      </c>
      <c r="G73" s="3519" t="s">
        <v>50</v>
      </c>
      <c r="H73" s="3201" t="s">
        <v>209</v>
      </c>
      <c r="I73" s="3201" t="s">
        <v>493</v>
      </c>
      <c r="J73" s="3366" t="s">
        <v>209</v>
      </c>
      <c r="K73" s="3516">
        <v>21</v>
      </c>
      <c r="L73" s="3516" t="s">
        <v>50</v>
      </c>
      <c r="M73" s="3366" t="s">
        <v>50</v>
      </c>
      <c r="N73" s="3366" t="s">
        <v>50</v>
      </c>
      <c r="O73" s="3366" t="s">
        <v>50</v>
      </c>
      <c r="P73" s="3366" t="s">
        <v>50</v>
      </c>
      <c r="Q73" s="3366"/>
      <c r="R73" s="3813"/>
      <c r="S73" s="3814">
        <v>5</v>
      </c>
      <c r="T73" s="3815">
        <v>5</v>
      </c>
      <c r="U73" s="3815">
        <v>5</v>
      </c>
      <c r="V73" s="3815">
        <v>5</v>
      </c>
      <c r="W73" s="3815">
        <v>5</v>
      </c>
      <c r="X73" s="3816"/>
      <c r="Y73" s="3641">
        <v>26</v>
      </c>
      <c r="Z73" s="3641">
        <v>26</v>
      </c>
      <c r="AA73" s="3641">
        <v>26</v>
      </c>
      <c r="AB73" s="3641">
        <v>26</v>
      </c>
      <c r="AC73" s="3641">
        <v>26</v>
      </c>
      <c r="AD73" s="3641">
        <v>26</v>
      </c>
      <c r="AE73" s="3521"/>
      <c r="AF73" s="3521"/>
      <c r="AG73" s="3609">
        <v>25</v>
      </c>
      <c r="AH73" s="1"/>
      <c r="AJ73" s="3793">
        <f t="shared" ref="AJ73:AJ79" si="3">$AJ$12</f>
        <v>160.33000000000001</v>
      </c>
      <c r="AK73" s="3793"/>
      <c r="AL73" s="3793">
        <f t="shared" ref="AL73:AL79" si="4">IF(AJ73="","",SUM(AJ73:AK73))</f>
        <v>160.33000000000001</v>
      </c>
      <c r="AM73" s="3794">
        <f t="shared" ref="AM73:AM79" si="5">IF(AJ73="","",AL73-_xlfn.SINGLE(NormTid))</f>
        <v>0</v>
      </c>
      <c r="AN73" s="3794">
        <f>IF(AM73="","",AM73+'Februar 2025'!AN73)</f>
        <v>0</v>
      </c>
    </row>
    <row r="74" spans="1:40" ht="18" customHeight="1" x14ac:dyDescent="0.2">
      <c r="A74" s="3809"/>
      <c r="B74" s="3804" t="s">
        <v>477</v>
      </c>
      <c r="C74" s="3521" t="s">
        <v>110</v>
      </c>
      <c r="D74" s="3521" t="s">
        <v>110</v>
      </c>
      <c r="E74" s="3521" t="s">
        <v>50</v>
      </c>
      <c r="F74" s="3519" t="s">
        <v>50</v>
      </c>
      <c r="G74" s="3519" t="s">
        <v>50</v>
      </c>
      <c r="H74" s="3366" t="s">
        <v>50</v>
      </c>
      <c r="I74" s="3366" t="s">
        <v>50</v>
      </c>
      <c r="J74" s="3366"/>
      <c r="K74" s="3516"/>
      <c r="L74" s="3518" t="s">
        <v>46</v>
      </c>
      <c r="M74" s="3518" t="s">
        <v>46</v>
      </c>
      <c r="N74" s="3518" t="s">
        <v>46</v>
      </c>
      <c r="O74" s="3366" t="s">
        <v>50</v>
      </c>
      <c r="P74" s="3366" t="s">
        <v>50</v>
      </c>
      <c r="Q74" s="3366" t="s">
        <v>209</v>
      </c>
      <c r="R74" s="3366" t="s">
        <v>209</v>
      </c>
      <c r="S74" s="711">
        <v>22</v>
      </c>
      <c r="T74" s="1624">
        <v>22</v>
      </c>
      <c r="U74" s="711">
        <v>22</v>
      </c>
      <c r="V74" s="1343" t="s">
        <v>50</v>
      </c>
      <c r="W74" s="1343" t="s">
        <v>50</v>
      </c>
      <c r="X74" s="3519"/>
      <c r="Y74" s="3519"/>
      <c r="Z74" s="3519">
        <v>3</v>
      </c>
      <c r="AA74" s="3519">
        <v>3</v>
      </c>
      <c r="AB74" s="3519" t="s">
        <v>50</v>
      </c>
      <c r="AC74" s="3523" t="s">
        <v>50</v>
      </c>
      <c r="AD74" s="3521" t="s">
        <v>50</v>
      </c>
      <c r="AE74" s="3166"/>
      <c r="AF74" s="3166"/>
      <c r="AG74" s="3184">
        <v>6</v>
      </c>
      <c r="AH74" s="1"/>
      <c r="AJ74" s="3793">
        <f t="shared" si="3"/>
        <v>160.33000000000001</v>
      </c>
      <c r="AK74" s="3793"/>
      <c r="AL74" s="3793">
        <f t="shared" si="4"/>
        <v>160.33000000000001</v>
      </c>
      <c r="AM74" s="3794">
        <f t="shared" si="5"/>
        <v>0</v>
      </c>
      <c r="AN74" s="3794">
        <f>IF(AM74="","",AM74+'Februar 2025'!AN74)</f>
        <v>0</v>
      </c>
    </row>
    <row r="75" spans="1:40" ht="18" customHeight="1" x14ac:dyDescent="0.2">
      <c r="A75" s="3809"/>
      <c r="B75" s="374" t="s">
        <v>514</v>
      </c>
      <c r="C75" s="3521"/>
      <c r="D75" s="3521"/>
      <c r="E75" s="3521" t="s">
        <v>110</v>
      </c>
      <c r="F75" s="3519">
        <v>21</v>
      </c>
      <c r="G75" s="3519">
        <v>21</v>
      </c>
      <c r="H75" s="3366">
        <v>21</v>
      </c>
      <c r="I75" s="3366">
        <v>21</v>
      </c>
      <c r="J75" s="3157">
        <v>21</v>
      </c>
      <c r="K75" s="3817" t="s">
        <v>209</v>
      </c>
      <c r="L75" s="3519" t="s">
        <v>68</v>
      </c>
      <c r="M75" s="3519" t="s">
        <v>50</v>
      </c>
      <c r="N75" s="389" t="s">
        <v>50</v>
      </c>
      <c r="O75" s="3366">
        <v>10</v>
      </c>
      <c r="P75" s="3366">
        <v>10</v>
      </c>
      <c r="Q75" s="3519" t="s">
        <v>106</v>
      </c>
      <c r="R75" s="3522" t="s">
        <v>106</v>
      </c>
      <c r="S75" s="3515" t="s">
        <v>68</v>
      </c>
      <c r="T75" s="3515" t="s">
        <v>50</v>
      </c>
      <c r="U75" s="3515" t="s">
        <v>50</v>
      </c>
      <c r="V75" s="3515" t="s">
        <v>50</v>
      </c>
      <c r="W75" s="3515">
        <v>26</v>
      </c>
      <c r="X75" s="2480" t="s">
        <v>209</v>
      </c>
      <c r="Y75" s="3507" t="s">
        <v>209</v>
      </c>
      <c r="Z75" s="3519" t="s">
        <v>68</v>
      </c>
      <c r="AA75" s="3519" t="s">
        <v>50</v>
      </c>
      <c r="AB75" s="3519" t="s">
        <v>50</v>
      </c>
      <c r="AC75" s="3520" t="s">
        <v>50</v>
      </c>
      <c r="AD75" s="3521" t="s">
        <v>50</v>
      </c>
      <c r="AE75" s="3521"/>
      <c r="AF75" s="3521"/>
      <c r="AG75" s="3609" t="s">
        <v>46</v>
      </c>
      <c r="AH75" s="1"/>
      <c r="AJ75" s="3793">
        <f>$AJ$12</f>
        <v>160.33000000000001</v>
      </c>
      <c r="AK75" s="3793"/>
      <c r="AL75" s="3793">
        <f>IF(AJ75="","",SUM(AJ75:AK75))</f>
        <v>160.33000000000001</v>
      </c>
      <c r="AM75" s="3794">
        <f>IF(AJ75="","",AL75-_xlfn.SINGLE(NormTid))</f>
        <v>0</v>
      </c>
      <c r="AN75" s="3794">
        <f>IF(AM75="","",AM75+'Februar 2025'!AN75)</f>
        <v>0</v>
      </c>
    </row>
    <row r="76" spans="1:40" ht="18" customHeight="1" x14ac:dyDescent="0.2">
      <c r="A76" s="3809"/>
      <c r="B76" s="3617" t="s">
        <v>549</v>
      </c>
      <c r="C76" s="3521"/>
      <c r="D76" s="3521"/>
      <c r="E76" s="3818" t="s">
        <v>174</v>
      </c>
      <c r="F76" s="3509" t="s">
        <v>174</v>
      </c>
      <c r="G76" s="3509" t="s">
        <v>174</v>
      </c>
      <c r="H76" s="3509" t="s">
        <v>174</v>
      </c>
      <c r="I76" s="3819" t="s">
        <v>559</v>
      </c>
      <c r="J76" s="3820"/>
      <c r="K76" s="3821"/>
      <c r="L76" s="3822" t="s">
        <v>174</v>
      </c>
      <c r="M76" s="3515" t="s">
        <v>174</v>
      </c>
      <c r="N76" s="3515" t="s">
        <v>174</v>
      </c>
      <c r="O76" s="3515" t="s">
        <v>174</v>
      </c>
      <c r="P76" s="3515" t="s">
        <v>174</v>
      </c>
      <c r="Q76" s="3515"/>
      <c r="R76" s="3515"/>
      <c r="S76" s="3515" t="s">
        <v>174</v>
      </c>
      <c r="T76" s="3515" t="s">
        <v>174</v>
      </c>
      <c r="U76" s="3515" t="s">
        <v>174</v>
      </c>
      <c r="V76" s="3515" t="s">
        <v>174</v>
      </c>
      <c r="W76" s="3823" t="s">
        <v>174</v>
      </c>
      <c r="X76" s="3793"/>
      <c r="Z76" s="3519" t="s">
        <v>174</v>
      </c>
      <c r="AA76" s="3519" t="s">
        <v>174</v>
      </c>
      <c r="AB76" s="3519" t="s">
        <v>174</v>
      </c>
      <c r="AC76" s="3520" t="s">
        <v>174</v>
      </c>
      <c r="AD76" s="3521" t="s">
        <v>174</v>
      </c>
      <c r="AE76" s="3521"/>
      <c r="AF76" s="3521"/>
      <c r="AG76" s="3609" t="s">
        <v>174</v>
      </c>
      <c r="AH76" s="1"/>
      <c r="AJ76" s="3793">
        <f>$AJ$12</f>
        <v>160.33000000000001</v>
      </c>
      <c r="AK76" s="3793"/>
      <c r="AL76" s="3793">
        <f>IF(AJ76="","",SUM(AJ76:AK76))</f>
        <v>160.33000000000001</v>
      </c>
      <c r="AM76" s="3794">
        <v>0</v>
      </c>
      <c r="AN76" s="3794">
        <f>IF(AM76="","",AM76+'Februar 2025'!AN76)</f>
        <v>0</v>
      </c>
    </row>
    <row r="77" spans="1:40" ht="18" customHeight="1" thickBot="1" x14ac:dyDescent="0.25">
      <c r="A77" s="3809"/>
      <c r="B77" s="374" t="s">
        <v>522</v>
      </c>
      <c r="C77" s="3521" t="s">
        <v>475</v>
      </c>
      <c r="D77" s="3521" t="s">
        <v>475</v>
      </c>
      <c r="E77" s="3521" t="s">
        <v>50</v>
      </c>
      <c r="F77" s="3519" t="s">
        <v>50</v>
      </c>
      <c r="G77" s="3519" t="s">
        <v>50</v>
      </c>
      <c r="H77" s="3366" t="s">
        <v>50</v>
      </c>
      <c r="I77" s="3366" t="s">
        <v>50</v>
      </c>
      <c r="J77" s="711"/>
      <c r="K77" s="1624"/>
      <c r="L77" s="3518">
        <v>25</v>
      </c>
      <c r="M77" s="3518">
        <v>25</v>
      </c>
      <c r="N77" s="3518">
        <v>25</v>
      </c>
      <c r="O77" s="3518">
        <v>25</v>
      </c>
      <c r="P77" s="3518">
        <v>25</v>
      </c>
      <c r="Q77" s="3157" t="s">
        <v>72</v>
      </c>
      <c r="R77" s="3366" t="s">
        <v>72</v>
      </c>
      <c r="S77" s="3366" t="s">
        <v>50</v>
      </c>
      <c r="T77" s="3516" t="s">
        <v>50</v>
      </c>
      <c r="U77" s="3366" t="s">
        <v>50</v>
      </c>
      <c r="V77" s="3519">
        <v>22</v>
      </c>
      <c r="W77" s="3519">
        <v>22</v>
      </c>
      <c r="X77" s="1343"/>
      <c r="Y77" s="3519"/>
      <c r="Z77" s="3518">
        <v>10</v>
      </c>
      <c r="AA77" s="3518">
        <v>10</v>
      </c>
      <c r="AB77" s="3518">
        <v>10</v>
      </c>
      <c r="AC77" s="3518">
        <v>10</v>
      </c>
      <c r="AD77" s="3518" t="s">
        <v>404</v>
      </c>
      <c r="AE77" s="3515" t="s">
        <v>106</v>
      </c>
      <c r="AF77" s="3515" t="s">
        <v>106</v>
      </c>
      <c r="AG77" s="3609" t="s">
        <v>50</v>
      </c>
      <c r="AH77" s="1"/>
      <c r="AJ77" s="3793">
        <f t="shared" si="3"/>
        <v>160.33000000000001</v>
      </c>
      <c r="AK77" s="3793"/>
      <c r="AL77" s="3793">
        <f t="shared" si="4"/>
        <v>160.33000000000001</v>
      </c>
      <c r="AM77" s="3794">
        <f t="shared" si="5"/>
        <v>0</v>
      </c>
      <c r="AN77" s="3794">
        <f>IF(AM77="","",AM77+'Februar 2025'!AN77)</f>
        <v>0</v>
      </c>
    </row>
    <row r="78" spans="1:40" ht="18" customHeight="1" x14ac:dyDescent="0.2">
      <c r="A78" s="3620"/>
      <c r="B78" s="3227"/>
      <c r="C78" s="3527"/>
      <c r="D78" s="3527"/>
      <c r="E78" s="3527"/>
      <c r="F78" s="2480"/>
      <c r="G78" s="2480"/>
      <c r="H78" s="3157"/>
      <c r="I78" s="3157"/>
      <c r="J78" s="3366"/>
      <c r="K78" s="3516"/>
      <c r="L78" s="3528"/>
      <c r="M78" s="3528"/>
      <c r="N78" s="3528"/>
      <c r="O78" s="3528"/>
      <c r="P78" s="3824"/>
      <c r="Q78" s="3793"/>
      <c r="S78" s="3528"/>
      <c r="T78" s="3528"/>
      <c r="U78" s="3528"/>
      <c r="V78" s="3528"/>
      <c r="W78" s="3528"/>
      <c r="X78" s="3519"/>
      <c r="Y78" s="3519"/>
      <c r="Z78" s="3528"/>
      <c r="AA78" s="3528"/>
      <c r="AB78" s="3528"/>
      <c r="AC78" s="3528"/>
      <c r="AD78" s="3528"/>
      <c r="AE78" s="3528"/>
      <c r="AF78" s="3528"/>
      <c r="AG78" s="3609"/>
      <c r="AH78" s="1"/>
      <c r="AJ78" s="3793">
        <f t="shared" si="3"/>
        <v>160.33000000000001</v>
      </c>
      <c r="AK78" s="3793"/>
      <c r="AL78" s="3793">
        <f t="shared" si="4"/>
        <v>160.33000000000001</v>
      </c>
      <c r="AM78" s="3794">
        <f t="shared" si="5"/>
        <v>0</v>
      </c>
      <c r="AN78" s="3794">
        <f>IF(AM78="","",AM78+'Februar 2025'!AN78)</f>
        <v>0</v>
      </c>
    </row>
    <row r="79" spans="1:40" ht="18" customHeight="1" thickBot="1" x14ac:dyDescent="0.25">
      <c r="A79" s="3620"/>
      <c r="B79" s="3617"/>
      <c r="C79" s="3449"/>
      <c r="D79" s="3615"/>
      <c r="E79" s="3449"/>
      <c r="F79" s="3450"/>
      <c r="G79" s="3450"/>
      <c r="H79" s="3450"/>
      <c r="I79" s="3450"/>
      <c r="J79" s="3450"/>
      <c r="K79" s="3450"/>
      <c r="L79" s="3450"/>
      <c r="M79" s="3450"/>
      <c r="N79" s="3450"/>
      <c r="O79" s="3450"/>
      <c r="P79" s="3450"/>
      <c r="Q79" s="266"/>
      <c r="R79" s="3450"/>
      <c r="S79" s="3450"/>
      <c r="T79" s="3449"/>
      <c r="U79" s="3449"/>
      <c r="V79" s="3621"/>
      <c r="W79" s="3449"/>
      <c r="X79" s="3449"/>
      <c r="Y79" s="3450"/>
      <c r="Z79" s="3449"/>
      <c r="AA79" s="3449"/>
      <c r="AB79" s="3449"/>
      <c r="AC79" s="3449"/>
      <c r="AD79" s="3449"/>
      <c r="AE79" s="3615"/>
      <c r="AF79" s="3449"/>
      <c r="AG79" s="3616"/>
      <c r="AH79" s="1"/>
      <c r="AJ79" s="3793">
        <f t="shared" si="3"/>
        <v>160.33000000000001</v>
      </c>
      <c r="AK79" s="3793"/>
      <c r="AL79" s="3793">
        <f t="shared" si="4"/>
        <v>160.33000000000001</v>
      </c>
      <c r="AM79" s="3794">
        <f t="shared" si="5"/>
        <v>0</v>
      </c>
      <c r="AN79" s="3794">
        <f>IF(AM79="","",AM79+'Februar 2025'!AN79)</f>
        <v>0</v>
      </c>
    </row>
    <row r="80" spans="1:40" ht="18" customHeight="1" thickBot="1" x14ac:dyDescent="0.25">
      <c r="A80" s="242"/>
      <c r="B80" s="243" t="s">
        <v>182</v>
      </c>
      <c r="C80" s="3220">
        <v>1</v>
      </c>
      <c r="D80" s="3220">
        <v>2</v>
      </c>
      <c r="E80" s="3146">
        <v>3</v>
      </c>
      <c r="F80" s="3146">
        <v>4</v>
      </c>
      <c r="G80" s="3146">
        <v>5</v>
      </c>
      <c r="H80" s="3146">
        <v>6</v>
      </c>
      <c r="I80" s="3146">
        <v>7</v>
      </c>
      <c r="J80" s="3220">
        <v>8</v>
      </c>
      <c r="K80" s="3220">
        <v>9</v>
      </c>
      <c r="L80" s="3146">
        <v>10</v>
      </c>
      <c r="M80" s="3146">
        <v>11</v>
      </c>
      <c r="N80" s="3146">
        <v>12</v>
      </c>
      <c r="O80" s="3146">
        <v>13</v>
      </c>
      <c r="P80" s="3146">
        <v>14</v>
      </c>
      <c r="Q80" s="3220">
        <v>15</v>
      </c>
      <c r="R80" s="3220">
        <v>16</v>
      </c>
      <c r="S80" s="3146">
        <v>17</v>
      </c>
      <c r="T80" s="3146">
        <v>18</v>
      </c>
      <c r="U80" s="3146">
        <v>19</v>
      </c>
      <c r="V80" s="3146">
        <v>20</v>
      </c>
      <c r="W80" s="3146">
        <v>21</v>
      </c>
      <c r="X80" s="3220">
        <v>22</v>
      </c>
      <c r="Y80" s="3220">
        <v>23</v>
      </c>
      <c r="Z80" s="3146">
        <v>24</v>
      </c>
      <c r="AA80" s="3146">
        <v>25</v>
      </c>
      <c r="AB80" s="3146">
        <v>26</v>
      </c>
      <c r="AC80" s="3146">
        <v>27</v>
      </c>
      <c r="AD80" s="3146">
        <v>28</v>
      </c>
      <c r="AE80" s="3220">
        <v>29</v>
      </c>
      <c r="AF80" s="3220">
        <v>30</v>
      </c>
      <c r="AG80" s="3146">
        <v>31</v>
      </c>
      <c r="AH80" s="1"/>
      <c r="AJ80" s="3793"/>
      <c r="AK80" s="3793"/>
      <c r="AL80" s="3793"/>
      <c r="AM80" s="3794"/>
      <c r="AN80" s="3794" t="str">
        <f>IF(AM80="","",AM80+'Februar 2025'!AN80)</f>
        <v/>
      </c>
    </row>
    <row r="81" spans="1:40" ht="18" customHeight="1" x14ac:dyDescent="0.2">
      <c r="A81" s="369"/>
      <c r="B81" s="3777"/>
      <c r="C81" s="3221"/>
      <c r="D81" s="3221"/>
      <c r="E81" s="3221" t="s">
        <v>46</v>
      </c>
      <c r="F81" s="3221" t="s">
        <v>46</v>
      </c>
      <c r="G81" s="3221" t="s">
        <v>46</v>
      </c>
      <c r="H81" s="3202" t="s">
        <v>46</v>
      </c>
      <c r="I81" s="3202" t="s">
        <v>46</v>
      </c>
      <c r="J81" s="3202"/>
      <c r="K81" s="3202"/>
      <c r="L81" s="3202" t="s">
        <v>46</v>
      </c>
      <c r="M81" s="3221" t="s">
        <v>46</v>
      </c>
      <c r="N81" s="3221" t="s">
        <v>46</v>
      </c>
      <c r="O81" s="3202" t="s">
        <v>46</v>
      </c>
      <c r="P81" s="3202" t="s">
        <v>46</v>
      </c>
      <c r="Q81" s="3202"/>
      <c r="R81" s="3202"/>
      <c r="S81" s="3202" t="s">
        <v>46</v>
      </c>
      <c r="T81" s="3221" t="s">
        <v>46</v>
      </c>
      <c r="U81" s="3221" t="s">
        <v>46</v>
      </c>
      <c r="V81" s="3202" t="s">
        <v>46</v>
      </c>
      <c r="W81" s="3202" t="s">
        <v>46</v>
      </c>
      <c r="X81" s="3202"/>
      <c r="Y81" s="3202"/>
      <c r="Z81" s="3202" t="s">
        <v>46</v>
      </c>
      <c r="AA81" s="3221" t="s">
        <v>46</v>
      </c>
      <c r="AB81" s="3221" t="s">
        <v>46</v>
      </c>
      <c r="AC81" s="3202" t="s">
        <v>46</v>
      </c>
      <c r="AD81" s="3202" t="s">
        <v>46</v>
      </c>
      <c r="AE81" s="3202"/>
      <c r="AF81" s="3202"/>
      <c r="AG81" s="3223" t="s">
        <v>46</v>
      </c>
      <c r="AH81" s="1" t="s">
        <v>0</v>
      </c>
      <c r="AJ81" s="3793">
        <f t="shared" si="0"/>
        <v>160.33000000000001</v>
      </c>
      <c r="AK81" s="3793"/>
      <c r="AL81" s="3793">
        <f t="shared" si="1"/>
        <v>160.33000000000001</v>
      </c>
      <c r="AM81" s="3794">
        <f t="shared" si="2"/>
        <v>0</v>
      </c>
      <c r="AN81" s="3794">
        <f>IF(AM81="","",AM81+'Februar 2025'!AN81)</f>
        <v>0</v>
      </c>
    </row>
    <row r="82" spans="1:40" ht="18" customHeight="1" x14ac:dyDescent="0.2">
      <c r="A82" s="3809"/>
      <c r="B82" s="3798"/>
      <c r="C82" s="3825"/>
      <c r="D82" s="3825"/>
      <c r="E82" s="3825" t="s">
        <v>46</v>
      </c>
      <c r="F82" s="3825" t="s">
        <v>46</v>
      </c>
      <c r="G82" s="3825" t="s">
        <v>46</v>
      </c>
      <c r="H82" s="3826" t="s">
        <v>46</v>
      </c>
      <c r="I82" s="3826" t="s">
        <v>46</v>
      </c>
      <c r="J82" s="3825"/>
      <c r="K82" s="3825"/>
      <c r="L82" s="3825" t="s">
        <v>46</v>
      </c>
      <c r="M82" s="3825" t="s">
        <v>46</v>
      </c>
      <c r="N82" s="3825" t="s">
        <v>46</v>
      </c>
      <c r="O82" s="3826" t="s">
        <v>46</v>
      </c>
      <c r="P82" s="3826" t="s">
        <v>46</v>
      </c>
      <c r="Q82" s="3825"/>
      <c r="R82" s="3825"/>
      <c r="S82" s="3825" t="s">
        <v>46</v>
      </c>
      <c r="T82" s="3825" t="s">
        <v>46</v>
      </c>
      <c r="U82" s="3825" t="s">
        <v>46</v>
      </c>
      <c r="V82" s="3826" t="s">
        <v>46</v>
      </c>
      <c r="W82" s="3826" t="s">
        <v>46</v>
      </c>
      <c r="X82" s="3825"/>
      <c r="Y82" s="3825"/>
      <c r="Z82" s="3825" t="s">
        <v>46</v>
      </c>
      <c r="AA82" s="3825" t="s">
        <v>46</v>
      </c>
      <c r="AB82" s="3825" t="s">
        <v>46</v>
      </c>
      <c r="AC82" s="3826" t="s">
        <v>46</v>
      </c>
      <c r="AD82" s="3826" t="s">
        <v>46</v>
      </c>
      <c r="AE82" s="3825"/>
      <c r="AF82" s="3825"/>
      <c r="AG82" s="3827" t="s">
        <v>46</v>
      </c>
      <c r="AH82" s="1"/>
      <c r="AJ82" s="3793">
        <f t="shared" si="0"/>
        <v>160.33000000000001</v>
      </c>
      <c r="AK82" s="3793"/>
      <c r="AL82" s="3793">
        <f t="shared" si="1"/>
        <v>160.33000000000001</v>
      </c>
      <c r="AM82" s="3794">
        <f t="shared" si="2"/>
        <v>0</v>
      </c>
      <c r="AN82" s="3794">
        <f>IF(AM82="","",AM82+'Februar 2025'!AN82)</f>
        <v>0</v>
      </c>
    </row>
    <row r="83" spans="1:40" ht="18" customHeight="1" x14ac:dyDescent="0.2">
      <c r="A83" s="3809"/>
      <c r="B83" s="3828"/>
      <c r="C83" s="3825"/>
      <c r="D83" s="3825"/>
      <c r="E83" s="3825" t="s">
        <v>46</v>
      </c>
      <c r="F83" s="3825" t="s">
        <v>46</v>
      </c>
      <c r="G83" s="3825" t="s">
        <v>46</v>
      </c>
      <c r="H83" s="3826" t="s">
        <v>46</v>
      </c>
      <c r="I83" s="3826" t="s">
        <v>46</v>
      </c>
      <c r="J83" s="3825"/>
      <c r="K83" s="3825"/>
      <c r="L83" s="3825" t="s">
        <v>46</v>
      </c>
      <c r="M83" s="3825" t="s">
        <v>46</v>
      </c>
      <c r="N83" s="3825" t="s">
        <v>46</v>
      </c>
      <c r="O83" s="3826" t="s">
        <v>46</v>
      </c>
      <c r="P83" s="3826" t="s">
        <v>46</v>
      </c>
      <c r="Q83" s="3825"/>
      <c r="R83" s="3825"/>
      <c r="S83" s="3825" t="s">
        <v>46</v>
      </c>
      <c r="T83" s="3825" t="s">
        <v>46</v>
      </c>
      <c r="U83" s="3825" t="s">
        <v>46</v>
      </c>
      <c r="V83" s="3826" t="s">
        <v>46</v>
      </c>
      <c r="W83" s="3826" t="s">
        <v>46</v>
      </c>
      <c r="X83" s="3825"/>
      <c r="Y83" s="3825"/>
      <c r="Z83" s="3825" t="s">
        <v>46</v>
      </c>
      <c r="AA83" s="3825" t="s">
        <v>46</v>
      </c>
      <c r="AB83" s="3825" t="s">
        <v>46</v>
      </c>
      <c r="AC83" s="3826" t="s">
        <v>46</v>
      </c>
      <c r="AD83" s="3826" t="s">
        <v>46</v>
      </c>
      <c r="AE83" s="3825"/>
      <c r="AF83" s="3825"/>
      <c r="AG83" s="3827" t="s">
        <v>46</v>
      </c>
      <c r="AH83" s="1"/>
      <c r="AJ83" s="3793">
        <f t="shared" si="0"/>
        <v>160.33000000000001</v>
      </c>
      <c r="AK83" s="3793"/>
      <c r="AL83" s="3793">
        <f t="shared" si="1"/>
        <v>160.33000000000001</v>
      </c>
      <c r="AM83" s="3794">
        <f t="shared" si="2"/>
        <v>0</v>
      </c>
      <c r="AN83" s="3794">
        <f>IF(AM83="","",AM83+'Februar 2025'!AN83)</f>
        <v>0</v>
      </c>
    </row>
    <row r="84" spans="1:40" ht="18" customHeight="1" x14ac:dyDescent="0.2">
      <c r="A84" s="3809"/>
      <c r="B84" s="3769"/>
      <c r="C84" s="3826"/>
      <c r="D84" s="3826"/>
      <c r="E84" s="3829"/>
      <c r="F84" s="3826"/>
      <c r="G84" s="3826"/>
      <c r="H84" s="3826"/>
      <c r="I84" s="3826"/>
      <c r="J84" s="3826"/>
      <c r="K84" s="3826"/>
      <c r="L84" s="3826"/>
      <c r="M84" s="3826"/>
      <c r="N84" s="3826"/>
      <c r="O84" s="3825"/>
      <c r="P84" s="3825"/>
      <c r="Q84" s="3825"/>
      <c r="R84" s="3825"/>
      <c r="S84" s="3825"/>
      <c r="T84" s="3825"/>
      <c r="U84" s="3825"/>
      <c r="V84" s="3825"/>
      <c r="W84" s="3826"/>
      <c r="X84" s="3826"/>
      <c r="Y84" s="3826"/>
      <c r="Z84" s="3826"/>
      <c r="AA84" s="3826"/>
      <c r="AB84" s="3826"/>
      <c r="AC84" s="3826"/>
      <c r="AD84" s="3829"/>
      <c r="AE84" s="3826"/>
      <c r="AF84" s="3826"/>
      <c r="AG84" s="3827"/>
      <c r="AH84" s="1"/>
      <c r="AJ84" s="3793">
        <f>$AJ$12</f>
        <v>160.33000000000001</v>
      </c>
      <c r="AK84" s="3793"/>
      <c r="AL84" s="3793">
        <f>IF(AJ84="","",SUM(AJ84:AK84))</f>
        <v>160.33000000000001</v>
      </c>
      <c r="AM84" s="3794">
        <f>IF(AJ84="","",AL84-_xlfn.SINGLE(NormTid))</f>
        <v>0</v>
      </c>
      <c r="AN84" s="3794">
        <f>IF(AM84="","",AM84+'Februar 2025'!AN84)</f>
        <v>0</v>
      </c>
    </row>
    <row r="85" spans="1:40" ht="18" customHeight="1" thickBot="1" x14ac:dyDescent="0.25">
      <c r="A85" s="3830"/>
      <c r="B85" s="3628" t="s">
        <v>0</v>
      </c>
      <c r="C85" s="3831"/>
      <c r="D85" s="3832"/>
      <c r="E85" s="3832"/>
      <c r="F85" s="3833"/>
      <c r="G85" s="3833"/>
      <c r="H85" s="3834"/>
      <c r="I85" s="3834"/>
      <c r="J85" s="3834"/>
      <c r="K85" s="3834"/>
      <c r="L85" s="3834"/>
      <c r="M85" s="3834"/>
      <c r="N85" s="3834"/>
      <c r="O85" s="3834"/>
      <c r="P85" s="3834"/>
      <c r="Q85" s="3834"/>
      <c r="R85" s="3834"/>
      <c r="S85" s="3834"/>
      <c r="T85" s="3834"/>
      <c r="U85" s="3834"/>
      <c r="V85" s="3834"/>
      <c r="W85" s="3834"/>
      <c r="X85" s="3834"/>
      <c r="Y85" s="3834"/>
      <c r="Z85" s="3834"/>
      <c r="AA85" s="3834"/>
      <c r="AB85" s="3834"/>
      <c r="AC85" s="3834"/>
      <c r="AD85" s="3834"/>
      <c r="AE85" s="3834"/>
      <c r="AF85" s="3834"/>
      <c r="AG85" s="821"/>
      <c r="AH85" s="1"/>
      <c r="AJ85" s="3793">
        <f>$AJ$12</f>
        <v>160.33000000000001</v>
      </c>
      <c r="AK85" s="3793"/>
      <c r="AL85" s="3793">
        <f>IF(AJ85="","",SUM(AJ85:AK85))</f>
        <v>160.33000000000001</v>
      </c>
      <c r="AM85" s="3794">
        <f>IF(AJ85="","",AL85-_xlfn.SINGLE(NormTid))</f>
        <v>0</v>
      </c>
      <c r="AN85" s="3794">
        <f>IF(AM85="","",AM85+'Februar 2025'!AN86)</f>
        <v>0</v>
      </c>
    </row>
    <row r="86" spans="1:40" ht="18" customHeight="1" x14ac:dyDescent="0.2">
      <c r="A86" s="339"/>
      <c r="B86" s="3226" t="s">
        <v>191</v>
      </c>
      <c r="C86" s="334">
        <v>1</v>
      </c>
      <c r="D86" s="390">
        <v>2</v>
      </c>
      <c r="E86" s="389">
        <v>3</v>
      </c>
      <c r="F86" s="389">
        <v>4</v>
      </c>
      <c r="G86" s="389">
        <v>5</v>
      </c>
      <c r="H86" s="389">
        <v>6</v>
      </c>
      <c r="I86" s="389">
        <v>7</v>
      </c>
      <c r="J86" s="390">
        <v>8</v>
      </c>
      <c r="K86" s="390">
        <v>9</v>
      </c>
      <c r="L86" s="389">
        <v>10</v>
      </c>
      <c r="M86" s="389">
        <v>11</v>
      </c>
      <c r="N86" s="389">
        <v>12</v>
      </c>
      <c r="O86" s="389">
        <v>13</v>
      </c>
      <c r="P86" s="389">
        <v>14</v>
      </c>
      <c r="Q86" s="390">
        <v>15</v>
      </c>
      <c r="R86" s="390">
        <v>16</v>
      </c>
      <c r="S86" s="389">
        <v>17</v>
      </c>
      <c r="T86" s="389">
        <v>18</v>
      </c>
      <c r="U86" s="389">
        <v>19</v>
      </c>
      <c r="V86" s="389">
        <v>20</v>
      </c>
      <c r="W86" s="389">
        <v>21</v>
      </c>
      <c r="X86" s="390">
        <v>22</v>
      </c>
      <c r="Y86" s="390">
        <v>23</v>
      </c>
      <c r="Z86" s="389">
        <v>24</v>
      </c>
      <c r="AA86" s="389">
        <v>25</v>
      </c>
      <c r="AB86" s="389">
        <v>26</v>
      </c>
      <c r="AC86" s="389">
        <v>27</v>
      </c>
      <c r="AD86" s="389">
        <v>28</v>
      </c>
      <c r="AE86" s="390">
        <v>29</v>
      </c>
      <c r="AF86" s="390">
        <v>30</v>
      </c>
      <c r="AG86" s="389">
        <v>31</v>
      </c>
      <c r="AH86" s="1"/>
      <c r="AJ86" s="1638"/>
      <c r="AK86" s="1638"/>
      <c r="AL86" s="1638"/>
      <c r="AM86" s="1639"/>
      <c r="AN86" s="1639"/>
    </row>
    <row r="87" spans="1:40" ht="18" customHeight="1" x14ac:dyDescent="0.2">
      <c r="A87" s="3066"/>
      <c r="B87" s="3779" t="s">
        <v>431</v>
      </c>
      <c r="C87" s="3630"/>
      <c r="D87" s="3229"/>
      <c r="E87" s="3340" t="s">
        <v>50</v>
      </c>
      <c r="F87" s="3340" t="s">
        <v>50</v>
      </c>
      <c r="G87" s="3340" t="s">
        <v>50</v>
      </c>
      <c r="H87" s="3835" t="s">
        <v>162</v>
      </c>
      <c r="I87" s="3835" t="s">
        <v>162</v>
      </c>
      <c r="J87" s="3631" t="s">
        <v>162</v>
      </c>
      <c r="K87" s="3836" t="s">
        <v>162</v>
      </c>
      <c r="L87" s="3622" t="s">
        <v>50</v>
      </c>
      <c r="M87" s="3622" t="s">
        <v>102</v>
      </c>
      <c r="N87" s="3631" t="s">
        <v>46</v>
      </c>
      <c r="O87" s="3229" t="s">
        <v>46</v>
      </c>
      <c r="P87" s="3229" t="s">
        <v>46</v>
      </c>
      <c r="Q87" s="3229"/>
      <c r="R87" s="3229"/>
      <c r="S87" s="3229" t="s">
        <v>46</v>
      </c>
      <c r="T87" s="3229" t="s">
        <v>46</v>
      </c>
      <c r="U87" s="3229" t="s">
        <v>46</v>
      </c>
      <c r="V87" s="3229" t="s">
        <v>46</v>
      </c>
      <c r="W87" s="3229" t="s">
        <v>46</v>
      </c>
      <c r="X87" s="3221"/>
      <c r="Y87" s="3221"/>
      <c r="Z87" s="3229" t="s">
        <v>46</v>
      </c>
      <c r="AA87" s="3229" t="s">
        <v>46</v>
      </c>
      <c r="AB87" s="3229" t="s">
        <v>46</v>
      </c>
      <c r="AC87" s="3229" t="s">
        <v>46</v>
      </c>
      <c r="AD87" s="3229" t="s">
        <v>46</v>
      </c>
      <c r="AE87" s="3201"/>
      <c r="AF87" s="3201"/>
      <c r="AG87" s="3229" t="s">
        <v>46</v>
      </c>
      <c r="AH87" s="1"/>
      <c r="AJ87" s="123"/>
      <c r="AK87" s="123"/>
      <c r="AL87" s="123"/>
      <c r="AM87" s="215"/>
      <c r="AN87" s="215"/>
    </row>
    <row r="88" spans="1:40" ht="18" customHeight="1" x14ac:dyDescent="0.2">
      <c r="A88" s="3837"/>
      <c r="B88" s="3070" t="s">
        <v>482</v>
      </c>
      <c r="C88" s="3838"/>
      <c r="D88" s="3825"/>
      <c r="E88" s="3825" t="s">
        <v>46</v>
      </c>
      <c r="F88" s="3839" t="s">
        <v>46</v>
      </c>
      <c r="G88" s="3825">
        <v>3</v>
      </c>
      <c r="H88" s="3825">
        <v>3</v>
      </c>
      <c r="I88" s="3825">
        <v>3</v>
      </c>
      <c r="J88" s="3825"/>
      <c r="K88" s="3825"/>
      <c r="L88" s="3825" t="s">
        <v>46</v>
      </c>
      <c r="M88" s="3825" t="s">
        <v>46</v>
      </c>
      <c r="N88" s="3839" t="s">
        <v>46</v>
      </c>
      <c r="O88" s="3839" t="s">
        <v>46</v>
      </c>
      <c r="P88" s="3825" t="s">
        <v>46</v>
      </c>
      <c r="Q88" s="3825"/>
      <c r="R88" s="3825"/>
      <c r="S88" s="3825" t="s">
        <v>46</v>
      </c>
      <c r="T88" s="3840">
        <v>22</v>
      </c>
      <c r="U88" s="3840">
        <v>22</v>
      </c>
      <c r="V88" s="3840">
        <v>22</v>
      </c>
      <c r="W88" s="3840">
        <v>22</v>
      </c>
      <c r="X88" s="3840">
        <v>22</v>
      </c>
      <c r="Y88" s="3825"/>
      <c r="Z88" s="3825" t="s">
        <v>46</v>
      </c>
      <c r="AA88" s="3825" t="s">
        <v>50</v>
      </c>
      <c r="AB88" s="3825" t="s">
        <v>50</v>
      </c>
      <c r="AC88" s="3825" t="s">
        <v>50</v>
      </c>
      <c r="AD88" s="3825" t="s">
        <v>50</v>
      </c>
      <c r="AE88" s="3825"/>
      <c r="AF88" s="3825"/>
      <c r="AG88" s="3825" t="s">
        <v>46</v>
      </c>
      <c r="AH88" s="1"/>
      <c r="AJ88" s="123"/>
      <c r="AK88" s="123"/>
      <c r="AL88" s="123"/>
      <c r="AM88" s="123"/>
      <c r="AN88" s="123"/>
    </row>
    <row r="89" spans="1:40" ht="18" customHeight="1" x14ac:dyDescent="0.2">
      <c r="A89" s="3837"/>
      <c r="B89" s="3779"/>
      <c r="C89" s="3838"/>
      <c r="D89" s="3825"/>
      <c r="E89" s="3825" t="s">
        <v>46</v>
      </c>
      <c r="F89" s="3825" t="s">
        <v>46</v>
      </c>
      <c r="G89" s="3825" t="s">
        <v>46</v>
      </c>
      <c r="H89" s="3825" t="s">
        <v>46</v>
      </c>
      <c r="I89" s="3825" t="s">
        <v>46</v>
      </c>
      <c r="J89" s="3825"/>
      <c r="K89" s="3825"/>
      <c r="L89" s="3825" t="s">
        <v>46</v>
      </c>
      <c r="M89" s="3825" t="s">
        <v>46</v>
      </c>
      <c r="N89" s="3825" t="s">
        <v>46</v>
      </c>
      <c r="O89" s="3825" t="s">
        <v>46</v>
      </c>
      <c r="P89" s="3825" t="s">
        <v>46</v>
      </c>
      <c r="Q89" s="3825"/>
      <c r="R89" s="3825"/>
      <c r="S89" s="3825" t="s">
        <v>46</v>
      </c>
      <c r="T89" s="3825" t="s">
        <v>46</v>
      </c>
      <c r="U89" s="3825" t="s">
        <v>46</v>
      </c>
      <c r="V89" s="3825" t="s">
        <v>46</v>
      </c>
      <c r="W89" s="3825" t="s">
        <v>46</v>
      </c>
      <c r="X89" s="3825"/>
      <c r="Y89" s="3825"/>
      <c r="Z89" s="3825" t="s">
        <v>46</v>
      </c>
      <c r="AA89" s="3825" t="s">
        <v>46</v>
      </c>
      <c r="AB89" s="3825" t="s">
        <v>46</v>
      </c>
      <c r="AC89" s="3825" t="s">
        <v>46</v>
      </c>
      <c r="AD89" s="3825" t="s">
        <v>46</v>
      </c>
      <c r="AE89" s="3825"/>
      <c r="AF89" s="3825"/>
      <c r="AG89" s="3825" t="s">
        <v>46</v>
      </c>
      <c r="AH89" s="1"/>
      <c r="AJ89" s="123"/>
      <c r="AK89" s="123"/>
      <c r="AL89" s="123"/>
      <c r="AM89" s="123"/>
      <c r="AN89" s="123"/>
    </row>
    <row r="90" spans="1:40" ht="18" customHeight="1" thickBot="1" x14ac:dyDescent="0.25">
      <c r="A90" s="3598"/>
      <c r="B90" s="3070"/>
      <c r="C90" s="3841"/>
      <c r="D90" s="3842"/>
      <c r="E90" s="3842" t="s">
        <v>46</v>
      </c>
      <c r="F90" s="3842" t="s">
        <v>46</v>
      </c>
      <c r="G90" s="3842" t="s">
        <v>46</v>
      </c>
      <c r="H90" s="3832" t="s">
        <v>46</v>
      </c>
      <c r="I90" s="3832" t="s">
        <v>46</v>
      </c>
      <c r="J90" s="3842"/>
      <c r="K90" s="3842"/>
      <c r="L90" s="3842" t="s">
        <v>46</v>
      </c>
      <c r="M90" s="3842" t="s">
        <v>46</v>
      </c>
      <c r="N90" s="3842" t="s">
        <v>46</v>
      </c>
      <c r="O90" s="3832" t="s">
        <v>46</v>
      </c>
      <c r="P90" s="3832" t="s">
        <v>46</v>
      </c>
      <c r="Q90" s="3842"/>
      <c r="R90" s="3842"/>
      <c r="S90" s="3842" t="s">
        <v>46</v>
      </c>
      <c r="T90" s="3842" t="s">
        <v>46</v>
      </c>
      <c r="U90" s="3842" t="s">
        <v>46</v>
      </c>
      <c r="V90" s="3832" t="s">
        <v>46</v>
      </c>
      <c r="W90" s="3832" t="s">
        <v>46</v>
      </c>
      <c r="X90" s="3842"/>
      <c r="Y90" s="3842"/>
      <c r="Z90" s="3842" t="s">
        <v>46</v>
      </c>
      <c r="AA90" s="3842" t="s">
        <v>46</v>
      </c>
      <c r="AB90" s="3842" t="s">
        <v>46</v>
      </c>
      <c r="AC90" s="3832" t="s">
        <v>46</v>
      </c>
      <c r="AD90" s="3832" t="s">
        <v>46</v>
      </c>
      <c r="AE90" s="3842"/>
      <c r="AF90" s="3842"/>
      <c r="AG90" s="3843" t="s">
        <v>46</v>
      </c>
      <c r="AH90" s="1"/>
      <c r="AJ90" s="123"/>
      <c r="AK90" s="123"/>
      <c r="AL90" s="123"/>
      <c r="AM90" s="123"/>
      <c r="AN90" s="123"/>
    </row>
    <row r="91" spans="1:40" ht="18" customHeight="1" thickBot="1" x14ac:dyDescent="0.25">
      <c r="A91" s="841"/>
      <c r="B91" s="392" t="s">
        <v>44</v>
      </c>
      <c r="C91" s="272">
        <v>1</v>
      </c>
      <c r="D91" s="272">
        <v>2</v>
      </c>
      <c r="E91" s="273">
        <v>3</v>
      </c>
      <c r="F91" s="273">
        <v>4</v>
      </c>
      <c r="G91" s="273">
        <v>5</v>
      </c>
      <c r="H91" s="273">
        <v>6</v>
      </c>
      <c r="I91" s="273">
        <v>7</v>
      </c>
      <c r="J91" s="272">
        <v>8</v>
      </c>
      <c r="K91" s="272">
        <v>9</v>
      </c>
      <c r="L91" s="273">
        <v>10</v>
      </c>
      <c r="M91" s="273">
        <v>11</v>
      </c>
      <c r="N91" s="273">
        <v>12</v>
      </c>
      <c r="O91" s="273">
        <v>13</v>
      </c>
      <c r="P91" s="273">
        <v>14</v>
      </c>
      <c r="Q91" s="272">
        <v>15</v>
      </c>
      <c r="R91" s="272">
        <v>16</v>
      </c>
      <c r="S91" s="273">
        <v>17</v>
      </c>
      <c r="T91" s="273">
        <v>18</v>
      </c>
      <c r="U91" s="273">
        <v>19</v>
      </c>
      <c r="V91" s="273">
        <v>20</v>
      </c>
      <c r="W91" s="273">
        <v>21</v>
      </c>
      <c r="X91" s="272">
        <v>22</v>
      </c>
      <c r="Y91" s="272">
        <v>23</v>
      </c>
      <c r="Z91" s="273">
        <v>24</v>
      </c>
      <c r="AA91" s="273">
        <v>25</v>
      </c>
      <c r="AB91" s="273">
        <v>26</v>
      </c>
      <c r="AC91" s="273">
        <v>27</v>
      </c>
      <c r="AD91" s="273">
        <v>28</v>
      </c>
      <c r="AE91" s="272">
        <v>29</v>
      </c>
      <c r="AF91" s="272">
        <v>30</v>
      </c>
      <c r="AG91" s="273">
        <v>31</v>
      </c>
      <c r="AH91" s="1"/>
    </row>
    <row r="92" spans="1:40" ht="18" customHeight="1" x14ac:dyDescent="0.2">
      <c r="A92" s="3837"/>
      <c r="B92" s="2942" t="s">
        <v>195</v>
      </c>
      <c r="C92" s="3164"/>
      <c r="D92" s="3238"/>
      <c r="E92" s="3164"/>
      <c r="F92" s="3164"/>
      <c r="G92" s="3164"/>
      <c r="H92" s="3164"/>
      <c r="I92" s="3164"/>
      <c r="J92" s="3164"/>
      <c r="K92" s="3164"/>
      <c r="L92" s="3164"/>
      <c r="M92" s="3164"/>
      <c r="N92" s="3164"/>
      <c r="O92" s="3164"/>
      <c r="P92" s="3164"/>
      <c r="Q92" s="3164"/>
      <c r="R92" s="3164"/>
      <c r="S92" s="3164"/>
      <c r="T92" s="3164"/>
      <c r="U92" s="3164"/>
      <c r="V92" s="3164"/>
      <c r="W92" s="3164"/>
      <c r="X92" s="3164"/>
      <c r="Y92" s="3164"/>
      <c r="Z92" s="3164"/>
      <c r="AA92" s="3164"/>
      <c r="AB92" s="3164"/>
      <c r="AC92" s="3164"/>
      <c r="AD92" s="3164"/>
      <c r="AE92" s="3164"/>
      <c r="AF92" s="3164"/>
      <c r="AG92" s="3239"/>
      <c r="AH92" s="1"/>
    </row>
    <row r="93" spans="1:40" ht="18" customHeight="1" x14ac:dyDescent="0.2">
      <c r="A93" s="3837"/>
      <c r="B93" s="3511"/>
      <c r="C93" s="3641"/>
      <c r="D93" s="3641"/>
      <c r="E93" s="3641"/>
      <c r="F93" s="3513"/>
      <c r="G93" s="3513"/>
      <c r="H93" s="3641"/>
      <c r="I93" s="3641"/>
      <c r="J93" s="3641"/>
      <c r="K93" s="3641"/>
      <c r="L93" s="3641"/>
      <c r="M93" s="3641"/>
      <c r="N93" s="3641"/>
      <c r="O93" s="3641"/>
      <c r="P93" s="3641"/>
      <c r="Q93" s="3641"/>
      <c r="R93" s="3641"/>
      <c r="S93" s="3641"/>
      <c r="T93" s="3366"/>
      <c r="U93" s="3641"/>
      <c r="V93" s="3641"/>
      <c r="W93" s="3641"/>
      <c r="X93" s="3641"/>
      <c r="Y93" s="3641"/>
      <c r="Z93" s="3641"/>
      <c r="AA93" s="3641"/>
      <c r="AB93" s="3641"/>
      <c r="AC93" s="3641"/>
      <c r="AD93" s="3641"/>
      <c r="AE93" s="3641"/>
      <c r="AF93" s="3641"/>
      <c r="AG93" s="3844"/>
      <c r="AH93" s="1"/>
    </row>
    <row r="94" spans="1:40" ht="18" customHeight="1" x14ac:dyDescent="0.2">
      <c r="A94" s="3837"/>
      <c r="B94" s="3511"/>
      <c r="C94" s="3366"/>
      <c r="D94" s="3366"/>
      <c r="E94" s="3366"/>
      <c r="F94" s="3366"/>
      <c r="G94" s="3366"/>
      <c r="H94" s="3366"/>
      <c r="I94" s="3366"/>
      <c r="J94" s="3366"/>
      <c r="K94" s="3366"/>
      <c r="L94" s="3366"/>
      <c r="M94" s="3366"/>
      <c r="N94" s="3366"/>
      <c r="O94" s="3366"/>
      <c r="P94" s="3366"/>
      <c r="Q94" s="3366"/>
      <c r="R94" s="3366"/>
      <c r="S94" s="3366"/>
      <c r="T94" s="3366"/>
      <c r="U94" s="3366"/>
      <c r="V94" s="3366"/>
      <c r="W94" s="3366"/>
      <c r="X94" s="3366"/>
      <c r="Y94" s="3366"/>
      <c r="Z94" s="3366"/>
      <c r="AA94" s="3366"/>
      <c r="AB94" s="3366"/>
      <c r="AC94" s="3366"/>
      <c r="AD94" s="3366"/>
      <c r="AE94" s="3366"/>
      <c r="AF94" s="3366"/>
      <c r="AG94" s="3510"/>
      <c r="AH94" s="1"/>
    </row>
    <row r="95" spans="1:40" ht="18" customHeight="1" thickBot="1" x14ac:dyDescent="0.25">
      <c r="A95" s="96"/>
      <c r="B95" s="3531"/>
      <c r="C95" s="3845"/>
      <c r="D95" s="3845"/>
      <c r="E95" s="3845"/>
      <c r="F95" s="3845"/>
      <c r="G95" s="3845"/>
      <c r="H95" s="3845"/>
      <c r="I95" s="3845"/>
      <c r="J95" s="3845"/>
      <c r="K95" s="3845"/>
      <c r="L95" s="3845"/>
      <c r="M95" s="3845"/>
      <c r="N95" s="3845"/>
      <c r="O95" s="3845"/>
      <c r="P95" s="3845"/>
      <c r="Q95" s="3845"/>
      <c r="R95" s="3845"/>
      <c r="S95" s="3845"/>
      <c r="T95" s="3845"/>
      <c r="U95" s="3845"/>
      <c r="V95" s="3845"/>
      <c r="W95" s="3845"/>
      <c r="X95" s="3845"/>
      <c r="Y95" s="3845"/>
      <c r="Z95" s="3845"/>
      <c r="AA95" s="3845"/>
      <c r="AB95" s="3845"/>
      <c r="AC95" s="3845"/>
      <c r="AD95" s="3845"/>
      <c r="AE95" s="3845"/>
      <c r="AF95" s="3845"/>
      <c r="AG95" s="3552"/>
      <c r="AH95" s="1"/>
    </row>
    <row r="96" spans="1:40" ht="18" customHeight="1" x14ac:dyDescent="0.2">
      <c r="A96" s="126"/>
      <c r="B96" s="127"/>
      <c r="C96" s="142"/>
      <c r="D96" s="142"/>
      <c r="E96" s="142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28"/>
      <c r="AH96" s="1"/>
    </row>
    <row r="97" spans="1:34" ht="18" customHeight="1" x14ac:dyDescent="0.2">
      <c r="A97" s="126"/>
      <c r="B97" s="42" t="s">
        <v>232</v>
      </c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"/>
    </row>
    <row r="98" spans="1:34" ht="18" customHeight="1" x14ac:dyDescent="0.2">
      <c r="A98" s="126"/>
      <c r="B98" s="3767"/>
      <c r="C98" s="3766"/>
      <c r="D98" s="3767" t="s">
        <v>17</v>
      </c>
      <c r="E98" s="3766"/>
      <c r="F98" s="3766"/>
      <c r="G98" s="3767" t="s">
        <v>18</v>
      </c>
      <c r="H98" s="3766"/>
      <c r="I98" s="3766"/>
      <c r="J98" s="3767" t="s">
        <v>19</v>
      </c>
      <c r="K98" s="3766"/>
      <c r="L98" s="3766"/>
      <c r="M98" s="3767" t="s">
        <v>20</v>
      </c>
      <c r="N98" s="3766"/>
      <c r="O98" s="3766"/>
      <c r="P98" s="3767" t="s">
        <v>21</v>
      </c>
      <c r="Q98" s="3766"/>
      <c r="R98" s="3762"/>
      <c r="S98" s="3763" t="s">
        <v>22</v>
      </c>
      <c r="T98" s="3766"/>
      <c r="U98" s="3766"/>
      <c r="V98" s="3767" t="s">
        <v>23</v>
      </c>
      <c r="W98" s="3766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1"/>
    </row>
    <row r="99" spans="1:34" ht="18" customHeight="1" x14ac:dyDescent="0.2">
      <c r="A99" s="126"/>
      <c r="B99" s="3846" t="s">
        <v>127</v>
      </c>
      <c r="C99" s="3847" t="s">
        <v>527</v>
      </c>
      <c r="D99" s="3595"/>
      <c r="E99" s="3595"/>
      <c r="F99" s="3847" t="s">
        <v>527</v>
      </c>
      <c r="G99" s="3595"/>
      <c r="H99" s="3595"/>
      <c r="I99" s="3847" t="s">
        <v>527</v>
      </c>
      <c r="J99" s="3595"/>
      <c r="K99" s="3595"/>
      <c r="L99" s="3847" t="s">
        <v>527</v>
      </c>
      <c r="M99" s="3595"/>
      <c r="N99" s="3595"/>
      <c r="O99" s="3847" t="s">
        <v>527</v>
      </c>
      <c r="P99" s="3595"/>
      <c r="Q99" s="3595"/>
      <c r="R99" s="3594"/>
      <c r="S99" s="3595"/>
      <c r="T99" s="3595"/>
      <c r="U99" s="3594" t="s">
        <v>256</v>
      </c>
      <c r="V99" s="3595"/>
      <c r="W99" s="3848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1"/>
    </row>
    <row r="100" spans="1:34" ht="18" customHeight="1" x14ac:dyDescent="0.2">
      <c r="A100" s="126"/>
      <c r="B100" s="3846" t="s">
        <v>134</v>
      </c>
      <c r="C100" s="2857" t="s">
        <v>529</v>
      </c>
      <c r="D100" s="2858"/>
      <c r="E100" s="2858"/>
      <c r="F100" s="2857" t="s">
        <v>529</v>
      </c>
      <c r="G100" s="2858"/>
      <c r="H100" s="2858"/>
      <c r="I100" s="2857" t="s">
        <v>529</v>
      </c>
      <c r="J100" s="2858"/>
      <c r="K100" s="2858"/>
      <c r="L100" s="2857" t="s">
        <v>529</v>
      </c>
      <c r="M100" s="2858"/>
      <c r="N100" s="2858"/>
      <c r="O100" s="2857" t="s">
        <v>530</v>
      </c>
      <c r="P100" s="2858"/>
      <c r="Q100" s="2858"/>
      <c r="R100" s="387"/>
      <c r="S100" s="46"/>
      <c r="T100" s="3848"/>
      <c r="U100" s="387"/>
      <c r="V100" s="46"/>
      <c r="W100" s="3848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1"/>
    </row>
    <row r="101" spans="1:34" ht="18" customHeight="1" x14ac:dyDescent="0.2">
      <c r="A101" s="126"/>
      <c r="B101" s="3846" t="s">
        <v>472</v>
      </c>
      <c r="C101" s="3849" t="s">
        <v>531</v>
      </c>
      <c r="D101" s="3754"/>
      <c r="E101" s="3754"/>
      <c r="F101" s="3849" t="s">
        <v>531</v>
      </c>
      <c r="G101" s="3560"/>
      <c r="H101" s="3754"/>
      <c r="I101" s="3798" t="s">
        <v>531</v>
      </c>
      <c r="J101" s="3850"/>
      <c r="K101" s="3851"/>
      <c r="L101" s="3798" t="s">
        <v>532</v>
      </c>
      <c r="M101" s="3850"/>
      <c r="N101" s="3852"/>
      <c r="O101" s="3849" t="s">
        <v>532</v>
      </c>
      <c r="P101" s="3754"/>
      <c r="Q101" s="3754"/>
      <c r="R101" s="3798" t="s">
        <v>533</v>
      </c>
      <c r="S101" s="3850"/>
      <c r="T101" s="3851"/>
      <c r="U101" s="3798" t="s">
        <v>533</v>
      </c>
      <c r="V101" s="3850"/>
      <c r="W101" s="3851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1"/>
    </row>
    <row r="102" spans="1:34" ht="18" customHeight="1" thickBot="1" x14ac:dyDescent="0.25">
      <c r="A102" s="126"/>
      <c r="B102" s="3846" t="s">
        <v>534</v>
      </c>
      <c r="C102" s="3849" t="s">
        <v>50</v>
      </c>
      <c r="D102" s="3754"/>
      <c r="E102" s="3754"/>
      <c r="F102" s="3849" t="s">
        <v>50</v>
      </c>
      <c r="G102" s="3560"/>
      <c r="H102" s="3754"/>
      <c r="I102" s="3798" t="s">
        <v>50</v>
      </c>
      <c r="J102" s="3850"/>
      <c r="K102" s="3851"/>
      <c r="L102" s="3798" t="s">
        <v>50</v>
      </c>
      <c r="M102" s="3850"/>
      <c r="N102" s="3852"/>
      <c r="O102" s="3849" t="s">
        <v>50</v>
      </c>
      <c r="P102" s="3754"/>
      <c r="Q102" s="3754"/>
      <c r="R102" s="3798"/>
      <c r="S102" s="3850"/>
      <c r="T102" s="3851"/>
      <c r="U102" s="3798"/>
      <c r="V102" s="3850"/>
      <c r="W102" s="1008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1"/>
    </row>
    <row r="103" spans="1:34" ht="18" customHeight="1" thickBot="1" x14ac:dyDescent="0.25">
      <c r="A103" s="126"/>
      <c r="B103" s="392" t="s">
        <v>44</v>
      </c>
      <c r="C103" s="334">
        <v>1</v>
      </c>
      <c r="D103" s="390">
        <v>2</v>
      </c>
      <c r="E103" s="389">
        <v>3</v>
      </c>
      <c r="F103" s="389">
        <v>4</v>
      </c>
      <c r="G103" s="389">
        <v>5</v>
      </c>
      <c r="H103" s="389">
        <v>6</v>
      </c>
      <c r="I103" s="389">
        <v>7</v>
      </c>
      <c r="J103" s="390">
        <v>8</v>
      </c>
      <c r="K103" s="390">
        <v>9</v>
      </c>
      <c r="L103" s="389">
        <v>10</v>
      </c>
      <c r="M103" s="389">
        <v>11</v>
      </c>
      <c r="N103" s="389">
        <v>12</v>
      </c>
      <c r="O103" s="389">
        <v>13</v>
      </c>
      <c r="P103" s="389">
        <v>14</v>
      </c>
      <c r="Q103" s="390">
        <v>15</v>
      </c>
      <c r="R103" s="390">
        <v>16</v>
      </c>
      <c r="S103" s="389">
        <v>17</v>
      </c>
      <c r="T103" s="389">
        <v>18</v>
      </c>
      <c r="U103" s="389">
        <v>19</v>
      </c>
      <c r="V103" s="417">
        <v>20</v>
      </c>
      <c r="W103" s="3826">
        <v>21</v>
      </c>
      <c r="X103" s="3853">
        <v>22</v>
      </c>
      <c r="Y103" s="3853">
        <v>23</v>
      </c>
      <c r="Z103" s="3826">
        <v>24</v>
      </c>
      <c r="AA103" s="3826">
        <v>25</v>
      </c>
      <c r="AB103" s="3826">
        <v>26</v>
      </c>
      <c r="AC103" s="3826">
        <v>27</v>
      </c>
      <c r="AD103" s="3826">
        <v>28</v>
      </c>
      <c r="AE103" s="2707">
        <v>29</v>
      </c>
      <c r="AF103" s="2707">
        <v>30</v>
      </c>
      <c r="AG103" s="2706">
        <v>31</v>
      </c>
      <c r="AH103" s="1"/>
    </row>
    <row r="104" spans="1:34" ht="18" customHeight="1" x14ac:dyDescent="0.2">
      <c r="A104" s="126"/>
      <c r="B104" s="3249" t="s">
        <v>138</v>
      </c>
      <c r="C104" s="3641" t="s">
        <v>143</v>
      </c>
      <c r="D104" s="3766" t="s">
        <v>143</v>
      </c>
      <c r="E104" s="3766" t="s">
        <v>50</v>
      </c>
      <c r="F104" s="3641" t="s">
        <v>50</v>
      </c>
      <c r="G104" s="3641" t="s">
        <v>50</v>
      </c>
      <c r="H104" s="3641" t="s">
        <v>50</v>
      </c>
      <c r="I104" s="3641" t="s">
        <v>50</v>
      </c>
      <c r="J104" s="3641"/>
      <c r="K104" s="3641"/>
      <c r="L104" s="3854">
        <v>25</v>
      </c>
      <c r="M104" s="3854">
        <v>25</v>
      </c>
      <c r="N104" s="3854">
        <v>25</v>
      </c>
      <c r="O104" s="3854">
        <v>25</v>
      </c>
      <c r="P104" s="3854">
        <v>25</v>
      </c>
      <c r="Q104" s="3641"/>
      <c r="R104" s="3509">
        <v>26</v>
      </c>
      <c r="S104" s="3509">
        <v>26</v>
      </c>
      <c r="T104" s="3509" t="s">
        <v>189</v>
      </c>
      <c r="U104" s="3766">
        <v>26</v>
      </c>
      <c r="V104" s="3766">
        <v>26</v>
      </c>
      <c r="W104" s="3507">
        <v>26</v>
      </c>
      <c r="X104" s="1653"/>
      <c r="Y104" s="1653"/>
      <c r="Z104" s="1653" t="s">
        <v>142</v>
      </c>
      <c r="AA104" s="1653" t="s">
        <v>142</v>
      </c>
      <c r="AB104" s="1653" t="s">
        <v>142</v>
      </c>
      <c r="AC104" s="1653" t="s">
        <v>142</v>
      </c>
      <c r="AD104" s="1653" t="s">
        <v>142</v>
      </c>
      <c r="AE104" s="3641" t="s">
        <v>143</v>
      </c>
      <c r="AF104" s="3766" t="s">
        <v>143</v>
      </c>
      <c r="AG104" s="3766" t="s">
        <v>50</v>
      </c>
      <c r="AH104" s="1"/>
    </row>
    <row r="105" spans="1:34" ht="18" customHeight="1" x14ac:dyDescent="0.2">
      <c r="A105" s="126"/>
      <c r="B105" s="3798" t="s">
        <v>144</v>
      </c>
      <c r="C105" s="3523"/>
      <c r="D105" s="3641"/>
      <c r="E105" s="276">
        <v>25</v>
      </c>
      <c r="F105" s="276">
        <v>25</v>
      </c>
      <c r="G105" s="276">
        <v>25</v>
      </c>
      <c r="H105" s="276">
        <v>25</v>
      </c>
      <c r="I105" s="276">
        <v>25</v>
      </c>
      <c r="J105" s="3641"/>
      <c r="K105" s="3641">
        <v>26</v>
      </c>
      <c r="L105" s="3641">
        <v>26</v>
      </c>
      <c r="M105" s="3641">
        <v>26</v>
      </c>
      <c r="N105" s="3641">
        <v>26</v>
      </c>
      <c r="O105" s="3641">
        <v>26</v>
      </c>
      <c r="P105" s="3641">
        <v>26</v>
      </c>
      <c r="Q105" s="1653"/>
      <c r="R105" s="1653"/>
      <c r="S105" s="3855" t="s">
        <v>142</v>
      </c>
      <c r="T105" s="3855" t="s">
        <v>142</v>
      </c>
      <c r="U105" s="3855" t="s">
        <v>142</v>
      </c>
      <c r="V105" s="3855" t="s">
        <v>142</v>
      </c>
      <c r="W105" s="3855" t="s">
        <v>142</v>
      </c>
      <c r="X105" s="3856" t="s">
        <v>143</v>
      </c>
      <c r="Y105" s="3856" t="s">
        <v>171</v>
      </c>
      <c r="Z105" s="3523">
        <v>8</v>
      </c>
      <c r="AA105" s="3523">
        <v>8</v>
      </c>
      <c r="AB105" s="3523">
        <v>8</v>
      </c>
      <c r="AC105" s="3523">
        <v>8</v>
      </c>
      <c r="AD105" s="3523">
        <v>8</v>
      </c>
      <c r="AE105" s="3641"/>
      <c r="AF105" s="3641"/>
      <c r="AG105" s="3522">
        <v>25</v>
      </c>
      <c r="AH105" s="1"/>
    </row>
    <row r="106" spans="1:34" ht="18" customHeight="1" x14ac:dyDescent="0.2">
      <c r="A106" s="126"/>
      <c r="B106" s="3628" t="s">
        <v>478</v>
      </c>
      <c r="C106" s="3641"/>
      <c r="D106" s="3641">
        <v>26</v>
      </c>
      <c r="E106" s="3515">
        <v>26</v>
      </c>
      <c r="F106" s="3515">
        <v>26</v>
      </c>
      <c r="G106" s="3515">
        <v>26</v>
      </c>
      <c r="H106" s="3523">
        <v>26</v>
      </c>
      <c r="I106" s="3523">
        <v>26</v>
      </c>
      <c r="J106" s="3641"/>
      <c r="K106" s="3641"/>
      <c r="L106" s="3641" t="s">
        <v>142</v>
      </c>
      <c r="M106" s="3641" t="s">
        <v>142</v>
      </c>
      <c r="N106" s="3641" t="s">
        <v>142</v>
      </c>
      <c r="O106" s="3641" t="s">
        <v>142</v>
      </c>
      <c r="P106" s="3641" t="s">
        <v>142</v>
      </c>
      <c r="Q106" s="3641" t="s">
        <v>143</v>
      </c>
      <c r="R106" s="3641" t="s">
        <v>143</v>
      </c>
      <c r="S106" s="3641" t="s">
        <v>50</v>
      </c>
      <c r="T106" s="3641" t="s">
        <v>50</v>
      </c>
      <c r="U106" s="3857" t="s">
        <v>50</v>
      </c>
      <c r="V106" s="3857" t="s">
        <v>50</v>
      </c>
      <c r="W106" s="3523" t="s">
        <v>50</v>
      </c>
      <c r="X106" s="3641"/>
      <c r="Y106" s="3641"/>
      <c r="Z106" s="3641">
        <v>25</v>
      </c>
      <c r="AA106" s="3641">
        <v>25</v>
      </c>
      <c r="AB106" s="3641">
        <v>25</v>
      </c>
      <c r="AC106" s="3641">
        <v>25</v>
      </c>
      <c r="AD106" s="3641">
        <v>25</v>
      </c>
      <c r="AE106" s="3641"/>
      <c r="AF106" s="3857">
        <v>26</v>
      </c>
      <c r="AG106" s="3641">
        <v>26</v>
      </c>
      <c r="AH106" s="1"/>
    </row>
    <row r="107" spans="1:34" ht="18" customHeight="1" thickBot="1" x14ac:dyDescent="0.25">
      <c r="A107" s="126"/>
      <c r="B107" s="3070"/>
      <c r="C107" s="3858"/>
      <c r="D107" s="3859"/>
      <c r="E107" s="3860" t="s">
        <v>142</v>
      </c>
      <c r="F107" s="3860" t="s">
        <v>142</v>
      </c>
      <c r="G107" s="3860" t="s">
        <v>142</v>
      </c>
      <c r="H107" s="3860" t="s">
        <v>142</v>
      </c>
      <c r="I107" s="3860" t="s">
        <v>142</v>
      </c>
      <c r="J107" s="3860" t="s">
        <v>143</v>
      </c>
      <c r="K107" s="3860" t="s">
        <v>143</v>
      </c>
      <c r="L107" s="3859" t="s">
        <v>50</v>
      </c>
      <c r="M107" s="3859" t="s">
        <v>50</v>
      </c>
      <c r="N107" s="3859" t="s">
        <v>50</v>
      </c>
      <c r="O107" s="3859" t="s">
        <v>50</v>
      </c>
      <c r="P107" s="3859" t="s">
        <v>50</v>
      </c>
      <c r="Q107" s="3859"/>
      <c r="R107" s="3859"/>
      <c r="S107" s="3860">
        <v>25</v>
      </c>
      <c r="T107" s="3860">
        <v>25</v>
      </c>
      <c r="U107" s="3860">
        <v>25</v>
      </c>
      <c r="V107" s="3860">
        <v>25</v>
      </c>
      <c r="W107" s="3860">
        <v>25</v>
      </c>
      <c r="X107" s="3859"/>
      <c r="Y107" s="3860">
        <v>26</v>
      </c>
      <c r="Z107" s="3860">
        <v>26</v>
      </c>
      <c r="AA107" s="3860">
        <v>26</v>
      </c>
      <c r="AB107" s="3860">
        <v>26</v>
      </c>
      <c r="AC107" s="3860">
        <v>26</v>
      </c>
      <c r="AD107" s="3860">
        <v>26</v>
      </c>
      <c r="AE107" s="3859"/>
      <c r="AF107" s="3859"/>
      <c r="AG107" s="3860" t="s">
        <v>142</v>
      </c>
      <c r="AH107" s="1"/>
    </row>
    <row r="108" spans="1:34" ht="18" customHeight="1" x14ac:dyDescent="0.2">
      <c r="A108" s="126"/>
      <c r="B108" s="127"/>
      <c r="C108" s="142"/>
      <c r="D108" s="142"/>
      <c r="E108" s="142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28"/>
      <c r="AH108" s="1"/>
    </row>
    <row r="109" spans="1:34" ht="18" customHeight="1" x14ac:dyDescent="0.2">
      <c r="A109" s="126"/>
      <c r="B109" s="127"/>
      <c r="C109" s="142"/>
      <c r="D109" s="142"/>
      <c r="E109" s="142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28"/>
      <c r="AH109" s="1"/>
    </row>
    <row r="110" spans="1:34" ht="18" customHeight="1" x14ac:dyDescent="0.2">
      <c r="A110" s="126"/>
      <c r="B110" s="127"/>
      <c r="C110" s="142"/>
      <c r="D110" s="142"/>
      <c r="E110" s="142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28"/>
      <c r="AH110" s="1"/>
    </row>
    <row r="111" spans="1:34" ht="18" customHeight="1" x14ac:dyDescent="0.2">
      <c r="A111" s="126"/>
      <c r="B111" s="127"/>
      <c r="C111" s="142"/>
      <c r="D111" s="142"/>
      <c r="E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 t="s">
        <v>0</v>
      </c>
      <c r="Z111" s="142"/>
      <c r="AA111" s="142"/>
      <c r="AB111" s="142"/>
      <c r="AC111" s="142"/>
      <c r="AD111" s="142"/>
      <c r="AE111" s="142"/>
      <c r="AF111" s="142"/>
      <c r="AG111" s="128"/>
      <c r="AH111" s="1"/>
    </row>
    <row r="112" spans="1:34" ht="18" customHeight="1" thickBot="1" x14ac:dyDescent="0.25">
      <c r="A112" s="216" t="s">
        <v>197</v>
      </c>
      <c r="B112" s="70"/>
      <c r="C112" s="127"/>
      <c r="D112" s="127"/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7"/>
      <c r="P112" s="127"/>
      <c r="Q112" s="127"/>
      <c r="R112" s="127"/>
      <c r="S112" s="127"/>
      <c r="T112" s="127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28"/>
      <c r="AH112" s="1"/>
    </row>
    <row r="113" spans="1:40" ht="18" customHeight="1" thickBot="1" x14ac:dyDescent="0.3">
      <c r="A113" s="126"/>
      <c r="B113" s="217"/>
      <c r="C113" s="361"/>
      <c r="D113" s="361"/>
      <c r="E113" s="362" t="s">
        <v>198</v>
      </c>
      <c r="F113" s="361"/>
      <c r="G113" s="361"/>
      <c r="H113" s="361"/>
      <c r="I113" s="361"/>
      <c r="J113" s="361"/>
      <c r="K113" s="363" t="s">
        <v>13</v>
      </c>
      <c r="L113" s="364"/>
      <c r="M113" s="364"/>
      <c r="N113" s="364"/>
      <c r="O113" s="364"/>
      <c r="P113" s="364"/>
      <c r="Q113" s="364"/>
      <c r="R113" s="364"/>
      <c r="S113" s="364"/>
      <c r="T113" s="365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"/>
    </row>
    <row r="114" spans="1:40" ht="18" customHeight="1" thickBot="1" x14ac:dyDescent="0.3">
      <c r="A114" s="126"/>
      <c r="B114" s="217" t="s">
        <v>535</v>
      </c>
      <c r="C114" s="218"/>
      <c r="D114" s="218"/>
      <c r="E114" s="219" t="s">
        <v>200</v>
      </c>
      <c r="F114" s="218"/>
      <c r="G114" s="218"/>
      <c r="H114" s="218"/>
      <c r="I114" s="218"/>
      <c r="J114" s="218"/>
      <c r="K114" s="218" t="s">
        <v>0</v>
      </c>
      <c r="L114" s="218"/>
      <c r="M114" s="218"/>
      <c r="N114" s="218"/>
      <c r="O114" s="218"/>
      <c r="P114" s="218"/>
      <c r="Q114" s="218"/>
      <c r="R114" s="236" t="s">
        <v>0</v>
      </c>
      <c r="S114" s="236"/>
      <c r="T114" s="2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"/>
    </row>
    <row r="115" spans="1:40" ht="18" customHeight="1" thickBot="1" x14ac:dyDescent="0.3">
      <c r="A115" s="126"/>
      <c r="B115" s="227"/>
      <c r="C115" s="227"/>
      <c r="D115" s="227"/>
      <c r="E115" s="228"/>
      <c r="F115" s="227"/>
      <c r="G115" s="227"/>
      <c r="H115" s="227"/>
      <c r="I115" s="227"/>
      <c r="J115" s="227"/>
      <c r="K115" s="227"/>
      <c r="L115" s="231"/>
      <c r="M115" s="231"/>
      <c r="N115" s="231"/>
      <c r="O115" s="231"/>
      <c r="P115" s="231"/>
      <c r="Q115" s="231"/>
      <c r="R115" s="231"/>
      <c r="S115" s="231"/>
      <c r="T115" s="231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"/>
    </row>
    <row r="116" spans="1:40" ht="18" customHeight="1" x14ac:dyDescent="0.25">
      <c r="A116" s="126"/>
      <c r="B116" s="3861" t="s">
        <v>44</v>
      </c>
      <c r="C116" s="2707">
        <v>1</v>
      </c>
      <c r="D116" s="2707">
        <v>2</v>
      </c>
      <c r="E116" s="2706">
        <v>3</v>
      </c>
      <c r="F116" s="2706">
        <v>4</v>
      </c>
      <c r="G116" s="2706">
        <v>5</v>
      </c>
      <c r="H116" s="2706">
        <v>6</v>
      </c>
      <c r="I116" s="2706">
        <v>7</v>
      </c>
      <c r="J116" s="2707">
        <v>8</v>
      </c>
      <c r="K116" s="2707">
        <v>9</v>
      </c>
      <c r="L116" s="2706">
        <v>10</v>
      </c>
      <c r="M116" s="2706">
        <v>11</v>
      </c>
      <c r="N116" s="2706">
        <v>12</v>
      </c>
      <c r="O116" s="2706">
        <v>13</v>
      </c>
      <c r="P116" s="2706">
        <v>14</v>
      </c>
      <c r="Q116" s="2707">
        <v>15</v>
      </c>
      <c r="R116" s="2707">
        <v>16</v>
      </c>
      <c r="S116" s="2706">
        <v>17</v>
      </c>
      <c r="T116" s="2706">
        <v>18</v>
      </c>
      <c r="U116" s="2706">
        <v>19</v>
      </c>
      <c r="V116" s="2706">
        <v>20</v>
      </c>
      <c r="W116" s="2706">
        <v>21</v>
      </c>
      <c r="X116" s="2707">
        <v>22</v>
      </c>
      <c r="Y116" s="2707">
        <v>23</v>
      </c>
      <c r="Z116" s="2706">
        <v>24</v>
      </c>
      <c r="AA116" s="2706">
        <v>25</v>
      </c>
      <c r="AB116" s="2706">
        <v>26</v>
      </c>
      <c r="AC116" s="2706">
        <v>27</v>
      </c>
      <c r="AD116" s="2706">
        <v>28</v>
      </c>
      <c r="AE116" s="2707">
        <v>29</v>
      </c>
      <c r="AF116" s="2707">
        <v>30</v>
      </c>
      <c r="AG116" s="2706">
        <v>31</v>
      </c>
      <c r="AH116" s="1"/>
      <c r="AJ116" s="3780" t="s">
        <v>41</v>
      </c>
      <c r="AK116" s="3780" t="s">
        <v>62</v>
      </c>
      <c r="AL116" s="3780" t="s">
        <v>63</v>
      </c>
      <c r="AM116" s="3780" t="s">
        <v>64</v>
      </c>
      <c r="AN116" s="3780" t="s">
        <v>65</v>
      </c>
    </row>
    <row r="117" spans="1:40" ht="18" customHeight="1" x14ac:dyDescent="0.2">
      <c r="B117" s="3252" t="s">
        <v>484</v>
      </c>
      <c r="C117" s="420"/>
      <c r="D117" s="420"/>
      <c r="E117" s="420" t="s">
        <v>50</v>
      </c>
      <c r="F117" s="420" t="s">
        <v>50</v>
      </c>
      <c r="G117" s="420" t="s">
        <v>50</v>
      </c>
      <c r="H117" s="420" t="s">
        <v>50</v>
      </c>
      <c r="I117" s="420" t="s">
        <v>50</v>
      </c>
      <c r="J117" s="420"/>
      <c r="K117" s="420"/>
      <c r="L117" s="420" t="s">
        <v>209</v>
      </c>
      <c r="M117" s="420" t="s">
        <v>209</v>
      </c>
      <c r="N117" s="420" t="s">
        <v>209</v>
      </c>
      <c r="O117" s="420" t="s">
        <v>209</v>
      </c>
      <c r="P117" s="420" t="s">
        <v>209</v>
      </c>
      <c r="Q117" s="420"/>
      <c r="R117" s="420"/>
      <c r="S117" s="420" t="s">
        <v>50</v>
      </c>
      <c r="T117" s="420" t="s">
        <v>50</v>
      </c>
      <c r="U117" s="420" t="s">
        <v>50</v>
      </c>
      <c r="V117" s="420" t="s">
        <v>50</v>
      </c>
      <c r="W117" s="420" t="s">
        <v>50</v>
      </c>
      <c r="X117" s="420"/>
      <c r="Y117" s="420"/>
      <c r="Z117" s="420" t="s">
        <v>209</v>
      </c>
      <c r="AA117" s="420" t="s">
        <v>209</v>
      </c>
      <c r="AB117" s="420" t="s">
        <v>209</v>
      </c>
      <c r="AC117" s="420" t="s">
        <v>209</v>
      </c>
      <c r="AD117" s="420" t="s">
        <v>209</v>
      </c>
      <c r="AE117" s="420" t="s">
        <v>209</v>
      </c>
      <c r="AF117" s="420" t="s">
        <v>209</v>
      </c>
      <c r="AG117" s="420" t="s">
        <v>50</v>
      </c>
      <c r="AH117" s="1"/>
      <c r="AJ117" s="3793">
        <f>$AJ$12</f>
        <v>160.33000000000001</v>
      </c>
      <c r="AK117" s="3793"/>
      <c r="AL117" s="3793">
        <f>IF(AJ117="","",SUM(AJ117:AK117))</f>
        <v>160.33000000000001</v>
      </c>
      <c r="AM117" s="3794">
        <f t="shared" ref="AM117:AM118" si="6">IF(AJ117="","",AL117-AJ117)</f>
        <v>0</v>
      </c>
      <c r="AN117" s="3794">
        <f>IF(AM117="","",AM117+'Februar 2025'!AN114)</f>
        <v>0</v>
      </c>
    </row>
    <row r="118" spans="1:40" ht="18" customHeight="1" thickBot="1" x14ac:dyDescent="0.25">
      <c r="B118" s="3862" t="s">
        <v>212</v>
      </c>
      <c r="C118" s="3829"/>
      <c r="D118" s="3829"/>
      <c r="E118" s="3829" t="s">
        <v>209</v>
      </c>
      <c r="F118" s="3863" t="s">
        <v>209</v>
      </c>
      <c r="G118" s="3826" t="s">
        <v>209</v>
      </c>
      <c r="H118" s="3864" t="s">
        <v>209</v>
      </c>
      <c r="I118" s="3826" t="s">
        <v>209</v>
      </c>
      <c r="J118" s="3826"/>
      <c r="K118" s="3826"/>
      <c r="L118" s="3826" t="s">
        <v>50</v>
      </c>
      <c r="M118" s="3826" t="s">
        <v>50</v>
      </c>
      <c r="N118" s="3826" t="s">
        <v>50</v>
      </c>
      <c r="O118" s="3829" t="s">
        <v>50</v>
      </c>
      <c r="P118" s="3829" t="s">
        <v>50</v>
      </c>
      <c r="Q118" s="3829"/>
      <c r="R118" s="3829"/>
      <c r="S118" s="3829" t="s">
        <v>209</v>
      </c>
      <c r="T118" s="3826" t="s">
        <v>209</v>
      </c>
      <c r="U118" s="3826" t="s">
        <v>209</v>
      </c>
      <c r="V118" s="3826" t="s">
        <v>209</v>
      </c>
      <c r="W118" s="3826" t="s">
        <v>209</v>
      </c>
      <c r="X118" s="3826"/>
      <c r="Y118" s="258" t="s">
        <v>209</v>
      </c>
      <c r="Z118" s="3826" t="s">
        <v>50</v>
      </c>
      <c r="AA118" s="3826" t="s">
        <v>50</v>
      </c>
      <c r="AB118" s="3826" t="s">
        <v>50</v>
      </c>
      <c r="AC118" s="3829" t="s">
        <v>50</v>
      </c>
      <c r="AD118" s="3829" t="s">
        <v>50</v>
      </c>
      <c r="AE118" s="3829"/>
      <c r="AF118" s="3829"/>
      <c r="AG118" s="3829" t="s">
        <v>209</v>
      </c>
      <c r="AH118" s="1"/>
      <c r="AJ118" s="3865">
        <f t="shared" ref="AJ118" si="7">$AJ$12</f>
        <v>160.33000000000001</v>
      </c>
      <c r="AK118" s="3865"/>
      <c r="AL118" s="3865">
        <f t="shared" ref="AL118" si="8">IF(AJ118="","",SUM(AJ118:AK118))</f>
        <v>160.33000000000001</v>
      </c>
      <c r="AM118" s="3866">
        <f t="shared" si="6"/>
        <v>0</v>
      </c>
      <c r="AN118" s="3794">
        <f>IF(AM118="","",AM118+'Februar 2025'!AN115)</f>
        <v>0</v>
      </c>
    </row>
    <row r="119" spans="1:40" ht="18" customHeight="1" x14ac:dyDescent="0.2">
      <c r="B119" s="232"/>
      <c r="C119" s="233"/>
      <c r="D119" s="233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  <c r="Z119" s="234"/>
      <c r="AA119" s="234"/>
      <c r="AB119" s="234"/>
      <c r="AC119" s="234"/>
      <c r="AD119" s="234"/>
      <c r="AE119" s="234"/>
      <c r="AF119" s="234"/>
      <c r="AG119" s="234"/>
      <c r="AH119" s="1"/>
      <c r="AJ119" s="123"/>
      <c r="AK119" s="123"/>
      <c r="AL119" s="123"/>
      <c r="AM119" s="215"/>
      <c r="AN119" s="215"/>
    </row>
    <row r="120" spans="1:40" ht="18" customHeight="1" x14ac:dyDescent="0.2">
      <c r="A120" s="3" t="s">
        <v>213</v>
      </c>
      <c r="AH120" s="1"/>
      <c r="AJ120" s="123"/>
      <c r="AK120" s="123"/>
      <c r="AL120" s="123"/>
      <c r="AM120" s="215"/>
      <c r="AN120" s="215"/>
    </row>
    <row r="121" spans="1:40" ht="18" customHeight="1" x14ac:dyDescent="0.25">
      <c r="B121" s="217"/>
      <c r="C121" s="218"/>
      <c r="D121" s="218"/>
      <c r="E121" s="221" t="s">
        <v>198</v>
      </c>
      <c r="F121" s="218"/>
      <c r="G121" s="218"/>
      <c r="H121" s="218"/>
      <c r="I121" s="218"/>
      <c r="J121" s="218"/>
      <c r="K121" s="226" t="s">
        <v>13</v>
      </c>
      <c r="L121" s="222"/>
      <c r="M121" s="222"/>
      <c r="N121" s="222"/>
      <c r="O121" s="222"/>
      <c r="P121" s="222"/>
      <c r="Q121" s="222"/>
      <c r="R121" s="222"/>
      <c r="S121" s="222"/>
      <c r="T121" s="223"/>
      <c r="AH121" s="1"/>
      <c r="AJ121" s="123"/>
      <c r="AK121" s="123"/>
      <c r="AL121" s="123"/>
      <c r="AM121" s="215"/>
      <c r="AN121" s="215"/>
    </row>
    <row r="122" spans="1:40" ht="18" customHeight="1" thickBot="1" x14ac:dyDescent="0.3">
      <c r="B122" s="217" t="s">
        <v>487</v>
      </c>
      <c r="C122" s="218"/>
      <c r="D122" s="218"/>
      <c r="E122" s="219" t="s">
        <v>214</v>
      </c>
      <c r="F122" s="218"/>
      <c r="G122" s="218"/>
      <c r="H122" s="218"/>
      <c r="I122" s="218"/>
      <c r="J122" s="218"/>
      <c r="K122" s="218"/>
      <c r="L122" s="218"/>
      <c r="M122" s="218"/>
      <c r="N122" s="218"/>
      <c r="O122" s="218"/>
      <c r="P122" s="218"/>
      <c r="Q122" s="218"/>
      <c r="R122" s="236"/>
      <c r="S122" s="236"/>
      <c r="T122" s="236"/>
      <c r="AH122" s="1"/>
      <c r="AJ122" s="123"/>
      <c r="AK122" s="123"/>
      <c r="AL122" s="123"/>
      <c r="AM122" s="215"/>
      <c r="AN122" s="215"/>
    </row>
    <row r="123" spans="1:40" ht="18" customHeight="1" thickBot="1" x14ac:dyDescent="0.25">
      <c r="T123" s="108"/>
      <c r="U123" s="108"/>
      <c r="V123" s="108"/>
      <c r="AH123" s="1"/>
      <c r="AJ123" s="123"/>
      <c r="AK123" s="123"/>
      <c r="AL123" s="123"/>
      <c r="AM123" s="215"/>
      <c r="AN123" s="215"/>
    </row>
    <row r="124" spans="1:40" ht="18" customHeight="1" x14ac:dyDescent="0.2">
      <c r="B124" s="3261" t="s">
        <v>44</v>
      </c>
      <c r="C124" s="2707">
        <v>1</v>
      </c>
      <c r="D124" s="2707">
        <v>2</v>
      </c>
      <c r="E124" s="2706">
        <v>3</v>
      </c>
      <c r="F124" s="2706">
        <v>4</v>
      </c>
      <c r="G124" s="2706">
        <v>5</v>
      </c>
      <c r="H124" s="2706">
        <v>6</v>
      </c>
      <c r="I124" s="2706">
        <v>7</v>
      </c>
      <c r="J124" s="2707">
        <v>8</v>
      </c>
      <c r="K124" s="2707">
        <v>9</v>
      </c>
      <c r="L124" s="2706">
        <v>10</v>
      </c>
      <c r="M124" s="2706">
        <v>11</v>
      </c>
      <c r="N124" s="2706">
        <v>12</v>
      </c>
      <c r="O124" s="2706">
        <v>13</v>
      </c>
      <c r="P124" s="2706">
        <v>14</v>
      </c>
      <c r="Q124" s="2707">
        <v>15</v>
      </c>
      <c r="R124" s="2707">
        <v>16</v>
      </c>
      <c r="S124" s="2706">
        <v>17</v>
      </c>
      <c r="T124" s="2706">
        <v>18</v>
      </c>
      <c r="U124" s="2706">
        <v>19</v>
      </c>
      <c r="V124" s="2706">
        <v>20</v>
      </c>
      <c r="W124" s="2706">
        <v>21</v>
      </c>
      <c r="X124" s="2707">
        <v>22</v>
      </c>
      <c r="Y124" s="2707">
        <v>23</v>
      </c>
      <c r="Z124" s="2706">
        <v>24</v>
      </c>
      <c r="AA124" s="2706">
        <v>25</v>
      </c>
      <c r="AB124" s="2706">
        <v>26</v>
      </c>
      <c r="AC124" s="2706">
        <v>27</v>
      </c>
      <c r="AD124" s="2706">
        <v>28</v>
      </c>
      <c r="AE124" s="2707">
        <v>29</v>
      </c>
      <c r="AF124" s="2707">
        <v>30</v>
      </c>
      <c r="AG124" s="2706">
        <v>31</v>
      </c>
      <c r="AH124" s="1"/>
      <c r="AJ124" s="3780" t="s">
        <v>41</v>
      </c>
      <c r="AK124" s="3780" t="s">
        <v>62</v>
      </c>
      <c r="AL124" s="3780" t="s">
        <v>63</v>
      </c>
      <c r="AM124" s="3780" t="s">
        <v>64</v>
      </c>
      <c r="AN124" s="3780" t="s">
        <v>65</v>
      </c>
    </row>
    <row r="125" spans="1:40" ht="18" customHeight="1" x14ac:dyDescent="0.2">
      <c r="B125" s="3867" t="s">
        <v>221</v>
      </c>
      <c r="C125" s="370"/>
      <c r="D125" s="370"/>
      <c r="E125" s="370" t="s">
        <v>50</v>
      </c>
      <c r="F125" s="370" t="s">
        <v>50</v>
      </c>
      <c r="G125" s="370" t="s">
        <v>50</v>
      </c>
      <c r="H125" s="373" t="s">
        <v>50</v>
      </c>
      <c r="I125" s="373" t="s">
        <v>50</v>
      </c>
      <c r="J125" s="421" t="s">
        <v>72</v>
      </c>
      <c r="K125" s="421" t="s">
        <v>72</v>
      </c>
      <c r="L125" s="373" t="s">
        <v>72</v>
      </c>
      <c r="M125" s="370" t="s">
        <v>72</v>
      </c>
      <c r="N125" s="370" t="s">
        <v>72</v>
      </c>
      <c r="O125" s="370" t="s">
        <v>72</v>
      </c>
      <c r="P125" s="370" t="s">
        <v>72</v>
      </c>
      <c r="Q125" s="370"/>
      <c r="R125" s="370"/>
      <c r="S125" s="370" t="s">
        <v>50</v>
      </c>
      <c r="T125" s="370" t="s">
        <v>50</v>
      </c>
      <c r="U125" s="370" t="s">
        <v>50</v>
      </c>
      <c r="V125" s="373" t="s">
        <v>50</v>
      </c>
      <c r="W125" s="373" t="s">
        <v>50</v>
      </c>
      <c r="X125" s="373"/>
      <c r="Y125" s="373"/>
      <c r="Z125" s="373" t="s">
        <v>72</v>
      </c>
      <c r="AA125" s="370" t="s">
        <v>72</v>
      </c>
      <c r="AB125" s="370" t="s">
        <v>72</v>
      </c>
      <c r="AC125" s="422" t="s">
        <v>72</v>
      </c>
      <c r="AD125" s="422" t="s">
        <v>72</v>
      </c>
      <c r="AE125" s="422" t="s">
        <v>72</v>
      </c>
      <c r="AF125" s="422" t="s">
        <v>72</v>
      </c>
      <c r="AG125" s="422" t="s">
        <v>50</v>
      </c>
      <c r="AH125" s="1"/>
      <c r="AJ125" s="3793">
        <f>$AJ$12</f>
        <v>160.33000000000001</v>
      </c>
      <c r="AK125" s="3793"/>
      <c r="AL125" s="3793">
        <f>IF(AJ125="","",SUM(AJ125:AK125))</f>
        <v>160.33000000000001</v>
      </c>
      <c r="AM125" s="3794">
        <f>IF(AJ125="","",AL125-AJ125)</f>
        <v>0</v>
      </c>
      <c r="AN125" s="3794">
        <f>IF(AM125="","",AM125+'Februar 2025'!AN122)</f>
        <v>0</v>
      </c>
    </row>
    <row r="126" spans="1:40" ht="18" customHeight="1" thickBot="1" x14ac:dyDescent="0.25">
      <c r="B126" s="3868" t="s">
        <v>222</v>
      </c>
      <c r="C126" s="3829"/>
      <c r="D126" s="3829"/>
      <c r="E126" s="3815" t="s">
        <v>72</v>
      </c>
      <c r="F126" s="3815" t="s">
        <v>72</v>
      </c>
      <c r="G126" s="3793" t="s">
        <v>72</v>
      </c>
      <c r="H126" s="3826" t="s">
        <v>72</v>
      </c>
      <c r="I126" s="3826" t="s">
        <v>72</v>
      </c>
      <c r="J126" s="3826"/>
      <c r="K126" s="3826"/>
      <c r="L126" s="3826" t="s">
        <v>50</v>
      </c>
      <c r="M126" s="3826" t="s">
        <v>50</v>
      </c>
      <c r="N126" s="3826" t="s">
        <v>50</v>
      </c>
      <c r="O126" s="3829" t="s">
        <v>50</v>
      </c>
      <c r="P126" s="3829" t="s">
        <v>50</v>
      </c>
      <c r="Q126" s="3829"/>
      <c r="R126" s="3829"/>
      <c r="S126" s="3829" t="s">
        <v>72</v>
      </c>
      <c r="T126" s="3826" t="s">
        <v>72</v>
      </c>
      <c r="U126" s="3826" t="s">
        <v>72</v>
      </c>
      <c r="V126" s="3826" t="s">
        <v>72</v>
      </c>
      <c r="W126" s="3826" t="s">
        <v>72</v>
      </c>
      <c r="X126" s="3826"/>
      <c r="Y126" s="3826"/>
      <c r="Z126" s="3826" t="s">
        <v>50</v>
      </c>
      <c r="AA126" s="3826" t="s">
        <v>50</v>
      </c>
      <c r="AB126" s="3826" t="s">
        <v>50</v>
      </c>
      <c r="AC126" s="3829" t="s">
        <v>50</v>
      </c>
      <c r="AD126" s="3829" t="s">
        <v>50</v>
      </c>
      <c r="AE126" s="3829"/>
      <c r="AF126" s="3829"/>
      <c r="AG126" s="3829" t="s">
        <v>72</v>
      </c>
      <c r="AH126" s="1"/>
      <c r="AJ126" s="3793">
        <f>$AJ$12</f>
        <v>160.33000000000001</v>
      </c>
      <c r="AK126" s="3793"/>
      <c r="AL126" s="3793">
        <f>IF(AJ126="","",SUM(AJ126:AK126))</f>
        <v>160.33000000000001</v>
      </c>
      <c r="AM126" s="3794">
        <f>IF(AJ126="","",AL126-AJ126)</f>
        <v>0</v>
      </c>
      <c r="AN126" s="3794">
        <f>IF(AM126="","",AM126+'Februar 2025'!AN123)</f>
        <v>0</v>
      </c>
    </row>
    <row r="127" spans="1:40" ht="18" customHeight="1" x14ac:dyDescent="0.2">
      <c r="B127" s="235" t="s">
        <v>0</v>
      </c>
      <c r="C127" s="234" t="s">
        <v>0</v>
      </c>
      <c r="D127" s="234" t="s">
        <v>0</v>
      </c>
      <c r="E127" s="234" t="s">
        <v>0</v>
      </c>
      <c r="F127" s="234" t="s">
        <v>0</v>
      </c>
      <c r="G127" s="234" t="s">
        <v>0</v>
      </c>
      <c r="H127" s="234" t="s">
        <v>0</v>
      </c>
      <c r="I127" s="234" t="s">
        <v>0</v>
      </c>
      <c r="J127" s="234" t="s">
        <v>0</v>
      </c>
      <c r="K127" s="234" t="s">
        <v>0</v>
      </c>
      <c r="L127" s="234" t="s">
        <v>0</v>
      </c>
      <c r="M127" s="234" t="s">
        <v>0</v>
      </c>
      <c r="N127" s="234" t="s">
        <v>0</v>
      </c>
      <c r="O127" s="234" t="s">
        <v>0</v>
      </c>
      <c r="P127" s="234" t="s">
        <v>0</v>
      </c>
      <c r="Q127" s="234" t="s">
        <v>0</v>
      </c>
      <c r="R127" s="234" t="s">
        <v>0</v>
      </c>
      <c r="S127" s="234" t="s">
        <v>0</v>
      </c>
      <c r="T127" s="234" t="s">
        <v>0</v>
      </c>
      <c r="U127" s="234" t="s">
        <v>0</v>
      </c>
      <c r="V127" s="234" t="s">
        <v>0</v>
      </c>
      <c r="W127" s="234" t="s">
        <v>0</v>
      </c>
      <c r="X127" s="234" t="s">
        <v>0</v>
      </c>
      <c r="Y127" s="234" t="s">
        <v>0</v>
      </c>
      <c r="Z127" s="234" t="s">
        <v>0</v>
      </c>
      <c r="AA127" s="234" t="s">
        <v>0</v>
      </c>
      <c r="AB127" s="234" t="s">
        <v>0</v>
      </c>
      <c r="AC127" s="234" t="s">
        <v>0</v>
      </c>
      <c r="AD127" s="234" t="s">
        <v>0</v>
      </c>
      <c r="AE127" s="234" t="s">
        <v>0</v>
      </c>
      <c r="AF127" s="234" t="s">
        <v>0</v>
      </c>
      <c r="AG127" s="234" t="s">
        <v>0</v>
      </c>
      <c r="AH127" s="1"/>
      <c r="AJ127" s="123"/>
      <c r="AK127" s="123"/>
      <c r="AL127" s="123"/>
      <c r="AM127" s="215"/>
      <c r="AN127" s="215"/>
    </row>
    <row r="128" spans="1:40" ht="18" customHeight="1" x14ac:dyDescent="0.2">
      <c r="A128" s="3" t="s">
        <v>223</v>
      </c>
      <c r="AH128" s="1"/>
      <c r="AJ128" s="123"/>
      <c r="AK128" s="123"/>
      <c r="AL128" s="123"/>
      <c r="AM128" s="215"/>
      <c r="AN128" s="215"/>
    </row>
    <row r="129" spans="1:40" ht="18" customHeight="1" x14ac:dyDescent="0.25">
      <c r="B129" s="217"/>
      <c r="C129" s="218"/>
      <c r="D129" s="218"/>
      <c r="E129" s="221" t="s">
        <v>198</v>
      </c>
      <c r="F129" s="218"/>
      <c r="G129" s="218"/>
      <c r="H129" s="218"/>
      <c r="I129" s="218"/>
      <c r="J129" s="218"/>
      <c r="K129" s="226" t="s">
        <v>13</v>
      </c>
      <c r="L129" s="222"/>
      <c r="M129" s="222"/>
      <c r="N129" s="222"/>
      <c r="O129" s="222"/>
      <c r="P129" s="222"/>
      <c r="Q129" s="222"/>
      <c r="R129" s="222"/>
      <c r="S129" s="222"/>
      <c r="T129" s="223"/>
      <c r="AH129" s="1"/>
      <c r="AJ129" s="123"/>
      <c r="AK129" s="123"/>
      <c r="AL129" s="123"/>
      <c r="AM129" s="215"/>
      <c r="AN129" s="215"/>
    </row>
    <row r="130" spans="1:40" ht="18" customHeight="1" thickBot="1" x14ac:dyDescent="0.3">
      <c r="B130" s="217" t="s">
        <v>536</v>
      </c>
      <c r="C130" s="218"/>
      <c r="D130" s="218"/>
      <c r="E130" s="219" t="s">
        <v>224</v>
      </c>
      <c r="F130" s="218"/>
      <c r="G130" s="218"/>
      <c r="H130" s="218"/>
      <c r="I130" s="218"/>
      <c r="J130" s="218"/>
      <c r="K130" s="218" t="s">
        <v>0</v>
      </c>
      <c r="L130" s="218"/>
      <c r="M130" s="218"/>
      <c r="N130" s="218"/>
      <c r="O130" s="218"/>
      <c r="P130" s="218"/>
      <c r="Q130" s="218"/>
      <c r="R130" s="236" t="s">
        <v>0</v>
      </c>
      <c r="S130" s="236"/>
      <c r="T130" s="236"/>
      <c r="AH130" s="1"/>
      <c r="AJ130" s="123"/>
      <c r="AK130" s="123"/>
      <c r="AL130" s="123"/>
      <c r="AM130" s="215"/>
      <c r="AN130" s="215"/>
    </row>
    <row r="131" spans="1:40" ht="18" customHeight="1" thickBot="1" x14ac:dyDescent="0.25">
      <c r="T131" s="108"/>
      <c r="U131" s="108"/>
      <c r="V131" s="108"/>
      <c r="AH131" s="1"/>
      <c r="AJ131" s="123"/>
      <c r="AK131" s="123"/>
      <c r="AL131" s="123"/>
      <c r="AM131" s="215"/>
      <c r="AN131" s="215"/>
    </row>
    <row r="132" spans="1:40" ht="18" customHeight="1" x14ac:dyDescent="0.2">
      <c r="B132" s="3261" t="s">
        <v>44</v>
      </c>
      <c r="C132" s="2707">
        <v>1</v>
      </c>
      <c r="D132" s="2707">
        <v>2</v>
      </c>
      <c r="E132" s="2706">
        <v>3</v>
      </c>
      <c r="F132" s="2706">
        <v>4</v>
      </c>
      <c r="G132" s="2706">
        <v>5</v>
      </c>
      <c r="H132" s="2706">
        <v>6</v>
      </c>
      <c r="I132" s="2706">
        <v>7</v>
      </c>
      <c r="J132" s="2707">
        <v>8</v>
      </c>
      <c r="K132" s="2707">
        <v>9</v>
      </c>
      <c r="L132" s="2706">
        <v>10</v>
      </c>
      <c r="M132" s="2706">
        <v>11</v>
      </c>
      <c r="N132" s="2706">
        <v>12</v>
      </c>
      <c r="O132" s="2706">
        <v>13</v>
      </c>
      <c r="P132" s="2706">
        <v>14</v>
      </c>
      <c r="Q132" s="2707">
        <v>15</v>
      </c>
      <c r="R132" s="2707">
        <v>16</v>
      </c>
      <c r="S132" s="2706">
        <v>17</v>
      </c>
      <c r="T132" s="2706">
        <v>18</v>
      </c>
      <c r="U132" s="2706">
        <v>19</v>
      </c>
      <c r="V132" s="2706">
        <v>20</v>
      </c>
      <c r="W132" s="2706">
        <v>21</v>
      </c>
      <c r="X132" s="2707">
        <v>22</v>
      </c>
      <c r="Y132" s="2707">
        <v>23</v>
      </c>
      <c r="Z132" s="2706">
        <v>24</v>
      </c>
      <c r="AA132" s="2706">
        <v>25</v>
      </c>
      <c r="AB132" s="2706">
        <v>26</v>
      </c>
      <c r="AC132" s="2706">
        <v>27</v>
      </c>
      <c r="AD132" s="2706">
        <v>28</v>
      </c>
      <c r="AE132" s="2707">
        <v>29</v>
      </c>
      <c r="AF132" s="2707">
        <v>30</v>
      </c>
      <c r="AG132" s="2706">
        <v>31</v>
      </c>
      <c r="AH132" s="1"/>
      <c r="AJ132" s="3780" t="s">
        <v>41</v>
      </c>
      <c r="AK132" s="3780" t="s">
        <v>62</v>
      </c>
      <c r="AL132" s="3780" t="s">
        <v>63</v>
      </c>
      <c r="AM132" s="3780" t="s">
        <v>64</v>
      </c>
      <c r="AN132" s="3780" t="s">
        <v>65</v>
      </c>
    </row>
    <row r="133" spans="1:40" ht="18" customHeight="1" x14ac:dyDescent="0.2">
      <c r="B133" s="3264" t="s">
        <v>231</v>
      </c>
      <c r="C133" s="3202"/>
      <c r="D133" s="3202"/>
      <c r="E133" s="3661" t="s">
        <v>50</v>
      </c>
      <c r="F133" s="3661" t="s">
        <v>50</v>
      </c>
      <c r="G133" s="3661" t="s">
        <v>50</v>
      </c>
      <c r="H133" s="3661" t="s">
        <v>50</v>
      </c>
      <c r="I133" s="3661" t="s">
        <v>50</v>
      </c>
      <c r="J133" s="3201"/>
      <c r="K133" s="3201"/>
      <c r="L133" s="3201" t="s">
        <v>162</v>
      </c>
      <c r="M133" s="3202" t="s">
        <v>162</v>
      </c>
      <c r="N133" s="3202" t="s">
        <v>162</v>
      </c>
      <c r="O133" s="3202" t="s">
        <v>162</v>
      </c>
      <c r="P133" s="3202" t="s">
        <v>162</v>
      </c>
      <c r="Q133" s="3202"/>
      <c r="R133" s="3202"/>
      <c r="S133" s="3202" t="s">
        <v>50</v>
      </c>
      <c r="T133" s="3202" t="s">
        <v>50</v>
      </c>
      <c r="U133" s="3202" t="s">
        <v>50</v>
      </c>
      <c r="V133" s="3201" t="s">
        <v>50</v>
      </c>
      <c r="W133" s="3201" t="s">
        <v>50</v>
      </c>
      <c r="X133" s="3661" t="s">
        <v>162</v>
      </c>
      <c r="Y133" s="3661" t="s">
        <v>162</v>
      </c>
      <c r="Z133" s="3201" t="s">
        <v>162</v>
      </c>
      <c r="AA133" s="3202" t="s">
        <v>162</v>
      </c>
      <c r="AB133" s="3202" t="s">
        <v>162</v>
      </c>
      <c r="AC133" s="3202" t="s">
        <v>162</v>
      </c>
      <c r="AD133" s="3202" t="s">
        <v>162</v>
      </c>
      <c r="AE133" s="3202" t="s">
        <v>162</v>
      </c>
      <c r="AF133" s="3202" t="s">
        <v>162</v>
      </c>
      <c r="AG133" s="3202" t="s">
        <v>50</v>
      </c>
      <c r="AH133" s="1"/>
      <c r="AJ133" s="3793">
        <f>$AJ$12</f>
        <v>160.33000000000001</v>
      </c>
      <c r="AK133" s="3793"/>
      <c r="AL133" s="3793">
        <f>IF(AJ133="","",SUM(AJ133:AK133))</f>
        <v>160.33000000000001</v>
      </c>
      <c r="AM133" s="3794">
        <f>IF(AJ133="","",AL133-AJ133)</f>
        <v>0</v>
      </c>
      <c r="AN133" s="3794">
        <f>IF(AM133="","",AM133+'Februar 2025'!AN130)</f>
        <v>0</v>
      </c>
    </row>
    <row r="134" spans="1:40" ht="18" customHeight="1" x14ac:dyDescent="0.2">
      <c r="B134" s="3777" t="s">
        <v>161</v>
      </c>
      <c r="C134" s="3869"/>
      <c r="D134" s="3869"/>
      <c r="E134" s="3869" t="s">
        <v>162</v>
      </c>
      <c r="F134" s="3869" t="s">
        <v>162</v>
      </c>
      <c r="G134" s="3869" t="s">
        <v>162</v>
      </c>
      <c r="H134" s="3869" t="s">
        <v>162</v>
      </c>
      <c r="I134" s="3869" t="s">
        <v>162</v>
      </c>
      <c r="J134" s="3869"/>
      <c r="K134" s="3869"/>
      <c r="L134" s="3869" t="s">
        <v>50</v>
      </c>
      <c r="M134" s="3869" t="s">
        <v>50</v>
      </c>
      <c r="N134" s="3869" t="s">
        <v>50</v>
      </c>
      <c r="O134" s="3869" t="s">
        <v>50</v>
      </c>
      <c r="P134" s="3869" t="s">
        <v>50</v>
      </c>
      <c r="Q134" s="3869"/>
      <c r="R134" s="3869"/>
      <c r="S134" s="3869" t="s">
        <v>162</v>
      </c>
      <c r="T134" s="3869" t="s">
        <v>162</v>
      </c>
      <c r="U134" s="3869" t="s">
        <v>162</v>
      </c>
      <c r="V134" s="3869" t="s">
        <v>162</v>
      </c>
      <c r="W134" s="3869" t="s">
        <v>162</v>
      </c>
      <c r="X134" s="3869"/>
      <c r="Y134" s="3869"/>
      <c r="Z134" s="3869" t="s">
        <v>50</v>
      </c>
      <c r="AA134" s="3869" t="s">
        <v>50</v>
      </c>
      <c r="AB134" s="3869" t="s">
        <v>50</v>
      </c>
      <c r="AC134" s="3869" t="s">
        <v>50</v>
      </c>
      <c r="AD134" s="3869" t="s">
        <v>50</v>
      </c>
      <c r="AE134" s="3869"/>
      <c r="AF134" s="3869"/>
      <c r="AG134" s="3869" t="s">
        <v>162</v>
      </c>
      <c r="AH134" s="1"/>
      <c r="AJ134" s="3793">
        <f>$AJ$12</f>
        <v>160.33000000000001</v>
      </c>
      <c r="AK134" s="3793"/>
      <c r="AL134" s="3793">
        <f>IF(AJ134="","",SUM(AJ134:AK134))</f>
        <v>160.33000000000001</v>
      </c>
      <c r="AM134" s="3794">
        <f>IF(AJ134="","",AL134-AJ134)</f>
        <v>0</v>
      </c>
      <c r="AN134" s="3794">
        <f>IF(AM134="","",AM134+'Februar 2025'!AN131)</f>
        <v>0</v>
      </c>
    </row>
    <row r="135" spans="1:40" ht="18" customHeight="1" x14ac:dyDescent="0.2">
      <c r="B135" s="227"/>
      <c r="C135" s="128"/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"/>
      <c r="AJ135" s="123"/>
      <c r="AK135" s="123"/>
      <c r="AL135" s="123"/>
      <c r="AM135" s="215"/>
      <c r="AN135" s="215"/>
    </row>
    <row r="136" spans="1:40" ht="18" customHeight="1" thickBot="1" x14ac:dyDescent="0.25">
      <c r="B136" s="60" t="s">
        <v>503</v>
      </c>
      <c r="T136" s="10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"/>
      <c r="AJ136" s="123"/>
      <c r="AK136" s="123"/>
      <c r="AL136" s="123"/>
      <c r="AM136" s="215"/>
      <c r="AN136" s="215"/>
    </row>
    <row r="137" spans="1:40" ht="18" customHeight="1" thickBot="1" x14ac:dyDescent="0.3">
      <c r="B137" s="217"/>
      <c r="C137" s="218"/>
      <c r="D137" s="218"/>
      <c r="E137" s="221" t="s">
        <v>198</v>
      </c>
      <c r="F137" s="218"/>
      <c r="G137" s="218"/>
      <c r="H137" s="218"/>
      <c r="I137" s="218"/>
      <c r="J137" s="218"/>
      <c r="K137" s="226" t="s">
        <v>13</v>
      </c>
      <c r="L137" s="222"/>
      <c r="M137" s="222"/>
      <c r="N137" s="222"/>
      <c r="O137" s="222"/>
      <c r="P137" s="222"/>
      <c r="Q137" s="222"/>
      <c r="R137" s="222"/>
      <c r="S137" s="222"/>
      <c r="T137" s="223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"/>
      <c r="AJ137" s="123"/>
      <c r="AK137" s="123"/>
      <c r="AL137" s="123"/>
      <c r="AM137" s="215"/>
      <c r="AN137" s="215"/>
    </row>
    <row r="138" spans="1:40" ht="18" customHeight="1" thickBot="1" x14ac:dyDescent="0.3">
      <c r="B138" s="217" t="s">
        <v>487</v>
      </c>
      <c r="C138" s="218"/>
      <c r="D138" s="218"/>
      <c r="E138" s="219" t="s">
        <v>488</v>
      </c>
      <c r="F138" s="218"/>
      <c r="G138" s="218"/>
      <c r="H138" s="218"/>
      <c r="I138" s="218"/>
      <c r="J138" s="218"/>
      <c r="K138" s="218"/>
      <c r="L138" s="218"/>
      <c r="M138" s="218"/>
      <c r="N138" s="218"/>
      <c r="O138" s="218"/>
      <c r="P138" s="218"/>
      <c r="Q138" s="218"/>
      <c r="R138" s="236"/>
      <c r="S138" s="236"/>
      <c r="T138" s="236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28"/>
      <c r="AH138" s="1"/>
      <c r="AJ138" s="123"/>
      <c r="AK138" s="123"/>
      <c r="AL138" s="123"/>
      <c r="AM138" s="215"/>
      <c r="AN138" s="215"/>
    </row>
    <row r="139" spans="1:40" ht="18" customHeight="1" thickBot="1" x14ac:dyDescent="0.25">
      <c r="B139" s="227"/>
      <c r="C139" s="128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28"/>
      <c r="AH139" s="1"/>
      <c r="AJ139" s="123"/>
      <c r="AK139" s="123"/>
      <c r="AL139" s="123"/>
      <c r="AM139" s="215"/>
      <c r="AN139" s="215"/>
    </row>
    <row r="140" spans="1:40" ht="18" customHeight="1" thickBot="1" x14ac:dyDescent="0.25">
      <c r="B140" s="3261" t="s">
        <v>44</v>
      </c>
      <c r="C140" s="2707">
        <v>1</v>
      </c>
      <c r="D140" s="2707">
        <v>2</v>
      </c>
      <c r="E140" s="2706">
        <v>3</v>
      </c>
      <c r="F140" s="2706">
        <v>4</v>
      </c>
      <c r="G140" s="2706">
        <v>5</v>
      </c>
      <c r="H140" s="2706">
        <v>6</v>
      </c>
      <c r="I140" s="2706">
        <v>7</v>
      </c>
      <c r="J140" s="2707">
        <v>8</v>
      </c>
      <c r="K140" s="2707">
        <v>9</v>
      </c>
      <c r="L140" s="2706">
        <v>10</v>
      </c>
      <c r="M140" s="2706">
        <v>11</v>
      </c>
      <c r="N140" s="2706">
        <v>12</v>
      </c>
      <c r="O140" s="2706">
        <v>13</v>
      </c>
      <c r="P140" s="2706">
        <v>14</v>
      </c>
      <c r="Q140" s="2707">
        <v>15</v>
      </c>
      <c r="R140" s="2707">
        <v>16</v>
      </c>
      <c r="S140" s="2706">
        <v>17</v>
      </c>
      <c r="T140" s="2706">
        <v>18</v>
      </c>
      <c r="U140" s="2706">
        <v>19</v>
      </c>
      <c r="V140" s="2706">
        <v>20</v>
      </c>
      <c r="W140" s="2706">
        <v>21</v>
      </c>
      <c r="X140" s="2707">
        <v>22</v>
      </c>
      <c r="Y140" s="2707">
        <v>23</v>
      </c>
      <c r="Z140" s="2706">
        <v>24</v>
      </c>
      <c r="AA140" s="2706">
        <v>25</v>
      </c>
      <c r="AB140" s="2706">
        <v>26</v>
      </c>
      <c r="AC140" s="2706">
        <v>27</v>
      </c>
      <c r="AD140" s="2706">
        <v>28</v>
      </c>
      <c r="AE140" s="2707">
        <v>29</v>
      </c>
      <c r="AF140" s="2707">
        <v>30</v>
      </c>
      <c r="AG140" s="3501">
        <v>31</v>
      </c>
      <c r="AH140" s="1"/>
      <c r="AJ140" s="123"/>
      <c r="AK140" s="123"/>
      <c r="AL140" s="123"/>
      <c r="AM140" s="215"/>
      <c r="AN140" s="215"/>
    </row>
    <row r="141" spans="1:40" ht="18" customHeight="1" thickBot="1" x14ac:dyDescent="0.25">
      <c r="B141" s="3264"/>
      <c r="C141" s="3202"/>
      <c r="D141" s="3202"/>
      <c r="E141" s="3202" t="s">
        <v>50</v>
      </c>
      <c r="F141" s="3202" t="s">
        <v>50</v>
      </c>
      <c r="G141" s="3202" t="s">
        <v>50</v>
      </c>
      <c r="H141" s="3201" t="s">
        <v>50</v>
      </c>
      <c r="I141" s="3201" t="s">
        <v>50</v>
      </c>
      <c r="J141" s="3201"/>
      <c r="K141" s="3201"/>
      <c r="L141" s="3202" t="s">
        <v>475</v>
      </c>
      <c r="M141" s="3202" t="s">
        <v>475</v>
      </c>
      <c r="N141" s="3202" t="s">
        <v>475</v>
      </c>
      <c r="O141" s="3202" t="s">
        <v>475</v>
      </c>
      <c r="P141" s="3202" t="s">
        <v>475</v>
      </c>
      <c r="Q141" s="3202"/>
      <c r="R141" s="3202"/>
      <c r="S141" s="3202" t="s">
        <v>50</v>
      </c>
      <c r="T141" s="3202" t="s">
        <v>50</v>
      </c>
      <c r="U141" s="3202" t="s">
        <v>50</v>
      </c>
      <c r="V141" s="3201" t="s">
        <v>50</v>
      </c>
      <c r="W141" s="3201" t="s">
        <v>50</v>
      </c>
      <c r="X141" s="3201"/>
      <c r="Y141" s="3201"/>
      <c r="Z141" s="3202" t="s">
        <v>475</v>
      </c>
      <c r="AA141" s="3202" t="s">
        <v>475</v>
      </c>
      <c r="AB141" s="3202" t="s">
        <v>475</v>
      </c>
      <c r="AC141" s="3202" t="s">
        <v>475</v>
      </c>
      <c r="AD141" s="3202" t="s">
        <v>475</v>
      </c>
      <c r="AE141" s="3202" t="s">
        <v>475</v>
      </c>
      <c r="AF141" s="3202" t="s">
        <v>475</v>
      </c>
      <c r="AG141" s="3202" t="s">
        <v>50</v>
      </c>
      <c r="AH141" s="1"/>
      <c r="AJ141" s="123"/>
      <c r="AK141" s="123"/>
      <c r="AL141" s="123"/>
      <c r="AM141" s="215"/>
      <c r="AN141" s="215"/>
    </row>
    <row r="142" spans="1:40" ht="18" customHeight="1" x14ac:dyDescent="0.2">
      <c r="B142" s="3870" t="s">
        <v>176</v>
      </c>
      <c r="C142" s="3829"/>
      <c r="D142" s="3829"/>
      <c r="E142" s="3202" t="s">
        <v>475</v>
      </c>
      <c r="F142" s="3202" t="s">
        <v>475</v>
      </c>
      <c r="G142" s="3202" t="s">
        <v>475</v>
      </c>
      <c r="H142" s="3202" t="s">
        <v>475</v>
      </c>
      <c r="I142" s="3202" t="s">
        <v>475</v>
      </c>
      <c r="J142" s="3202"/>
      <c r="K142" s="3661" t="s">
        <v>209</v>
      </c>
      <c r="L142" s="3826" t="s">
        <v>50</v>
      </c>
      <c r="M142" s="3826" t="s">
        <v>50</v>
      </c>
      <c r="N142" s="3826" t="s">
        <v>50</v>
      </c>
      <c r="O142" s="3829" t="s">
        <v>50</v>
      </c>
      <c r="P142" s="3829" t="s">
        <v>50</v>
      </c>
      <c r="Q142" s="3829"/>
      <c r="R142" s="3829"/>
      <c r="S142" s="3202" t="s">
        <v>475</v>
      </c>
      <c r="T142" s="3202" t="s">
        <v>475</v>
      </c>
      <c r="U142" s="3202" t="s">
        <v>475</v>
      </c>
      <c r="V142" s="3202" t="s">
        <v>475</v>
      </c>
      <c r="W142" s="3202" t="s">
        <v>475</v>
      </c>
      <c r="X142" s="3661"/>
      <c r="Y142" s="3202"/>
      <c r="Z142" s="3826" t="s">
        <v>50</v>
      </c>
      <c r="AA142" s="3826" t="s">
        <v>50</v>
      </c>
      <c r="AB142" s="3826" t="s">
        <v>50</v>
      </c>
      <c r="AC142" s="3829" t="s">
        <v>50</v>
      </c>
      <c r="AD142" s="3829" t="s">
        <v>50</v>
      </c>
      <c r="AE142" s="3829"/>
      <c r="AF142" s="3829"/>
      <c r="AG142" s="3826" t="s">
        <v>475</v>
      </c>
      <c r="AH142" s="1"/>
    </row>
    <row r="143" spans="1:40" ht="18" customHeight="1" thickBot="1" x14ac:dyDescent="0.25">
      <c r="A143" s="129"/>
      <c r="B143" s="123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  <c r="Y143" s="130"/>
      <c r="Z143" s="130"/>
      <c r="AA143" s="130"/>
      <c r="AB143" s="130"/>
      <c r="AC143" s="130"/>
      <c r="AD143" s="130"/>
      <c r="AE143" s="130"/>
      <c r="AF143" s="130"/>
      <c r="AG143" s="131"/>
      <c r="AH143" s="132"/>
      <c r="AI143" s="116"/>
    </row>
    <row r="144" spans="1:40" ht="18" customHeight="1" x14ac:dyDescent="0.2">
      <c r="A144" s="48"/>
      <c r="B144" s="3265" t="s">
        <v>247</v>
      </c>
      <c r="C144" s="3266"/>
      <c r="D144" s="3267" t="s">
        <v>17</v>
      </c>
      <c r="E144" s="3268"/>
      <c r="F144" s="3266"/>
      <c r="G144" s="3269" t="s">
        <v>18</v>
      </c>
      <c r="H144" s="3270"/>
      <c r="I144" s="3271"/>
      <c r="J144" s="3269" t="s">
        <v>19</v>
      </c>
      <c r="K144" s="3272"/>
      <c r="L144" s="3271"/>
      <c r="M144" s="3273" t="s">
        <v>20</v>
      </c>
      <c r="N144" s="3272"/>
      <c r="O144" s="3271"/>
      <c r="P144" s="3269" t="s">
        <v>21</v>
      </c>
      <c r="Q144" s="3274"/>
      <c r="R144" s="3271"/>
      <c r="S144" s="3269" t="s">
        <v>22</v>
      </c>
      <c r="T144" s="3275"/>
      <c r="U144" s="3271"/>
      <c r="V144" s="3269" t="s">
        <v>23</v>
      </c>
      <c r="W144" s="3274"/>
      <c r="X144" s="3276" t="s">
        <v>234</v>
      </c>
      <c r="Y144" s="3277"/>
      <c r="Z144" s="3277"/>
      <c r="AA144" s="3278"/>
      <c r="AB144" s="3279" t="s">
        <v>126</v>
      </c>
      <c r="AC144" s="3280"/>
      <c r="AD144" s="3280"/>
      <c r="AE144" s="3281"/>
      <c r="AF144" s="3281"/>
      <c r="AG144" s="3282"/>
      <c r="AH144" s="132"/>
      <c r="AI144" s="116"/>
    </row>
    <row r="145" spans="1:35" ht="18" customHeight="1" x14ac:dyDescent="0.2">
      <c r="A145" s="48"/>
      <c r="B145" s="3871" t="s">
        <v>248</v>
      </c>
      <c r="C145" s="3872" t="s">
        <v>249</v>
      </c>
      <c r="D145" s="3756"/>
      <c r="E145" s="3757"/>
      <c r="F145" s="3872" t="s">
        <v>249</v>
      </c>
      <c r="G145" s="3756"/>
      <c r="H145" s="3757"/>
      <c r="I145" s="3872" t="s">
        <v>249</v>
      </c>
      <c r="J145" s="3756"/>
      <c r="K145" s="3757"/>
      <c r="L145" s="3872" t="s">
        <v>249</v>
      </c>
      <c r="M145" s="3756"/>
      <c r="N145" s="3757"/>
      <c r="O145" s="3872" t="s">
        <v>250</v>
      </c>
      <c r="P145" s="3756"/>
      <c r="Q145" s="3757"/>
      <c r="R145" s="3872"/>
      <c r="S145" s="3756"/>
      <c r="T145" s="3757"/>
      <c r="U145" s="3872"/>
      <c r="V145" s="3756"/>
      <c r="W145" s="3757"/>
      <c r="X145" s="3872"/>
      <c r="Y145" s="3873"/>
      <c r="Z145" s="3873"/>
      <c r="AA145" s="3873"/>
      <c r="AB145" s="3753"/>
      <c r="AC145" s="3873"/>
      <c r="AD145" s="3873"/>
      <c r="AE145" s="3873"/>
      <c r="AF145" s="3873"/>
      <c r="AG145" s="3874"/>
      <c r="AH145" s="132"/>
      <c r="AI145" s="116"/>
    </row>
    <row r="146" spans="1:35" ht="18" customHeight="1" x14ac:dyDescent="0.2">
      <c r="A146" s="48"/>
      <c r="B146" s="4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132"/>
      <c r="AI146" s="116"/>
    </row>
    <row r="147" spans="1:35" ht="18" customHeight="1" x14ac:dyDescent="0.2">
      <c r="A147" s="3875" t="s">
        <v>43</v>
      </c>
      <c r="B147" s="2817" t="s">
        <v>44</v>
      </c>
      <c r="C147" s="2707">
        <v>1</v>
      </c>
      <c r="D147" s="2707">
        <v>2</v>
      </c>
      <c r="E147" s="2706">
        <v>3</v>
      </c>
      <c r="F147" s="2706">
        <v>4</v>
      </c>
      <c r="G147" s="2706">
        <v>5</v>
      </c>
      <c r="H147" s="2706">
        <v>6</v>
      </c>
      <c r="I147" s="2706">
        <v>7</v>
      </c>
      <c r="J147" s="2707">
        <v>8</v>
      </c>
      <c r="K147" s="2707">
        <v>9</v>
      </c>
      <c r="L147" s="2706">
        <v>10</v>
      </c>
      <c r="M147" s="2706">
        <v>11</v>
      </c>
      <c r="N147" s="2706">
        <v>12</v>
      </c>
      <c r="O147" s="2706">
        <v>13</v>
      </c>
      <c r="P147" s="2706">
        <v>14</v>
      </c>
      <c r="Q147" s="2707">
        <v>15</v>
      </c>
      <c r="R147" s="2707">
        <v>16</v>
      </c>
      <c r="S147" s="2706">
        <v>17</v>
      </c>
      <c r="T147" s="2706">
        <v>18</v>
      </c>
      <c r="U147" s="2706">
        <v>19</v>
      </c>
      <c r="V147" s="2706">
        <v>20</v>
      </c>
      <c r="W147" s="2706">
        <v>21</v>
      </c>
      <c r="X147" s="2707">
        <v>22</v>
      </c>
      <c r="Y147" s="2707">
        <v>23</v>
      </c>
      <c r="Z147" s="2706">
        <v>24</v>
      </c>
      <c r="AA147" s="2706">
        <v>25</v>
      </c>
      <c r="AB147" s="2706">
        <v>26</v>
      </c>
      <c r="AC147" s="2706">
        <v>27</v>
      </c>
      <c r="AD147" s="2706">
        <v>28</v>
      </c>
      <c r="AE147" s="2707">
        <v>29</v>
      </c>
      <c r="AF147" s="2707">
        <v>30</v>
      </c>
      <c r="AG147" s="2706">
        <v>31</v>
      </c>
      <c r="AH147" s="132"/>
      <c r="AI147" s="116"/>
    </row>
    <row r="148" spans="1:35" ht="18" customHeight="1" x14ac:dyDescent="0.2">
      <c r="A148" s="3288">
        <v>8520</v>
      </c>
      <c r="B148" s="3289" t="s">
        <v>251</v>
      </c>
      <c r="C148" s="3164"/>
      <c r="D148" s="3164"/>
      <c r="E148" s="3164" t="s">
        <v>252</v>
      </c>
      <c r="F148" s="3164" t="s">
        <v>252</v>
      </c>
      <c r="G148" s="3164" t="s">
        <v>252</v>
      </c>
      <c r="H148" s="3164" t="s">
        <v>252</v>
      </c>
      <c r="I148" s="3164" t="s">
        <v>252</v>
      </c>
      <c r="J148" s="3164"/>
      <c r="K148" s="3164"/>
      <c r="L148" s="3164" t="s">
        <v>252</v>
      </c>
      <c r="M148" s="3164" t="s">
        <v>252</v>
      </c>
      <c r="N148" s="3164" t="s">
        <v>252</v>
      </c>
      <c r="O148" s="3164" t="s">
        <v>252</v>
      </c>
      <c r="P148" s="3164" t="s">
        <v>252</v>
      </c>
      <c r="Q148" s="3164"/>
      <c r="R148" s="3164"/>
      <c r="S148" s="3164" t="s">
        <v>252</v>
      </c>
      <c r="T148" s="3164" t="s">
        <v>252</v>
      </c>
      <c r="U148" s="3164" t="s">
        <v>252</v>
      </c>
      <c r="V148" s="3164" t="s">
        <v>252</v>
      </c>
      <c r="W148" s="3164" t="s">
        <v>252</v>
      </c>
      <c r="X148" s="3164"/>
      <c r="Y148" s="3164"/>
      <c r="Z148" s="3164" t="s">
        <v>252</v>
      </c>
      <c r="AA148" s="3164" t="s">
        <v>252</v>
      </c>
      <c r="AB148" s="3164" t="s">
        <v>252</v>
      </c>
      <c r="AC148" s="3164" t="s">
        <v>252</v>
      </c>
      <c r="AD148" s="3164" t="s">
        <v>252</v>
      </c>
      <c r="AE148" s="3164"/>
      <c r="AF148" s="3164"/>
      <c r="AG148" s="3164" t="s">
        <v>252</v>
      </c>
      <c r="AH148" s="132"/>
      <c r="AI148" s="116"/>
    </row>
    <row r="149" spans="1:35" ht="18" customHeight="1" x14ac:dyDescent="0.2">
      <c r="A149" s="136"/>
      <c r="B149" s="135"/>
      <c r="C149" s="128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32"/>
      <c r="AI149" s="116"/>
    </row>
    <row r="150" spans="1:35" ht="18" customHeight="1" x14ac:dyDescent="0.2">
      <c r="AH150" s="67"/>
      <c r="AI150" s="67"/>
    </row>
    <row r="151" spans="1:35" ht="18" customHeight="1" x14ac:dyDescent="0.2">
      <c r="A151" s="107" t="s">
        <v>254</v>
      </c>
      <c r="B151" s="108"/>
      <c r="C151" s="108"/>
      <c r="D151" s="109"/>
      <c r="E151" s="109"/>
      <c r="F151" s="109"/>
      <c r="G151" s="65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8"/>
      <c r="AI151" s="108"/>
    </row>
    <row r="152" spans="1:35" ht="18" customHeight="1" x14ac:dyDescent="0.2">
      <c r="A152" s="107"/>
      <c r="B152" s="3265" t="s">
        <v>255</v>
      </c>
      <c r="C152" s="3290"/>
      <c r="D152" s="3291" t="s">
        <v>17</v>
      </c>
      <c r="E152" s="3292"/>
      <c r="F152" s="3293"/>
      <c r="G152" s="3290"/>
      <c r="H152" s="3291" t="s">
        <v>18</v>
      </c>
      <c r="I152" s="3292"/>
      <c r="J152" s="3293"/>
      <c r="K152" s="3290"/>
      <c r="L152" s="3291" t="s">
        <v>19</v>
      </c>
      <c r="M152" s="3292"/>
      <c r="N152" s="3293"/>
      <c r="O152" s="3290"/>
      <c r="P152" s="3291" t="s">
        <v>20</v>
      </c>
      <c r="Q152" s="3292"/>
      <c r="R152" s="3293"/>
      <c r="S152" s="3290"/>
      <c r="T152" s="3291" t="s">
        <v>21</v>
      </c>
      <c r="U152" s="3292"/>
      <c r="V152" s="3293"/>
      <c r="W152" s="3290"/>
      <c r="X152" s="3291" t="s">
        <v>22</v>
      </c>
      <c r="Y152" s="3292"/>
      <c r="Z152" s="3293"/>
      <c r="AA152" s="3290"/>
      <c r="AB152" s="3291" t="s">
        <v>23</v>
      </c>
      <c r="AC152" s="3292"/>
      <c r="AD152" s="3292"/>
      <c r="AE152" s="3294" t="s">
        <v>126</v>
      </c>
      <c r="AF152" s="3292"/>
      <c r="AG152" s="3292"/>
      <c r="AH152" s="3292"/>
      <c r="AI152" s="3295"/>
    </row>
    <row r="153" spans="1:35" ht="18" customHeight="1" x14ac:dyDescent="0.2">
      <c r="A153" s="107"/>
      <c r="B153" s="3876" t="s">
        <v>235</v>
      </c>
      <c r="C153" s="3877">
        <v>69</v>
      </c>
      <c r="D153" s="3878" t="s">
        <v>256</v>
      </c>
      <c r="E153" s="3878"/>
      <c r="F153" s="3879"/>
      <c r="G153" s="3877">
        <v>69</v>
      </c>
      <c r="H153" s="3878" t="s">
        <v>256</v>
      </c>
      <c r="I153" s="3878"/>
      <c r="J153" s="3879"/>
      <c r="K153" s="3877">
        <v>69</v>
      </c>
      <c r="L153" s="3878" t="s">
        <v>256</v>
      </c>
      <c r="M153" s="3878"/>
      <c r="N153" s="3879"/>
      <c r="O153" s="3877">
        <v>69</v>
      </c>
      <c r="P153" s="3878" t="s">
        <v>256</v>
      </c>
      <c r="Q153" s="3878"/>
      <c r="R153" s="3879"/>
      <c r="S153" s="3877">
        <v>69</v>
      </c>
      <c r="T153" s="3878" t="s">
        <v>256</v>
      </c>
      <c r="U153" s="3878"/>
      <c r="V153" s="3879"/>
      <c r="W153" s="3877"/>
      <c r="X153" s="3880"/>
      <c r="Y153" s="3880"/>
      <c r="Z153" s="3881"/>
      <c r="AA153" s="3877"/>
      <c r="AB153" s="3878"/>
      <c r="AC153" s="3878"/>
      <c r="AD153" s="3595"/>
      <c r="AE153" s="3882">
        <v>35</v>
      </c>
      <c r="AF153" s="3878"/>
      <c r="AG153" s="3878"/>
      <c r="AH153" s="3595"/>
      <c r="AI153" s="3883"/>
    </row>
    <row r="154" spans="1:35" ht="18" customHeight="1" x14ac:dyDescent="0.2">
      <c r="A154" s="107"/>
      <c r="B154" s="3876" t="s">
        <v>236</v>
      </c>
      <c r="C154" s="3877">
        <v>79</v>
      </c>
      <c r="D154" s="3878" t="s">
        <v>257</v>
      </c>
      <c r="E154" s="3878"/>
      <c r="F154" s="3879"/>
      <c r="G154" s="3877">
        <v>79</v>
      </c>
      <c r="H154" s="3878" t="s">
        <v>257</v>
      </c>
      <c r="I154" s="3878"/>
      <c r="J154" s="3879"/>
      <c r="K154" s="3877">
        <v>79</v>
      </c>
      <c r="L154" s="3878" t="s">
        <v>257</v>
      </c>
      <c r="M154" s="3878"/>
      <c r="N154" s="3879"/>
      <c r="O154" s="3877">
        <v>79</v>
      </c>
      <c r="P154" s="3878" t="s">
        <v>257</v>
      </c>
      <c r="Q154" s="3878"/>
      <c r="R154" s="3879"/>
      <c r="S154" s="3877">
        <v>79</v>
      </c>
      <c r="T154" s="3878" t="s">
        <v>257</v>
      </c>
      <c r="U154" s="3878"/>
      <c r="V154" s="3879"/>
      <c r="W154" s="3877"/>
      <c r="X154" s="3878"/>
      <c r="Y154" s="3878"/>
      <c r="Z154" s="3879"/>
      <c r="AA154" s="3878"/>
      <c r="AB154" s="3878"/>
      <c r="AC154" s="3878"/>
      <c r="AD154" s="3595"/>
      <c r="AE154" s="3882">
        <v>40</v>
      </c>
      <c r="AF154" s="3878"/>
      <c r="AG154" s="3878"/>
      <c r="AH154" s="3595"/>
      <c r="AI154" s="3883"/>
    </row>
    <row r="155" spans="1:35" ht="18" customHeight="1" x14ac:dyDescent="0.2">
      <c r="A155" s="107"/>
      <c r="B155" s="3876" t="s">
        <v>243</v>
      </c>
      <c r="C155" s="3877">
        <v>89</v>
      </c>
      <c r="D155" s="3878" t="s">
        <v>258</v>
      </c>
      <c r="E155" s="3878"/>
      <c r="F155" s="3879"/>
      <c r="G155" s="3877">
        <v>89</v>
      </c>
      <c r="H155" s="3878" t="s">
        <v>258</v>
      </c>
      <c r="I155" s="3878"/>
      <c r="J155" s="3879"/>
      <c r="K155" s="3877">
        <v>89</v>
      </c>
      <c r="L155" s="3878" t="s">
        <v>258</v>
      </c>
      <c r="M155" s="3878"/>
      <c r="N155" s="3879"/>
      <c r="O155" s="3877">
        <v>89</v>
      </c>
      <c r="P155" s="3878" t="s">
        <v>258</v>
      </c>
      <c r="Q155" s="3878"/>
      <c r="R155" s="3879"/>
      <c r="S155" s="3877">
        <v>89</v>
      </c>
      <c r="T155" s="3878" t="s">
        <v>259</v>
      </c>
      <c r="U155" s="3878"/>
      <c r="V155" s="3879"/>
      <c r="W155" s="3884"/>
      <c r="X155" s="3885" t="s">
        <v>260</v>
      </c>
      <c r="Y155" s="3885"/>
      <c r="Z155" s="3848"/>
      <c r="AA155" s="3884"/>
      <c r="AB155" s="3885"/>
      <c r="AC155" s="3885"/>
      <c r="AD155" s="2858"/>
      <c r="AE155" s="3882">
        <v>44</v>
      </c>
      <c r="AF155" s="3878"/>
      <c r="AG155" s="3878"/>
      <c r="AH155" s="3595"/>
      <c r="AI155" s="3883"/>
    </row>
    <row r="156" spans="1:35" ht="18" customHeight="1" x14ac:dyDescent="0.2">
      <c r="A156" s="107"/>
      <c r="B156" s="19" t="s">
        <v>245</v>
      </c>
      <c r="C156" s="3884">
        <v>99</v>
      </c>
      <c r="D156" s="3885" t="s">
        <v>261</v>
      </c>
      <c r="E156" s="3885"/>
      <c r="F156" s="3848"/>
      <c r="G156" s="3884">
        <v>99</v>
      </c>
      <c r="H156" s="3885" t="s">
        <v>261</v>
      </c>
      <c r="I156" s="3885"/>
      <c r="J156" s="3848"/>
      <c r="K156" s="3884">
        <v>99</v>
      </c>
      <c r="L156" s="3885" t="s">
        <v>261</v>
      </c>
      <c r="M156" s="3885"/>
      <c r="N156" s="3848"/>
      <c r="O156" s="3884">
        <v>99</v>
      </c>
      <c r="P156" s="3885" t="s">
        <v>261</v>
      </c>
      <c r="Q156" s="3885"/>
      <c r="R156" s="3848"/>
      <c r="S156" s="3884">
        <v>99</v>
      </c>
      <c r="T156" s="3885" t="s">
        <v>244</v>
      </c>
      <c r="U156" s="3885"/>
      <c r="V156" s="2858"/>
      <c r="W156" s="2857"/>
      <c r="X156" s="2858"/>
      <c r="Y156" s="3885"/>
      <c r="Z156" s="3848"/>
      <c r="AA156" s="2857"/>
      <c r="AB156" s="2858"/>
      <c r="AC156" s="3885"/>
      <c r="AD156" s="3848"/>
      <c r="AE156" s="3886">
        <v>28</v>
      </c>
      <c r="AF156" s="3885"/>
      <c r="AG156" s="3885"/>
      <c r="AH156" s="2858"/>
      <c r="AI156" s="3887"/>
    </row>
    <row r="157" spans="1:35" ht="18" customHeight="1" x14ac:dyDescent="0.2">
      <c r="A157" s="107"/>
      <c r="B157" s="3888" t="s">
        <v>262</v>
      </c>
      <c r="C157" s="3889" t="s">
        <v>77</v>
      </c>
      <c r="D157" s="3890" t="s">
        <v>263</v>
      </c>
      <c r="E157" s="3891"/>
      <c r="F157" s="3564"/>
      <c r="G157" s="3889" t="s">
        <v>77</v>
      </c>
      <c r="H157" s="3890" t="s">
        <v>263</v>
      </c>
      <c r="I157" s="3562"/>
      <c r="J157" s="3891"/>
      <c r="K157" s="3889" t="s">
        <v>77</v>
      </c>
      <c r="L157" s="3890" t="s">
        <v>263</v>
      </c>
      <c r="M157" s="3891"/>
      <c r="N157" s="3892"/>
      <c r="O157" s="3889" t="s">
        <v>77</v>
      </c>
      <c r="P157" s="3890" t="s">
        <v>263</v>
      </c>
      <c r="Q157" s="3891"/>
      <c r="R157" s="3890"/>
      <c r="S157" s="3889" t="s">
        <v>77</v>
      </c>
      <c r="T157" s="3566" t="s">
        <v>264</v>
      </c>
      <c r="U157" s="3890"/>
      <c r="V157" s="3892"/>
      <c r="W157" s="3891"/>
      <c r="X157" s="3890"/>
      <c r="Y157" s="3890"/>
      <c r="Z157" s="3890"/>
      <c r="AA157" s="3893"/>
      <c r="AB157" s="3894"/>
      <c r="AC157" s="3890"/>
      <c r="AD157" s="3895"/>
      <c r="AE157" s="3890"/>
      <c r="AF157" s="3890"/>
      <c r="AG157" s="3890"/>
      <c r="AH157" s="3896"/>
      <c r="AI157" s="3897"/>
    </row>
    <row r="158" spans="1:35" ht="18" customHeight="1" x14ac:dyDescent="0.2">
      <c r="A158" s="68"/>
      <c r="B158" s="107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8"/>
      <c r="AI158" s="108"/>
    </row>
    <row r="159" spans="1:35" ht="18" customHeight="1" x14ac:dyDescent="0.2">
      <c r="A159" s="3875"/>
      <c r="B159" s="2817" t="s">
        <v>44</v>
      </c>
      <c r="C159" s="2707">
        <v>1</v>
      </c>
      <c r="D159" s="2707">
        <v>2</v>
      </c>
      <c r="E159" s="2706">
        <v>3</v>
      </c>
      <c r="F159" s="2706">
        <v>4</v>
      </c>
      <c r="G159" s="2706">
        <v>5</v>
      </c>
      <c r="H159" s="2706">
        <v>6</v>
      </c>
      <c r="I159" s="2706">
        <v>7</v>
      </c>
      <c r="J159" s="2707">
        <v>8</v>
      </c>
      <c r="K159" s="2707">
        <v>9</v>
      </c>
      <c r="L159" s="2706">
        <v>10</v>
      </c>
      <c r="M159" s="2706">
        <v>11</v>
      </c>
      <c r="N159" s="2706">
        <v>12</v>
      </c>
      <c r="O159" s="2706">
        <v>13</v>
      </c>
      <c r="P159" s="2706">
        <v>14</v>
      </c>
      <c r="Q159" s="2707">
        <v>15</v>
      </c>
      <c r="R159" s="2707">
        <v>16</v>
      </c>
      <c r="S159" s="2706">
        <v>17</v>
      </c>
      <c r="T159" s="2706">
        <v>18</v>
      </c>
      <c r="U159" s="2706">
        <v>19</v>
      </c>
      <c r="V159" s="2706">
        <v>20</v>
      </c>
      <c r="W159" s="2706">
        <v>21</v>
      </c>
      <c r="X159" s="2707">
        <v>22</v>
      </c>
      <c r="Y159" s="2707">
        <v>23</v>
      </c>
      <c r="Z159" s="2706">
        <v>24</v>
      </c>
      <c r="AA159" s="2706">
        <v>25</v>
      </c>
      <c r="AB159" s="2706">
        <v>26</v>
      </c>
      <c r="AC159" s="2706">
        <v>27</v>
      </c>
      <c r="AD159" s="2706">
        <v>28</v>
      </c>
      <c r="AE159" s="2707">
        <v>29</v>
      </c>
      <c r="AF159" s="2707">
        <v>30</v>
      </c>
      <c r="AG159" s="2706">
        <v>31</v>
      </c>
      <c r="AH159" s="110"/>
      <c r="AI159" s="111"/>
    </row>
    <row r="160" spans="1:35" ht="18" customHeight="1" x14ac:dyDescent="0.2">
      <c r="A160" s="3318">
        <v>1</v>
      </c>
      <c r="B160" s="3319" t="s">
        <v>265</v>
      </c>
      <c r="C160" s="3166"/>
      <c r="D160" s="3166"/>
      <c r="E160" s="3164">
        <v>89</v>
      </c>
      <c r="F160" s="3164">
        <v>89</v>
      </c>
      <c r="G160" s="3321">
        <v>89</v>
      </c>
      <c r="H160" s="3166">
        <v>89</v>
      </c>
      <c r="I160" s="3165">
        <v>89</v>
      </c>
      <c r="J160" s="3165">
        <v>89</v>
      </c>
      <c r="K160" s="3166"/>
      <c r="L160" s="3165">
        <v>99</v>
      </c>
      <c r="M160" s="3164">
        <v>99</v>
      </c>
      <c r="N160" s="3166">
        <v>99</v>
      </c>
      <c r="O160" s="3166">
        <v>99</v>
      </c>
      <c r="P160" s="3166" t="s">
        <v>50</v>
      </c>
      <c r="Q160" s="3166"/>
      <c r="R160" s="3166"/>
      <c r="S160" s="3164" t="s">
        <v>77</v>
      </c>
      <c r="T160" s="3321" t="s">
        <v>77</v>
      </c>
      <c r="U160" s="3166" t="s">
        <v>77</v>
      </c>
      <c r="V160" s="3166" t="s">
        <v>77</v>
      </c>
      <c r="W160" s="3166" t="s">
        <v>77</v>
      </c>
      <c r="X160" s="3166"/>
      <c r="Y160" s="3166"/>
      <c r="Z160" s="3166">
        <v>69</v>
      </c>
      <c r="AA160" s="3165">
        <v>69</v>
      </c>
      <c r="AB160" s="3166">
        <v>69</v>
      </c>
      <c r="AC160" s="3166">
        <v>69</v>
      </c>
      <c r="AD160" s="3166">
        <v>69</v>
      </c>
      <c r="AE160" s="3166"/>
      <c r="AF160" s="3165"/>
      <c r="AG160" s="3184">
        <v>79</v>
      </c>
      <c r="AH160" s="124"/>
      <c r="AI160" s="67"/>
    </row>
    <row r="161" spans="1:35" ht="18" customHeight="1" x14ac:dyDescent="0.2">
      <c r="A161" s="3898">
        <v>2</v>
      </c>
      <c r="B161" s="3899" t="s">
        <v>266</v>
      </c>
      <c r="C161" s="3513">
        <v>89</v>
      </c>
      <c r="D161" s="3366"/>
      <c r="E161" s="3513">
        <v>99</v>
      </c>
      <c r="F161" s="3513">
        <v>99</v>
      </c>
      <c r="G161" s="3513">
        <v>99</v>
      </c>
      <c r="H161" s="3521">
        <v>99</v>
      </c>
      <c r="I161" s="3514" t="s">
        <v>50</v>
      </c>
      <c r="J161" s="3521"/>
      <c r="K161" s="3521"/>
      <c r="L161" s="3366" t="s">
        <v>77</v>
      </c>
      <c r="M161" s="3366" t="s">
        <v>77</v>
      </c>
      <c r="N161" s="3521" t="s">
        <v>77</v>
      </c>
      <c r="O161" s="3521" t="s">
        <v>77</v>
      </c>
      <c r="P161" s="3521" t="s">
        <v>77</v>
      </c>
      <c r="Q161" s="3521"/>
      <c r="R161" s="3514"/>
      <c r="S161" s="3521">
        <v>69</v>
      </c>
      <c r="T161" s="3366">
        <v>69</v>
      </c>
      <c r="U161" s="3521">
        <v>69</v>
      </c>
      <c r="V161" s="3521">
        <v>69</v>
      </c>
      <c r="W161" s="3521">
        <v>69</v>
      </c>
      <c r="X161" s="3521"/>
      <c r="Y161" s="3521"/>
      <c r="Z161" s="3522">
        <v>79</v>
      </c>
      <c r="AA161" s="3522">
        <v>79</v>
      </c>
      <c r="AB161" s="3522">
        <v>79</v>
      </c>
      <c r="AC161" s="3522">
        <v>79</v>
      </c>
      <c r="AD161" s="3522">
        <v>79</v>
      </c>
      <c r="AE161" s="3522"/>
      <c r="AF161" s="3522"/>
      <c r="AG161" s="3603">
        <v>89</v>
      </c>
      <c r="AH161" s="125"/>
      <c r="AI161" s="106"/>
    </row>
    <row r="162" spans="1:35" ht="18" customHeight="1" x14ac:dyDescent="0.2">
      <c r="A162" s="3898">
        <v>3</v>
      </c>
      <c r="B162" s="3899" t="s">
        <v>267</v>
      </c>
      <c r="C162" s="3900"/>
      <c r="D162" s="3366"/>
      <c r="E162" s="3366" t="s">
        <v>77</v>
      </c>
      <c r="F162" s="3900" t="s">
        <v>77</v>
      </c>
      <c r="G162" s="3514" t="s">
        <v>77</v>
      </c>
      <c r="H162" s="3900" t="s">
        <v>77</v>
      </c>
      <c r="I162" s="3514" t="s">
        <v>77</v>
      </c>
      <c r="J162" s="3900"/>
      <c r="K162" s="3900"/>
      <c r="L162" s="3900">
        <v>69</v>
      </c>
      <c r="M162" s="3901">
        <v>69</v>
      </c>
      <c r="N162" s="3521">
        <v>69</v>
      </c>
      <c r="O162" s="3519">
        <v>69</v>
      </c>
      <c r="P162" s="3641">
        <v>69</v>
      </c>
      <c r="Q162" s="3519"/>
      <c r="R162" s="3519"/>
      <c r="S162" s="3519">
        <v>79</v>
      </c>
      <c r="T162" s="3519">
        <v>79</v>
      </c>
      <c r="U162" s="3519">
        <v>79</v>
      </c>
      <c r="V162" s="3516">
        <v>79</v>
      </c>
      <c r="W162" s="3516">
        <v>79</v>
      </c>
      <c r="X162" s="3516"/>
      <c r="Y162" s="3900"/>
      <c r="Z162" s="3900">
        <v>89</v>
      </c>
      <c r="AA162" s="3900">
        <v>89</v>
      </c>
      <c r="AB162" s="3900">
        <v>89</v>
      </c>
      <c r="AC162" s="3900">
        <v>89</v>
      </c>
      <c r="AD162" s="3900">
        <v>89</v>
      </c>
      <c r="AE162" s="3900">
        <v>89</v>
      </c>
      <c r="AF162" s="3900"/>
      <c r="AG162" s="3902">
        <v>99</v>
      </c>
      <c r="AH162" s="124"/>
      <c r="AI162" s="67"/>
    </row>
    <row r="163" spans="1:35" ht="18" customHeight="1" x14ac:dyDescent="0.2">
      <c r="A163" s="3898">
        <v>4</v>
      </c>
      <c r="B163" s="3899" t="s">
        <v>269</v>
      </c>
      <c r="C163" s="3366"/>
      <c r="D163" s="3366"/>
      <c r="E163" s="3366">
        <v>69</v>
      </c>
      <c r="F163" s="3366">
        <v>69</v>
      </c>
      <c r="G163" s="3366">
        <v>69</v>
      </c>
      <c r="H163" s="3366">
        <v>69</v>
      </c>
      <c r="I163" s="3514">
        <v>69</v>
      </c>
      <c r="J163" s="3366"/>
      <c r="K163" s="3366"/>
      <c r="L163" s="3366">
        <v>79</v>
      </c>
      <c r="M163" s="3366">
        <v>79</v>
      </c>
      <c r="N163" s="3521">
        <v>79</v>
      </c>
      <c r="O163" s="3366">
        <v>79</v>
      </c>
      <c r="P163" s="3366">
        <v>79</v>
      </c>
      <c r="Q163" s="3641"/>
      <c r="R163" s="3641"/>
      <c r="S163" s="3522">
        <v>89</v>
      </c>
      <c r="T163" s="3522">
        <v>89</v>
      </c>
      <c r="U163" s="3522">
        <v>89</v>
      </c>
      <c r="V163" s="3522">
        <v>89</v>
      </c>
      <c r="W163" s="3522">
        <v>89</v>
      </c>
      <c r="X163" s="3522">
        <v>89</v>
      </c>
      <c r="Y163" s="3522"/>
      <c r="Z163" s="3641">
        <v>99</v>
      </c>
      <c r="AA163" s="3366">
        <v>99</v>
      </c>
      <c r="AB163" s="3366">
        <v>99</v>
      </c>
      <c r="AC163" s="3366">
        <v>99</v>
      </c>
      <c r="AD163" s="3366" t="s">
        <v>50</v>
      </c>
      <c r="AE163" s="3366"/>
      <c r="AF163" s="3641"/>
      <c r="AG163" s="3603" t="s">
        <v>77</v>
      </c>
      <c r="AH163" s="124"/>
      <c r="AI163" s="67"/>
    </row>
    <row r="164" spans="1:35" ht="18" customHeight="1" x14ac:dyDescent="0.2">
      <c r="A164" s="3903">
        <v>5</v>
      </c>
      <c r="B164" s="3582" t="s">
        <v>270</v>
      </c>
      <c r="C164" s="3845"/>
      <c r="D164" s="3845"/>
      <c r="E164" s="3534">
        <v>79</v>
      </c>
      <c r="F164" s="3572">
        <v>79</v>
      </c>
      <c r="G164" s="3572">
        <v>79</v>
      </c>
      <c r="H164" s="3535">
        <v>79</v>
      </c>
      <c r="I164" s="3535">
        <v>79</v>
      </c>
      <c r="J164" s="3535"/>
      <c r="K164" s="3535"/>
      <c r="L164" s="3534">
        <v>89</v>
      </c>
      <c r="M164" s="3534">
        <v>89</v>
      </c>
      <c r="N164" s="3535">
        <v>89</v>
      </c>
      <c r="O164" s="3845">
        <v>89</v>
      </c>
      <c r="P164" s="3845">
        <v>89</v>
      </c>
      <c r="Q164" s="3845">
        <v>89</v>
      </c>
      <c r="R164" s="3845"/>
      <c r="S164" s="3534">
        <v>99</v>
      </c>
      <c r="T164" s="3534">
        <v>99</v>
      </c>
      <c r="U164" s="3534">
        <v>99</v>
      </c>
      <c r="V164" s="3845">
        <v>99</v>
      </c>
      <c r="W164" s="3845" t="s">
        <v>50</v>
      </c>
      <c r="X164" s="3845"/>
      <c r="Y164" s="3845"/>
      <c r="Z164" s="3845" t="s">
        <v>77</v>
      </c>
      <c r="AA164" s="3572" t="s">
        <v>77</v>
      </c>
      <c r="AB164" s="3845" t="s">
        <v>77</v>
      </c>
      <c r="AC164" s="3534" t="s">
        <v>77</v>
      </c>
      <c r="AD164" s="3534" t="s">
        <v>77</v>
      </c>
      <c r="AE164" s="3534"/>
      <c r="AF164" s="3534"/>
      <c r="AG164" s="3904">
        <v>69</v>
      </c>
      <c r="AH164" s="124"/>
      <c r="AI164" s="67"/>
    </row>
    <row r="165" spans="1:35" ht="18" customHeight="1" x14ac:dyDescent="0.2">
      <c r="A165" s="129"/>
      <c r="B165" s="141"/>
      <c r="C165" s="142"/>
      <c r="D165" s="142"/>
      <c r="E165" s="142"/>
      <c r="F165" s="128"/>
      <c r="G165" s="140"/>
      <c r="H165" s="140"/>
      <c r="I165" s="140"/>
      <c r="J165" s="140"/>
      <c r="K165" s="140"/>
      <c r="L165" s="128"/>
      <c r="M165" s="128"/>
      <c r="N165" s="142"/>
      <c r="O165" s="142"/>
      <c r="P165" s="142"/>
      <c r="Q165" s="142"/>
      <c r="R165" s="142"/>
      <c r="S165" s="128"/>
      <c r="T165" s="143"/>
      <c r="U165" s="142"/>
      <c r="V165" s="142"/>
      <c r="W165" s="142"/>
      <c r="X165" s="142"/>
      <c r="Y165" s="142"/>
      <c r="Z165" s="144"/>
      <c r="AA165" s="144"/>
      <c r="AB165" s="142"/>
      <c r="AC165" s="142"/>
      <c r="AD165" s="142"/>
      <c r="AE165" s="142"/>
      <c r="AF165" s="142"/>
      <c r="AG165" s="144"/>
      <c r="AH165" s="124"/>
      <c r="AI165" s="3905"/>
    </row>
    <row r="166" spans="1:35" ht="18" customHeight="1" x14ac:dyDescent="0.2">
      <c r="A166" s="69"/>
      <c r="B166" s="70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7"/>
      <c r="AI166" s="67"/>
    </row>
    <row r="167" spans="1:35" ht="18" customHeight="1" x14ac:dyDescent="0.2">
      <c r="A167" s="107" t="s">
        <v>271</v>
      </c>
      <c r="B167" s="108"/>
      <c r="C167" s="108"/>
      <c r="D167" s="109"/>
      <c r="E167" s="109"/>
      <c r="F167" s="109"/>
      <c r="G167" s="65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8"/>
      <c r="AI167" s="108"/>
    </row>
    <row r="168" spans="1:35" ht="18" customHeight="1" x14ac:dyDescent="0.2">
      <c r="A168" s="107"/>
      <c r="B168" s="3265" t="s">
        <v>255</v>
      </c>
      <c r="C168" s="3290"/>
      <c r="D168" s="3291" t="s">
        <v>17</v>
      </c>
      <c r="E168" s="3292"/>
      <c r="F168" s="3293"/>
      <c r="G168" s="3290"/>
      <c r="H168" s="3291" t="s">
        <v>18</v>
      </c>
      <c r="I168" s="3292"/>
      <c r="J168" s="3293"/>
      <c r="K168" s="3290"/>
      <c r="L168" s="3291" t="s">
        <v>19</v>
      </c>
      <c r="M168" s="3292"/>
      <c r="N168" s="3293"/>
      <c r="O168" s="3290"/>
      <c r="P168" s="3291" t="s">
        <v>20</v>
      </c>
      <c r="Q168" s="3292"/>
      <c r="R168" s="3293"/>
      <c r="S168" s="3290"/>
      <c r="T168" s="3291" t="s">
        <v>21</v>
      </c>
      <c r="U168" s="3292"/>
      <c r="V168" s="3293"/>
      <c r="W168" s="3290"/>
      <c r="X168" s="3291" t="s">
        <v>22</v>
      </c>
      <c r="Y168" s="3292"/>
      <c r="Z168" s="3293"/>
      <c r="AA168" s="3290"/>
      <c r="AB168" s="3291" t="s">
        <v>23</v>
      </c>
      <c r="AC168" s="3292"/>
      <c r="AD168" s="3292"/>
      <c r="AE168" s="3294" t="s">
        <v>126</v>
      </c>
      <c r="AF168" s="3292"/>
      <c r="AG168" s="3292"/>
      <c r="AH168" s="3292"/>
      <c r="AI168" s="3295"/>
    </row>
    <row r="169" spans="1:35" ht="18" customHeight="1" x14ac:dyDescent="0.2">
      <c r="A169" s="107"/>
      <c r="B169" s="3876" t="s">
        <v>272</v>
      </c>
      <c r="C169" s="3594" t="s">
        <v>273</v>
      </c>
      <c r="D169" s="3878"/>
      <c r="E169" s="3878"/>
      <c r="F169" s="3879"/>
      <c r="G169" s="3594" t="s">
        <v>273</v>
      </c>
      <c r="H169" s="3878"/>
      <c r="I169" s="3878"/>
      <c r="J169" s="3879"/>
      <c r="K169" s="3594" t="s">
        <v>273</v>
      </c>
      <c r="L169" s="3878"/>
      <c r="M169" s="3878"/>
      <c r="N169" s="3879"/>
      <c r="O169" s="3594" t="s">
        <v>274</v>
      </c>
      <c r="P169" s="3878"/>
      <c r="Q169" s="3878"/>
      <c r="R169" s="3879"/>
      <c r="S169" s="3594" t="s">
        <v>275</v>
      </c>
      <c r="T169" s="3878"/>
      <c r="U169" s="3878"/>
      <c r="V169" s="3879"/>
      <c r="W169" s="3594" t="s">
        <v>276</v>
      </c>
      <c r="X169" s="3880"/>
      <c r="Y169" s="3880"/>
      <c r="Z169" s="3881"/>
      <c r="AA169" s="3594" t="s">
        <v>276</v>
      </c>
      <c r="AB169" s="3878"/>
      <c r="AC169" s="3878"/>
      <c r="AD169" s="3595"/>
      <c r="AE169" s="3882">
        <v>68</v>
      </c>
      <c r="AF169" s="948"/>
      <c r="AG169" s="948"/>
      <c r="AH169" s="948"/>
      <c r="AI169" s="949"/>
    </row>
    <row r="170" spans="1:35" ht="18" customHeight="1" x14ac:dyDescent="0.2">
      <c r="A170" s="107"/>
      <c r="B170" s="3876"/>
      <c r="C170" s="3594" t="s">
        <v>244</v>
      </c>
      <c r="D170" s="3878"/>
      <c r="E170" s="3878"/>
      <c r="F170" s="3879"/>
      <c r="G170" s="3594" t="s">
        <v>244</v>
      </c>
      <c r="H170" s="3878"/>
      <c r="I170" s="3878"/>
      <c r="J170" s="3879"/>
      <c r="K170" s="3594" t="s">
        <v>244</v>
      </c>
      <c r="L170" s="3878"/>
      <c r="M170" s="3878"/>
      <c r="N170" s="3879"/>
      <c r="O170" s="3594" t="s">
        <v>244</v>
      </c>
      <c r="P170" s="3878"/>
      <c r="Q170" s="3878"/>
      <c r="R170" s="3879"/>
      <c r="S170" s="3594" t="s">
        <v>244</v>
      </c>
      <c r="T170" s="3878"/>
      <c r="U170" s="3878"/>
      <c r="V170" s="3879"/>
      <c r="W170" s="3594" t="s">
        <v>244</v>
      </c>
      <c r="X170" s="3878"/>
      <c r="Y170" s="3878"/>
      <c r="Z170" s="3879"/>
      <c r="AA170" s="3878" t="s">
        <v>244</v>
      </c>
      <c r="AB170" s="3878"/>
      <c r="AC170" s="3878"/>
      <c r="AD170" s="3595"/>
      <c r="AE170" s="3882"/>
      <c r="AF170" s="948"/>
      <c r="AG170" s="948"/>
      <c r="AH170" s="948"/>
      <c r="AI170" s="949"/>
    </row>
    <row r="171" spans="1:35" ht="18" customHeight="1" x14ac:dyDescent="0.2">
      <c r="A171" s="107"/>
      <c r="B171" s="3876" t="s">
        <v>277</v>
      </c>
      <c r="C171" s="3594" t="s">
        <v>274</v>
      </c>
      <c r="D171" s="3878"/>
      <c r="E171" s="3878"/>
      <c r="F171" s="3879"/>
      <c r="G171" s="3594" t="s">
        <v>274</v>
      </c>
      <c r="H171" s="3878"/>
      <c r="I171" s="3878"/>
      <c r="J171" s="3879"/>
      <c r="K171" s="3594" t="s">
        <v>274</v>
      </c>
      <c r="L171" s="3878"/>
      <c r="M171" s="3878"/>
      <c r="N171" s="3879"/>
      <c r="O171" s="3594" t="s">
        <v>273</v>
      </c>
      <c r="P171" s="3878"/>
      <c r="Q171" s="3878"/>
      <c r="R171" s="3879"/>
      <c r="S171" s="3594" t="s">
        <v>273</v>
      </c>
      <c r="T171" s="3878"/>
      <c r="U171" s="3878"/>
      <c r="V171" s="3879"/>
      <c r="W171" s="3594" t="s">
        <v>275</v>
      </c>
      <c r="X171" s="3880"/>
      <c r="Y171" s="3880"/>
      <c r="Z171" s="3881"/>
      <c r="AA171" s="3594" t="s">
        <v>275</v>
      </c>
      <c r="AB171" s="3878"/>
      <c r="AC171" s="3878"/>
      <c r="AD171" s="3595"/>
      <c r="AE171" s="3882">
        <v>68</v>
      </c>
      <c r="AF171" s="3878"/>
      <c r="AG171" s="3878" t="s">
        <v>0</v>
      </c>
      <c r="AH171" s="3595"/>
      <c r="AI171" s="3883"/>
    </row>
    <row r="172" spans="1:35" ht="18" customHeight="1" x14ac:dyDescent="0.2">
      <c r="A172" s="107"/>
      <c r="B172" s="3876"/>
      <c r="C172" s="3594" t="s">
        <v>244</v>
      </c>
      <c r="D172" s="3878"/>
      <c r="E172" s="3878"/>
      <c r="F172" s="3879"/>
      <c r="G172" s="3594" t="s">
        <v>244</v>
      </c>
      <c r="H172" s="3878"/>
      <c r="I172" s="3878"/>
      <c r="J172" s="3879"/>
      <c r="K172" s="3594" t="s">
        <v>244</v>
      </c>
      <c r="L172" s="3878"/>
      <c r="M172" s="3878"/>
      <c r="N172" s="3879"/>
      <c r="O172" s="3594" t="s">
        <v>244</v>
      </c>
      <c r="P172" s="3878"/>
      <c r="Q172" s="3878"/>
      <c r="R172" s="3879"/>
      <c r="S172" s="3594" t="s">
        <v>244</v>
      </c>
      <c r="T172" s="3878"/>
      <c r="U172" s="3878"/>
      <c r="V172" s="3879"/>
      <c r="W172" s="3594" t="s">
        <v>244</v>
      </c>
      <c r="X172" s="3878"/>
      <c r="Y172" s="3878"/>
      <c r="Z172" s="3879"/>
      <c r="AA172" s="3878" t="s">
        <v>244</v>
      </c>
      <c r="AB172" s="3878"/>
      <c r="AC172" s="3878"/>
      <c r="AD172" s="3595"/>
      <c r="AE172" s="3882"/>
      <c r="AF172" s="3878"/>
      <c r="AG172" s="3878"/>
      <c r="AH172" s="3595"/>
      <c r="AI172" s="3883"/>
    </row>
    <row r="173" spans="1:35" ht="18" customHeight="1" x14ac:dyDescent="0.2">
      <c r="A173" s="107"/>
      <c r="B173" s="3876" t="s">
        <v>278</v>
      </c>
      <c r="C173" s="3594" t="s">
        <v>273</v>
      </c>
      <c r="D173" s="3878"/>
      <c r="E173" s="3878"/>
      <c r="F173" s="3879"/>
      <c r="G173" s="3594" t="s">
        <v>273</v>
      </c>
      <c r="H173" s="3878"/>
      <c r="I173" s="3878"/>
      <c r="J173" s="3879"/>
      <c r="K173" s="3594" t="s">
        <v>273</v>
      </c>
      <c r="L173" s="3878"/>
      <c r="M173" s="3878"/>
      <c r="N173" s="3879"/>
      <c r="O173" s="3594" t="s">
        <v>273</v>
      </c>
      <c r="P173" s="3878"/>
      <c r="Q173" s="3878"/>
      <c r="R173" s="3879"/>
      <c r="S173" s="3594" t="s">
        <v>273</v>
      </c>
      <c r="T173" s="3878"/>
      <c r="U173" s="3878"/>
      <c r="V173" s="3879"/>
      <c r="W173" s="3594" t="s">
        <v>279</v>
      </c>
      <c r="X173" s="3885"/>
      <c r="Y173" s="3885"/>
      <c r="Z173" s="3848"/>
      <c r="AA173" s="3594" t="s">
        <v>279</v>
      </c>
      <c r="AB173" s="3885"/>
      <c r="AC173" s="3885"/>
      <c r="AD173" s="2858"/>
      <c r="AE173" s="3882">
        <v>68</v>
      </c>
      <c r="AF173" s="3878"/>
      <c r="AG173" s="3878"/>
      <c r="AH173" s="3595"/>
      <c r="AI173" s="3883"/>
    </row>
    <row r="174" spans="1:35" ht="18" customHeight="1" x14ac:dyDescent="0.2">
      <c r="A174" s="107"/>
      <c r="B174" s="3876"/>
      <c r="C174" s="3906" t="s">
        <v>244</v>
      </c>
      <c r="D174" s="3907"/>
      <c r="E174" s="3907"/>
      <c r="F174" s="3908"/>
      <c r="G174" s="3906" t="s">
        <v>244</v>
      </c>
      <c r="H174" s="3907"/>
      <c r="I174" s="3907"/>
      <c r="J174" s="3908"/>
      <c r="K174" s="3906" t="s">
        <v>244</v>
      </c>
      <c r="L174" s="3907"/>
      <c r="M174" s="3907"/>
      <c r="N174" s="3908"/>
      <c r="O174" s="3906" t="s">
        <v>244</v>
      </c>
      <c r="P174" s="3907"/>
      <c r="Q174" s="3907"/>
      <c r="R174" s="3908"/>
      <c r="S174" s="3906" t="s">
        <v>244</v>
      </c>
      <c r="T174" s="3907"/>
      <c r="U174" s="3907"/>
      <c r="V174" s="3896"/>
      <c r="W174" s="3906" t="s">
        <v>244</v>
      </c>
      <c r="X174" s="3896"/>
      <c r="Y174" s="3907"/>
      <c r="Z174" s="3908"/>
      <c r="AA174" s="3906" t="s">
        <v>244</v>
      </c>
      <c r="AB174" s="3896"/>
      <c r="AC174" s="3907"/>
      <c r="AD174" s="3908"/>
      <c r="AE174" s="3909"/>
      <c r="AF174" s="3907"/>
      <c r="AG174" s="3907"/>
      <c r="AH174" s="3896"/>
      <c r="AI174" s="3897"/>
    </row>
    <row r="175" spans="1:35" ht="18" customHeight="1" x14ac:dyDescent="0.2">
      <c r="A175" s="68"/>
      <c r="B175" s="107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8"/>
      <c r="AI175" s="108"/>
    </row>
    <row r="176" spans="1:35" ht="18" customHeight="1" thickBot="1" x14ac:dyDescent="0.25">
      <c r="A176" s="3875"/>
      <c r="B176" s="2817" t="s">
        <v>44</v>
      </c>
      <c r="C176" s="2707">
        <v>1</v>
      </c>
      <c r="D176" s="2707">
        <v>2</v>
      </c>
      <c r="E176" s="2706">
        <v>3</v>
      </c>
      <c r="F176" s="2706">
        <v>4</v>
      </c>
      <c r="G176" s="2706">
        <v>5</v>
      </c>
      <c r="H176" s="2706">
        <v>6</v>
      </c>
      <c r="I176" s="2706">
        <v>7</v>
      </c>
      <c r="J176" s="2707">
        <v>8</v>
      </c>
      <c r="K176" s="2707">
        <v>9</v>
      </c>
      <c r="L176" s="2706">
        <v>10</v>
      </c>
      <c r="M176" s="2706">
        <v>11</v>
      </c>
      <c r="N176" s="2706">
        <v>12</v>
      </c>
      <c r="O176" s="2706">
        <v>13</v>
      </c>
      <c r="P176" s="2706">
        <v>14</v>
      </c>
      <c r="Q176" s="2707">
        <v>15</v>
      </c>
      <c r="R176" s="2707">
        <v>16</v>
      </c>
      <c r="S176" s="2706">
        <v>17</v>
      </c>
      <c r="T176" s="2706">
        <v>18</v>
      </c>
      <c r="U176" s="2706">
        <v>19</v>
      </c>
      <c r="V176" s="2706">
        <v>20</v>
      </c>
      <c r="W176" s="2706">
        <v>21</v>
      </c>
      <c r="X176" s="2707">
        <v>22</v>
      </c>
      <c r="Y176" s="2707">
        <v>23</v>
      </c>
      <c r="Z176" s="2706">
        <v>24</v>
      </c>
      <c r="AA176" s="2706">
        <v>25</v>
      </c>
      <c r="AB176" s="2706">
        <v>26</v>
      </c>
      <c r="AC176" s="2706">
        <v>27</v>
      </c>
      <c r="AD176" s="2706">
        <v>28</v>
      </c>
      <c r="AE176" s="2707">
        <v>29</v>
      </c>
      <c r="AF176" s="2707">
        <v>30</v>
      </c>
      <c r="AG176" s="2706">
        <v>31</v>
      </c>
      <c r="AH176" s="110"/>
      <c r="AI176" s="111"/>
    </row>
    <row r="177" spans="1:35" ht="18" customHeight="1" x14ac:dyDescent="0.2">
      <c r="A177" s="3339">
        <v>1</v>
      </c>
      <c r="B177" s="3804" t="s">
        <v>391</v>
      </c>
      <c r="C177" s="3662">
        <v>21</v>
      </c>
      <c r="D177" s="3662">
        <v>21</v>
      </c>
      <c r="E177" s="3829" t="s">
        <v>50</v>
      </c>
      <c r="F177" s="3826" t="s">
        <v>50</v>
      </c>
      <c r="G177" s="3826" t="s">
        <v>50</v>
      </c>
      <c r="H177" s="3826" t="s">
        <v>50</v>
      </c>
      <c r="I177" s="3826" t="s">
        <v>50</v>
      </c>
      <c r="J177" s="3826"/>
      <c r="K177" s="3826"/>
      <c r="L177" s="3202">
        <v>22</v>
      </c>
      <c r="M177" s="3202">
        <v>22</v>
      </c>
      <c r="N177" s="3202">
        <v>22</v>
      </c>
      <c r="O177" s="3221">
        <v>22</v>
      </c>
      <c r="P177" s="3221">
        <v>22</v>
      </c>
      <c r="Q177" s="3221">
        <v>22</v>
      </c>
      <c r="R177" s="3221">
        <v>22</v>
      </c>
      <c r="S177" s="3825" t="s">
        <v>50</v>
      </c>
      <c r="T177" s="3825" t="s">
        <v>50</v>
      </c>
      <c r="U177" s="3825" t="s">
        <v>50</v>
      </c>
      <c r="V177" s="3825" t="s">
        <v>50</v>
      </c>
      <c r="W177" s="3826" t="s">
        <v>50</v>
      </c>
      <c r="X177" s="3826"/>
      <c r="Y177" s="3826"/>
      <c r="Z177" s="3221">
        <v>23</v>
      </c>
      <c r="AA177" s="3221">
        <v>23</v>
      </c>
      <c r="AB177" s="3221">
        <v>23</v>
      </c>
      <c r="AC177" s="3202">
        <v>23</v>
      </c>
      <c r="AD177" s="3202">
        <v>23</v>
      </c>
      <c r="AE177" s="3202">
        <v>23</v>
      </c>
      <c r="AF177" s="3202">
        <v>23</v>
      </c>
      <c r="AG177" s="3341" t="s">
        <v>50</v>
      </c>
      <c r="AH177" s="67"/>
      <c r="AI177" s="67"/>
    </row>
    <row r="178" spans="1:35" ht="18" customHeight="1" x14ac:dyDescent="0.2">
      <c r="A178" s="3910">
        <v>2</v>
      </c>
      <c r="B178" s="3804" t="s">
        <v>452</v>
      </c>
      <c r="C178" s="3826">
        <v>22</v>
      </c>
      <c r="D178" s="3826">
        <v>22</v>
      </c>
      <c r="E178" s="3829" t="s">
        <v>50</v>
      </c>
      <c r="F178" s="3826" t="s">
        <v>50</v>
      </c>
      <c r="G178" s="3826" t="s">
        <v>50</v>
      </c>
      <c r="H178" s="3826" t="s">
        <v>50</v>
      </c>
      <c r="I178" s="3826" t="s">
        <v>50</v>
      </c>
      <c r="J178" s="3826"/>
      <c r="K178" s="3826"/>
      <c r="L178" s="3911">
        <v>23</v>
      </c>
      <c r="M178" s="3911">
        <v>23</v>
      </c>
      <c r="N178" s="3911">
        <v>23</v>
      </c>
      <c r="O178" s="3911">
        <v>23</v>
      </c>
      <c r="P178" s="3829">
        <v>23</v>
      </c>
      <c r="Q178" s="3864">
        <v>23</v>
      </c>
      <c r="R178" s="3864">
        <v>23</v>
      </c>
      <c r="S178" s="3825" t="s">
        <v>50</v>
      </c>
      <c r="T178" s="3825" t="s">
        <v>50</v>
      </c>
      <c r="U178" s="3825" t="s">
        <v>50</v>
      </c>
      <c r="V178" s="3825" t="s">
        <v>50</v>
      </c>
      <c r="W178" s="3826" t="s">
        <v>50</v>
      </c>
      <c r="X178" s="3826"/>
      <c r="Y178" s="344">
        <v>21</v>
      </c>
      <c r="Z178" s="3829" t="s">
        <v>110</v>
      </c>
      <c r="AA178" s="3911">
        <v>21</v>
      </c>
      <c r="AB178" s="3911">
        <v>21</v>
      </c>
      <c r="AC178" s="3912">
        <v>21</v>
      </c>
      <c r="AD178" s="3911">
        <v>21</v>
      </c>
      <c r="AE178" s="3911">
        <v>21</v>
      </c>
      <c r="AF178" s="3911">
        <v>21</v>
      </c>
      <c r="AG178" s="3913" t="s">
        <v>50</v>
      </c>
      <c r="AH178" s="67"/>
      <c r="AI178" s="67"/>
    </row>
    <row r="179" spans="1:35" ht="18" customHeight="1" x14ac:dyDescent="0.2">
      <c r="A179" s="3910">
        <v>3</v>
      </c>
      <c r="B179" s="3804" t="s">
        <v>479</v>
      </c>
      <c r="C179" s="3826">
        <v>23</v>
      </c>
      <c r="D179" s="3826">
        <v>23</v>
      </c>
      <c r="E179" s="3829" t="s">
        <v>50</v>
      </c>
      <c r="F179" s="3826" t="s">
        <v>50</v>
      </c>
      <c r="G179" s="3826" t="s">
        <v>50</v>
      </c>
      <c r="H179" s="3826" t="s">
        <v>50</v>
      </c>
      <c r="I179" s="3826" t="s">
        <v>50</v>
      </c>
      <c r="J179" s="3826"/>
      <c r="K179" s="3826"/>
      <c r="L179" s="3914">
        <v>21</v>
      </c>
      <c r="M179" s="3826">
        <v>21</v>
      </c>
      <c r="N179" s="3911">
        <v>21</v>
      </c>
      <c r="O179" s="3911">
        <v>21</v>
      </c>
      <c r="P179" s="3829">
        <v>21</v>
      </c>
      <c r="Q179" s="3826">
        <v>21</v>
      </c>
      <c r="R179" s="3826">
        <v>21</v>
      </c>
      <c r="S179" s="3825" t="s">
        <v>50</v>
      </c>
      <c r="T179" s="3825" t="s">
        <v>50</v>
      </c>
      <c r="U179" s="3825" t="s">
        <v>50</v>
      </c>
      <c r="V179" s="3825" t="s">
        <v>50</v>
      </c>
      <c r="W179" s="3826" t="s">
        <v>50</v>
      </c>
      <c r="X179" s="3826"/>
      <c r="Y179" s="3826"/>
      <c r="Z179" s="3829" t="s">
        <v>401</v>
      </c>
      <c r="AA179" s="3826">
        <v>22</v>
      </c>
      <c r="AB179" s="3826">
        <v>22</v>
      </c>
      <c r="AC179" s="3826">
        <v>22</v>
      </c>
      <c r="AD179" s="3826">
        <v>22</v>
      </c>
      <c r="AE179" s="3826">
        <v>22</v>
      </c>
      <c r="AF179" s="3826">
        <v>22</v>
      </c>
      <c r="AG179" s="3913" t="s">
        <v>50</v>
      </c>
      <c r="AH179" s="67"/>
      <c r="AI179" s="67"/>
    </row>
    <row r="180" spans="1:35" ht="18" customHeight="1" x14ac:dyDescent="0.2">
      <c r="A180" s="3910">
        <v>4</v>
      </c>
      <c r="B180" s="371" t="s">
        <v>281</v>
      </c>
      <c r="C180" s="3915"/>
      <c r="D180" s="3915"/>
      <c r="E180" s="3915">
        <v>21</v>
      </c>
      <c r="F180" s="3915">
        <v>21</v>
      </c>
      <c r="G180" s="3915">
        <v>21</v>
      </c>
      <c r="H180" s="3916">
        <v>21</v>
      </c>
      <c r="I180" s="3916">
        <v>21</v>
      </c>
      <c r="J180" s="3916">
        <v>21</v>
      </c>
      <c r="K180" s="3916">
        <v>21</v>
      </c>
      <c r="L180" s="3839" t="s">
        <v>50</v>
      </c>
      <c r="M180" s="3839" t="s">
        <v>50</v>
      </c>
      <c r="N180" s="3839" t="s">
        <v>50</v>
      </c>
      <c r="O180" s="3839" t="s">
        <v>50</v>
      </c>
      <c r="P180" s="3839" t="s">
        <v>50</v>
      </c>
      <c r="Q180" s="3839"/>
      <c r="R180" s="3839"/>
      <c r="S180" s="3839">
        <v>22</v>
      </c>
      <c r="T180" s="3839">
        <v>22</v>
      </c>
      <c r="U180" s="3839">
        <v>22</v>
      </c>
      <c r="V180" s="3839">
        <v>22</v>
      </c>
      <c r="W180" s="3839">
        <v>22</v>
      </c>
      <c r="X180" s="3839">
        <v>22</v>
      </c>
      <c r="Y180" s="3839">
        <v>22</v>
      </c>
      <c r="Z180" s="3839" t="s">
        <v>50</v>
      </c>
      <c r="AA180" s="3839" t="s">
        <v>50</v>
      </c>
      <c r="AB180" s="3839" t="s">
        <v>50</v>
      </c>
      <c r="AC180" s="3839" t="s">
        <v>50</v>
      </c>
      <c r="AD180" s="3839" t="s">
        <v>50</v>
      </c>
      <c r="AE180" s="3839"/>
      <c r="AF180" s="3839"/>
      <c r="AG180" s="3827" t="s">
        <v>179</v>
      </c>
      <c r="AH180" s="67"/>
      <c r="AI180" s="67"/>
    </row>
    <row r="181" spans="1:35" ht="18" customHeight="1" x14ac:dyDescent="0.2">
      <c r="A181" s="3910">
        <v>5</v>
      </c>
      <c r="B181" s="3867" t="s">
        <v>282</v>
      </c>
      <c r="C181" s="3917"/>
      <c r="D181" s="3815"/>
      <c r="E181" s="3814">
        <v>22</v>
      </c>
      <c r="F181" s="3814">
        <v>22</v>
      </c>
      <c r="G181" s="3815">
        <v>22</v>
      </c>
      <c r="H181" s="3815">
        <v>22</v>
      </c>
      <c r="I181" s="3815">
        <v>22</v>
      </c>
      <c r="J181" s="3815">
        <v>22</v>
      </c>
      <c r="K181" s="3826">
        <v>22</v>
      </c>
      <c r="L181" s="3825" t="s">
        <v>50</v>
      </c>
      <c r="M181" s="3825" t="s">
        <v>50</v>
      </c>
      <c r="N181" s="3825" t="s">
        <v>50</v>
      </c>
      <c r="O181" s="3825" t="s">
        <v>50</v>
      </c>
      <c r="P181" s="3826" t="s">
        <v>50</v>
      </c>
      <c r="Q181" s="3918"/>
      <c r="R181" s="3918"/>
      <c r="S181" s="3814">
        <v>23</v>
      </c>
      <c r="T181" s="3814">
        <v>23</v>
      </c>
      <c r="U181" s="3814">
        <v>23</v>
      </c>
      <c r="V181" s="3814">
        <v>23</v>
      </c>
      <c r="W181" s="3814">
        <v>23</v>
      </c>
      <c r="X181" s="3919">
        <v>23</v>
      </c>
      <c r="Y181" s="3919">
        <v>23</v>
      </c>
      <c r="Z181" s="3920" t="s">
        <v>50</v>
      </c>
      <c r="AA181" s="3826" t="s">
        <v>50</v>
      </c>
      <c r="AB181" s="3826" t="s">
        <v>50</v>
      </c>
      <c r="AC181" s="3826" t="s">
        <v>50</v>
      </c>
      <c r="AD181" s="3920" t="s">
        <v>50</v>
      </c>
      <c r="AE181" s="3918"/>
      <c r="AF181" s="3918"/>
      <c r="AG181" s="3827" t="s">
        <v>110</v>
      </c>
      <c r="AH181" s="67"/>
      <c r="AI181" s="67"/>
    </row>
    <row r="182" spans="1:35" ht="18" customHeight="1" thickBot="1" x14ac:dyDescent="0.25">
      <c r="A182" s="3921">
        <v>6</v>
      </c>
      <c r="B182" s="3805" t="s">
        <v>194</v>
      </c>
      <c r="C182" s="3832"/>
      <c r="D182" s="3832"/>
      <c r="E182" s="3922">
        <v>23</v>
      </c>
      <c r="F182" s="3922" t="s">
        <v>436</v>
      </c>
      <c r="G182" s="3923">
        <v>23</v>
      </c>
      <c r="H182" s="3923">
        <v>23</v>
      </c>
      <c r="I182" s="3923">
        <v>23</v>
      </c>
      <c r="J182" s="3842">
        <v>23</v>
      </c>
      <c r="K182" s="3842">
        <v>23</v>
      </c>
      <c r="L182" s="3825" t="s">
        <v>50</v>
      </c>
      <c r="M182" s="3825" t="s">
        <v>50</v>
      </c>
      <c r="N182" s="3825" t="s">
        <v>50</v>
      </c>
      <c r="O182" s="3825" t="s">
        <v>50</v>
      </c>
      <c r="P182" s="3826" t="s">
        <v>50</v>
      </c>
      <c r="Q182" s="3826"/>
      <c r="R182" s="3914"/>
      <c r="S182" s="3832">
        <v>21</v>
      </c>
      <c r="T182" s="3832">
        <v>21</v>
      </c>
      <c r="U182" s="3924">
        <v>21</v>
      </c>
      <c r="V182" s="3924">
        <v>21</v>
      </c>
      <c r="W182" s="3925">
        <v>21</v>
      </c>
      <c r="X182" s="3919">
        <v>21</v>
      </c>
      <c r="Y182" s="3919">
        <v>21</v>
      </c>
      <c r="Z182" s="3829" t="s">
        <v>50</v>
      </c>
      <c r="AA182" s="3826" t="s">
        <v>50</v>
      </c>
      <c r="AB182" s="3826" t="s">
        <v>50</v>
      </c>
      <c r="AC182" s="3826" t="s">
        <v>50</v>
      </c>
      <c r="AD182" s="3826" t="s">
        <v>50</v>
      </c>
      <c r="AE182" s="3826"/>
      <c r="AF182" s="3826"/>
      <c r="AG182" s="3843" t="s">
        <v>401</v>
      </c>
      <c r="AH182" s="67"/>
      <c r="AI182" s="67"/>
    </row>
    <row r="183" spans="1:35" ht="18" customHeight="1" x14ac:dyDescent="0.2">
      <c r="A183" s="129"/>
      <c r="B183" s="127"/>
      <c r="C183" s="128"/>
      <c r="D183" s="128"/>
      <c r="E183" s="140"/>
      <c r="F183" s="128"/>
      <c r="G183" s="128"/>
      <c r="H183" s="145"/>
      <c r="I183" s="145"/>
      <c r="J183" s="145"/>
      <c r="K183" s="145"/>
      <c r="L183" s="145"/>
      <c r="M183" s="145"/>
      <c r="N183" s="125"/>
      <c r="O183" s="125"/>
      <c r="P183" s="140"/>
      <c r="Q183" s="128"/>
      <c r="R183" s="128"/>
      <c r="S183" s="140"/>
      <c r="T183" s="128"/>
      <c r="U183" s="128"/>
      <c r="V183" s="128"/>
      <c r="W183" s="128"/>
      <c r="X183" s="128"/>
      <c r="Y183" s="128"/>
      <c r="Z183" s="128"/>
      <c r="AA183" s="128"/>
      <c r="AB183" s="125"/>
      <c r="AC183" s="125"/>
      <c r="AD183" s="140"/>
      <c r="AE183" s="128"/>
      <c r="AF183" s="128"/>
      <c r="AG183" s="140"/>
      <c r="AH183" s="67"/>
      <c r="AI183" s="67"/>
    </row>
    <row r="184" spans="1:35" ht="18" customHeight="1" x14ac:dyDescent="0.2">
      <c r="A184" s="69"/>
      <c r="B184" s="70"/>
      <c r="C184" s="120"/>
      <c r="D184" s="120"/>
      <c r="E184" s="106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106"/>
      <c r="Q184" s="120"/>
      <c r="R184" s="120"/>
      <c r="S184" s="106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1"/>
      <c r="AD184" s="121"/>
      <c r="AE184" s="121"/>
      <c r="AF184" s="120"/>
      <c r="AG184" s="106"/>
      <c r="AH184" s="67"/>
      <c r="AI184" s="67"/>
    </row>
    <row r="185" spans="1:35" ht="18" customHeight="1" x14ac:dyDescent="0.2">
      <c r="A185" s="103" t="s">
        <v>284</v>
      </c>
      <c r="D185" s="48"/>
      <c r="E185" s="48"/>
      <c r="F185" s="48"/>
      <c r="G185" s="65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</row>
    <row r="186" spans="1:35" ht="18" customHeight="1" x14ac:dyDescent="0.2">
      <c r="A186" s="1"/>
      <c r="B186" s="3265" t="s">
        <v>255</v>
      </c>
      <c r="C186" s="3266"/>
      <c r="D186" s="3291" t="s">
        <v>17</v>
      </c>
      <c r="E186" s="3177"/>
      <c r="F186" s="3270"/>
      <c r="G186" s="3266"/>
      <c r="H186" s="3291" t="s">
        <v>18</v>
      </c>
      <c r="I186" s="3177"/>
      <c r="J186" s="3270"/>
      <c r="K186" s="3266"/>
      <c r="L186" s="3291" t="s">
        <v>19</v>
      </c>
      <c r="M186" s="3177"/>
      <c r="N186" s="3270"/>
      <c r="O186" s="3266"/>
      <c r="P186" s="3291" t="s">
        <v>20</v>
      </c>
      <c r="Q186" s="3177"/>
      <c r="R186" s="3270"/>
      <c r="S186" s="3266"/>
      <c r="T186" s="3291" t="s">
        <v>21</v>
      </c>
      <c r="U186" s="3177"/>
      <c r="V186" s="3270"/>
      <c r="W186" s="3266"/>
      <c r="X186" s="3291" t="s">
        <v>22</v>
      </c>
      <c r="Y186" s="3177"/>
      <c r="Z186" s="3270"/>
      <c r="AA186" s="3266"/>
      <c r="AB186" s="3291" t="s">
        <v>23</v>
      </c>
      <c r="AC186" s="3177"/>
      <c r="AD186" s="3177"/>
      <c r="AE186" s="3294" t="s">
        <v>126</v>
      </c>
      <c r="AF186" s="3177"/>
      <c r="AG186" s="3177"/>
      <c r="AH186" s="3177"/>
      <c r="AI186" s="3178"/>
    </row>
    <row r="187" spans="1:35" ht="18" customHeight="1" x14ac:dyDescent="0.2">
      <c r="A187" s="1"/>
      <c r="B187" s="3876" t="s">
        <v>235</v>
      </c>
      <c r="C187" s="3594" t="s">
        <v>256</v>
      </c>
      <c r="D187" s="3754"/>
      <c r="E187" s="3754"/>
      <c r="F187" s="3879"/>
      <c r="G187" s="3594" t="s">
        <v>256</v>
      </c>
      <c r="H187" s="3754"/>
      <c r="I187" s="3754"/>
      <c r="J187" s="3879"/>
      <c r="K187" s="3594" t="s">
        <v>256</v>
      </c>
      <c r="L187" s="3754"/>
      <c r="M187" s="3754"/>
      <c r="N187" s="3879"/>
      <c r="O187" s="3594" t="s">
        <v>285</v>
      </c>
      <c r="P187" s="3754"/>
      <c r="Q187" s="3754"/>
      <c r="R187" s="3879"/>
      <c r="S187" s="3594" t="s">
        <v>244</v>
      </c>
      <c r="T187" s="3754"/>
      <c r="U187" s="3754"/>
      <c r="V187" s="3879"/>
      <c r="W187" s="3926"/>
      <c r="X187" s="3927"/>
      <c r="Y187" s="3927"/>
      <c r="Z187" s="3881"/>
      <c r="AA187" s="3877"/>
      <c r="AB187" s="3754"/>
      <c r="AC187" s="3754"/>
      <c r="AD187" s="3595"/>
      <c r="AE187" s="3882">
        <v>27</v>
      </c>
      <c r="AF187" s="3754"/>
      <c r="AG187" s="3754"/>
      <c r="AH187" s="3595"/>
      <c r="AI187" s="3928"/>
    </row>
    <row r="188" spans="1:35" ht="18" customHeight="1" x14ac:dyDescent="0.2">
      <c r="A188" s="1"/>
      <c r="B188" s="3876" t="s">
        <v>236</v>
      </c>
      <c r="C188" s="3594" t="s">
        <v>286</v>
      </c>
      <c r="D188" s="3754"/>
      <c r="E188" s="3754"/>
      <c r="F188" s="3879"/>
      <c r="G188" s="3594" t="s">
        <v>286</v>
      </c>
      <c r="H188" s="3754"/>
      <c r="I188" s="3754"/>
      <c r="J188" s="3879"/>
      <c r="K188" s="3594" t="s">
        <v>286</v>
      </c>
      <c r="L188" s="3754"/>
      <c r="M188" s="3754"/>
      <c r="N188" s="3879"/>
      <c r="O188" s="3594" t="s">
        <v>286</v>
      </c>
      <c r="P188" s="3754"/>
      <c r="Q188" s="3754"/>
      <c r="R188" s="3879"/>
      <c r="S188" s="3594" t="s">
        <v>256</v>
      </c>
      <c r="T188" s="3754"/>
      <c r="U188" s="3754"/>
      <c r="V188" s="3879"/>
      <c r="W188" s="3594"/>
      <c r="X188" s="3754"/>
      <c r="Y188" s="3754"/>
      <c r="Z188" s="3879"/>
      <c r="AA188" s="3754"/>
      <c r="AB188" s="3754"/>
      <c r="AC188" s="3754"/>
      <c r="AD188" s="3595"/>
      <c r="AE188" s="3882">
        <v>39</v>
      </c>
      <c r="AF188" s="3754"/>
      <c r="AG188" s="3754"/>
      <c r="AH188" s="3595"/>
      <c r="AI188" s="3928"/>
    </row>
    <row r="189" spans="1:35" ht="18" customHeight="1" x14ac:dyDescent="0.2">
      <c r="A189" s="1"/>
      <c r="B189" s="3876" t="s">
        <v>243</v>
      </c>
      <c r="C189" s="3594" t="s">
        <v>286</v>
      </c>
      <c r="D189" s="3754"/>
      <c r="E189" s="3754"/>
      <c r="F189" s="3879"/>
      <c r="G189" s="3594" t="s">
        <v>286</v>
      </c>
      <c r="H189" s="3754"/>
      <c r="I189" s="3754"/>
      <c r="J189" s="3879"/>
      <c r="K189" s="3594" t="s">
        <v>286</v>
      </c>
      <c r="L189" s="3754"/>
      <c r="M189" s="3754"/>
      <c r="N189" s="3879"/>
      <c r="O189" s="3594" t="s">
        <v>286</v>
      </c>
      <c r="P189" s="3754"/>
      <c r="Q189" s="3754"/>
      <c r="R189" s="3879"/>
      <c r="S189" s="3594" t="s">
        <v>286</v>
      </c>
      <c r="T189" s="3754"/>
      <c r="U189" s="3754"/>
      <c r="V189" s="3879"/>
      <c r="W189" s="2857" t="s">
        <v>260</v>
      </c>
      <c r="X189" s="2795"/>
      <c r="Y189" s="2795"/>
      <c r="Z189" s="3848"/>
      <c r="AA189" s="3884"/>
      <c r="AB189" s="2795"/>
      <c r="AC189" s="2795"/>
      <c r="AD189" s="2858"/>
      <c r="AE189" s="3882">
        <v>45</v>
      </c>
      <c r="AF189" s="3754"/>
      <c r="AG189" s="3754"/>
      <c r="AH189" s="3595"/>
      <c r="AI189" s="3928"/>
    </row>
    <row r="190" spans="1:35" ht="18" customHeight="1" x14ac:dyDescent="0.2">
      <c r="A190" s="1"/>
      <c r="B190" s="147" t="s">
        <v>245</v>
      </c>
      <c r="C190" s="3906"/>
      <c r="D190" s="3562"/>
      <c r="E190" s="3562"/>
      <c r="F190" s="3908"/>
      <c r="G190" s="3906"/>
      <c r="H190" s="3562"/>
      <c r="I190" s="3562"/>
      <c r="J190" s="3908"/>
      <c r="K190" s="3906"/>
      <c r="L190" s="3562"/>
      <c r="M190" s="3562"/>
      <c r="N190" s="3908"/>
      <c r="O190" s="3906"/>
      <c r="P190" s="3562"/>
      <c r="Q190" s="3562"/>
      <c r="R190" s="3908"/>
      <c r="S190" s="3906"/>
      <c r="T190" s="3562"/>
      <c r="U190" s="3562"/>
      <c r="V190" s="3896"/>
      <c r="W190" s="3906"/>
      <c r="X190" s="3896"/>
      <c r="Y190" s="3562"/>
      <c r="Z190" s="3908"/>
      <c r="AA190" s="3906"/>
      <c r="AB190" s="3896"/>
      <c r="AC190" s="3562"/>
      <c r="AD190" s="3908"/>
      <c r="AE190" s="3929"/>
      <c r="AF190" s="3562"/>
      <c r="AG190" s="3562"/>
      <c r="AH190" s="3896"/>
      <c r="AI190" s="3569"/>
    </row>
    <row r="191" spans="1:35" ht="18" customHeight="1" x14ac:dyDescent="0.2">
      <c r="A191" s="68"/>
      <c r="B191" s="1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</row>
    <row r="192" spans="1:35" ht="18" customHeight="1" thickBot="1" x14ac:dyDescent="0.25">
      <c r="A192" s="3875"/>
      <c r="B192" s="2817" t="s">
        <v>44</v>
      </c>
      <c r="C192" s="2707">
        <v>1</v>
      </c>
      <c r="D192" s="2707">
        <v>2</v>
      </c>
      <c r="E192" s="2706">
        <v>3</v>
      </c>
      <c r="F192" s="2706">
        <v>4</v>
      </c>
      <c r="G192" s="2706">
        <v>5</v>
      </c>
      <c r="H192" s="2706">
        <v>6</v>
      </c>
      <c r="I192" s="2706">
        <v>7</v>
      </c>
      <c r="J192" s="2707">
        <v>8</v>
      </c>
      <c r="K192" s="2707">
        <v>9</v>
      </c>
      <c r="L192" s="2706">
        <v>10</v>
      </c>
      <c r="M192" s="2706">
        <v>11</v>
      </c>
      <c r="N192" s="2706">
        <v>12</v>
      </c>
      <c r="O192" s="2706">
        <v>13</v>
      </c>
      <c r="P192" s="2706">
        <v>14</v>
      </c>
      <c r="Q192" s="2707">
        <v>15</v>
      </c>
      <c r="R192" s="2707">
        <v>16</v>
      </c>
      <c r="S192" s="2706">
        <v>17</v>
      </c>
      <c r="T192" s="3103">
        <v>18</v>
      </c>
      <c r="U192" s="3103">
        <v>19</v>
      </c>
      <c r="V192" s="3103">
        <v>20</v>
      </c>
      <c r="W192" s="3103">
        <v>21</v>
      </c>
      <c r="X192" s="3104">
        <v>22</v>
      </c>
      <c r="Y192" s="3104">
        <v>23</v>
      </c>
      <c r="Z192" s="3103">
        <v>24</v>
      </c>
      <c r="AA192" s="2706">
        <v>25</v>
      </c>
      <c r="AB192" s="2706">
        <v>26</v>
      </c>
      <c r="AC192" s="2706">
        <v>27</v>
      </c>
      <c r="AD192" s="2706">
        <v>28</v>
      </c>
      <c r="AE192" s="2707">
        <v>29</v>
      </c>
      <c r="AF192" s="2707">
        <v>30</v>
      </c>
      <c r="AG192" s="2706">
        <v>31</v>
      </c>
      <c r="AH192" s="110"/>
      <c r="AI192" s="111"/>
    </row>
    <row r="193" spans="1:36" ht="18" customHeight="1" x14ac:dyDescent="0.2">
      <c r="A193" s="3318">
        <v>1</v>
      </c>
      <c r="B193" s="3363" t="s">
        <v>462</v>
      </c>
      <c r="C193" s="3164"/>
      <c r="D193" s="3164"/>
      <c r="E193" s="3162" t="s">
        <v>46</v>
      </c>
      <c r="F193" s="3164" t="s">
        <v>46</v>
      </c>
      <c r="G193" s="3164" t="s">
        <v>46</v>
      </c>
      <c r="H193" s="3164" t="s">
        <v>46</v>
      </c>
      <c r="I193" s="3164" t="s">
        <v>46</v>
      </c>
      <c r="J193" s="3164"/>
      <c r="K193" s="3164"/>
      <c r="L193" s="3164" t="s">
        <v>46</v>
      </c>
      <c r="M193" s="3164" t="s">
        <v>46</v>
      </c>
      <c r="N193" s="3164" t="s">
        <v>46</v>
      </c>
      <c r="O193" s="3164" t="s">
        <v>46</v>
      </c>
      <c r="P193" s="3165" t="s">
        <v>46</v>
      </c>
      <c r="Q193" s="3366" t="s">
        <v>290</v>
      </c>
      <c r="R193" s="3165"/>
      <c r="S193" s="3165" t="s">
        <v>46</v>
      </c>
      <c r="T193" s="3165" t="s">
        <v>46</v>
      </c>
      <c r="U193" s="3930" t="s">
        <v>288</v>
      </c>
      <c r="V193" s="3164" t="s">
        <v>46</v>
      </c>
      <c r="W193" s="3164" t="s">
        <v>46</v>
      </c>
      <c r="X193" s="3164"/>
      <c r="Y193" s="3164"/>
      <c r="Z193" s="3162" t="s">
        <v>46</v>
      </c>
      <c r="AA193" s="3164" t="s">
        <v>46</v>
      </c>
      <c r="AB193" s="3164" t="s">
        <v>46</v>
      </c>
      <c r="AC193" s="3164" t="s">
        <v>46</v>
      </c>
      <c r="AD193" s="3164" t="s">
        <v>46</v>
      </c>
      <c r="AE193" s="3164"/>
      <c r="AF193" s="3164"/>
      <c r="AG193" s="3164" t="s">
        <v>46</v>
      </c>
      <c r="AH193" s="132"/>
      <c r="AI193" s="116"/>
    </row>
    <row r="194" spans="1:36" ht="18" customHeight="1" x14ac:dyDescent="0.25">
      <c r="A194" s="3898">
        <v>2</v>
      </c>
      <c r="B194" s="3931" t="s">
        <v>287</v>
      </c>
      <c r="C194" s="3366"/>
      <c r="D194" s="3366"/>
      <c r="E194" s="3366" t="s">
        <v>290</v>
      </c>
      <c r="F194" s="3366" t="s">
        <v>290</v>
      </c>
      <c r="G194" s="3366" t="s">
        <v>290</v>
      </c>
      <c r="H194" s="3366" t="s">
        <v>290</v>
      </c>
      <c r="I194" s="3366" t="s">
        <v>290</v>
      </c>
      <c r="J194" s="3366" t="s">
        <v>290</v>
      </c>
      <c r="K194" s="3366"/>
      <c r="L194" s="276" t="s">
        <v>288</v>
      </c>
      <c r="M194" s="276" t="s">
        <v>288</v>
      </c>
      <c r="N194" s="276" t="s">
        <v>288</v>
      </c>
      <c r="O194" s="276" t="s">
        <v>288</v>
      </c>
      <c r="P194" s="276" t="s">
        <v>50</v>
      </c>
      <c r="Q194" s="276"/>
      <c r="R194" s="360"/>
      <c r="S194" s="3366" t="s">
        <v>289</v>
      </c>
      <c r="T194" s="3366" t="s">
        <v>289</v>
      </c>
      <c r="U194" s="3366" t="s">
        <v>289</v>
      </c>
      <c r="V194" s="3366" t="s">
        <v>289</v>
      </c>
      <c r="W194" s="3366" t="s">
        <v>289</v>
      </c>
      <c r="X194" s="3366"/>
      <c r="Y194" s="3366"/>
      <c r="Z194" s="3366" t="s">
        <v>290</v>
      </c>
      <c r="AA194" s="3366" t="s">
        <v>290</v>
      </c>
      <c r="AB194" s="3366" t="s">
        <v>290</v>
      </c>
      <c r="AC194" s="3366" t="s">
        <v>290</v>
      </c>
      <c r="AD194" s="3366" t="s">
        <v>290</v>
      </c>
      <c r="AE194" s="3366" t="s">
        <v>290</v>
      </c>
      <c r="AF194" s="3366"/>
      <c r="AG194" s="3366" t="s">
        <v>288</v>
      </c>
      <c r="AH194" s="132"/>
      <c r="AI194" s="116"/>
    </row>
    <row r="195" spans="1:36" ht="18" customHeight="1" x14ac:dyDescent="0.2">
      <c r="A195" s="3898">
        <v>3</v>
      </c>
      <c r="B195" s="3932" t="s">
        <v>516</v>
      </c>
      <c r="C195" s="3366" t="s">
        <v>290</v>
      </c>
      <c r="D195" s="3366"/>
      <c r="E195" s="3366" t="s">
        <v>288</v>
      </c>
      <c r="F195" s="3366" t="s">
        <v>288</v>
      </c>
      <c r="G195" s="3366" t="s">
        <v>288</v>
      </c>
      <c r="H195" s="3366" t="s">
        <v>288</v>
      </c>
      <c r="I195" s="3366" t="s">
        <v>50</v>
      </c>
      <c r="J195" s="3366"/>
      <c r="K195" s="3366"/>
      <c r="L195" s="3366" t="s">
        <v>289</v>
      </c>
      <c r="M195" s="3366" t="s">
        <v>289</v>
      </c>
      <c r="N195" s="3366" t="s">
        <v>289</v>
      </c>
      <c r="O195" s="3366" t="s">
        <v>289</v>
      </c>
      <c r="P195" s="3366" t="s">
        <v>289</v>
      </c>
      <c r="Q195" s="3366"/>
      <c r="R195" s="3366"/>
      <c r="S195" s="3366" t="s">
        <v>290</v>
      </c>
      <c r="T195" s="3366" t="s">
        <v>290</v>
      </c>
      <c r="U195" s="3366" t="s">
        <v>290</v>
      </c>
      <c r="V195" s="3366" t="s">
        <v>290</v>
      </c>
      <c r="W195" s="3366" t="s">
        <v>290</v>
      </c>
      <c r="X195" s="3366" t="s">
        <v>290</v>
      </c>
      <c r="Y195" s="3366"/>
      <c r="Z195" s="3366" t="s">
        <v>288</v>
      </c>
      <c r="AA195" s="3366" t="s">
        <v>288</v>
      </c>
      <c r="AB195" s="3366" t="s">
        <v>288</v>
      </c>
      <c r="AC195" s="3366" t="s">
        <v>288</v>
      </c>
      <c r="AD195" s="3366" t="s">
        <v>50</v>
      </c>
      <c r="AE195" s="3366"/>
      <c r="AF195" s="3366"/>
      <c r="AG195" s="3366" t="s">
        <v>289</v>
      </c>
      <c r="AH195" s="132"/>
      <c r="AI195" s="116"/>
    </row>
    <row r="196" spans="1:36" ht="18" customHeight="1" x14ac:dyDescent="0.2">
      <c r="A196" s="3898">
        <v>4</v>
      </c>
      <c r="B196" s="3932" t="s">
        <v>517</v>
      </c>
      <c r="C196" s="3366"/>
      <c r="D196" s="3366"/>
      <c r="E196" s="3366"/>
      <c r="F196" s="3366"/>
      <c r="G196" s="3366"/>
      <c r="H196" s="3366"/>
      <c r="I196" s="3366"/>
      <c r="J196" s="3366"/>
      <c r="K196" s="3366"/>
      <c r="L196" s="3513"/>
      <c r="M196" s="3513"/>
      <c r="N196" s="3366"/>
      <c r="O196" s="3366"/>
      <c r="P196" s="3366"/>
      <c r="Q196" s="3366"/>
      <c r="R196" s="3366"/>
      <c r="S196" s="3366"/>
      <c r="T196" s="3366"/>
      <c r="U196" s="3366"/>
      <c r="V196" s="3366"/>
      <c r="W196" s="3366"/>
      <c r="X196" s="3366"/>
      <c r="Y196" s="3366"/>
      <c r="Z196" s="3366"/>
      <c r="AA196" s="3366"/>
      <c r="AB196" s="3366"/>
      <c r="AC196" s="3366"/>
      <c r="AD196" s="3366"/>
      <c r="AE196" s="3366"/>
      <c r="AF196" s="3366"/>
      <c r="AG196" s="3513"/>
      <c r="AH196" s="132"/>
      <c r="AI196" s="116"/>
    </row>
    <row r="197" spans="1:36" ht="18" customHeight="1" x14ac:dyDescent="0.2">
      <c r="A197" s="3898">
        <v>5</v>
      </c>
      <c r="B197" s="3932" t="s">
        <v>292</v>
      </c>
      <c r="C197" s="3366"/>
      <c r="D197" s="3366"/>
      <c r="E197" s="3366"/>
      <c r="F197" s="3366"/>
      <c r="G197" s="3366"/>
      <c r="H197" s="3366"/>
      <c r="I197" s="3366"/>
      <c r="J197" s="3366"/>
      <c r="K197" s="3513"/>
      <c r="L197" s="3366"/>
      <c r="M197" s="3366"/>
      <c r="N197" s="3366"/>
      <c r="O197" s="3366"/>
      <c r="P197" s="3366"/>
      <c r="Q197" s="3366"/>
      <c r="R197" s="3366"/>
      <c r="S197" s="3366"/>
      <c r="T197" s="3366"/>
      <c r="U197" s="3366"/>
      <c r="V197" s="3366"/>
      <c r="W197" s="3366"/>
      <c r="X197" s="3366"/>
      <c r="Y197" s="3366"/>
      <c r="Z197" s="3366"/>
      <c r="AA197" s="3366"/>
      <c r="AB197" s="3366"/>
      <c r="AC197" s="3366"/>
      <c r="AD197" s="3366"/>
      <c r="AE197" s="3366"/>
      <c r="AF197" s="3513"/>
      <c r="AG197" s="3366"/>
      <c r="AH197" s="132"/>
      <c r="AI197" s="116"/>
    </row>
    <row r="198" spans="1:36" ht="18" customHeight="1" x14ac:dyDescent="0.2">
      <c r="A198" s="3898">
        <v>6</v>
      </c>
      <c r="B198" s="3511" t="s">
        <v>293</v>
      </c>
      <c r="C198" s="3366"/>
      <c r="D198" s="3366"/>
      <c r="E198" s="3366" t="s">
        <v>46</v>
      </c>
      <c r="F198" s="3514" t="s">
        <v>46</v>
      </c>
      <c r="G198" s="3366" t="s">
        <v>46</v>
      </c>
      <c r="H198" s="3366" t="s">
        <v>46</v>
      </c>
      <c r="I198" s="3366" t="s">
        <v>46</v>
      </c>
      <c r="J198" s="3366"/>
      <c r="K198" s="3366"/>
      <c r="L198" s="3366" t="s">
        <v>46</v>
      </c>
      <c r="M198" s="3366" t="s">
        <v>46</v>
      </c>
      <c r="N198" s="3521" t="s">
        <v>46</v>
      </c>
      <c r="O198" s="3366" t="s">
        <v>46</v>
      </c>
      <c r="P198" s="3513" t="s">
        <v>46</v>
      </c>
      <c r="Q198" s="3513"/>
      <c r="R198" s="3513"/>
      <c r="S198" s="3513" t="s">
        <v>46</v>
      </c>
      <c r="T198" s="3366" t="s">
        <v>46</v>
      </c>
      <c r="U198" s="3366" t="s">
        <v>46</v>
      </c>
      <c r="V198" s="3514" t="s">
        <v>46</v>
      </c>
      <c r="W198" s="3366" t="s">
        <v>46</v>
      </c>
      <c r="X198" s="3366"/>
      <c r="Y198" s="3366"/>
      <c r="Z198" s="3366" t="s">
        <v>46</v>
      </c>
      <c r="AA198" s="3514" t="s">
        <v>46</v>
      </c>
      <c r="AB198" s="3366" t="s">
        <v>46</v>
      </c>
      <c r="AC198" s="3366" t="s">
        <v>46</v>
      </c>
      <c r="AD198" s="3366" t="s">
        <v>46</v>
      </c>
      <c r="AE198" s="3366"/>
      <c r="AF198" s="3366"/>
      <c r="AG198" s="3366" t="s">
        <v>46</v>
      </c>
      <c r="AH198" s="124"/>
      <c r="AI198" s="67"/>
    </row>
    <row r="199" spans="1:36" ht="18" customHeight="1" x14ac:dyDescent="0.2">
      <c r="A199" s="3903"/>
      <c r="B199" s="3531"/>
      <c r="C199" s="3534"/>
      <c r="D199" s="3534"/>
      <c r="E199" s="3534"/>
      <c r="F199" s="3534"/>
      <c r="G199" s="3534"/>
      <c r="H199" s="3534"/>
      <c r="I199" s="3534"/>
      <c r="J199" s="3534"/>
      <c r="K199" s="3534"/>
      <c r="L199" s="3534"/>
      <c r="M199" s="3534"/>
      <c r="N199" s="3534"/>
      <c r="O199" s="3534"/>
      <c r="P199" s="3534"/>
      <c r="Q199" s="3534"/>
      <c r="R199" s="3534"/>
      <c r="S199" s="3534"/>
      <c r="T199" s="3534"/>
      <c r="U199" s="3534"/>
      <c r="V199" s="3534"/>
      <c r="W199" s="3534"/>
      <c r="X199" s="3534"/>
      <c r="Y199" s="3534"/>
      <c r="Z199" s="3534"/>
      <c r="AA199" s="3534"/>
      <c r="AB199" s="3534"/>
      <c r="AC199" s="3534"/>
      <c r="AD199" s="3534"/>
      <c r="AE199" s="3534"/>
      <c r="AF199" s="3534"/>
      <c r="AG199" s="3534"/>
      <c r="AH199" s="67"/>
      <c r="AI199" s="67"/>
    </row>
    <row r="200" spans="1:36" ht="18" customHeight="1" x14ac:dyDescent="0.2">
      <c r="A200" s="129"/>
      <c r="B200" s="127"/>
      <c r="C200" s="128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28"/>
      <c r="AH200" s="67"/>
      <c r="AI200" s="67"/>
    </row>
    <row r="201" spans="1:36" ht="18" customHeight="1" x14ac:dyDescent="0.2">
      <c r="A201" s="129"/>
      <c r="B201" s="127"/>
      <c r="C201" s="128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28"/>
      <c r="AH201" s="67"/>
      <c r="AI201" s="67"/>
    </row>
    <row r="202" spans="1:36" ht="18" customHeight="1" x14ac:dyDescent="0.2">
      <c r="A202" s="97" t="s">
        <v>294</v>
      </c>
      <c r="B202" s="48"/>
      <c r="C202" s="66"/>
      <c r="D202" s="48"/>
      <c r="E202" s="48"/>
      <c r="F202" s="66"/>
      <c r="G202" s="48"/>
      <c r="H202" s="48"/>
      <c r="I202" s="66"/>
      <c r="J202" s="66"/>
      <c r="K202" s="48"/>
      <c r="L202" s="66"/>
      <c r="M202" s="48"/>
      <c r="N202" s="48"/>
      <c r="O202" s="66"/>
      <c r="P202" s="48"/>
      <c r="Q202" s="66"/>
      <c r="R202" s="66"/>
      <c r="S202" s="48"/>
      <c r="T202" s="48"/>
      <c r="U202" s="66"/>
      <c r="V202" s="48"/>
      <c r="W202" s="66"/>
      <c r="X202" s="66"/>
      <c r="Y202" s="48"/>
      <c r="Z202" s="48"/>
      <c r="AA202" s="48"/>
      <c r="AB202" s="48"/>
      <c r="AC202" s="48"/>
      <c r="AD202" s="48"/>
      <c r="AE202" s="66"/>
      <c r="AF202" s="48"/>
      <c r="AG202" s="48"/>
      <c r="AH202" s="67"/>
      <c r="AI202" s="67"/>
    </row>
    <row r="203" spans="1:36" ht="18" customHeight="1" x14ac:dyDescent="0.2">
      <c r="A203" s="69"/>
      <c r="B203" s="1509" t="s">
        <v>295</v>
      </c>
      <c r="C203" s="3933"/>
      <c r="D203" s="224" t="s">
        <v>17</v>
      </c>
      <c r="E203" s="225"/>
      <c r="F203" s="3934"/>
      <c r="G203" s="1511"/>
      <c r="H203" s="224" t="s">
        <v>18</v>
      </c>
      <c r="I203" s="225"/>
      <c r="J203" s="3934"/>
      <c r="K203" s="1511"/>
      <c r="L203" s="224" t="s">
        <v>19</v>
      </c>
      <c r="M203" s="225"/>
      <c r="N203" s="3934"/>
      <c r="O203" s="1511"/>
      <c r="P203" s="224" t="s">
        <v>20</v>
      </c>
      <c r="Q203" s="225"/>
      <c r="R203" s="3934"/>
      <c r="S203" s="1511"/>
      <c r="T203" s="224" t="s">
        <v>21</v>
      </c>
      <c r="U203" s="225"/>
      <c r="V203" s="3934"/>
      <c r="W203" s="1511"/>
      <c r="X203" s="224" t="s">
        <v>22</v>
      </c>
      <c r="Y203" s="225"/>
      <c r="Z203" s="3934"/>
      <c r="AA203" s="1511"/>
      <c r="AB203" s="224" t="s">
        <v>23</v>
      </c>
      <c r="AC203" s="225"/>
      <c r="AD203" s="225"/>
      <c r="AE203" s="1512" t="s">
        <v>126</v>
      </c>
      <c r="AF203" s="225"/>
      <c r="AG203" s="225"/>
      <c r="AH203" s="225"/>
      <c r="AI203" s="3935"/>
    </row>
    <row r="204" spans="1:36" ht="18" customHeight="1" x14ac:dyDescent="0.2">
      <c r="A204" s="69"/>
      <c r="B204" s="3936" t="s">
        <v>296</v>
      </c>
      <c r="C204" s="3937" t="s">
        <v>297</v>
      </c>
      <c r="D204" s="3938" t="s">
        <v>298</v>
      </c>
      <c r="E204" s="3939"/>
      <c r="F204" s="3940"/>
      <c r="G204" s="3941"/>
      <c r="H204" s="3942" t="s">
        <v>298</v>
      </c>
      <c r="I204" s="3943"/>
      <c r="J204" s="3940"/>
      <c r="K204" s="3941"/>
      <c r="L204" s="3942" t="s">
        <v>298</v>
      </c>
      <c r="M204" s="3943"/>
      <c r="N204" s="3940"/>
      <c r="O204" s="3941"/>
      <c r="P204" s="3942" t="s">
        <v>299</v>
      </c>
      <c r="Q204" s="3943"/>
      <c r="R204" s="3940"/>
      <c r="S204" s="3941"/>
      <c r="T204" s="3942" t="s">
        <v>300</v>
      </c>
      <c r="U204" s="3943"/>
      <c r="V204" s="3940"/>
      <c r="W204" s="3944"/>
      <c r="X204" s="3945"/>
      <c r="Y204" s="3945"/>
      <c r="Z204" s="3946"/>
      <c r="AA204" s="3944"/>
      <c r="AB204" s="3945"/>
      <c r="AC204" s="3945"/>
      <c r="AD204" s="3945"/>
      <c r="AE204" s="3944"/>
      <c r="AF204" s="3945"/>
      <c r="AG204" s="3945"/>
      <c r="AH204" s="3947"/>
      <c r="AI204" s="3948"/>
      <c r="AJ204" s="122"/>
    </row>
    <row r="205" spans="1:36" ht="18" customHeight="1" x14ac:dyDescent="0.2">
      <c r="A205" s="69"/>
      <c r="B205" s="3936" t="s">
        <v>301</v>
      </c>
      <c r="C205" s="3937" t="s">
        <v>174</v>
      </c>
      <c r="D205" s="3938" t="s">
        <v>298</v>
      </c>
      <c r="E205" s="3939"/>
      <c r="F205" s="3940"/>
      <c r="G205" s="3941"/>
      <c r="H205" s="3942" t="s">
        <v>298</v>
      </c>
      <c r="I205" s="3943"/>
      <c r="J205" s="3940"/>
      <c r="K205" s="3941"/>
      <c r="L205" s="3942" t="s">
        <v>302</v>
      </c>
      <c r="M205" s="3943"/>
      <c r="N205" s="3940"/>
      <c r="O205" s="3941"/>
      <c r="P205" s="3942" t="s">
        <v>303</v>
      </c>
      <c r="Q205" s="3943"/>
      <c r="R205" s="3940"/>
      <c r="S205" s="3941"/>
      <c r="T205" s="3942" t="s">
        <v>304</v>
      </c>
      <c r="U205" s="3943"/>
      <c r="V205" s="3940"/>
      <c r="W205" s="3944"/>
      <c r="X205" s="3945"/>
      <c r="Y205" s="3945"/>
      <c r="Z205" s="3946"/>
      <c r="AA205" s="3944"/>
      <c r="AB205" s="3945"/>
      <c r="AC205" s="3945"/>
      <c r="AD205" s="3945"/>
      <c r="AE205" s="3944"/>
      <c r="AF205" s="3945"/>
      <c r="AG205" s="3945"/>
      <c r="AH205" s="3947"/>
      <c r="AI205" s="3948"/>
      <c r="AJ205" s="122"/>
    </row>
    <row r="206" spans="1:36" ht="18" customHeight="1" x14ac:dyDescent="0.2">
      <c r="A206" s="69"/>
      <c r="B206" s="3936" t="s">
        <v>305</v>
      </c>
      <c r="C206" s="3937" t="s">
        <v>154</v>
      </c>
      <c r="D206" s="3938" t="s">
        <v>306</v>
      </c>
      <c r="E206" s="3939"/>
      <c r="F206" s="3940"/>
      <c r="G206" s="3941"/>
      <c r="H206" s="3938" t="s">
        <v>306</v>
      </c>
      <c r="I206" s="3943"/>
      <c r="J206" s="3940"/>
      <c r="K206" s="3941"/>
      <c r="L206" s="3938" t="s">
        <v>306</v>
      </c>
      <c r="M206" s="3943"/>
      <c r="N206" s="3940"/>
      <c r="O206" s="3941"/>
      <c r="P206" s="3942" t="s">
        <v>307</v>
      </c>
      <c r="Q206" s="3943"/>
      <c r="R206" s="3940"/>
      <c r="S206" s="3941"/>
      <c r="T206" s="3942" t="s">
        <v>304</v>
      </c>
      <c r="U206" s="3943"/>
      <c r="V206" s="3940"/>
      <c r="W206" s="3944"/>
      <c r="X206" s="3945"/>
      <c r="Y206" s="3945"/>
      <c r="Z206" s="3946"/>
      <c r="AA206" s="3944"/>
      <c r="AB206" s="3945"/>
      <c r="AC206" s="3945"/>
      <c r="AD206" s="3945"/>
      <c r="AE206" s="3944"/>
      <c r="AF206" s="3949"/>
      <c r="AG206" s="3949"/>
      <c r="AH206" s="3947"/>
      <c r="AI206" s="3948"/>
      <c r="AJ206" s="122"/>
    </row>
    <row r="207" spans="1:36" ht="18" customHeight="1" x14ac:dyDescent="0.2">
      <c r="A207" s="69"/>
      <c r="B207" s="3936" t="s">
        <v>308</v>
      </c>
      <c r="C207" s="3937" t="s">
        <v>309</v>
      </c>
      <c r="D207" s="3938" t="s">
        <v>310</v>
      </c>
      <c r="E207" s="3939"/>
      <c r="F207" s="3940"/>
      <c r="G207" s="3941"/>
      <c r="H207" s="3942" t="s">
        <v>298</v>
      </c>
      <c r="I207" s="3943"/>
      <c r="J207" s="3940"/>
      <c r="K207" s="3941"/>
      <c r="L207" s="3942" t="s">
        <v>298</v>
      </c>
      <c r="M207" s="3943"/>
      <c r="N207" s="3940"/>
      <c r="O207" s="3941"/>
      <c r="P207" s="3942" t="s">
        <v>311</v>
      </c>
      <c r="Q207" s="3943"/>
      <c r="R207" s="3940"/>
      <c r="S207" s="3941"/>
      <c r="T207" s="3942" t="s">
        <v>312</v>
      </c>
      <c r="U207" s="3943"/>
      <c r="V207" s="3940"/>
      <c r="W207" s="3944"/>
      <c r="X207" s="3945"/>
      <c r="Y207" s="3945"/>
      <c r="Z207" s="3946"/>
      <c r="AA207" s="3944"/>
      <c r="AB207" s="3945"/>
      <c r="AC207" s="3945"/>
      <c r="AD207" s="3945"/>
      <c r="AE207" s="3944"/>
      <c r="AF207" s="3945"/>
      <c r="AG207" s="3945"/>
      <c r="AH207" s="3947"/>
      <c r="AI207" s="3948"/>
      <c r="AJ207" s="122"/>
    </row>
    <row r="208" spans="1:36" ht="18" customHeight="1" x14ac:dyDescent="0.2">
      <c r="A208" s="69"/>
      <c r="B208" s="3950" t="s">
        <v>313</v>
      </c>
      <c r="C208" s="3937" t="s">
        <v>160</v>
      </c>
      <c r="D208" s="3938" t="s">
        <v>314</v>
      </c>
      <c r="E208" s="3939"/>
      <c r="F208" s="3951"/>
      <c r="G208" s="3952"/>
      <c r="H208" s="3938" t="s">
        <v>314</v>
      </c>
      <c r="I208" s="3953"/>
      <c r="J208" s="3951"/>
      <c r="K208" s="3952"/>
      <c r="L208" s="3938" t="s">
        <v>314</v>
      </c>
      <c r="M208" s="3953"/>
      <c r="N208" s="3951"/>
      <c r="O208" s="3952"/>
      <c r="P208" s="3942" t="s">
        <v>315</v>
      </c>
      <c r="Q208" s="3953"/>
      <c r="R208" s="3951"/>
      <c r="S208" s="3952"/>
      <c r="T208" s="3942" t="s">
        <v>304</v>
      </c>
      <c r="U208" s="3953"/>
      <c r="V208" s="3851"/>
      <c r="W208" s="3954"/>
      <c r="X208" s="1638"/>
      <c r="Y208" s="1638"/>
      <c r="Z208" s="1008"/>
      <c r="AA208" s="3954"/>
      <c r="AB208" s="1638"/>
      <c r="AC208" s="1638"/>
      <c r="AD208" s="1638"/>
      <c r="AE208" s="3954"/>
      <c r="AF208" s="1638"/>
      <c r="AG208" s="1638"/>
      <c r="AH208" s="1524"/>
      <c r="AI208" s="1002"/>
      <c r="AJ208" s="122"/>
    </row>
    <row r="209" spans="1:36" ht="18" customHeight="1" x14ac:dyDescent="0.2">
      <c r="A209" s="69"/>
      <c r="B209" s="3936" t="s">
        <v>316</v>
      </c>
      <c r="C209" s="3937" t="s">
        <v>168</v>
      </c>
      <c r="D209" s="3938" t="s">
        <v>317</v>
      </c>
      <c r="E209" s="3939"/>
      <c r="F209" s="3940"/>
      <c r="G209" s="3941"/>
      <c r="H209" s="3938" t="s">
        <v>317</v>
      </c>
      <c r="I209" s="3943"/>
      <c r="J209" s="3940"/>
      <c r="K209" s="3941"/>
      <c r="L209" s="3938" t="s">
        <v>317</v>
      </c>
      <c r="M209" s="3943"/>
      <c r="N209" s="3940"/>
      <c r="O209" s="3941"/>
      <c r="P209" s="3942" t="s">
        <v>318</v>
      </c>
      <c r="Q209" s="3943"/>
      <c r="R209" s="3940"/>
      <c r="S209" s="3941"/>
      <c r="T209" s="3942" t="s">
        <v>304</v>
      </c>
      <c r="U209" s="3943"/>
      <c r="V209" s="3940"/>
      <c r="W209" s="3944"/>
      <c r="X209" s="3945"/>
      <c r="Y209" s="3945"/>
      <c r="Z209" s="3774"/>
      <c r="AA209" s="3944"/>
      <c r="AB209" s="3945"/>
      <c r="AC209" s="3945"/>
      <c r="AD209" s="3945"/>
      <c r="AE209" s="3944"/>
      <c r="AF209" s="3945"/>
      <c r="AG209" s="3945"/>
      <c r="AH209" s="3947"/>
      <c r="AI209" s="3948"/>
      <c r="AJ209" s="122"/>
    </row>
    <row r="210" spans="1:36" ht="18" customHeight="1" x14ac:dyDescent="0.2">
      <c r="A210" s="69"/>
      <c r="B210" s="3936" t="s">
        <v>319</v>
      </c>
      <c r="C210" s="3937" t="s">
        <v>158</v>
      </c>
      <c r="D210" s="3938" t="s">
        <v>320</v>
      </c>
      <c r="E210" s="3939"/>
      <c r="F210" s="3940"/>
      <c r="G210" s="3941"/>
      <c r="H210" s="3942" t="s">
        <v>320</v>
      </c>
      <c r="I210" s="3943"/>
      <c r="J210" s="3940"/>
      <c r="K210" s="3941"/>
      <c r="L210" s="3942" t="s">
        <v>320</v>
      </c>
      <c r="M210" s="3943"/>
      <c r="N210" s="3943"/>
      <c r="O210" s="3941"/>
      <c r="P210" s="3942" t="s">
        <v>320</v>
      </c>
      <c r="Q210" s="3943"/>
      <c r="R210" s="3943"/>
      <c r="S210" s="3941"/>
      <c r="T210" s="3942" t="s">
        <v>304</v>
      </c>
      <c r="U210" s="3943"/>
      <c r="V210" s="3940"/>
      <c r="W210" s="3936"/>
      <c r="X210" s="3945"/>
      <c r="Y210" s="3945"/>
      <c r="Z210" s="3774"/>
      <c r="AA210" s="3944"/>
      <c r="AB210" s="3945"/>
      <c r="AC210" s="3945"/>
      <c r="AD210" s="3945"/>
      <c r="AE210" s="3944"/>
      <c r="AF210" s="3945"/>
      <c r="AG210" s="3945"/>
      <c r="AH210" s="3947"/>
      <c r="AI210" s="3948"/>
      <c r="AJ210" s="122"/>
    </row>
    <row r="211" spans="1:36" ht="18" customHeight="1" x14ac:dyDescent="0.2">
      <c r="A211" s="69"/>
      <c r="B211" s="3936" t="s">
        <v>321</v>
      </c>
      <c r="C211" s="3937" t="s">
        <v>322</v>
      </c>
      <c r="D211" s="3938" t="s">
        <v>320</v>
      </c>
      <c r="E211" s="3939"/>
      <c r="F211" s="3940"/>
      <c r="G211" s="3941"/>
      <c r="H211" s="3942" t="s">
        <v>320</v>
      </c>
      <c r="I211" s="3943"/>
      <c r="J211" s="3940"/>
      <c r="K211" s="3941"/>
      <c r="L211" s="3942" t="s">
        <v>320</v>
      </c>
      <c r="M211" s="3943"/>
      <c r="N211" s="3943"/>
      <c r="O211" s="3941"/>
      <c r="P211" s="3942" t="s">
        <v>320</v>
      </c>
      <c r="Q211" s="3943"/>
      <c r="R211" s="3943"/>
      <c r="S211" s="3941"/>
      <c r="T211" s="3942" t="s">
        <v>304</v>
      </c>
      <c r="U211" s="3943"/>
      <c r="V211" s="3940"/>
      <c r="W211" s="3936"/>
      <c r="X211" s="3945"/>
      <c r="Y211" s="3945"/>
      <c r="Z211" s="3946"/>
      <c r="AA211" s="3955"/>
      <c r="AB211" s="3945"/>
      <c r="AC211" s="3945"/>
      <c r="AD211" s="3945"/>
      <c r="AE211" s="3944"/>
      <c r="AF211" s="3945"/>
      <c r="AG211" s="3945"/>
      <c r="AH211" s="3947"/>
      <c r="AI211" s="3948"/>
      <c r="AJ211" s="122"/>
    </row>
    <row r="212" spans="1:36" ht="18" customHeight="1" x14ac:dyDescent="0.2">
      <c r="A212" s="69"/>
      <c r="B212" s="3769" t="s">
        <v>465</v>
      </c>
      <c r="C212" s="3937" t="s">
        <v>451</v>
      </c>
      <c r="D212" s="3938" t="s">
        <v>320</v>
      </c>
      <c r="E212" s="3939"/>
      <c r="F212" s="3940"/>
      <c r="G212" s="3941"/>
      <c r="H212" s="3942" t="s">
        <v>320</v>
      </c>
      <c r="I212" s="3943"/>
      <c r="J212" s="3940"/>
      <c r="K212" s="3941"/>
      <c r="L212" s="3942" t="s">
        <v>320</v>
      </c>
      <c r="M212" s="3943"/>
      <c r="N212" s="3943"/>
      <c r="O212" s="3941"/>
      <c r="P212" s="3942" t="s">
        <v>320</v>
      </c>
      <c r="Q212" s="3943"/>
      <c r="R212" s="3943"/>
      <c r="S212" s="3941"/>
      <c r="T212" s="3942" t="s">
        <v>304</v>
      </c>
      <c r="U212" s="3943"/>
      <c r="V212" s="3940"/>
      <c r="AA212" s="122"/>
      <c r="AE212" s="122"/>
      <c r="AH212" s="67"/>
      <c r="AI212" s="67"/>
    </row>
    <row r="213" spans="1:36" ht="18" customHeight="1" x14ac:dyDescent="0.2">
      <c r="A213" s="69"/>
      <c r="B213" t="s">
        <v>323</v>
      </c>
      <c r="C213" s="122"/>
      <c r="F213" s="122"/>
      <c r="I213" s="122"/>
      <c r="J213" s="122"/>
      <c r="L213" s="122"/>
      <c r="O213" s="122"/>
      <c r="Q213" s="122"/>
      <c r="R213" s="122"/>
      <c r="U213" s="122"/>
      <c r="W213" s="122"/>
      <c r="X213" s="122"/>
      <c r="AE213" s="122"/>
      <c r="AH213" s="67"/>
      <c r="AI213" s="67"/>
      <c r="AJ213" s="123"/>
    </row>
    <row r="214" spans="1:36" ht="18" customHeight="1" x14ac:dyDescent="0.2">
      <c r="A214" s="69"/>
      <c r="B214" s="1509" t="s">
        <v>295</v>
      </c>
      <c r="C214" s="3956"/>
      <c r="D214" s="224" t="s">
        <v>17</v>
      </c>
      <c r="E214" s="225"/>
      <c r="F214" s="3934"/>
      <c r="G214" s="1511"/>
      <c r="H214" s="224" t="s">
        <v>18</v>
      </c>
      <c r="I214" s="225"/>
      <c r="J214" s="3934"/>
      <c r="K214" s="1511"/>
      <c r="L214" s="224" t="s">
        <v>19</v>
      </c>
      <c r="M214" s="225"/>
      <c r="N214" s="3934"/>
      <c r="O214" s="1511"/>
      <c r="P214" s="224" t="s">
        <v>20</v>
      </c>
      <c r="Q214" s="225"/>
      <c r="R214" s="3934"/>
      <c r="S214" s="1511"/>
      <c r="T214" s="224" t="s">
        <v>21</v>
      </c>
      <c r="U214" s="225"/>
      <c r="V214" s="3934"/>
      <c r="W214" s="1511"/>
      <c r="X214" s="224" t="s">
        <v>22</v>
      </c>
      <c r="Y214" s="225"/>
      <c r="Z214" s="3934"/>
      <c r="AA214" s="1511"/>
      <c r="AB214" s="224" t="s">
        <v>23</v>
      </c>
      <c r="AC214" s="225"/>
      <c r="AD214" s="225"/>
      <c r="AE214" s="1512" t="s">
        <v>126</v>
      </c>
      <c r="AF214" s="225"/>
      <c r="AG214" s="225"/>
      <c r="AH214" s="225"/>
      <c r="AI214" s="3935"/>
      <c r="AJ214" s="123"/>
    </row>
    <row r="215" spans="1:36" ht="18" customHeight="1" x14ac:dyDescent="0.2">
      <c r="A215" s="69"/>
      <c r="B215" s="3936" t="s">
        <v>296</v>
      </c>
      <c r="C215" s="3937" t="s">
        <v>297</v>
      </c>
      <c r="D215" s="3938" t="s">
        <v>324</v>
      </c>
      <c r="E215" s="3939"/>
      <c r="F215" s="3940"/>
      <c r="G215" s="3941"/>
      <c r="H215" s="3938" t="s">
        <v>324</v>
      </c>
      <c r="I215" s="3943"/>
      <c r="J215" s="3940"/>
      <c r="K215" s="3941"/>
      <c r="L215" s="3938" t="s">
        <v>324</v>
      </c>
      <c r="M215" s="3943"/>
      <c r="N215" s="3940"/>
      <c r="O215" s="3941"/>
      <c r="P215" s="3942" t="s">
        <v>325</v>
      </c>
      <c r="Q215" s="3943"/>
      <c r="R215" s="3940"/>
      <c r="S215" s="3941"/>
      <c r="T215" s="3942" t="s">
        <v>326</v>
      </c>
      <c r="U215" s="3943"/>
      <c r="V215" s="3940"/>
      <c r="W215" s="3957"/>
      <c r="X215" s="3774"/>
      <c r="Y215" s="3774"/>
      <c r="Z215" s="3851"/>
      <c r="AA215" s="3957"/>
      <c r="AB215" s="3774"/>
      <c r="AC215" s="3774"/>
      <c r="AD215" s="3774"/>
      <c r="AE215" s="3957"/>
      <c r="AF215" s="3774"/>
      <c r="AG215" s="3774"/>
      <c r="AH215" s="3947"/>
      <c r="AI215" s="3948"/>
      <c r="AJ215" s="123"/>
    </row>
    <row r="216" spans="1:36" ht="18" customHeight="1" x14ac:dyDescent="0.2">
      <c r="A216" s="69"/>
      <c r="B216" s="3936" t="s">
        <v>301</v>
      </c>
      <c r="C216" s="3937" t="s">
        <v>174</v>
      </c>
      <c r="D216" s="3938" t="s">
        <v>324</v>
      </c>
      <c r="E216" s="3939"/>
      <c r="F216" s="3940"/>
      <c r="G216" s="3941"/>
      <c r="H216" s="3938" t="s">
        <v>324</v>
      </c>
      <c r="I216" s="3943"/>
      <c r="J216" s="3940"/>
      <c r="K216" s="3941"/>
      <c r="L216" s="3942" t="s">
        <v>302</v>
      </c>
      <c r="M216" s="3943"/>
      <c r="N216" s="3940"/>
      <c r="O216" s="3941"/>
      <c r="P216" s="3942" t="s">
        <v>327</v>
      </c>
      <c r="Q216" s="3943"/>
      <c r="R216" s="3940"/>
      <c r="S216" s="3941"/>
      <c r="T216" s="3942" t="s">
        <v>328</v>
      </c>
      <c r="U216" s="3943"/>
      <c r="V216" s="3940"/>
      <c r="W216" s="3957"/>
      <c r="X216" s="3774"/>
      <c r="Y216" s="3774"/>
      <c r="Z216" s="3851"/>
      <c r="AA216" s="3957"/>
      <c r="AB216" s="3774"/>
      <c r="AC216" s="3774"/>
      <c r="AD216" s="3774"/>
      <c r="AE216" s="3957"/>
      <c r="AF216" s="3774"/>
      <c r="AG216" s="3774"/>
      <c r="AH216" s="3947"/>
      <c r="AI216" s="3948"/>
      <c r="AJ216" s="123"/>
    </row>
    <row r="217" spans="1:36" ht="18" customHeight="1" x14ac:dyDescent="0.2">
      <c r="A217" s="69"/>
      <c r="B217" s="3936" t="s">
        <v>305</v>
      </c>
      <c r="C217" s="3937" t="s">
        <v>154</v>
      </c>
      <c r="D217" s="3938" t="s">
        <v>324</v>
      </c>
      <c r="E217" s="3939"/>
      <c r="F217" s="3940"/>
      <c r="G217" s="3941"/>
      <c r="H217" s="3938" t="s">
        <v>324</v>
      </c>
      <c r="I217" s="3943"/>
      <c r="J217" s="3940"/>
      <c r="K217" s="3941"/>
      <c r="L217" s="3938" t="s">
        <v>324</v>
      </c>
      <c r="M217" s="3943"/>
      <c r="N217" s="3940"/>
      <c r="O217" s="3941"/>
      <c r="P217" s="3942" t="s">
        <v>329</v>
      </c>
      <c r="Q217" s="3943"/>
      <c r="R217" s="3940"/>
      <c r="S217" s="3941"/>
      <c r="T217" s="3942" t="s">
        <v>328</v>
      </c>
      <c r="U217" s="3943"/>
      <c r="V217" s="3940"/>
      <c r="W217" s="3957"/>
      <c r="X217" s="3774"/>
      <c r="Y217" s="3774"/>
      <c r="Z217" s="3851"/>
      <c r="AA217" s="3957"/>
      <c r="AB217" s="3774"/>
      <c r="AC217" s="3774"/>
      <c r="AD217" s="3774"/>
      <c r="AE217" s="3957"/>
      <c r="AF217" s="3774"/>
      <c r="AG217" s="3774"/>
      <c r="AH217" s="3947"/>
      <c r="AI217" s="3948"/>
      <c r="AJ217" s="123"/>
    </row>
    <row r="218" spans="1:36" ht="18" customHeight="1" x14ac:dyDescent="0.2">
      <c r="A218" s="69"/>
      <c r="B218" s="3936" t="s">
        <v>308</v>
      </c>
      <c r="C218" s="3937" t="s">
        <v>309</v>
      </c>
      <c r="D218" s="3938" t="s">
        <v>330</v>
      </c>
      <c r="E218" s="3939"/>
      <c r="F218" s="3940"/>
      <c r="G218" s="3941"/>
      <c r="H218" s="3938" t="s">
        <v>330</v>
      </c>
      <c r="I218" s="3943"/>
      <c r="J218" s="3940"/>
      <c r="K218" s="3941"/>
      <c r="L218" s="3938" t="s">
        <v>314</v>
      </c>
      <c r="M218" s="3943"/>
      <c r="N218" s="3940"/>
      <c r="O218" s="3941"/>
      <c r="P218" s="3942" t="s">
        <v>331</v>
      </c>
      <c r="Q218" s="3943"/>
      <c r="R218" s="3940"/>
      <c r="S218" s="3941"/>
      <c r="T218" s="3942" t="s">
        <v>326</v>
      </c>
      <c r="U218" s="3943"/>
      <c r="V218" s="3940"/>
      <c r="W218" s="3957"/>
      <c r="X218" s="3774"/>
      <c r="Y218" s="3774"/>
      <c r="Z218" s="3851"/>
      <c r="AA218" s="3957"/>
      <c r="AB218" s="3774"/>
      <c r="AC218" s="3774"/>
      <c r="AD218" s="3774"/>
      <c r="AE218" s="3957"/>
      <c r="AF218" s="3774"/>
      <c r="AG218" s="3774"/>
      <c r="AH218" s="3947"/>
      <c r="AI218" s="3948"/>
      <c r="AJ218" s="123"/>
    </row>
    <row r="219" spans="1:36" ht="18" customHeight="1" x14ac:dyDescent="0.2">
      <c r="A219" s="69"/>
      <c r="B219" s="3950" t="s">
        <v>313</v>
      </c>
      <c r="C219" s="3937" t="s">
        <v>160</v>
      </c>
      <c r="D219" s="3938" t="s">
        <v>324</v>
      </c>
      <c r="E219" s="3939"/>
      <c r="F219" s="3940"/>
      <c r="G219" s="3941"/>
      <c r="H219" s="3938" t="s">
        <v>324</v>
      </c>
      <c r="I219" s="3943"/>
      <c r="J219" s="3940"/>
      <c r="K219" s="3941"/>
      <c r="L219" s="3938" t="s">
        <v>324</v>
      </c>
      <c r="M219" s="3943"/>
      <c r="N219" s="3940"/>
      <c r="O219" s="3941"/>
      <c r="P219" s="3942" t="s">
        <v>329</v>
      </c>
      <c r="Q219" s="3943"/>
      <c r="R219" s="3940"/>
      <c r="S219" s="3941"/>
      <c r="T219" s="3942" t="s">
        <v>328</v>
      </c>
      <c r="U219" s="3943"/>
      <c r="V219" s="3940"/>
      <c r="W219" s="3954"/>
      <c r="X219" s="1638"/>
      <c r="Y219" s="1638"/>
      <c r="Z219" s="1008"/>
      <c r="AA219" s="3954"/>
      <c r="AB219" s="1638"/>
      <c r="AC219" s="1638"/>
      <c r="AD219" s="1638"/>
      <c r="AE219" s="3954"/>
      <c r="AF219" s="1638"/>
      <c r="AG219" s="1638"/>
      <c r="AH219" s="1524"/>
      <c r="AI219" s="1002"/>
      <c r="AJ219" s="123"/>
    </row>
    <row r="220" spans="1:36" ht="18" customHeight="1" x14ac:dyDescent="0.2">
      <c r="A220" s="69"/>
      <c r="B220" s="3936" t="s">
        <v>316</v>
      </c>
      <c r="C220" s="3937" t="s">
        <v>168</v>
      </c>
      <c r="D220" s="3938" t="s">
        <v>324</v>
      </c>
      <c r="E220" s="3939"/>
      <c r="F220" s="3940"/>
      <c r="G220" s="3941"/>
      <c r="H220" s="3938" t="s">
        <v>324</v>
      </c>
      <c r="I220" s="3943"/>
      <c r="J220" s="3940"/>
      <c r="K220" s="3941"/>
      <c r="L220" s="3938" t="s">
        <v>324</v>
      </c>
      <c r="M220" s="3943"/>
      <c r="N220" s="3940"/>
      <c r="O220" s="3941"/>
      <c r="P220" s="3942" t="s">
        <v>325</v>
      </c>
      <c r="Q220" s="3943"/>
      <c r="R220" s="3940"/>
      <c r="S220" s="3941"/>
      <c r="T220" s="3942" t="s">
        <v>326</v>
      </c>
      <c r="U220" s="3943"/>
      <c r="V220" s="3940"/>
      <c r="W220" s="3957"/>
      <c r="X220" s="3774"/>
      <c r="Y220" s="3774"/>
      <c r="Z220" s="3774"/>
      <c r="AA220" s="3957"/>
      <c r="AB220" s="3774"/>
      <c r="AC220" s="3774"/>
      <c r="AD220" s="3774"/>
      <c r="AE220" s="3957"/>
      <c r="AF220" s="3774"/>
      <c r="AG220" s="3774"/>
      <c r="AH220" s="3947"/>
      <c r="AI220" s="3948"/>
      <c r="AJ220" s="123"/>
    </row>
    <row r="221" spans="1:36" ht="18" customHeight="1" x14ac:dyDescent="0.2">
      <c r="A221" s="69"/>
      <c r="B221" s="3936" t="s">
        <v>321</v>
      </c>
      <c r="C221" s="3937" t="s">
        <v>322</v>
      </c>
      <c r="D221" s="3938" t="s">
        <v>320</v>
      </c>
      <c r="E221" s="3939"/>
      <c r="F221" s="3940"/>
      <c r="G221" s="3941"/>
      <c r="H221" s="3942" t="s">
        <v>320</v>
      </c>
      <c r="I221" s="3943"/>
      <c r="J221" s="3940"/>
      <c r="K221" s="3941"/>
      <c r="L221" s="3942" t="s">
        <v>320</v>
      </c>
      <c r="M221" s="3943"/>
      <c r="N221" s="3943"/>
      <c r="O221" s="3941"/>
      <c r="P221" s="3942" t="s">
        <v>320</v>
      </c>
      <c r="Q221" s="3943"/>
      <c r="R221" s="3943"/>
      <c r="S221" s="3941"/>
      <c r="T221" s="3942" t="s">
        <v>304</v>
      </c>
      <c r="U221" s="3943"/>
      <c r="V221" s="3940"/>
      <c r="W221" s="3936"/>
      <c r="X221" s="3774"/>
      <c r="Y221" s="3774"/>
      <c r="Z221" s="3851"/>
      <c r="AA221" s="3955"/>
      <c r="AB221" s="3774"/>
      <c r="AC221" s="3774"/>
      <c r="AD221" s="3774"/>
      <c r="AE221" s="3957"/>
      <c r="AF221" s="3774"/>
      <c r="AG221" s="3774"/>
      <c r="AH221" s="3947"/>
      <c r="AI221" s="3948"/>
      <c r="AJ221" s="123"/>
    </row>
    <row r="222" spans="1:36" ht="18" customHeight="1" x14ac:dyDescent="0.2">
      <c r="A222" s="69"/>
      <c r="B222" s="3769" t="s">
        <v>465</v>
      </c>
      <c r="C222" s="3937" t="s">
        <v>451</v>
      </c>
      <c r="D222" s="3938" t="s">
        <v>320</v>
      </c>
      <c r="E222" s="3939"/>
      <c r="F222" s="3940"/>
      <c r="G222" s="3941"/>
      <c r="H222" s="3942" t="s">
        <v>320</v>
      </c>
      <c r="I222" s="3943"/>
      <c r="J222" s="3940"/>
      <c r="K222" s="3941"/>
      <c r="L222" s="3942" t="s">
        <v>320</v>
      </c>
      <c r="M222" s="3943"/>
      <c r="N222" s="3943"/>
      <c r="O222" s="3941"/>
      <c r="P222" s="3942" t="s">
        <v>320</v>
      </c>
      <c r="Q222" s="3943"/>
      <c r="R222" s="3943"/>
      <c r="S222" s="3941"/>
      <c r="T222" s="3942" t="s">
        <v>304</v>
      </c>
      <c r="U222" s="3943"/>
      <c r="V222" s="3940"/>
      <c r="W222" s="3769"/>
      <c r="X222" s="3774"/>
      <c r="Y222" s="3774"/>
      <c r="Z222" s="3851"/>
      <c r="AA222" s="3955"/>
      <c r="AB222" s="3774"/>
      <c r="AC222" s="3774"/>
      <c r="AD222" s="3774"/>
      <c r="AE222" s="3957"/>
      <c r="AF222" s="3774"/>
      <c r="AG222" s="3774"/>
      <c r="AH222" s="3947"/>
      <c r="AI222" s="3948"/>
      <c r="AJ222" s="123"/>
    </row>
    <row r="223" spans="1:36" ht="18" customHeight="1" thickBot="1" x14ac:dyDescent="0.25">
      <c r="A223" s="69"/>
      <c r="B223" s="133"/>
      <c r="C223" s="134"/>
      <c r="D223" s="135"/>
      <c r="E223" s="136"/>
      <c r="F223" s="136"/>
      <c r="G223" s="137"/>
      <c r="H223" s="135"/>
      <c r="I223" s="136"/>
      <c r="J223" s="136"/>
      <c r="K223" s="137"/>
      <c r="L223" s="135"/>
      <c r="M223" s="136"/>
      <c r="N223" s="136"/>
      <c r="O223" s="137"/>
      <c r="P223" s="127"/>
      <c r="Q223" s="136"/>
      <c r="R223" s="136"/>
      <c r="S223" s="137"/>
      <c r="T223" s="127"/>
      <c r="U223" s="136"/>
      <c r="V223" s="136"/>
      <c r="W223" s="136"/>
      <c r="X223" s="136"/>
      <c r="Y223" s="136"/>
      <c r="Z223" s="136"/>
      <c r="AA223" s="137"/>
      <c r="AB223" s="136"/>
      <c r="AC223" s="136"/>
      <c r="AD223" s="136"/>
      <c r="AE223" s="137"/>
      <c r="AF223" s="136"/>
      <c r="AG223" s="136"/>
      <c r="AH223" s="124"/>
      <c r="AI223" s="124"/>
      <c r="AJ223" s="123"/>
    </row>
    <row r="224" spans="1:36" ht="18" customHeight="1" x14ac:dyDescent="0.2">
      <c r="A224" s="96"/>
      <c r="B224" s="3958" t="s">
        <v>44</v>
      </c>
      <c r="C224" s="2707">
        <v>1</v>
      </c>
      <c r="D224" s="2707">
        <v>2</v>
      </c>
      <c r="E224" s="2706">
        <v>3</v>
      </c>
      <c r="F224" s="2706">
        <v>4</v>
      </c>
      <c r="G224" s="2706">
        <v>5</v>
      </c>
      <c r="H224" s="2706">
        <v>6</v>
      </c>
      <c r="I224" s="2706">
        <v>7</v>
      </c>
      <c r="J224" s="2707">
        <v>8</v>
      </c>
      <c r="K224" s="2707">
        <v>9</v>
      </c>
      <c r="L224" s="2706">
        <v>10</v>
      </c>
      <c r="M224" s="2706">
        <v>11</v>
      </c>
      <c r="N224" s="2706">
        <v>12</v>
      </c>
      <c r="O224" s="2706">
        <v>13</v>
      </c>
      <c r="P224" s="2706">
        <v>14</v>
      </c>
      <c r="Q224" s="2707">
        <v>15</v>
      </c>
      <c r="R224" s="2707">
        <v>16</v>
      </c>
      <c r="S224" s="2706">
        <v>17</v>
      </c>
      <c r="T224" s="2706">
        <v>18</v>
      </c>
      <c r="U224" s="2706">
        <v>19</v>
      </c>
      <c r="V224" s="2706">
        <v>20</v>
      </c>
      <c r="W224" s="2706">
        <v>21</v>
      </c>
      <c r="X224" s="2707">
        <v>22</v>
      </c>
      <c r="Y224" s="2707">
        <v>23</v>
      </c>
      <c r="Z224" s="2706">
        <v>24</v>
      </c>
      <c r="AA224" s="2706">
        <v>25</v>
      </c>
      <c r="AB224" s="2706">
        <v>26</v>
      </c>
      <c r="AC224" s="2706">
        <v>27</v>
      </c>
      <c r="AD224" s="2706">
        <v>28</v>
      </c>
      <c r="AE224" s="2707">
        <v>29</v>
      </c>
      <c r="AF224" s="2707">
        <v>30</v>
      </c>
      <c r="AG224" s="2706">
        <v>31</v>
      </c>
      <c r="AH224" s="117"/>
      <c r="AI224" s="111"/>
    </row>
    <row r="225" spans="1:37" ht="18" customHeight="1" x14ac:dyDescent="0.2">
      <c r="A225" s="69"/>
      <c r="B225" s="3804" t="s">
        <v>453</v>
      </c>
      <c r="C225" s="3829"/>
      <c r="D225" s="3829"/>
      <c r="E225" s="3829" t="s">
        <v>297</v>
      </c>
      <c r="F225" s="3829" t="s">
        <v>297</v>
      </c>
      <c r="G225" s="3829" t="s">
        <v>297</v>
      </c>
      <c r="H225" s="3829" t="s">
        <v>297</v>
      </c>
      <c r="I225" s="3829" t="s">
        <v>297</v>
      </c>
      <c r="J225" s="3829"/>
      <c r="K225" s="3829"/>
      <c r="L225" s="3829" t="s">
        <v>297</v>
      </c>
      <c r="M225" s="3829" t="s">
        <v>297</v>
      </c>
      <c r="N225" s="3829" t="s">
        <v>297</v>
      </c>
      <c r="O225" s="3829" t="s">
        <v>297</v>
      </c>
      <c r="P225" s="3829" t="s">
        <v>297</v>
      </c>
      <c r="Q225" s="3829"/>
      <c r="R225" s="3829"/>
      <c r="S225" s="3829" t="s">
        <v>297</v>
      </c>
      <c r="T225" s="3920" t="s">
        <v>297</v>
      </c>
      <c r="U225" s="3920" t="s">
        <v>297</v>
      </c>
      <c r="V225" s="3829" t="s">
        <v>297</v>
      </c>
      <c r="W225" s="3829" t="s">
        <v>297</v>
      </c>
      <c r="X225" s="3829"/>
      <c r="Y225" s="3829"/>
      <c r="Z225" s="3829" t="s">
        <v>297</v>
      </c>
      <c r="AA225" s="3829" t="s">
        <v>297</v>
      </c>
      <c r="AB225" s="3829" t="s">
        <v>297</v>
      </c>
      <c r="AC225" s="3829" t="s">
        <v>297</v>
      </c>
      <c r="AD225" s="3829" t="s">
        <v>297</v>
      </c>
      <c r="AE225" s="3829"/>
      <c r="AF225" s="3829"/>
      <c r="AG225" s="3829" t="s">
        <v>297</v>
      </c>
      <c r="AH225" s="116"/>
      <c r="AI225" s="116"/>
    </row>
    <row r="226" spans="1:37" ht="18" customHeight="1" x14ac:dyDescent="0.2">
      <c r="A226" s="69"/>
      <c r="B226" s="3959" t="s">
        <v>333</v>
      </c>
      <c r="C226" s="3869"/>
      <c r="D226" s="3869"/>
      <c r="E226" s="3869" t="s">
        <v>174</v>
      </c>
      <c r="F226" s="3869" t="s">
        <v>174</v>
      </c>
      <c r="G226" s="3869" t="s">
        <v>174</v>
      </c>
      <c r="H226" s="3869" t="s">
        <v>174</v>
      </c>
      <c r="I226" s="3869" t="s">
        <v>174</v>
      </c>
      <c r="J226" s="3869"/>
      <c r="K226" s="3869"/>
      <c r="L226" s="3869" t="s">
        <v>174</v>
      </c>
      <c r="M226" s="3869" t="s">
        <v>174</v>
      </c>
      <c r="N226" s="3869" t="s">
        <v>174</v>
      </c>
      <c r="O226" s="3869" t="s">
        <v>174</v>
      </c>
      <c r="P226" s="3869" t="s">
        <v>174</v>
      </c>
      <c r="Q226" s="3869"/>
      <c r="R226" s="3869"/>
      <c r="S226" s="3960" t="s">
        <v>174</v>
      </c>
      <c r="T226" s="3960" t="s">
        <v>174</v>
      </c>
      <c r="U226" s="3960" t="s">
        <v>174</v>
      </c>
      <c r="V226" s="3960" t="s">
        <v>174</v>
      </c>
      <c r="W226" s="3960" t="s">
        <v>174</v>
      </c>
      <c r="X226" s="3829"/>
      <c r="Y226" s="3829"/>
      <c r="Z226" s="3829" t="s">
        <v>174</v>
      </c>
      <c r="AA226" s="3829" t="s">
        <v>174</v>
      </c>
      <c r="AB226" s="3869" t="s">
        <v>559</v>
      </c>
      <c r="AC226" s="3961" t="s">
        <v>174</v>
      </c>
      <c r="AD226" s="3961" t="s">
        <v>174</v>
      </c>
      <c r="AE226" s="3829"/>
      <c r="AF226" s="3829"/>
      <c r="AG226" s="3829" t="s">
        <v>174</v>
      </c>
      <c r="AH226" s="116"/>
      <c r="AI226" s="116"/>
    </row>
    <row r="227" spans="1:37" ht="18" customHeight="1" x14ac:dyDescent="0.2">
      <c r="A227" s="69"/>
      <c r="B227" s="3962" t="s">
        <v>334</v>
      </c>
      <c r="C227" s="3829"/>
      <c r="D227" s="3829"/>
      <c r="E227" s="3829" t="s">
        <v>154</v>
      </c>
      <c r="F227" s="3825" t="s">
        <v>154</v>
      </c>
      <c r="G227" s="3829" t="s">
        <v>154</v>
      </c>
      <c r="H227" s="3829" t="s">
        <v>154</v>
      </c>
      <c r="I227" s="3829" t="s">
        <v>154</v>
      </c>
      <c r="J227" s="3829"/>
      <c r="K227" s="3829"/>
      <c r="L227" s="3829" t="s">
        <v>154</v>
      </c>
      <c r="M227" s="3825" t="s">
        <v>154</v>
      </c>
      <c r="N227" s="3829" t="s">
        <v>154</v>
      </c>
      <c r="O227" s="3829" t="s">
        <v>154</v>
      </c>
      <c r="P227" s="3829" t="s">
        <v>154</v>
      </c>
      <c r="Q227" s="3829"/>
      <c r="R227" s="3829"/>
      <c r="S227" s="3829" t="s">
        <v>154</v>
      </c>
      <c r="T227" s="3825" t="s">
        <v>154</v>
      </c>
      <c r="U227" s="3829" t="s">
        <v>154</v>
      </c>
      <c r="V227" s="3829" t="s">
        <v>154</v>
      </c>
      <c r="W227" s="3963" t="s">
        <v>154</v>
      </c>
      <c r="X227" s="3829"/>
      <c r="Y227" s="3829"/>
      <c r="Z227" s="3829" t="s">
        <v>154</v>
      </c>
      <c r="AA227" s="3825" t="s">
        <v>154</v>
      </c>
      <c r="AB227" s="3829" t="s">
        <v>154</v>
      </c>
      <c r="AC227" s="3829" t="s">
        <v>154</v>
      </c>
      <c r="AD227" s="3829" t="s">
        <v>154</v>
      </c>
      <c r="AE227" s="3829"/>
      <c r="AF227" s="3829"/>
      <c r="AG227" s="3829" t="s">
        <v>154</v>
      </c>
      <c r="AH227" s="116"/>
      <c r="AI227" s="116"/>
      <c r="AK227" t="s">
        <v>0</v>
      </c>
    </row>
    <row r="228" spans="1:37" ht="18" customHeight="1" thickBot="1" x14ac:dyDescent="0.25">
      <c r="A228" s="69"/>
      <c r="B228" s="3959" t="s">
        <v>332</v>
      </c>
      <c r="C228" s="3829"/>
      <c r="D228" s="3829"/>
      <c r="E228" s="3829" t="s">
        <v>309</v>
      </c>
      <c r="F228" s="3829" t="s">
        <v>309</v>
      </c>
      <c r="G228" s="3829" t="s">
        <v>309</v>
      </c>
      <c r="H228" s="3829" t="s">
        <v>309</v>
      </c>
      <c r="I228" s="3825" t="s">
        <v>309</v>
      </c>
      <c r="J228" s="3829"/>
      <c r="K228" s="3829"/>
      <c r="L228" s="3829" t="s">
        <v>309</v>
      </c>
      <c r="M228" s="3829" t="s">
        <v>309</v>
      </c>
      <c r="N228" s="3829" t="s">
        <v>309</v>
      </c>
      <c r="O228" s="3829" t="s">
        <v>309</v>
      </c>
      <c r="P228" s="3825" t="s">
        <v>309</v>
      </c>
      <c r="Q228" s="3829"/>
      <c r="R228" s="3587"/>
      <c r="S228" s="3829" t="s">
        <v>309</v>
      </c>
      <c r="T228" s="3829" t="s">
        <v>309</v>
      </c>
      <c r="U228" s="3829" t="s">
        <v>309</v>
      </c>
      <c r="V228" s="3829" t="s">
        <v>309</v>
      </c>
      <c r="W228" s="3825" t="s">
        <v>309</v>
      </c>
      <c r="X228" s="3829"/>
      <c r="Y228" s="3964"/>
      <c r="Z228" s="3829" t="s">
        <v>309</v>
      </c>
      <c r="AA228" s="3829" t="s">
        <v>309</v>
      </c>
      <c r="AB228" s="3829" t="s">
        <v>309</v>
      </c>
      <c r="AC228" s="3829" t="s">
        <v>309</v>
      </c>
      <c r="AD228" s="3825" t="s">
        <v>309</v>
      </c>
      <c r="AE228" s="3829"/>
      <c r="AF228" s="3829"/>
      <c r="AG228" s="3829" t="s">
        <v>309</v>
      </c>
      <c r="AH228" s="116"/>
      <c r="AI228" s="116"/>
    </row>
    <row r="229" spans="1:37" ht="18" customHeight="1" x14ac:dyDescent="0.2">
      <c r="A229" s="69"/>
      <c r="B229" s="3777" t="s">
        <v>166</v>
      </c>
      <c r="C229" s="3829"/>
      <c r="D229" s="3829"/>
      <c r="E229" s="3829" t="s">
        <v>160</v>
      </c>
      <c r="F229" s="3829" t="s">
        <v>160</v>
      </c>
      <c r="G229" s="3829" t="s">
        <v>160</v>
      </c>
      <c r="H229" s="3829" t="s">
        <v>160</v>
      </c>
      <c r="I229" s="3829" t="s">
        <v>160</v>
      </c>
      <c r="J229" s="3519"/>
      <c r="K229" s="3829"/>
      <c r="L229" s="3829" t="s">
        <v>160</v>
      </c>
      <c r="M229" s="3829" t="s">
        <v>160</v>
      </c>
      <c r="N229" s="3829" t="s">
        <v>160</v>
      </c>
      <c r="O229" s="3829" t="s">
        <v>160</v>
      </c>
      <c r="P229" s="3829" t="s">
        <v>160</v>
      </c>
      <c r="Q229" s="3829"/>
      <c r="R229" s="3829"/>
      <c r="S229" s="3829" t="s">
        <v>160</v>
      </c>
      <c r="T229" s="3829" t="s">
        <v>160</v>
      </c>
      <c r="U229" s="3829" t="s">
        <v>160</v>
      </c>
      <c r="V229" s="3829" t="s">
        <v>160</v>
      </c>
      <c r="W229" s="3829" t="s">
        <v>160</v>
      </c>
      <c r="X229" s="3519"/>
      <c r="Y229" s="3829"/>
      <c r="Z229" s="3829" t="s">
        <v>160</v>
      </c>
      <c r="AA229" s="3829" t="s">
        <v>160</v>
      </c>
      <c r="AB229" s="3829" t="s">
        <v>160</v>
      </c>
      <c r="AC229" s="3829" t="s">
        <v>160</v>
      </c>
      <c r="AD229" s="3829" t="s">
        <v>160</v>
      </c>
      <c r="AE229" s="3519"/>
      <c r="AF229" s="3829"/>
      <c r="AG229" s="3829" t="s">
        <v>160</v>
      </c>
      <c r="AH229" s="116"/>
      <c r="AI229" s="116"/>
    </row>
    <row r="230" spans="1:37" ht="18" customHeight="1" x14ac:dyDescent="0.2">
      <c r="A230" s="69"/>
      <c r="B230" s="3810" t="s">
        <v>167</v>
      </c>
      <c r="C230" s="3829"/>
      <c r="D230" s="3829"/>
      <c r="E230" s="3965" t="s">
        <v>168</v>
      </c>
      <c r="F230" s="3965" t="s">
        <v>168</v>
      </c>
      <c r="G230" s="3965" t="s">
        <v>168</v>
      </c>
      <c r="H230" s="3965" t="s">
        <v>168</v>
      </c>
      <c r="I230" s="3965" t="s">
        <v>168</v>
      </c>
      <c r="J230" s="3829"/>
      <c r="K230" s="3829"/>
      <c r="L230" s="3965" t="s">
        <v>168</v>
      </c>
      <c r="M230" s="3965" t="s">
        <v>168</v>
      </c>
      <c r="N230" s="3965" t="s">
        <v>168</v>
      </c>
      <c r="O230" s="3965" t="s">
        <v>168</v>
      </c>
      <c r="P230" s="3965" t="s">
        <v>168</v>
      </c>
      <c r="Q230" s="3519"/>
      <c r="R230" s="3814"/>
      <c r="S230" s="3912" t="s">
        <v>168</v>
      </c>
      <c r="T230" s="3965" t="s">
        <v>168</v>
      </c>
      <c r="U230" s="3965" t="s">
        <v>168</v>
      </c>
      <c r="V230" s="3965" t="s">
        <v>168</v>
      </c>
      <c r="W230" s="3965" t="s">
        <v>168</v>
      </c>
      <c r="X230" s="3964"/>
      <c r="Y230" s="3829"/>
      <c r="Z230" s="3965" t="s">
        <v>168</v>
      </c>
      <c r="AA230" s="3965" t="s">
        <v>168</v>
      </c>
      <c r="AB230" s="3965" t="s">
        <v>168</v>
      </c>
      <c r="AC230" s="3965" t="s">
        <v>168</v>
      </c>
      <c r="AD230" s="3965" t="s">
        <v>168</v>
      </c>
      <c r="AE230" s="3519"/>
      <c r="AF230" s="3829"/>
      <c r="AG230" s="3965" t="s">
        <v>168</v>
      </c>
      <c r="AH230" s="116"/>
      <c r="AI230" s="116"/>
    </row>
    <row r="231" spans="1:37" ht="18" customHeight="1" x14ac:dyDescent="0.2">
      <c r="A231" s="69"/>
      <c r="B231" s="3807" t="s">
        <v>426</v>
      </c>
      <c r="C231" s="3829"/>
      <c r="D231" s="3829"/>
      <c r="E231" s="3829" t="s">
        <v>451</v>
      </c>
      <c r="F231" s="3829" t="s">
        <v>451</v>
      </c>
      <c r="G231" s="3869" t="s">
        <v>451</v>
      </c>
      <c r="H231" s="3869" t="s">
        <v>451</v>
      </c>
      <c r="I231" s="3869" t="s">
        <v>521</v>
      </c>
      <c r="J231" s="3815"/>
      <c r="K231" s="3815"/>
      <c r="L231" s="3829" t="s">
        <v>451</v>
      </c>
      <c r="M231" s="3829" t="s">
        <v>451</v>
      </c>
      <c r="N231" s="3829" t="s">
        <v>451</v>
      </c>
      <c r="O231" s="3829" t="s">
        <v>451</v>
      </c>
      <c r="P231" s="3829" t="s">
        <v>451</v>
      </c>
      <c r="Q231" s="3829"/>
      <c r="R231" s="3829"/>
      <c r="S231" s="3829" t="s">
        <v>451</v>
      </c>
      <c r="T231" s="3829" t="s">
        <v>451</v>
      </c>
      <c r="U231" s="3829" t="s">
        <v>451</v>
      </c>
      <c r="V231" s="3829" t="s">
        <v>451</v>
      </c>
      <c r="W231" s="3829" t="s">
        <v>451</v>
      </c>
      <c r="X231" s="3829"/>
      <c r="Y231" s="3829"/>
      <c r="Z231" s="3829" t="s">
        <v>451</v>
      </c>
      <c r="AA231" s="3829" t="s">
        <v>451</v>
      </c>
      <c r="AB231" s="3829" t="s">
        <v>451</v>
      </c>
      <c r="AC231" s="3829" t="s">
        <v>451</v>
      </c>
      <c r="AD231" s="3829" t="s">
        <v>451</v>
      </c>
      <c r="AE231" s="3829"/>
      <c r="AF231" s="3829"/>
      <c r="AG231" s="3839" t="s">
        <v>451</v>
      </c>
      <c r="AH231" s="67"/>
      <c r="AI231" s="67"/>
    </row>
    <row r="232" spans="1:37" ht="18" customHeight="1" x14ac:dyDescent="0.2">
      <c r="A232" s="96"/>
      <c r="B232" s="3807" t="s">
        <v>337</v>
      </c>
      <c r="C232" s="3829"/>
      <c r="D232" s="3829"/>
      <c r="E232" s="3829" t="s">
        <v>322</v>
      </c>
      <c r="F232" s="3829" t="s">
        <v>322</v>
      </c>
      <c r="G232" s="3829" t="s">
        <v>322</v>
      </c>
      <c r="H232" s="3829" t="s">
        <v>322</v>
      </c>
      <c r="I232" s="3829" t="s">
        <v>322</v>
      </c>
      <c r="J232" s="3829"/>
      <c r="K232" s="3829"/>
      <c r="L232" s="3829" t="s">
        <v>322</v>
      </c>
      <c r="M232" s="3829" t="s">
        <v>322</v>
      </c>
      <c r="N232" s="3829" t="s">
        <v>322</v>
      </c>
      <c r="O232" s="3829" t="s">
        <v>322</v>
      </c>
      <c r="P232" s="3829" t="s">
        <v>322</v>
      </c>
      <c r="Q232" s="3829"/>
      <c r="R232" s="3829"/>
      <c r="S232" s="3829" t="s">
        <v>322</v>
      </c>
      <c r="T232" s="3829" t="s">
        <v>322</v>
      </c>
      <c r="U232" s="3829" t="s">
        <v>322</v>
      </c>
      <c r="V232" s="3829" t="s">
        <v>322</v>
      </c>
      <c r="W232" s="3829" t="s">
        <v>322</v>
      </c>
      <c r="X232" s="3829"/>
      <c r="Y232" s="3829"/>
      <c r="Z232" s="3829" t="s">
        <v>322</v>
      </c>
      <c r="AA232" s="3829" t="s">
        <v>322</v>
      </c>
      <c r="AB232" s="3829" t="s">
        <v>322</v>
      </c>
      <c r="AC232" s="3829" t="s">
        <v>322</v>
      </c>
      <c r="AD232" s="3829" t="s">
        <v>322</v>
      </c>
      <c r="AE232" s="3829"/>
      <c r="AF232" s="3829"/>
      <c r="AG232" s="3829" t="s">
        <v>322</v>
      </c>
      <c r="AH232" s="73"/>
    </row>
    <row r="233" spans="1:37" ht="18" customHeight="1" x14ac:dyDescent="0.2"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</row>
    <row r="234" spans="1:37" ht="18" customHeight="1" x14ac:dyDescent="0.2">
      <c r="A234" s="1" t="s">
        <v>339</v>
      </c>
      <c r="B234" s="37"/>
    </row>
    <row r="235" spans="1:37" ht="18" customHeight="1" x14ac:dyDescent="0.2">
      <c r="A235" s="1"/>
      <c r="B235" s="3966" t="s">
        <v>340</v>
      </c>
      <c r="C235" s="3967" t="s">
        <v>17</v>
      </c>
      <c r="D235" s="3968"/>
      <c r="E235" s="3968"/>
      <c r="F235" s="3968"/>
      <c r="G235" s="3967" t="s">
        <v>18</v>
      </c>
      <c r="H235" s="3968"/>
      <c r="I235" s="3968"/>
      <c r="J235" s="3968"/>
      <c r="K235" s="3967" t="s">
        <v>19</v>
      </c>
      <c r="L235" s="3968"/>
      <c r="M235" s="3968"/>
      <c r="N235" s="3968"/>
      <c r="O235" s="3967" t="s">
        <v>20</v>
      </c>
      <c r="P235" s="3968"/>
      <c r="Q235" s="3968"/>
      <c r="R235" s="3968"/>
      <c r="S235" s="3967" t="s">
        <v>21</v>
      </c>
      <c r="T235" s="3968"/>
      <c r="U235" s="3968"/>
      <c r="V235" s="3968"/>
      <c r="W235" s="3967" t="s">
        <v>22</v>
      </c>
      <c r="X235" s="3177"/>
      <c r="Y235" s="3968"/>
      <c r="Z235" s="3969"/>
      <c r="AA235" s="3967" t="s">
        <v>23</v>
      </c>
      <c r="AB235" s="3177"/>
      <c r="AC235" s="3968"/>
      <c r="AD235" s="3969"/>
      <c r="AE235" s="3970" t="s">
        <v>126</v>
      </c>
      <c r="AF235" s="3968"/>
      <c r="AG235" s="3968"/>
      <c r="AH235" s="3968"/>
      <c r="AI235" s="3178"/>
    </row>
    <row r="236" spans="1:37" ht="18" customHeight="1" x14ac:dyDescent="0.2">
      <c r="A236" s="1"/>
      <c r="B236" s="3971">
        <v>3701</v>
      </c>
      <c r="C236" s="70" t="s">
        <v>341</v>
      </c>
      <c r="D236" s="70"/>
      <c r="E236" s="70"/>
      <c r="F236" s="70"/>
      <c r="G236" s="374" t="s">
        <v>342</v>
      </c>
      <c r="H236" s="70"/>
      <c r="I236" s="70"/>
      <c r="J236" s="70"/>
      <c r="K236" s="374" t="s">
        <v>342</v>
      </c>
      <c r="L236" s="70"/>
      <c r="M236" s="70"/>
      <c r="N236" s="70"/>
      <c r="O236" s="374" t="s">
        <v>342</v>
      </c>
      <c r="P236" s="70"/>
      <c r="Q236" s="70"/>
      <c r="R236" s="70"/>
      <c r="S236" s="374" t="s">
        <v>343</v>
      </c>
      <c r="T236" s="70"/>
      <c r="U236" s="70"/>
      <c r="V236" s="70"/>
      <c r="W236" s="3849"/>
      <c r="X236" s="3972"/>
      <c r="Y236" s="3560"/>
      <c r="Z236" s="3973"/>
      <c r="AA236" s="3849"/>
      <c r="AB236" s="3972"/>
      <c r="AC236" s="3560"/>
      <c r="AD236" s="3973"/>
      <c r="AE236" s="3877"/>
      <c r="AF236" s="3560"/>
      <c r="AG236" s="3560"/>
      <c r="AH236" s="3560"/>
      <c r="AI236" s="3928"/>
    </row>
    <row r="237" spans="1:37" ht="18" customHeight="1" x14ac:dyDescent="0.2">
      <c r="B237" s="3966">
        <v>3700</v>
      </c>
      <c r="C237" s="3560" t="s">
        <v>249</v>
      </c>
      <c r="D237" s="3560"/>
      <c r="E237" s="3560"/>
      <c r="F237" s="3560"/>
      <c r="G237" s="3974" t="s">
        <v>249</v>
      </c>
      <c r="H237" s="3560"/>
      <c r="I237" s="3560"/>
      <c r="J237" s="3560"/>
      <c r="K237" s="3974" t="s">
        <v>249</v>
      </c>
      <c r="L237" s="3560"/>
      <c r="M237" s="3560"/>
      <c r="N237" s="3560"/>
      <c r="O237" s="3974" t="s">
        <v>249</v>
      </c>
      <c r="P237" s="3560"/>
      <c r="Q237" s="3560"/>
      <c r="R237" s="3560"/>
      <c r="S237" s="3974" t="s">
        <v>250</v>
      </c>
      <c r="T237" s="3560"/>
      <c r="U237" s="3560"/>
      <c r="V237" s="3560"/>
      <c r="W237" s="3849"/>
      <c r="X237" s="3560"/>
      <c r="Y237" s="3560"/>
      <c r="Z237" s="3879"/>
      <c r="AA237" s="3877"/>
      <c r="AB237" s="3560"/>
      <c r="AC237" s="3560"/>
      <c r="AD237" s="3595"/>
      <c r="AE237" s="3975"/>
      <c r="AF237" s="3560"/>
      <c r="AG237" s="3560"/>
      <c r="AH237" s="3595"/>
      <c r="AI237" s="3928"/>
    </row>
    <row r="238" spans="1:37" ht="18" customHeight="1" x14ac:dyDescent="0.2">
      <c r="A238" s="1"/>
      <c r="B238" s="3966">
        <v>8514</v>
      </c>
      <c r="C238" s="3560" t="s">
        <v>342</v>
      </c>
      <c r="D238" s="3560"/>
      <c r="E238" s="3560"/>
      <c r="F238" s="3560"/>
      <c r="G238" s="3974" t="s">
        <v>342</v>
      </c>
      <c r="H238" s="3560"/>
      <c r="I238" s="3560"/>
      <c r="J238" s="3560"/>
      <c r="K238" s="3974" t="s">
        <v>342</v>
      </c>
      <c r="L238" s="3560"/>
      <c r="M238" s="3560"/>
      <c r="N238" s="3560"/>
      <c r="O238" s="3974" t="s">
        <v>342</v>
      </c>
      <c r="P238" s="3560"/>
      <c r="Q238" s="3560"/>
      <c r="R238" s="3560"/>
      <c r="S238" s="3974" t="s">
        <v>344</v>
      </c>
      <c r="T238" s="3560"/>
      <c r="U238" s="3560"/>
      <c r="V238" s="3560"/>
      <c r="W238" s="3849"/>
      <c r="X238" s="3560"/>
      <c r="Y238" s="3560"/>
      <c r="Z238" s="3879"/>
      <c r="AA238" s="3594"/>
      <c r="AB238" s="3560"/>
      <c r="AC238" s="3560"/>
      <c r="AD238" s="3595"/>
      <c r="AE238" s="3594"/>
      <c r="AF238" s="3560"/>
      <c r="AG238" s="3560"/>
      <c r="AH238" s="3595"/>
      <c r="AI238" s="3928"/>
    </row>
    <row r="239" spans="1:37" ht="18" customHeight="1" x14ac:dyDescent="0.2">
      <c r="A239" s="1"/>
      <c r="B239" s="3966">
        <v>8500</v>
      </c>
      <c r="C239" s="875" t="s">
        <v>345</v>
      </c>
      <c r="D239" s="875"/>
      <c r="E239" s="875"/>
      <c r="F239" s="875"/>
      <c r="G239" s="1022" t="s">
        <v>345</v>
      </c>
      <c r="H239" s="875"/>
      <c r="I239" s="875"/>
      <c r="J239" s="875"/>
      <c r="K239" s="1022" t="s">
        <v>345</v>
      </c>
      <c r="L239" s="875"/>
      <c r="M239" s="875"/>
      <c r="N239" s="875"/>
      <c r="O239" s="1022" t="s">
        <v>345</v>
      </c>
      <c r="P239" s="875"/>
      <c r="Q239" s="875"/>
      <c r="R239" s="875"/>
      <c r="S239" s="1022" t="s">
        <v>346</v>
      </c>
      <c r="T239" s="875"/>
      <c r="U239" s="875"/>
      <c r="V239" s="875"/>
      <c r="W239" s="3849"/>
      <c r="X239" s="875"/>
      <c r="Y239" s="875"/>
      <c r="Z239" s="1023"/>
      <c r="AA239" s="1024"/>
      <c r="AB239" s="875"/>
      <c r="AC239" s="875"/>
      <c r="AD239" s="1023"/>
      <c r="AE239" s="1024"/>
      <c r="AF239" s="875"/>
      <c r="AG239" s="875"/>
      <c r="AH239" s="1025"/>
      <c r="AI239" s="1026"/>
    </row>
    <row r="240" spans="1:37" ht="18" customHeight="1" x14ac:dyDescent="0.2">
      <c r="A240" s="1"/>
      <c r="B240" s="3966">
        <v>8514</v>
      </c>
      <c r="C240" s="1027" t="s">
        <v>342</v>
      </c>
      <c r="D240" s="1027"/>
      <c r="E240" s="1027"/>
      <c r="F240" s="1027"/>
      <c r="G240" s="1028" t="s">
        <v>342</v>
      </c>
      <c r="H240" s="1027"/>
      <c r="I240" s="1027"/>
      <c r="J240" s="1027"/>
      <c r="K240" s="1028" t="s">
        <v>342</v>
      </c>
      <c r="L240" s="1027"/>
      <c r="M240" s="1027"/>
      <c r="N240" s="1027"/>
      <c r="O240" s="1028" t="s">
        <v>342</v>
      </c>
      <c r="P240" s="1027"/>
      <c r="Q240" s="1027"/>
      <c r="R240" s="1027"/>
      <c r="S240" s="1028" t="s">
        <v>344</v>
      </c>
      <c r="T240" s="1027"/>
      <c r="U240" s="1027"/>
      <c r="V240" s="1027"/>
      <c r="W240" s="3976"/>
      <c r="X240" s="1030"/>
      <c r="Y240" s="875"/>
      <c r="Z240" s="1031"/>
      <c r="AA240" s="1032"/>
      <c r="AB240" s="1030"/>
      <c r="AC240" s="875"/>
      <c r="AD240" s="875"/>
      <c r="AE240" s="1033"/>
      <c r="AF240" s="875"/>
      <c r="AG240" s="875"/>
      <c r="AH240" s="875"/>
      <c r="AI240" s="1026"/>
    </row>
    <row r="241" spans="1:35" ht="18" customHeight="1" x14ac:dyDescent="0.2">
      <c r="A241" s="1"/>
      <c r="B241" s="3977" t="s">
        <v>347</v>
      </c>
      <c r="C241" s="3566" t="s">
        <v>10</v>
      </c>
      <c r="D241" s="3566"/>
      <c r="E241" s="3566"/>
      <c r="F241" s="3566"/>
      <c r="G241" s="3978" t="s">
        <v>10</v>
      </c>
      <c r="H241" s="3566"/>
      <c r="I241" s="3566"/>
      <c r="J241" s="3566"/>
      <c r="K241" s="3979" t="s">
        <v>10</v>
      </c>
      <c r="L241" s="3566"/>
      <c r="M241" s="3566"/>
      <c r="N241" s="3566"/>
      <c r="O241" s="3978" t="s">
        <v>10</v>
      </c>
      <c r="P241" s="3566"/>
      <c r="Q241" s="3566"/>
      <c r="R241" s="3566"/>
      <c r="S241" s="3978" t="s">
        <v>10</v>
      </c>
      <c r="T241" s="3566"/>
      <c r="U241" s="3566"/>
      <c r="V241" s="3566"/>
      <c r="W241" s="3979"/>
      <c r="X241" s="3566"/>
      <c r="Y241" s="3566"/>
      <c r="Z241" s="3908"/>
      <c r="AA241" s="3889"/>
      <c r="AB241" s="3566"/>
      <c r="AC241" s="3566"/>
      <c r="AD241" s="3896"/>
      <c r="AE241" s="3980"/>
      <c r="AF241" s="3566"/>
      <c r="AG241" s="3566"/>
      <c r="AH241" s="3896"/>
      <c r="AI241" s="3569"/>
    </row>
    <row r="242" spans="1:35" ht="18" customHeight="1" x14ac:dyDescent="0.2">
      <c r="A242" s="1"/>
      <c r="B242" s="5"/>
      <c r="C242" s="42"/>
      <c r="D242" s="70"/>
      <c r="E242" s="70"/>
      <c r="F242" s="46"/>
      <c r="G242" s="42"/>
      <c r="H242" s="70"/>
      <c r="I242" s="70"/>
      <c r="J242" s="46"/>
      <c r="K242" s="42"/>
      <c r="L242" s="70"/>
      <c r="M242" s="70"/>
      <c r="N242" s="46"/>
      <c r="O242" s="42"/>
      <c r="P242" s="70"/>
      <c r="Q242" s="70"/>
      <c r="R242" s="46"/>
      <c r="S242" s="42"/>
      <c r="T242" s="70"/>
      <c r="U242" s="70"/>
      <c r="V242" s="46"/>
      <c r="W242" s="46"/>
      <c r="Z242" s="46"/>
      <c r="AA242" s="46"/>
      <c r="AD242" s="46"/>
      <c r="AE242" s="46"/>
      <c r="AH242" s="46"/>
    </row>
    <row r="243" spans="1:35" ht="18" customHeight="1" x14ac:dyDescent="0.2">
      <c r="A243" s="1" t="s">
        <v>348</v>
      </c>
      <c r="B243" s="5"/>
      <c r="C243" s="42"/>
      <c r="D243" s="70"/>
      <c r="E243" s="70"/>
      <c r="F243" s="46"/>
      <c r="G243" s="42"/>
      <c r="H243" s="70"/>
      <c r="I243" s="70"/>
      <c r="J243" s="46"/>
      <c r="K243" s="42"/>
      <c r="L243" s="70"/>
      <c r="M243" s="70"/>
      <c r="N243" s="46"/>
      <c r="O243" s="42"/>
      <c r="P243" s="70"/>
      <c r="Q243" s="70"/>
      <c r="R243" s="46"/>
      <c r="S243" s="42"/>
      <c r="T243" s="70"/>
      <c r="U243" s="70"/>
      <c r="V243" s="46"/>
      <c r="W243" s="46"/>
      <c r="Z243" s="46"/>
      <c r="AA243" s="46"/>
      <c r="AD243" s="46"/>
      <c r="AE243" s="46"/>
      <c r="AH243" s="46"/>
    </row>
    <row r="244" spans="1:35" ht="18" customHeight="1" x14ac:dyDescent="0.2">
      <c r="A244" s="3875"/>
      <c r="B244" s="2817" t="s">
        <v>44</v>
      </c>
      <c r="C244" s="2707">
        <v>1</v>
      </c>
      <c r="D244" s="2707">
        <v>2</v>
      </c>
      <c r="E244" s="2706">
        <v>3</v>
      </c>
      <c r="F244" s="2706">
        <v>4</v>
      </c>
      <c r="G244" s="2706">
        <v>5</v>
      </c>
      <c r="H244" s="2706">
        <v>6</v>
      </c>
      <c r="I244" s="2706">
        <v>7</v>
      </c>
      <c r="J244" s="2707">
        <v>8</v>
      </c>
      <c r="K244" s="2707">
        <v>9</v>
      </c>
      <c r="L244" s="2706">
        <v>10</v>
      </c>
      <c r="M244" s="2706">
        <v>11</v>
      </c>
      <c r="N244" s="2706">
        <v>12</v>
      </c>
      <c r="O244" s="2706">
        <v>13</v>
      </c>
      <c r="P244" s="2706">
        <v>14</v>
      </c>
      <c r="Q244" s="2707">
        <v>15</v>
      </c>
      <c r="R244" s="2707">
        <v>16</v>
      </c>
      <c r="S244" s="2706">
        <v>17</v>
      </c>
      <c r="T244" s="2706">
        <v>18</v>
      </c>
      <c r="U244" s="2706">
        <v>19</v>
      </c>
      <c r="V244" s="2706">
        <v>20</v>
      </c>
      <c r="W244" s="2706">
        <v>21</v>
      </c>
      <c r="X244" s="2707">
        <v>22</v>
      </c>
      <c r="Y244" s="2707">
        <v>23</v>
      </c>
      <c r="Z244" s="2706">
        <v>24</v>
      </c>
      <c r="AA244" s="2706">
        <v>25</v>
      </c>
      <c r="AB244" s="2706">
        <v>26</v>
      </c>
      <c r="AC244" s="2706">
        <v>27</v>
      </c>
      <c r="AD244" s="2706">
        <v>28</v>
      </c>
      <c r="AE244" s="2707">
        <v>29</v>
      </c>
      <c r="AF244" s="2707">
        <v>30</v>
      </c>
      <c r="AG244" s="2706">
        <v>31</v>
      </c>
      <c r="AH244" s="110"/>
      <c r="AI244" s="111"/>
    </row>
    <row r="245" spans="1:35" ht="18" customHeight="1" x14ac:dyDescent="0.2">
      <c r="A245" s="3981"/>
      <c r="B245" s="3982" t="s">
        <v>349</v>
      </c>
      <c r="C245" s="3983"/>
      <c r="D245" s="3983"/>
      <c r="E245" s="3983" t="s">
        <v>46</v>
      </c>
      <c r="F245" s="3983" t="s">
        <v>46</v>
      </c>
      <c r="G245" s="3984" t="s">
        <v>46</v>
      </c>
      <c r="H245" s="3984" t="s">
        <v>46</v>
      </c>
      <c r="I245" s="3984" t="s">
        <v>46</v>
      </c>
      <c r="J245" s="3983"/>
      <c r="K245" s="3983"/>
      <c r="L245" s="3983" t="s">
        <v>46</v>
      </c>
      <c r="M245" s="3983" t="s">
        <v>46</v>
      </c>
      <c r="N245" s="3984" t="s">
        <v>46</v>
      </c>
      <c r="O245" s="3984" t="s">
        <v>46</v>
      </c>
      <c r="P245" s="3984" t="s">
        <v>46</v>
      </c>
      <c r="Q245" s="3983"/>
      <c r="R245" s="3983"/>
      <c r="S245" s="3983" t="s">
        <v>46</v>
      </c>
      <c r="T245" s="3983" t="s">
        <v>46</v>
      </c>
      <c r="U245" s="3984" t="s">
        <v>46</v>
      </c>
      <c r="V245" s="3984" t="s">
        <v>46</v>
      </c>
      <c r="W245" s="3984" t="s">
        <v>46</v>
      </c>
      <c r="X245" s="3983"/>
      <c r="Y245" s="3983"/>
      <c r="Z245" s="3983" t="s">
        <v>46</v>
      </c>
      <c r="AA245" s="3983" t="s">
        <v>46</v>
      </c>
      <c r="AB245" s="3984" t="s">
        <v>46</v>
      </c>
      <c r="AC245" s="3984" t="s">
        <v>46</v>
      </c>
      <c r="AD245" s="3984" t="s">
        <v>46</v>
      </c>
      <c r="AE245" s="3983"/>
      <c r="AF245" s="3983"/>
      <c r="AG245" s="3985" t="s">
        <v>46</v>
      </c>
      <c r="AH245" s="110"/>
      <c r="AI245" s="111"/>
    </row>
    <row r="246" spans="1:35" ht="18" customHeight="1" x14ac:dyDescent="0.2">
      <c r="A246" s="3986"/>
      <c r="B246" s="3987" t="s">
        <v>350</v>
      </c>
      <c r="C246" s="3988"/>
      <c r="D246" s="3988"/>
      <c r="E246" s="3988"/>
      <c r="F246" s="3988"/>
      <c r="G246" s="3826"/>
      <c r="H246" s="3826"/>
      <c r="I246" s="3826"/>
      <c r="J246" s="3988"/>
      <c r="K246" s="3988"/>
      <c r="L246" s="3988"/>
      <c r="M246" s="3988"/>
      <c r="N246" s="3826"/>
      <c r="O246" s="3826"/>
      <c r="P246" s="3826"/>
      <c r="Q246" s="3988"/>
      <c r="R246" s="3988"/>
      <c r="S246" s="3988"/>
      <c r="T246" s="3988"/>
      <c r="U246" s="3826"/>
      <c r="V246" s="3826"/>
      <c r="W246" s="3826"/>
      <c r="X246" s="3988"/>
      <c r="Y246" s="3988"/>
      <c r="Z246" s="3988"/>
      <c r="AA246" s="3988"/>
      <c r="AB246" s="3826"/>
      <c r="AC246" s="3826"/>
      <c r="AD246" s="3826"/>
      <c r="AE246" s="3988"/>
      <c r="AF246" s="3988"/>
      <c r="AG246" s="3989"/>
      <c r="AH246" s="110"/>
      <c r="AI246" s="111"/>
    </row>
    <row r="247" spans="1:35" ht="18" customHeight="1" x14ac:dyDescent="0.2">
      <c r="A247" s="3990">
        <v>8514</v>
      </c>
      <c r="B247" s="3991" t="s">
        <v>351</v>
      </c>
      <c r="C247" s="3988"/>
      <c r="D247" s="3988"/>
      <c r="E247" s="3988" t="s">
        <v>46</v>
      </c>
      <c r="F247" s="3988" t="s">
        <v>46</v>
      </c>
      <c r="G247" s="3826" t="s">
        <v>46</v>
      </c>
      <c r="H247" s="3826" t="s">
        <v>46</v>
      </c>
      <c r="I247" s="3826" t="s">
        <v>46</v>
      </c>
      <c r="J247" s="3988"/>
      <c r="K247" s="3988"/>
      <c r="L247" s="3988" t="s">
        <v>46</v>
      </c>
      <c r="M247" s="3988" t="s">
        <v>46</v>
      </c>
      <c r="N247" s="3826" t="s">
        <v>46</v>
      </c>
      <c r="O247" s="3826" t="s">
        <v>46</v>
      </c>
      <c r="P247" s="3826" t="s">
        <v>46</v>
      </c>
      <c r="Q247" s="3988"/>
      <c r="R247" s="3988"/>
      <c r="S247" s="3988" t="s">
        <v>46</v>
      </c>
      <c r="T247" s="3988" t="s">
        <v>46</v>
      </c>
      <c r="U247" s="3826" t="s">
        <v>46</v>
      </c>
      <c r="V247" s="3826" t="s">
        <v>46</v>
      </c>
      <c r="W247" s="3826" t="s">
        <v>46</v>
      </c>
      <c r="X247" s="3988"/>
      <c r="Y247" s="3988"/>
      <c r="Z247" s="3988" t="s">
        <v>46</v>
      </c>
      <c r="AA247" s="3988" t="s">
        <v>46</v>
      </c>
      <c r="AB247" s="3826" t="s">
        <v>46</v>
      </c>
      <c r="AC247" s="3826" t="s">
        <v>46</v>
      </c>
      <c r="AD247" s="3826" t="s">
        <v>46</v>
      </c>
      <c r="AE247" s="3988"/>
      <c r="AF247" s="3988"/>
      <c r="AG247" s="3989" t="s">
        <v>46</v>
      </c>
      <c r="AH247" s="115"/>
      <c r="AI247" s="116"/>
    </row>
    <row r="248" spans="1:35" ht="18" customHeight="1" x14ac:dyDescent="0.2">
      <c r="A248" s="3990">
        <v>3701</v>
      </c>
      <c r="B248" s="3992" t="s">
        <v>352</v>
      </c>
      <c r="C248" s="3988"/>
      <c r="D248" s="3988"/>
      <c r="E248" s="3988"/>
      <c r="F248" s="3988"/>
      <c r="G248" s="3826"/>
      <c r="H248" s="3826"/>
      <c r="I248" s="3826"/>
      <c r="J248" s="3988"/>
      <c r="K248" s="3988"/>
      <c r="L248" s="3988"/>
      <c r="M248" s="3988"/>
      <c r="N248" s="3826"/>
      <c r="O248" s="3826"/>
      <c r="P248" s="3826"/>
      <c r="Q248" s="3988"/>
      <c r="R248" s="3988"/>
      <c r="S248" s="3988"/>
      <c r="T248" s="3988"/>
      <c r="U248" s="3826"/>
      <c r="V248" s="3826"/>
      <c r="W248" s="3826"/>
      <c r="X248" s="3988"/>
      <c r="Y248" s="3988"/>
      <c r="Z248" s="3988"/>
      <c r="AA248" s="3988"/>
      <c r="AB248" s="3826"/>
      <c r="AC248" s="3826"/>
      <c r="AD248" s="3826"/>
      <c r="AE248" s="3988"/>
      <c r="AF248" s="3988"/>
      <c r="AG248" s="3989"/>
      <c r="AH248" s="115"/>
      <c r="AI248" s="116"/>
    </row>
    <row r="249" spans="1:35" ht="18" customHeight="1" x14ac:dyDescent="0.2">
      <c r="A249" s="3990">
        <v>3701</v>
      </c>
      <c r="B249" s="3962" t="s">
        <v>353</v>
      </c>
      <c r="C249" s="3366"/>
      <c r="D249" s="3366"/>
      <c r="E249" s="3366" t="s">
        <v>46</v>
      </c>
      <c r="F249" s="3514" t="s">
        <v>46</v>
      </c>
      <c r="G249" s="3366" t="s">
        <v>46</v>
      </c>
      <c r="H249" s="3366" t="s">
        <v>46</v>
      </c>
      <c r="I249" s="3366" t="s">
        <v>46</v>
      </c>
      <c r="J249" s="3366"/>
      <c r="K249" s="3366"/>
      <c r="L249" s="3366" t="s">
        <v>46</v>
      </c>
      <c r="M249" s="3366" t="s">
        <v>46</v>
      </c>
      <c r="N249" s="3521" t="s">
        <v>46</v>
      </c>
      <c r="O249" s="3366" t="s">
        <v>46</v>
      </c>
      <c r="P249" s="3513" t="s">
        <v>46</v>
      </c>
      <c r="Q249" s="3513"/>
      <c r="R249" s="3513"/>
      <c r="S249" s="3513" t="s">
        <v>46</v>
      </c>
      <c r="T249" s="3366" t="s">
        <v>46</v>
      </c>
      <c r="U249" s="3366" t="s">
        <v>46</v>
      </c>
      <c r="V249" s="3514" t="s">
        <v>46</v>
      </c>
      <c r="W249" s="3366" t="s">
        <v>46</v>
      </c>
      <c r="X249" s="3366"/>
      <c r="Y249" s="3366"/>
      <c r="Z249" s="3366" t="s">
        <v>46</v>
      </c>
      <c r="AA249" s="3514" t="s">
        <v>46</v>
      </c>
      <c r="AB249" s="3366" t="s">
        <v>46</v>
      </c>
      <c r="AC249" s="3713" t="s">
        <v>46</v>
      </c>
      <c r="AD249" s="3713" t="s">
        <v>46</v>
      </c>
      <c r="AE249" s="3366"/>
      <c r="AF249" s="3366"/>
      <c r="AG249" s="3366" t="s">
        <v>46</v>
      </c>
      <c r="AH249" s="115"/>
      <c r="AI249" s="116"/>
    </row>
    <row r="250" spans="1:35" ht="18" customHeight="1" x14ac:dyDescent="0.2">
      <c r="A250" s="3990">
        <v>3701</v>
      </c>
      <c r="B250" s="3962" t="s">
        <v>354</v>
      </c>
      <c r="C250" s="3366"/>
      <c r="D250" s="3366"/>
      <c r="E250" s="3366" t="s">
        <v>46</v>
      </c>
      <c r="F250" s="3514" t="s">
        <v>46</v>
      </c>
      <c r="G250" s="3366" t="s">
        <v>46</v>
      </c>
      <c r="H250" s="3366" t="s">
        <v>46</v>
      </c>
      <c r="I250" s="3522" t="s">
        <v>46</v>
      </c>
      <c r="J250" s="3366"/>
      <c r="K250" s="3366"/>
      <c r="L250" s="3366" t="s">
        <v>46</v>
      </c>
      <c r="M250" s="3366" t="s">
        <v>46</v>
      </c>
      <c r="N250" s="3521" t="s">
        <v>46</v>
      </c>
      <c r="O250" s="3366" t="s">
        <v>46</v>
      </c>
      <c r="P250" s="3513" t="s">
        <v>46</v>
      </c>
      <c r="Q250" s="3513"/>
      <c r="R250" s="3513"/>
      <c r="S250" s="3513" t="s">
        <v>46</v>
      </c>
      <c r="T250" s="3366" t="s">
        <v>46</v>
      </c>
      <c r="U250" s="3366" t="s">
        <v>46</v>
      </c>
      <c r="V250" s="3514" t="s">
        <v>46</v>
      </c>
      <c r="W250" s="3366" t="s">
        <v>46</v>
      </c>
      <c r="X250" s="3366"/>
      <c r="Y250" s="3366"/>
      <c r="Z250" s="3366" t="s">
        <v>46</v>
      </c>
      <c r="AA250" s="3514" t="s">
        <v>46</v>
      </c>
      <c r="AB250" s="3366" t="s">
        <v>46</v>
      </c>
      <c r="AC250" s="3366" t="s">
        <v>46</v>
      </c>
      <c r="AD250" s="3366" t="s">
        <v>46</v>
      </c>
      <c r="AE250" s="3366"/>
      <c r="AF250" s="3366"/>
      <c r="AG250" s="3366" t="s">
        <v>46</v>
      </c>
      <c r="AH250" s="115"/>
      <c r="AI250" s="116"/>
    </row>
    <row r="251" spans="1:35" ht="18" customHeight="1" x14ac:dyDescent="0.2">
      <c r="A251" s="3990">
        <v>3701</v>
      </c>
      <c r="B251" s="3962" t="s">
        <v>355</v>
      </c>
      <c r="C251" s="3366"/>
      <c r="D251" s="3366"/>
      <c r="E251" s="3366" t="s">
        <v>46</v>
      </c>
      <c r="F251" s="3514" t="s">
        <v>46</v>
      </c>
      <c r="G251" s="3366" t="s">
        <v>46</v>
      </c>
      <c r="H251" s="3366" t="s">
        <v>46</v>
      </c>
      <c r="I251" s="3366" t="s">
        <v>46</v>
      </c>
      <c r="J251" s="3366"/>
      <c r="K251" s="3366"/>
      <c r="L251" s="3366" t="s">
        <v>46</v>
      </c>
      <c r="M251" s="3366" t="s">
        <v>46</v>
      </c>
      <c r="N251" s="3521" t="s">
        <v>46</v>
      </c>
      <c r="O251" s="3366" t="s">
        <v>46</v>
      </c>
      <c r="P251" s="3513" t="s">
        <v>46</v>
      </c>
      <c r="Q251" s="3513"/>
      <c r="R251" s="3513"/>
      <c r="S251" s="3513" t="s">
        <v>46</v>
      </c>
      <c r="T251" s="3366" t="s">
        <v>46</v>
      </c>
      <c r="U251" s="3366" t="s">
        <v>46</v>
      </c>
      <c r="V251" s="3514" t="s">
        <v>46</v>
      </c>
      <c r="W251" s="3366" t="s">
        <v>46</v>
      </c>
      <c r="X251" s="3366"/>
      <c r="Y251" s="3366"/>
      <c r="Z251" s="3366" t="s">
        <v>46</v>
      </c>
      <c r="AA251" s="3514" t="s">
        <v>46</v>
      </c>
      <c r="AB251" s="3366" t="s">
        <v>46</v>
      </c>
      <c r="AC251" s="3366" t="s">
        <v>46</v>
      </c>
      <c r="AD251" s="3522" t="s">
        <v>46</v>
      </c>
      <c r="AE251" s="3366"/>
      <c r="AF251" s="3366"/>
      <c r="AG251" s="3522" t="s">
        <v>46</v>
      </c>
      <c r="AH251" s="115"/>
      <c r="AI251" s="116"/>
    </row>
    <row r="252" spans="1:35" ht="18" customHeight="1" x14ac:dyDescent="0.2">
      <c r="A252" s="3990">
        <v>3701</v>
      </c>
      <c r="B252" s="3992" t="s">
        <v>357</v>
      </c>
      <c r="C252" s="3988"/>
      <c r="D252" s="3988"/>
      <c r="E252" s="3988"/>
      <c r="F252" s="3988"/>
      <c r="G252" s="3826"/>
      <c r="H252" s="3826"/>
      <c r="I252" s="3826"/>
      <c r="J252" s="3988"/>
      <c r="K252" s="3988"/>
      <c r="L252" s="3988"/>
      <c r="M252" s="3988"/>
      <c r="N252" s="3826"/>
      <c r="O252" s="3826"/>
      <c r="P252" s="3826"/>
      <c r="Q252" s="3988"/>
      <c r="R252" s="3988"/>
      <c r="S252" s="3988"/>
      <c r="T252" s="3988"/>
      <c r="U252" s="3826"/>
      <c r="V252" s="3826"/>
      <c r="W252" s="3826"/>
      <c r="X252" s="3988"/>
      <c r="Y252" s="3988"/>
      <c r="Z252" s="3988"/>
      <c r="AA252" s="3988"/>
      <c r="AB252" s="3826"/>
      <c r="AC252" s="3826"/>
      <c r="AD252" s="3826"/>
      <c r="AE252" s="3988"/>
      <c r="AF252" s="3988"/>
      <c r="AG252" s="3989"/>
      <c r="AH252" s="115"/>
      <c r="AI252" s="116"/>
    </row>
    <row r="253" spans="1:35" ht="18" customHeight="1" x14ac:dyDescent="0.2">
      <c r="A253" s="3990">
        <v>3701</v>
      </c>
      <c r="B253" s="3962" t="s">
        <v>358</v>
      </c>
      <c r="C253" s="3366"/>
      <c r="D253" s="3366"/>
      <c r="E253" s="3366" t="s">
        <v>46</v>
      </c>
      <c r="F253" s="3514" t="s">
        <v>46</v>
      </c>
      <c r="G253" s="3366" t="s">
        <v>46</v>
      </c>
      <c r="H253" s="3366" t="s">
        <v>46</v>
      </c>
      <c r="I253" s="3366" t="s">
        <v>46</v>
      </c>
      <c r="J253" s="3366"/>
      <c r="K253" s="3366"/>
      <c r="L253" s="3366" t="s">
        <v>46</v>
      </c>
      <c r="M253" s="3366" t="s">
        <v>46</v>
      </c>
      <c r="N253" s="3521" t="s">
        <v>46</v>
      </c>
      <c r="O253" s="3366" t="s">
        <v>46</v>
      </c>
      <c r="P253" s="3513" t="s">
        <v>46</v>
      </c>
      <c r="Q253" s="3513"/>
      <c r="R253" s="3513"/>
      <c r="S253" s="3513" t="s">
        <v>46</v>
      </c>
      <c r="T253" s="3366" t="s">
        <v>46</v>
      </c>
      <c r="U253" s="3366" t="s">
        <v>46</v>
      </c>
      <c r="V253" s="3514" t="s">
        <v>46</v>
      </c>
      <c r="W253" s="3366" t="s">
        <v>46</v>
      </c>
      <c r="X253" s="3366"/>
      <c r="Y253" s="3366"/>
      <c r="Z253" s="3366" t="s">
        <v>46</v>
      </c>
      <c r="AA253" s="3514" t="s">
        <v>46</v>
      </c>
      <c r="AB253" s="3366" t="s">
        <v>46</v>
      </c>
      <c r="AC253" s="3366" t="s">
        <v>46</v>
      </c>
      <c r="AD253" s="3366" t="s">
        <v>46</v>
      </c>
      <c r="AE253" s="3366"/>
      <c r="AF253" s="3366"/>
      <c r="AG253" s="3366" t="s">
        <v>46</v>
      </c>
      <c r="AH253" s="115"/>
      <c r="AI253" s="116"/>
    </row>
    <row r="254" spans="1:35" ht="18" customHeight="1" x14ac:dyDescent="0.2">
      <c r="A254" s="3990">
        <v>3701</v>
      </c>
      <c r="B254" s="3962" t="s">
        <v>541</v>
      </c>
      <c r="C254" s="3366"/>
      <c r="D254" s="3366"/>
      <c r="E254" s="3366" t="s">
        <v>46</v>
      </c>
      <c r="F254" s="3514" t="s">
        <v>46</v>
      </c>
      <c r="G254" s="3366" t="s">
        <v>46</v>
      </c>
      <c r="H254" s="3366" t="s">
        <v>46</v>
      </c>
      <c r="I254" s="3366" t="s">
        <v>46</v>
      </c>
      <c r="J254" s="3366"/>
      <c r="K254" s="3366"/>
      <c r="L254" s="3366" t="s">
        <v>46</v>
      </c>
      <c r="M254" s="3366" t="s">
        <v>46</v>
      </c>
      <c r="N254" s="3521" t="s">
        <v>46</v>
      </c>
      <c r="O254" s="3366" t="s">
        <v>46</v>
      </c>
      <c r="P254" s="3513" t="s">
        <v>46</v>
      </c>
      <c r="Q254" s="3513"/>
      <c r="R254" s="3513"/>
      <c r="S254" s="3513" t="s">
        <v>46</v>
      </c>
      <c r="T254" s="3366" t="s">
        <v>46</v>
      </c>
      <c r="U254" s="3366" t="s">
        <v>46</v>
      </c>
      <c r="V254" s="3514" t="s">
        <v>46</v>
      </c>
      <c r="W254" s="3366" t="s">
        <v>46</v>
      </c>
      <c r="X254" s="3366"/>
      <c r="Y254" s="3366"/>
      <c r="Z254" s="3366" t="s">
        <v>46</v>
      </c>
      <c r="AA254" s="3514" t="s">
        <v>46</v>
      </c>
      <c r="AB254" s="3366" t="s">
        <v>46</v>
      </c>
      <c r="AC254" s="3366" t="s">
        <v>46</v>
      </c>
      <c r="AD254" s="3366" t="s">
        <v>46</v>
      </c>
      <c r="AE254" s="3366"/>
      <c r="AF254" s="3366"/>
      <c r="AG254" s="3366" t="s">
        <v>46</v>
      </c>
      <c r="AH254" s="115"/>
      <c r="AI254" s="116"/>
    </row>
    <row r="255" spans="1:35" ht="18" customHeight="1" x14ac:dyDescent="0.2">
      <c r="A255" s="3993">
        <v>3701</v>
      </c>
      <c r="B255" s="3962" t="s">
        <v>360</v>
      </c>
      <c r="C255" s="3366"/>
      <c r="D255" s="3366"/>
      <c r="E255" s="3366" t="s">
        <v>46</v>
      </c>
      <c r="F255" s="3514" t="s">
        <v>46</v>
      </c>
      <c r="G255" s="3366" t="s">
        <v>46</v>
      </c>
      <c r="H255" s="3366" t="s">
        <v>46</v>
      </c>
      <c r="I255" s="3366" t="s">
        <v>46</v>
      </c>
      <c r="J255" s="3366"/>
      <c r="K255" s="3366"/>
      <c r="L255" s="3366" t="s">
        <v>46</v>
      </c>
      <c r="M255" s="3366" t="s">
        <v>46</v>
      </c>
      <c r="N255" s="3521" t="s">
        <v>46</v>
      </c>
      <c r="O255" s="3366" t="s">
        <v>46</v>
      </c>
      <c r="P255" s="3513" t="s">
        <v>46</v>
      </c>
      <c r="Q255" s="3513"/>
      <c r="R255" s="3513"/>
      <c r="S255" s="3513" t="s">
        <v>46</v>
      </c>
      <c r="T255" s="3366" t="s">
        <v>46</v>
      </c>
      <c r="U255" s="3366" t="s">
        <v>46</v>
      </c>
      <c r="V255" s="3514" t="s">
        <v>46</v>
      </c>
      <c r="W255" s="3366" t="s">
        <v>46</v>
      </c>
      <c r="X255" s="3366"/>
      <c r="Y255" s="3366"/>
      <c r="Z255" s="3366" t="s">
        <v>46</v>
      </c>
      <c r="AA255" s="3514" t="s">
        <v>46</v>
      </c>
      <c r="AB255" s="3366" t="s">
        <v>46</v>
      </c>
      <c r="AC255" s="3366" t="s">
        <v>46</v>
      </c>
      <c r="AD255" s="3366" t="s">
        <v>46</v>
      </c>
      <c r="AE255" s="3366"/>
      <c r="AF255" s="3366"/>
      <c r="AG255" s="3366" t="s">
        <v>46</v>
      </c>
      <c r="AH255" s="115"/>
      <c r="AI255" s="116"/>
    </row>
    <row r="256" spans="1:35" ht="18" customHeight="1" x14ac:dyDescent="0.2">
      <c r="A256" s="3990">
        <v>3701</v>
      </c>
      <c r="B256" s="3962" t="s">
        <v>361</v>
      </c>
      <c r="C256" s="3366"/>
      <c r="D256" s="3366"/>
      <c r="E256" s="3366" t="s">
        <v>46</v>
      </c>
      <c r="F256" s="3514" t="s">
        <v>46</v>
      </c>
      <c r="G256" s="3366" t="s">
        <v>46</v>
      </c>
      <c r="H256" s="3366" t="s">
        <v>46</v>
      </c>
      <c r="I256" s="3366" t="s">
        <v>46</v>
      </c>
      <c r="J256" s="3366"/>
      <c r="K256" s="3366"/>
      <c r="L256" s="3366" t="s">
        <v>46</v>
      </c>
      <c r="M256" s="3366" t="s">
        <v>46</v>
      </c>
      <c r="N256" s="3521" t="s">
        <v>46</v>
      </c>
      <c r="O256" s="3366" t="s">
        <v>46</v>
      </c>
      <c r="P256" s="3513" t="s">
        <v>46</v>
      </c>
      <c r="Q256" s="3513"/>
      <c r="R256" s="3513"/>
      <c r="S256" s="3513" t="s">
        <v>46</v>
      </c>
      <c r="T256" s="3366" t="s">
        <v>46</v>
      </c>
      <c r="U256" s="3366" t="s">
        <v>46</v>
      </c>
      <c r="V256" s="3514" t="s">
        <v>46</v>
      </c>
      <c r="W256" s="3366" t="s">
        <v>46</v>
      </c>
      <c r="X256" s="3366"/>
      <c r="Y256" s="3366"/>
      <c r="Z256" s="3509" t="s">
        <v>46</v>
      </c>
      <c r="AA256" s="3509" t="s">
        <v>46</v>
      </c>
      <c r="AB256" s="3509" t="s">
        <v>46</v>
      </c>
      <c r="AC256" s="3509" t="s">
        <v>46</v>
      </c>
      <c r="AD256" s="3509" t="s">
        <v>356</v>
      </c>
      <c r="AE256" s="3366"/>
      <c r="AF256" s="3366"/>
      <c r="AG256" s="3366" t="s">
        <v>46</v>
      </c>
      <c r="AH256" s="115"/>
      <c r="AI256" s="116"/>
    </row>
    <row r="257" spans="1:35" ht="18" customHeight="1" x14ac:dyDescent="0.2">
      <c r="A257" s="3990">
        <v>3701</v>
      </c>
      <c r="B257" s="3962" t="s">
        <v>362</v>
      </c>
      <c r="C257" s="3366"/>
      <c r="D257" s="3366"/>
      <c r="E257" s="3366" t="s">
        <v>46</v>
      </c>
      <c r="F257" s="3514" t="s">
        <v>46</v>
      </c>
      <c r="G257" s="3366" t="s">
        <v>46</v>
      </c>
      <c r="H257" s="3366" t="s">
        <v>46</v>
      </c>
      <c r="I257" s="3366" t="s">
        <v>46</v>
      </c>
      <c r="J257" s="3366"/>
      <c r="K257" s="3366"/>
      <c r="L257" s="3366" t="s">
        <v>46</v>
      </c>
      <c r="M257" s="3366" t="s">
        <v>46</v>
      </c>
      <c r="N257" s="3521" t="s">
        <v>46</v>
      </c>
      <c r="O257" s="3366" t="s">
        <v>46</v>
      </c>
      <c r="P257" s="3509" t="s">
        <v>46</v>
      </c>
      <c r="Q257" s="3509"/>
      <c r="R257" s="3509" t="s">
        <v>405</v>
      </c>
      <c r="S257" s="3515" t="s">
        <v>46</v>
      </c>
      <c r="T257" s="3515" t="s">
        <v>46</v>
      </c>
      <c r="U257" s="3515" t="s">
        <v>46</v>
      </c>
      <c r="V257" s="3515" t="s">
        <v>46</v>
      </c>
      <c r="W257" s="3515" t="s">
        <v>46</v>
      </c>
      <c r="X257" s="3366"/>
      <c r="Y257" s="3366"/>
      <c r="Z257" s="3366" t="s">
        <v>46</v>
      </c>
      <c r="AA257" s="3514" t="s">
        <v>46</v>
      </c>
      <c r="AB257" s="3366" t="s">
        <v>46</v>
      </c>
      <c r="AC257" s="3509" t="s">
        <v>46</v>
      </c>
      <c r="AD257" s="3509" t="s">
        <v>46</v>
      </c>
      <c r="AE257" s="3509"/>
      <c r="AF257" s="3509"/>
      <c r="AG257" s="3509" t="s">
        <v>46</v>
      </c>
      <c r="AH257" s="115"/>
      <c r="AI257" s="116"/>
    </row>
    <row r="258" spans="1:35" ht="18" customHeight="1" x14ac:dyDescent="0.2">
      <c r="A258" s="3990"/>
      <c r="B258" s="3962" t="s">
        <v>363</v>
      </c>
      <c r="C258" s="3366"/>
      <c r="D258" s="3366"/>
      <c r="E258" s="3366" t="s">
        <v>46</v>
      </c>
      <c r="F258" s="3514" t="s">
        <v>46</v>
      </c>
      <c r="G258" s="3366" t="s">
        <v>46</v>
      </c>
      <c r="H258" s="3366" t="s">
        <v>46</v>
      </c>
      <c r="I258" s="3366" t="s">
        <v>46</v>
      </c>
      <c r="J258" s="3366"/>
      <c r="K258" s="3366"/>
      <c r="L258" s="3366" t="s">
        <v>46</v>
      </c>
      <c r="M258" s="3366" t="s">
        <v>46</v>
      </c>
      <c r="N258" s="3521" t="s">
        <v>46</v>
      </c>
      <c r="O258" s="3366" t="s">
        <v>46</v>
      </c>
      <c r="P258" s="3513" t="s">
        <v>46</v>
      </c>
      <c r="Q258" s="3513"/>
      <c r="R258" s="3513"/>
      <c r="S258" s="3513" t="s">
        <v>46</v>
      </c>
      <c r="T258" s="3366" t="s">
        <v>46</v>
      </c>
      <c r="U258" s="3366" t="s">
        <v>46</v>
      </c>
      <c r="V258" s="3514" t="s">
        <v>46</v>
      </c>
      <c r="W258" s="3366" t="s">
        <v>46</v>
      </c>
      <c r="X258" s="3366"/>
      <c r="Y258" s="3366"/>
      <c r="Z258" s="3366" t="s">
        <v>46</v>
      </c>
      <c r="AA258" s="3514" t="s">
        <v>46</v>
      </c>
      <c r="AB258" s="3366" t="s">
        <v>46</v>
      </c>
      <c r="AC258" s="3366" t="s">
        <v>46</v>
      </c>
      <c r="AD258" s="3366" t="s">
        <v>46</v>
      </c>
      <c r="AE258" s="3366"/>
      <c r="AF258" s="3366"/>
      <c r="AG258" s="3366" t="s">
        <v>46</v>
      </c>
      <c r="AH258" s="115"/>
      <c r="AI258" s="116"/>
    </row>
    <row r="259" spans="1:35" ht="18" customHeight="1" x14ac:dyDescent="0.2">
      <c r="A259" s="3990"/>
      <c r="B259" s="3962" t="s">
        <v>364</v>
      </c>
      <c r="C259" s="3366"/>
      <c r="D259" s="3366"/>
      <c r="E259" s="3366" t="s">
        <v>46</v>
      </c>
      <c r="F259" s="3514" t="s">
        <v>46</v>
      </c>
      <c r="G259" s="3366" t="s">
        <v>46</v>
      </c>
      <c r="H259" s="3366" t="s">
        <v>46</v>
      </c>
      <c r="I259" s="3366" t="s">
        <v>46</v>
      </c>
      <c r="J259" s="3366"/>
      <c r="K259" s="3366"/>
      <c r="L259" s="3366" t="s">
        <v>46</v>
      </c>
      <c r="M259" s="3366" t="s">
        <v>46</v>
      </c>
      <c r="N259" s="3521" t="s">
        <v>46</v>
      </c>
      <c r="O259" s="3366" t="s">
        <v>46</v>
      </c>
      <c r="P259" s="3513" t="s">
        <v>46</v>
      </c>
      <c r="Q259" s="3513"/>
      <c r="R259" s="3513"/>
      <c r="S259" s="3513" t="s">
        <v>46</v>
      </c>
      <c r="T259" s="3366" t="s">
        <v>46</v>
      </c>
      <c r="U259" s="3366" t="s">
        <v>46</v>
      </c>
      <c r="V259" s="3514" t="s">
        <v>46</v>
      </c>
      <c r="W259" s="3366" t="s">
        <v>46</v>
      </c>
      <c r="X259" s="3366"/>
      <c r="Y259" s="3366"/>
      <c r="Z259" s="3366" t="s">
        <v>46</v>
      </c>
      <c r="AA259" s="3514" t="s">
        <v>46</v>
      </c>
      <c r="AB259" s="3366" t="s">
        <v>46</v>
      </c>
      <c r="AC259" s="3366" t="s">
        <v>46</v>
      </c>
      <c r="AD259" s="3366" t="s">
        <v>46</v>
      </c>
      <c r="AE259" s="3366"/>
      <c r="AF259" s="3366"/>
      <c r="AG259" s="3366" t="s">
        <v>46</v>
      </c>
      <c r="AH259" s="115"/>
      <c r="AI259" s="116"/>
    </row>
    <row r="260" spans="1:35" ht="18" customHeight="1" x14ac:dyDescent="0.2">
      <c r="A260" s="3990"/>
      <c r="B260" s="3962" t="s">
        <v>365</v>
      </c>
      <c r="C260" s="3366"/>
      <c r="D260" s="3366"/>
      <c r="E260" s="3366" t="s">
        <v>46</v>
      </c>
      <c r="F260" s="3514" t="s">
        <v>46</v>
      </c>
      <c r="G260" s="3366" t="s">
        <v>46</v>
      </c>
      <c r="H260" s="3366" t="s">
        <v>46</v>
      </c>
      <c r="I260" s="3366" t="s">
        <v>46</v>
      </c>
      <c r="J260" s="3366"/>
      <c r="K260" s="3366"/>
      <c r="L260" s="3366" t="s">
        <v>46</v>
      </c>
      <c r="M260" s="3366" t="s">
        <v>46</v>
      </c>
      <c r="N260" s="3521" t="s">
        <v>46</v>
      </c>
      <c r="O260" s="3366" t="s">
        <v>46</v>
      </c>
      <c r="P260" s="3513" t="s">
        <v>46</v>
      </c>
      <c r="Q260" s="3513"/>
      <c r="R260" s="3513"/>
      <c r="S260" s="3513" t="s">
        <v>46</v>
      </c>
      <c r="T260" s="3366" t="s">
        <v>46</v>
      </c>
      <c r="U260" s="3366" t="s">
        <v>46</v>
      </c>
      <c r="V260" s="3514" t="s">
        <v>46</v>
      </c>
      <c r="W260" s="3366" t="s">
        <v>46</v>
      </c>
      <c r="X260" s="3366"/>
      <c r="Y260" s="3366"/>
      <c r="Z260" s="3366" t="s">
        <v>46</v>
      </c>
      <c r="AA260" s="3514" t="s">
        <v>46</v>
      </c>
      <c r="AB260" s="3366" t="s">
        <v>46</v>
      </c>
      <c r="AC260" s="3366" t="s">
        <v>46</v>
      </c>
      <c r="AD260" s="3366" t="s">
        <v>46</v>
      </c>
      <c r="AE260" s="3366"/>
      <c r="AF260" s="3366"/>
      <c r="AG260" s="3366" t="s">
        <v>46</v>
      </c>
      <c r="AH260" s="115"/>
      <c r="AI260" s="116"/>
    </row>
    <row r="261" spans="1:35" ht="18" customHeight="1" x14ac:dyDescent="0.2">
      <c r="A261" s="3990"/>
      <c r="B261" s="3992" t="s">
        <v>366</v>
      </c>
      <c r="C261" s="3988"/>
      <c r="D261" s="3988"/>
      <c r="E261" s="3988"/>
      <c r="F261" s="3988"/>
      <c r="G261" s="3826"/>
      <c r="H261" s="3826"/>
      <c r="I261" s="3826"/>
      <c r="J261" s="3988"/>
      <c r="K261" s="3988"/>
      <c r="L261" s="3988"/>
      <c r="M261" s="3988"/>
      <c r="N261" s="3826"/>
      <c r="O261" s="3826"/>
      <c r="P261" s="3826"/>
      <c r="Q261" s="3988"/>
      <c r="R261" s="3988"/>
      <c r="S261" s="3988"/>
      <c r="T261" s="3988"/>
      <c r="U261" s="3826"/>
      <c r="V261" s="3826"/>
      <c r="W261" s="3826"/>
      <c r="X261" s="3988"/>
      <c r="Y261" s="3988"/>
      <c r="Z261" s="3988"/>
      <c r="AA261" s="3988"/>
      <c r="AB261" s="3826"/>
      <c r="AC261" s="3826"/>
      <c r="AD261" s="3826"/>
      <c r="AE261" s="3988"/>
      <c r="AF261" s="3988"/>
      <c r="AG261" s="3989"/>
      <c r="AH261" s="115"/>
      <c r="AI261" s="116"/>
    </row>
    <row r="262" spans="1:35" ht="18" customHeight="1" x14ac:dyDescent="0.2">
      <c r="A262" s="3990"/>
      <c r="B262" s="3962" t="s">
        <v>367</v>
      </c>
      <c r="C262" s="3366"/>
      <c r="D262" s="3366"/>
      <c r="E262" s="3366" t="s">
        <v>46</v>
      </c>
      <c r="F262" s="3514" t="s">
        <v>46</v>
      </c>
      <c r="G262" s="3366" t="s">
        <v>46</v>
      </c>
      <c r="H262" s="3366" t="s">
        <v>46</v>
      </c>
      <c r="I262" s="3366" t="s">
        <v>46</v>
      </c>
      <c r="J262" s="3366"/>
      <c r="K262" s="3366"/>
      <c r="L262" s="3509" t="s">
        <v>46</v>
      </c>
      <c r="M262" s="3509" t="s">
        <v>46</v>
      </c>
      <c r="N262" s="3509" t="s">
        <v>46</v>
      </c>
      <c r="O262" s="3509" t="s">
        <v>46</v>
      </c>
      <c r="P262" s="3509" t="s">
        <v>79</v>
      </c>
      <c r="Q262" s="3766"/>
      <c r="R262" s="3766"/>
      <c r="S262" s="3513" t="s">
        <v>46</v>
      </c>
      <c r="T262" s="3366" t="s">
        <v>46</v>
      </c>
      <c r="U262" s="3366" t="s">
        <v>46</v>
      </c>
      <c r="V262" s="3514" t="s">
        <v>46</v>
      </c>
      <c r="W262" s="3366" t="s">
        <v>46</v>
      </c>
      <c r="X262" s="3366"/>
      <c r="Y262" s="3366"/>
      <c r="Z262" s="3901" t="s">
        <v>46</v>
      </c>
      <c r="AA262" s="3514" t="s">
        <v>46</v>
      </c>
      <c r="AB262" s="3366" t="s">
        <v>46</v>
      </c>
      <c r="AC262" s="3366" t="s">
        <v>46</v>
      </c>
      <c r="AD262" s="3366" t="s">
        <v>46</v>
      </c>
      <c r="AE262" s="3366"/>
      <c r="AF262" s="3366"/>
      <c r="AG262" s="3366" t="s">
        <v>46</v>
      </c>
      <c r="AH262" s="115"/>
      <c r="AI262" s="116"/>
    </row>
    <row r="263" spans="1:35" ht="18" customHeight="1" x14ac:dyDescent="0.2">
      <c r="A263" s="3990"/>
      <c r="B263" s="3962" t="s">
        <v>368</v>
      </c>
      <c r="C263" s="3366"/>
      <c r="D263" s="3366"/>
      <c r="E263" s="3366" t="s">
        <v>46</v>
      </c>
      <c r="F263" s="3514" t="s">
        <v>46</v>
      </c>
      <c r="G263" s="3366" t="s">
        <v>46</v>
      </c>
      <c r="H263" s="3366" t="s">
        <v>46</v>
      </c>
      <c r="I263" s="3366" t="s">
        <v>46</v>
      </c>
      <c r="J263" s="3366"/>
      <c r="K263" s="3366"/>
      <c r="L263" s="3509" t="s">
        <v>46</v>
      </c>
      <c r="M263" s="3509" t="s">
        <v>46</v>
      </c>
      <c r="N263" s="3509" t="s">
        <v>46</v>
      </c>
      <c r="O263" s="3509" t="s">
        <v>46</v>
      </c>
      <c r="P263" s="3509" t="s">
        <v>79</v>
      </c>
      <c r="Q263" s="3766"/>
      <c r="R263" s="3766"/>
      <c r="S263" s="3513" t="s">
        <v>46</v>
      </c>
      <c r="T263" s="3366" t="s">
        <v>46</v>
      </c>
      <c r="U263" s="3366" t="s">
        <v>46</v>
      </c>
      <c r="V263" s="3514" t="s">
        <v>46</v>
      </c>
      <c r="W263" s="3366" t="s">
        <v>46</v>
      </c>
      <c r="X263" s="3366"/>
      <c r="Y263" s="3366"/>
      <c r="Z263" s="3366" t="s">
        <v>46</v>
      </c>
      <c r="AA263" s="3514" t="s">
        <v>46</v>
      </c>
      <c r="AB263" s="3366" t="s">
        <v>46</v>
      </c>
      <c r="AC263" s="3366" t="s">
        <v>46</v>
      </c>
      <c r="AD263" s="3366" t="s">
        <v>46</v>
      </c>
      <c r="AE263" s="3366"/>
      <c r="AF263" s="3366"/>
      <c r="AG263" s="3366" t="s">
        <v>46</v>
      </c>
      <c r="AH263" s="115"/>
      <c r="AI263" s="116"/>
    </row>
    <row r="264" spans="1:35" ht="18" customHeight="1" x14ac:dyDescent="0.2">
      <c r="A264" s="3990"/>
      <c r="B264" s="3962"/>
      <c r="C264" s="3366"/>
      <c r="D264" s="3366"/>
      <c r="E264" s="3366" t="s">
        <v>46</v>
      </c>
      <c r="F264" s="3514" t="s">
        <v>46</v>
      </c>
      <c r="G264" s="3366" t="s">
        <v>46</v>
      </c>
      <c r="H264" s="3366" t="s">
        <v>46</v>
      </c>
      <c r="I264" s="3366" t="s">
        <v>46</v>
      </c>
      <c r="J264" s="3366"/>
      <c r="K264" s="3366"/>
      <c r="L264" s="3366" t="s">
        <v>46</v>
      </c>
      <c r="M264" s="3366" t="s">
        <v>46</v>
      </c>
      <c r="N264" s="3521" t="s">
        <v>46</v>
      </c>
      <c r="O264" s="3366" t="s">
        <v>46</v>
      </c>
      <c r="P264" s="3513" t="s">
        <v>46</v>
      </c>
      <c r="Q264" s="3513"/>
      <c r="R264" s="3513"/>
      <c r="S264" s="3513" t="s">
        <v>46</v>
      </c>
      <c r="T264" s="3366" t="s">
        <v>46</v>
      </c>
      <c r="U264" s="3366" t="s">
        <v>46</v>
      </c>
      <c r="V264" s="3514" t="s">
        <v>46</v>
      </c>
      <c r="W264" s="3366" t="s">
        <v>46</v>
      </c>
      <c r="X264" s="3366"/>
      <c r="Y264" s="3366"/>
      <c r="Z264" s="3366" t="s">
        <v>46</v>
      </c>
      <c r="AA264" s="3514" t="s">
        <v>46</v>
      </c>
      <c r="AB264" s="3366" t="s">
        <v>46</v>
      </c>
      <c r="AC264" s="3366" t="s">
        <v>46</v>
      </c>
      <c r="AD264" s="3366" t="s">
        <v>46</v>
      </c>
      <c r="AE264" s="3366"/>
      <c r="AF264" s="3366"/>
      <c r="AG264" s="3366" t="s">
        <v>46</v>
      </c>
      <c r="AH264" s="112"/>
      <c r="AI264" s="67"/>
    </row>
    <row r="265" spans="1:35" ht="18" customHeight="1" x14ac:dyDescent="0.2">
      <c r="A265" s="3990"/>
      <c r="B265" s="3962" t="s">
        <v>369</v>
      </c>
      <c r="C265" s="3366"/>
      <c r="D265" s="3366"/>
      <c r="E265" s="3509" t="s">
        <v>46</v>
      </c>
      <c r="F265" s="3509" t="s">
        <v>46</v>
      </c>
      <c r="G265" s="3509" t="s">
        <v>46</v>
      </c>
      <c r="H265" s="3509" t="s">
        <v>46</v>
      </c>
      <c r="I265" s="3509" t="s">
        <v>46</v>
      </c>
      <c r="J265" s="3509"/>
      <c r="K265" s="3509"/>
      <c r="L265" s="3509" t="s">
        <v>46</v>
      </c>
      <c r="M265" s="3509" t="s">
        <v>46</v>
      </c>
      <c r="N265" s="3509" t="s">
        <v>46</v>
      </c>
      <c r="O265" s="3509" t="s">
        <v>46</v>
      </c>
      <c r="P265" s="3509" t="s">
        <v>46</v>
      </c>
      <c r="Q265" s="3509"/>
      <c r="R265" s="3509"/>
      <c r="S265" s="3509" t="s">
        <v>46</v>
      </c>
      <c r="T265" s="3509" t="s">
        <v>46</v>
      </c>
      <c r="U265" s="3509" t="s">
        <v>46</v>
      </c>
      <c r="V265" s="3509" t="s">
        <v>46</v>
      </c>
      <c r="W265" s="3509" t="s">
        <v>46</v>
      </c>
      <c r="X265" s="3509"/>
      <c r="Y265" s="3509"/>
      <c r="Z265" s="3509" t="s">
        <v>46</v>
      </c>
      <c r="AA265" s="3509" t="s">
        <v>46</v>
      </c>
      <c r="AB265" s="3509" t="s">
        <v>46</v>
      </c>
      <c r="AC265" s="3509" t="s">
        <v>46</v>
      </c>
      <c r="AD265" s="3509" t="s">
        <v>46</v>
      </c>
      <c r="AE265" s="3509"/>
      <c r="AF265" s="3509"/>
      <c r="AG265" s="3509" t="s">
        <v>46</v>
      </c>
      <c r="AH265" s="112"/>
      <c r="AI265" s="67"/>
    </row>
    <row r="266" spans="1:35" ht="18" customHeight="1" x14ac:dyDescent="0.2">
      <c r="A266" s="3793"/>
      <c r="B266" s="3994"/>
      <c r="C266" s="3366"/>
      <c r="D266" s="3366"/>
      <c r="E266" s="3366"/>
      <c r="F266" s="3514"/>
      <c r="G266" s="3366"/>
      <c r="H266" s="3366"/>
      <c r="I266" s="3366"/>
      <c r="J266" s="3366"/>
      <c r="K266" s="3366"/>
      <c r="L266" s="3366"/>
      <c r="M266" s="3366"/>
      <c r="N266" s="3521"/>
      <c r="O266" s="3366"/>
      <c r="P266" s="3513"/>
      <c r="Q266" s="3513"/>
      <c r="R266" s="3513"/>
      <c r="S266" s="3513"/>
      <c r="T266" s="3366"/>
      <c r="U266" s="3366"/>
      <c r="V266" s="3514"/>
      <c r="W266" s="3366"/>
      <c r="X266" s="3366"/>
      <c r="Y266" s="3366"/>
      <c r="Z266" s="3366"/>
      <c r="AA266" s="3514"/>
      <c r="AB266" s="3366"/>
      <c r="AC266" s="3366"/>
      <c r="AD266" s="3366"/>
      <c r="AE266" s="3366"/>
      <c r="AF266" s="3366"/>
      <c r="AG266" s="3366"/>
      <c r="AH266" s="112"/>
      <c r="AI266" s="67"/>
    </row>
    <row r="267" spans="1:35" ht="18" customHeight="1" x14ac:dyDescent="0.2">
      <c r="A267" s="3793"/>
      <c r="B267" s="3962"/>
      <c r="C267" s="3826"/>
      <c r="D267" s="3826"/>
      <c r="E267" s="3826"/>
      <c r="F267" s="3826"/>
      <c r="G267" s="3826"/>
      <c r="H267" s="3826"/>
      <c r="I267" s="3826"/>
      <c r="J267" s="3826"/>
      <c r="K267" s="3826"/>
      <c r="L267" s="3826"/>
      <c r="M267" s="3826"/>
      <c r="N267" s="3825"/>
      <c r="O267" s="3825"/>
      <c r="P267" s="3825"/>
      <c r="Q267" s="3911"/>
      <c r="R267" s="3825"/>
      <c r="S267" s="3826"/>
      <c r="T267" s="3826"/>
      <c r="U267" s="3825"/>
      <c r="V267" s="3825"/>
      <c r="W267" s="3825"/>
      <c r="X267" s="3826"/>
      <c r="Y267" s="3825"/>
      <c r="Z267" s="3826"/>
      <c r="AA267" s="3826"/>
      <c r="AB267" s="3826"/>
      <c r="AC267" s="3826"/>
      <c r="AD267" s="3826"/>
      <c r="AE267" s="3826"/>
      <c r="AF267" s="3825"/>
      <c r="AG267" s="3995"/>
      <c r="AH267" s="112"/>
      <c r="AI267" s="67"/>
    </row>
    <row r="268" spans="1:35" ht="18" customHeight="1" x14ac:dyDescent="0.2">
      <c r="A268" s="3793"/>
      <c r="B268" s="3793"/>
      <c r="C268" s="3826"/>
      <c r="D268" s="3826"/>
      <c r="E268" s="3826"/>
      <c r="F268" s="3826"/>
      <c r="G268" s="3826"/>
      <c r="H268" s="3826"/>
      <c r="I268" s="3826"/>
      <c r="J268" s="3826"/>
      <c r="K268" s="3826"/>
      <c r="L268" s="3826"/>
      <c r="M268" s="3826"/>
      <c r="N268" s="3826"/>
      <c r="O268" s="3826"/>
      <c r="P268" s="3826"/>
      <c r="Q268" s="3826"/>
      <c r="R268" s="3826"/>
      <c r="S268" s="3826"/>
      <c r="T268" s="3826"/>
      <c r="U268" s="3826"/>
      <c r="V268" s="3826"/>
      <c r="W268" s="3826"/>
      <c r="X268" s="3826"/>
      <c r="Y268" s="3826"/>
      <c r="Z268" s="3826"/>
      <c r="AA268" s="3826"/>
      <c r="AB268" s="3826"/>
      <c r="AC268" s="3826"/>
      <c r="AD268" s="3826"/>
      <c r="AE268" s="3826"/>
      <c r="AF268" s="3826"/>
      <c r="AG268" s="3989"/>
      <c r="AH268" s="112"/>
      <c r="AI268" s="67"/>
    </row>
    <row r="269" spans="1:35" ht="18" customHeight="1" x14ac:dyDescent="0.2">
      <c r="A269" s="3793"/>
      <c r="B269" s="3793"/>
      <c r="C269" s="3826"/>
      <c r="D269" s="3826"/>
      <c r="E269" s="3826"/>
      <c r="F269" s="3826"/>
      <c r="G269" s="3826"/>
      <c r="H269" s="3996"/>
      <c r="I269" s="3826"/>
      <c r="J269" s="3826"/>
      <c r="K269" s="3826"/>
      <c r="L269" s="3826"/>
      <c r="M269" s="3826"/>
      <c r="N269" s="3826"/>
      <c r="O269" s="3826"/>
      <c r="P269" s="3826"/>
      <c r="Q269" s="3826"/>
      <c r="R269" s="3826"/>
      <c r="S269" s="3826"/>
      <c r="T269" s="3826"/>
      <c r="U269" s="3826"/>
      <c r="V269" s="3826"/>
      <c r="W269" s="3826"/>
      <c r="X269" s="3826"/>
      <c r="Y269" s="3826"/>
      <c r="Z269" s="3826"/>
      <c r="AA269" s="3826"/>
      <c r="AB269" s="3826"/>
      <c r="AC269" s="3826"/>
      <c r="AD269" s="3826"/>
      <c r="AE269" s="3826"/>
      <c r="AF269" s="3826"/>
      <c r="AG269" s="3997"/>
      <c r="AH269" s="112"/>
      <c r="AI269" s="67"/>
    </row>
    <row r="270" spans="1:35" ht="18" customHeight="1" x14ac:dyDescent="0.2">
      <c r="A270" s="3990"/>
      <c r="B270" s="3998"/>
      <c r="C270" s="3826"/>
      <c r="D270" s="3826"/>
      <c r="E270" s="3826"/>
      <c r="F270" s="3826"/>
      <c r="G270" s="3826"/>
      <c r="H270" s="3826"/>
      <c r="I270" s="3826"/>
      <c r="J270" s="3826"/>
      <c r="K270" s="3826"/>
      <c r="L270" s="3826"/>
      <c r="M270" s="3826"/>
      <c r="N270" s="3826"/>
      <c r="O270" s="3826"/>
      <c r="P270" s="3826"/>
      <c r="Q270" s="3826"/>
      <c r="R270" s="3826"/>
      <c r="S270" s="3826"/>
      <c r="T270" s="3826"/>
      <c r="U270" s="3826"/>
      <c r="V270" s="3826"/>
      <c r="W270" s="3826"/>
      <c r="X270" s="3826"/>
      <c r="Y270" s="3826"/>
      <c r="Z270" s="3826"/>
      <c r="AA270" s="3826"/>
      <c r="AB270" s="3826"/>
      <c r="AC270" s="3826"/>
      <c r="AD270" s="3826"/>
      <c r="AE270" s="3826"/>
      <c r="AF270" s="3826"/>
      <c r="AG270" s="3997"/>
      <c r="AH270" s="112"/>
      <c r="AI270" s="67"/>
    </row>
    <row r="271" spans="1:35" ht="18" customHeight="1" x14ac:dyDescent="0.2">
      <c r="A271" s="3990"/>
      <c r="B271" s="3999"/>
      <c r="C271" s="3826"/>
      <c r="D271" s="3826"/>
      <c r="E271" s="3826"/>
      <c r="F271" s="3826"/>
      <c r="G271" s="3826"/>
      <c r="H271" s="3826"/>
      <c r="I271" s="3826"/>
      <c r="J271" s="3826"/>
      <c r="K271" s="3826"/>
      <c r="L271" s="3826"/>
      <c r="M271" s="3826"/>
      <c r="N271" s="3826"/>
      <c r="O271" s="3826"/>
      <c r="P271" s="3826"/>
      <c r="Q271" s="3826"/>
      <c r="R271" s="3826"/>
      <c r="S271" s="3826"/>
      <c r="T271" s="3826"/>
      <c r="U271" s="3826"/>
      <c r="V271" s="3826"/>
      <c r="W271" s="3826"/>
      <c r="X271" s="3826"/>
      <c r="Y271" s="3826"/>
      <c r="Z271" s="3826"/>
      <c r="AA271" s="3826"/>
      <c r="AB271" s="3826"/>
      <c r="AC271" s="3826"/>
      <c r="AD271" s="3826"/>
      <c r="AE271" s="3826"/>
      <c r="AF271" s="3826"/>
      <c r="AG271" s="3997"/>
      <c r="AH271" s="112"/>
      <c r="AI271" s="67"/>
    </row>
    <row r="272" spans="1:35" ht="18" customHeight="1" x14ac:dyDescent="0.2">
      <c r="A272" s="68"/>
      <c r="B272" s="74"/>
      <c r="C272" s="66"/>
      <c r="D272" s="66"/>
      <c r="E272" s="66"/>
      <c r="F272" s="66"/>
      <c r="G272" s="66"/>
      <c r="H272" s="66"/>
      <c r="I272" s="66"/>
      <c r="J272" s="66"/>
      <c r="L272" s="66"/>
      <c r="M272" s="66"/>
      <c r="N272" s="66"/>
      <c r="O272" s="66"/>
      <c r="P272" s="48"/>
      <c r="Q272" s="48"/>
      <c r="R272" s="48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7"/>
      <c r="AI272" s="67"/>
    </row>
    <row r="273" spans="1:35" ht="18" customHeight="1" x14ac:dyDescent="0.2"/>
    <row r="274" spans="1:35" ht="18" customHeight="1" x14ac:dyDescent="0.2"/>
    <row r="275" spans="1:35" ht="18" customHeight="1" x14ac:dyDescent="0.2"/>
    <row r="276" spans="1:35" ht="18" customHeight="1" x14ac:dyDescent="0.2">
      <c r="A276" s="103" t="s">
        <v>370</v>
      </c>
    </row>
    <row r="277" spans="1:35" ht="18" customHeight="1" x14ac:dyDescent="0.2">
      <c r="B277" s="4000" t="s">
        <v>340</v>
      </c>
      <c r="C277" s="3266"/>
      <c r="D277" s="3291" t="s">
        <v>17</v>
      </c>
      <c r="E277" s="3177"/>
      <c r="F277" s="3270"/>
      <c r="G277" s="3266"/>
      <c r="H277" s="3291" t="s">
        <v>18</v>
      </c>
      <c r="I277" s="3177"/>
      <c r="J277" s="3270"/>
      <c r="K277" s="3266"/>
      <c r="L277" s="3291" t="s">
        <v>19</v>
      </c>
      <c r="M277" s="3177"/>
      <c r="N277" s="3270"/>
      <c r="O277" s="3266"/>
      <c r="P277" s="3291" t="s">
        <v>20</v>
      </c>
      <c r="Q277" s="3177"/>
      <c r="R277" s="3270"/>
      <c r="S277" s="3266"/>
      <c r="T277" s="3291" t="s">
        <v>21</v>
      </c>
      <c r="U277" s="3177"/>
      <c r="V277" s="3270"/>
      <c r="W277" s="3266"/>
      <c r="X277" s="3291" t="s">
        <v>22</v>
      </c>
      <c r="Y277" s="3177"/>
      <c r="Z277" s="3270"/>
      <c r="AA277" s="3266"/>
      <c r="AB277" s="3291" t="s">
        <v>23</v>
      </c>
      <c r="AC277" s="3177"/>
      <c r="AD277" s="3177"/>
      <c r="AE277" s="3294"/>
      <c r="AF277" s="3177"/>
      <c r="AG277" s="3177"/>
      <c r="AH277" s="3177"/>
      <c r="AI277" s="3178"/>
    </row>
    <row r="278" spans="1:35" ht="18" customHeight="1" x14ac:dyDescent="0.2">
      <c r="B278" s="4001" t="s">
        <v>235</v>
      </c>
      <c r="C278" s="1059" t="s">
        <v>371</v>
      </c>
      <c r="D278" s="1030"/>
      <c r="E278" s="1060"/>
      <c r="F278" s="1061"/>
      <c r="G278" s="1059" t="s">
        <v>371</v>
      </c>
      <c r="H278" s="1030"/>
      <c r="I278" s="1060"/>
      <c r="J278" s="1061"/>
      <c r="K278" s="1059" t="s">
        <v>371</v>
      </c>
      <c r="L278" s="1030"/>
      <c r="M278" s="1060"/>
      <c r="N278" s="1061"/>
      <c r="O278" s="1059" t="s">
        <v>371</v>
      </c>
      <c r="P278" s="1062"/>
      <c r="Q278" s="1060"/>
      <c r="R278" s="1061"/>
      <c r="S278" s="1063" t="s">
        <v>372</v>
      </c>
      <c r="T278" s="1030"/>
      <c r="U278" s="1060"/>
      <c r="V278" s="1061"/>
      <c r="W278" s="1032"/>
      <c r="X278" s="1030"/>
      <c r="Y278" s="875"/>
      <c r="Z278" s="1031"/>
      <c r="AA278" s="1032"/>
      <c r="AB278" s="1030"/>
      <c r="AC278" s="875"/>
      <c r="AD278" s="875"/>
      <c r="AE278" s="1033"/>
      <c r="AF278" s="875"/>
      <c r="AG278" s="467"/>
      <c r="AH278" s="467"/>
      <c r="AI278" s="1026"/>
    </row>
    <row r="279" spans="1:35" ht="18" customHeight="1" x14ac:dyDescent="0.2">
      <c r="A279" s="70"/>
      <c r="B279" s="4001" t="s">
        <v>236</v>
      </c>
      <c r="C279" s="1059" t="s">
        <v>552</v>
      </c>
      <c r="D279" s="1030"/>
      <c r="E279" s="1060"/>
      <c r="F279" s="1061"/>
      <c r="G279" s="1059" t="s">
        <v>552</v>
      </c>
      <c r="H279" s="1030"/>
      <c r="I279" s="1060"/>
      <c r="J279" s="1061"/>
      <c r="K279" s="1059" t="s">
        <v>552</v>
      </c>
      <c r="L279" s="1030"/>
      <c r="M279" s="1060"/>
      <c r="N279" s="1061"/>
      <c r="O279" s="1059" t="s">
        <v>552</v>
      </c>
      <c r="P279" s="1030"/>
      <c r="Q279" s="1060"/>
      <c r="R279" s="1061"/>
      <c r="S279" s="1059" t="s">
        <v>553</v>
      </c>
      <c r="T279" s="1030"/>
      <c r="U279" s="1060"/>
      <c r="V279" s="1061"/>
      <c r="W279" s="1032"/>
      <c r="X279" s="1030"/>
      <c r="Y279" s="875"/>
      <c r="Z279" s="1031"/>
      <c r="AA279" s="1032"/>
      <c r="AB279" s="1030"/>
      <c r="AC279" s="875"/>
      <c r="AD279" s="875"/>
      <c r="AE279" s="1033"/>
      <c r="AF279" s="875"/>
      <c r="AG279" s="467"/>
      <c r="AH279" s="467"/>
      <c r="AI279" s="1026"/>
    </row>
    <row r="280" spans="1:35" ht="18" customHeight="1" thickBot="1" x14ac:dyDescent="0.25">
      <c r="B280" s="4002" t="s">
        <v>554</v>
      </c>
      <c r="C280" s="3926" t="s">
        <v>552</v>
      </c>
      <c r="D280" s="4003"/>
      <c r="E280" s="1060"/>
      <c r="F280" s="1061"/>
      <c r="G280" s="3926" t="s">
        <v>552</v>
      </c>
      <c r="H280" s="4003"/>
      <c r="I280" s="1060"/>
      <c r="J280" s="1061"/>
      <c r="K280" s="3926" t="s">
        <v>552</v>
      </c>
      <c r="L280" s="4003"/>
      <c r="M280" s="1060"/>
      <c r="N280" s="1061"/>
      <c r="O280" s="3926" t="s">
        <v>552</v>
      </c>
      <c r="P280" s="4003"/>
      <c r="Q280" s="1060"/>
      <c r="R280" s="1061"/>
      <c r="S280" s="3926" t="s">
        <v>553</v>
      </c>
      <c r="T280" s="1030"/>
      <c r="U280" s="1060"/>
      <c r="V280" s="1061"/>
      <c r="W280" s="1032"/>
      <c r="X280" s="1030"/>
      <c r="Y280" s="875"/>
      <c r="Z280" s="1031"/>
      <c r="AA280" s="1032"/>
      <c r="AB280" s="1030"/>
      <c r="AC280" s="875"/>
      <c r="AD280" s="875"/>
      <c r="AE280" s="1033"/>
      <c r="AF280" s="875"/>
      <c r="AG280" s="467"/>
      <c r="AH280" s="467"/>
      <c r="AI280" s="1026"/>
    </row>
    <row r="281" spans="1:35" ht="18" customHeight="1" x14ac:dyDescent="0.2">
      <c r="B281" s="37"/>
      <c r="C281" s="42"/>
      <c r="D281" s="5"/>
      <c r="G281" s="42"/>
      <c r="H281" s="5"/>
      <c r="K281" s="42"/>
      <c r="L281" s="5"/>
      <c r="O281" s="42"/>
      <c r="P281" s="5"/>
      <c r="S281" s="42"/>
      <c r="T281" s="42"/>
      <c r="X281" s="42"/>
      <c r="AB281" s="42"/>
      <c r="AE281" s="42"/>
    </row>
    <row r="282" spans="1:35" ht="18" customHeight="1" thickBot="1" x14ac:dyDescent="0.25">
      <c r="A282" s="1068" t="s">
        <v>374</v>
      </c>
    </row>
    <row r="283" spans="1:35" ht="18" customHeight="1" thickBot="1" x14ac:dyDescent="0.25">
      <c r="A283" s="3875"/>
      <c r="B283" s="2817" t="s">
        <v>44</v>
      </c>
      <c r="C283" s="2707">
        <v>1</v>
      </c>
      <c r="D283" s="2707">
        <v>2</v>
      </c>
      <c r="E283" s="2706">
        <v>3</v>
      </c>
      <c r="F283" s="2706">
        <v>4</v>
      </c>
      <c r="G283" s="2706">
        <v>5</v>
      </c>
      <c r="H283" s="2706">
        <v>6</v>
      </c>
      <c r="I283" s="2706">
        <v>7</v>
      </c>
      <c r="J283" s="2707">
        <v>8</v>
      </c>
      <c r="K283" s="2707">
        <v>9</v>
      </c>
      <c r="L283" s="2706">
        <v>10</v>
      </c>
      <c r="M283" s="2706">
        <v>11</v>
      </c>
      <c r="N283" s="2706">
        <v>12</v>
      </c>
      <c r="O283" s="2706">
        <v>13</v>
      </c>
      <c r="P283" s="2706">
        <v>14</v>
      </c>
      <c r="Q283" s="2707">
        <v>15</v>
      </c>
      <c r="R283" s="2707">
        <v>16</v>
      </c>
      <c r="S283" s="2706">
        <v>17</v>
      </c>
      <c r="T283" s="2706">
        <v>18</v>
      </c>
      <c r="U283" s="2706">
        <v>19</v>
      </c>
      <c r="V283" s="2706">
        <v>20</v>
      </c>
      <c r="W283" s="2706">
        <v>21</v>
      </c>
      <c r="X283" s="2707">
        <v>22</v>
      </c>
      <c r="Y283" s="2707">
        <v>23</v>
      </c>
      <c r="Z283" s="2706">
        <v>24</v>
      </c>
      <c r="AA283" s="2706">
        <v>25</v>
      </c>
      <c r="AB283" s="2706">
        <v>26</v>
      </c>
      <c r="AC283" s="2706">
        <v>27</v>
      </c>
      <c r="AD283" s="2706">
        <v>28</v>
      </c>
      <c r="AE283" s="2707">
        <v>29</v>
      </c>
      <c r="AF283" s="2707">
        <v>30</v>
      </c>
      <c r="AG283" s="2706">
        <v>31</v>
      </c>
      <c r="AH283" s="110"/>
      <c r="AI283" s="111"/>
    </row>
    <row r="284" spans="1:35" ht="18" customHeight="1" x14ac:dyDescent="0.2">
      <c r="A284" s="4004">
        <v>3702</v>
      </c>
      <c r="B284" s="4005" t="s">
        <v>375</v>
      </c>
      <c r="C284" s="3164"/>
      <c r="D284" s="3164"/>
      <c r="E284" s="4006" t="s">
        <v>46</v>
      </c>
      <c r="F284" s="4006" t="s">
        <v>46</v>
      </c>
      <c r="G284" s="4006" t="s">
        <v>46</v>
      </c>
      <c r="H284" s="4006" t="s">
        <v>46</v>
      </c>
      <c r="I284" s="4006" t="s">
        <v>46</v>
      </c>
      <c r="J284" s="4006"/>
      <c r="K284" s="4006"/>
      <c r="L284" s="4006" t="s">
        <v>46</v>
      </c>
      <c r="M284" s="4006" t="s">
        <v>46</v>
      </c>
      <c r="N284" s="4006" t="s">
        <v>46</v>
      </c>
      <c r="O284" s="4006" t="s">
        <v>46</v>
      </c>
      <c r="P284" s="4006" t="s">
        <v>46</v>
      </c>
      <c r="Q284" s="4006"/>
      <c r="R284" s="4006"/>
      <c r="S284" s="3185" t="s">
        <v>46</v>
      </c>
      <c r="T284" s="3185" t="s">
        <v>46</v>
      </c>
      <c r="U284" s="3185" t="s">
        <v>46</v>
      </c>
      <c r="V284" s="3185" t="s">
        <v>46</v>
      </c>
      <c r="W284" s="3194" t="s">
        <v>46</v>
      </c>
      <c r="X284" s="3164"/>
      <c r="Y284" s="3164"/>
      <c r="Z284" s="3185" t="s">
        <v>46</v>
      </c>
      <c r="AA284" s="3185" t="s">
        <v>46</v>
      </c>
      <c r="AB284" s="3185" t="s">
        <v>46</v>
      </c>
      <c r="AC284" s="3185" t="s">
        <v>46</v>
      </c>
      <c r="AD284" s="3185" t="s">
        <v>46</v>
      </c>
      <c r="AE284" s="3164"/>
      <c r="AF284" s="3164"/>
      <c r="AG284" s="3185" t="s">
        <v>46</v>
      </c>
      <c r="AH284" s="115"/>
      <c r="AI284" s="116"/>
    </row>
    <row r="285" spans="1:35" ht="18" customHeight="1" x14ac:dyDescent="0.2">
      <c r="A285" s="3505"/>
      <c r="B285" s="3766"/>
      <c r="C285" s="3366"/>
      <c r="D285" s="3366"/>
      <c r="E285" s="3366" t="s">
        <v>46</v>
      </c>
      <c r="F285" s="3366" t="s">
        <v>46</v>
      </c>
      <c r="G285" s="3366" t="s">
        <v>46</v>
      </c>
      <c r="H285" s="3366" t="s">
        <v>46</v>
      </c>
      <c r="I285" s="3366" t="s">
        <v>46</v>
      </c>
      <c r="J285" s="3366"/>
      <c r="K285" s="3366"/>
      <c r="L285" s="3366" t="s">
        <v>46</v>
      </c>
      <c r="M285" s="3366" t="s">
        <v>46</v>
      </c>
      <c r="N285" s="3366" t="s">
        <v>46</v>
      </c>
      <c r="O285" s="3366" t="s">
        <v>46</v>
      </c>
      <c r="P285" s="3366" t="s">
        <v>46</v>
      </c>
      <c r="Q285" s="3366"/>
      <c r="R285" s="3366"/>
      <c r="S285" s="3366" t="s">
        <v>46</v>
      </c>
      <c r="T285" s="3366" t="s">
        <v>46</v>
      </c>
      <c r="U285" s="3366" t="s">
        <v>46</v>
      </c>
      <c r="V285" s="3366" t="s">
        <v>46</v>
      </c>
      <c r="W285" s="3366" t="s">
        <v>46</v>
      </c>
      <c r="X285" s="3366"/>
      <c r="Y285" s="3366"/>
      <c r="Z285" s="3366" t="s">
        <v>46</v>
      </c>
      <c r="AA285" s="3366" t="s">
        <v>46</v>
      </c>
      <c r="AB285" s="3366" t="s">
        <v>46</v>
      </c>
      <c r="AC285" s="3366" t="s">
        <v>46</v>
      </c>
      <c r="AD285" s="3366" t="s">
        <v>46</v>
      </c>
      <c r="AE285" s="3366"/>
      <c r="AF285" s="3366"/>
      <c r="AG285" s="3366" t="s">
        <v>46</v>
      </c>
      <c r="AH285" s="115"/>
      <c r="AI285" s="116"/>
    </row>
    <row r="286" spans="1:35" ht="18" customHeight="1" x14ac:dyDescent="0.2">
      <c r="A286" s="4007"/>
      <c r="B286" s="4008"/>
      <c r="C286" s="3366"/>
      <c r="D286" s="3366"/>
      <c r="E286" s="3366" t="s">
        <v>46</v>
      </c>
      <c r="F286" s="3366" t="s">
        <v>46</v>
      </c>
      <c r="G286" s="3366" t="s">
        <v>46</v>
      </c>
      <c r="H286" s="3366" t="s">
        <v>46</v>
      </c>
      <c r="I286" s="3366" t="s">
        <v>46</v>
      </c>
      <c r="J286" s="3366"/>
      <c r="K286" s="3366"/>
      <c r="L286" s="3366" t="s">
        <v>46</v>
      </c>
      <c r="M286" s="3366" t="s">
        <v>46</v>
      </c>
      <c r="N286" s="3366" t="s">
        <v>0</v>
      </c>
      <c r="O286" s="3366" t="s">
        <v>46</v>
      </c>
      <c r="P286" s="3366" t="s">
        <v>46</v>
      </c>
      <c r="Q286" s="3366"/>
      <c r="R286" s="3366"/>
      <c r="S286" s="3366" t="s">
        <v>46</v>
      </c>
      <c r="T286" s="3366" t="s">
        <v>46</v>
      </c>
      <c r="U286" s="3366" t="s">
        <v>46</v>
      </c>
      <c r="V286" s="3366" t="s">
        <v>46</v>
      </c>
      <c r="W286" s="3366" t="s">
        <v>46</v>
      </c>
      <c r="X286" s="3366"/>
      <c r="Y286" s="3366"/>
      <c r="Z286" s="3366" t="s">
        <v>46</v>
      </c>
      <c r="AA286" s="3366" t="s">
        <v>46</v>
      </c>
      <c r="AB286" s="3366" t="s">
        <v>46</v>
      </c>
      <c r="AC286" s="3366" t="s">
        <v>46</v>
      </c>
      <c r="AD286" s="3366" t="s">
        <v>46</v>
      </c>
      <c r="AE286" s="3366"/>
      <c r="AF286" s="3366"/>
      <c r="AG286" s="3366" t="s">
        <v>46</v>
      </c>
      <c r="AH286" s="115"/>
      <c r="AI286" s="116"/>
    </row>
    <row r="287" spans="1:35" ht="18" customHeight="1" x14ac:dyDescent="0.2">
      <c r="A287" s="4009"/>
      <c r="B287" s="4010"/>
      <c r="C287" s="3366"/>
      <c r="D287" s="3366"/>
      <c r="E287" s="3366"/>
      <c r="F287" s="3366"/>
      <c r="G287" s="3366"/>
      <c r="H287" s="3366"/>
      <c r="I287" s="3366"/>
      <c r="J287" s="3366"/>
      <c r="K287" s="3366"/>
      <c r="L287" s="3366"/>
      <c r="M287" s="3366"/>
      <c r="N287" s="3366"/>
      <c r="O287" s="3366"/>
      <c r="P287" s="3366"/>
      <c r="Q287" s="3366"/>
      <c r="R287" s="3366"/>
      <c r="S287" s="3366"/>
      <c r="T287" s="3366"/>
      <c r="U287" s="3366"/>
      <c r="V287" s="3366"/>
      <c r="W287" s="3366"/>
      <c r="X287" s="3366"/>
      <c r="Y287" s="3366"/>
      <c r="Z287" s="3366"/>
      <c r="AA287" s="3366"/>
      <c r="AB287" s="3366"/>
      <c r="AC287" s="3366"/>
      <c r="AD287" s="3366"/>
      <c r="AE287" s="3366"/>
      <c r="AF287" s="3366"/>
      <c r="AG287" s="3366"/>
      <c r="AH287" s="115"/>
      <c r="AI287" s="116"/>
    </row>
    <row r="288" spans="1:35" ht="18" customHeight="1" x14ac:dyDescent="0.2">
      <c r="A288" s="4011"/>
      <c r="B288" s="4012" t="s">
        <v>376</v>
      </c>
      <c r="C288" s="4013"/>
      <c r="D288" s="4013"/>
      <c r="E288" s="4013"/>
      <c r="F288" s="4013"/>
      <c r="G288" s="4013"/>
      <c r="H288" s="4013"/>
      <c r="I288" s="4013"/>
      <c r="J288" s="4013"/>
      <c r="K288" s="4013"/>
      <c r="L288" s="4013"/>
      <c r="M288" s="4013"/>
      <c r="N288" s="4013"/>
      <c r="O288" s="4013"/>
      <c r="P288" s="4013"/>
      <c r="Q288" s="4013"/>
      <c r="R288" s="4013"/>
      <c r="S288" s="4013"/>
      <c r="T288" s="4013"/>
      <c r="U288" s="4013"/>
      <c r="V288" s="4013"/>
      <c r="W288" s="4013"/>
      <c r="X288" s="4013"/>
      <c r="Y288" s="4013"/>
      <c r="Z288" s="4013"/>
      <c r="AA288" s="4013"/>
      <c r="AB288" s="4013"/>
      <c r="AC288" s="4013"/>
      <c r="AD288" s="4013"/>
      <c r="AE288" s="4013"/>
      <c r="AF288" s="4013"/>
      <c r="AG288" s="4013"/>
      <c r="AH288" s="113"/>
      <c r="AI288" s="114"/>
    </row>
    <row r="289" spans="1:36" ht="18" customHeight="1" thickBot="1" x14ac:dyDescent="0.25">
      <c r="A289" s="4007">
        <v>3702</v>
      </c>
      <c r="B289" s="3511" t="s">
        <v>377</v>
      </c>
      <c r="C289" s="3521"/>
      <c r="D289" s="3519"/>
      <c r="E289" s="3519" t="s">
        <v>382</v>
      </c>
      <c r="F289" s="3519" t="s">
        <v>382</v>
      </c>
      <c r="G289" s="3519" t="s">
        <v>382</v>
      </c>
      <c r="H289" s="3519" t="s">
        <v>382</v>
      </c>
      <c r="I289" s="3519" t="s">
        <v>382</v>
      </c>
      <c r="J289" s="3521"/>
      <c r="K289" s="3519"/>
      <c r="L289" s="3572" t="s">
        <v>380</v>
      </c>
      <c r="M289" s="3572" t="s">
        <v>380</v>
      </c>
      <c r="N289" s="3572" t="s">
        <v>380</v>
      </c>
      <c r="O289" s="3572" t="s">
        <v>380</v>
      </c>
      <c r="P289" s="3572" t="s">
        <v>380</v>
      </c>
      <c r="Q289" s="3521"/>
      <c r="R289" s="3519"/>
      <c r="S289" s="3519" t="s">
        <v>378</v>
      </c>
      <c r="T289" s="3521" t="s">
        <v>378</v>
      </c>
      <c r="U289" s="3521" t="s">
        <v>378</v>
      </c>
      <c r="V289" s="3521" t="s">
        <v>378</v>
      </c>
      <c r="W289" s="3521" t="s">
        <v>378</v>
      </c>
      <c r="X289" s="3521"/>
      <c r="Y289" s="3519"/>
      <c r="Z289" s="3519" t="s">
        <v>382</v>
      </c>
      <c r="AA289" s="3519" t="s">
        <v>382</v>
      </c>
      <c r="AB289" s="3519" t="s">
        <v>382</v>
      </c>
      <c r="AC289" s="3519" t="s">
        <v>382</v>
      </c>
      <c r="AD289" s="3519" t="s">
        <v>382</v>
      </c>
      <c r="AE289" s="3521"/>
      <c r="AF289" s="3519"/>
      <c r="AG289" s="3572" t="s">
        <v>380</v>
      </c>
      <c r="AH289" s="115"/>
      <c r="AI289" s="116"/>
    </row>
    <row r="290" spans="1:36" ht="18" customHeight="1" x14ac:dyDescent="0.2">
      <c r="A290" s="4007"/>
      <c r="B290" s="3511" t="s">
        <v>379</v>
      </c>
      <c r="C290" s="3521"/>
      <c r="D290" s="3521"/>
      <c r="E290" s="3521" t="s">
        <v>378</v>
      </c>
      <c r="F290" s="3521" t="s">
        <v>378</v>
      </c>
      <c r="G290" s="3521" t="s">
        <v>378</v>
      </c>
      <c r="H290" s="3521" t="s">
        <v>378</v>
      </c>
      <c r="I290" s="3521" t="s">
        <v>378</v>
      </c>
      <c r="J290" s="3521"/>
      <c r="K290" s="3521"/>
      <c r="L290" s="3519" t="s">
        <v>382</v>
      </c>
      <c r="M290" s="3519" t="s">
        <v>382</v>
      </c>
      <c r="N290" s="3519" t="s">
        <v>382</v>
      </c>
      <c r="O290" s="3519" t="s">
        <v>382</v>
      </c>
      <c r="P290" s="3522" t="s">
        <v>382</v>
      </c>
      <c r="Q290" s="3521"/>
      <c r="R290" s="3521"/>
      <c r="S290" s="3521" t="s">
        <v>380</v>
      </c>
      <c r="T290" s="3521" t="s">
        <v>380</v>
      </c>
      <c r="U290" s="3521" t="s">
        <v>380</v>
      </c>
      <c r="V290" s="3521" t="s">
        <v>380</v>
      </c>
      <c r="W290" s="3521" t="s">
        <v>380</v>
      </c>
      <c r="X290" s="3521"/>
      <c r="Y290" s="3521"/>
      <c r="Z290" s="3521" t="s">
        <v>378</v>
      </c>
      <c r="AA290" s="3521" t="s">
        <v>378</v>
      </c>
      <c r="AB290" s="3521" t="s">
        <v>378</v>
      </c>
      <c r="AC290" s="3521" t="s">
        <v>378</v>
      </c>
      <c r="AD290" s="3521" t="s">
        <v>378</v>
      </c>
      <c r="AE290" s="3521"/>
      <c r="AF290" s="3521"/>
      <c r="AG290" s="3519" t="s">
        <v>382</v>
      </c>
      <c r="AH290" s="115"/>
      <c r="AI290" s="116"/>
    </row>
    <row r="291" spans="1:36" ht="18" customHeight="1" x14ac:dyDescent="0.2">
      <c r="A291" s="4014"/>
      <c r="B291" s="3531" t="s">
        <v>381</v>
      </c>
      <c r="C291" s="3535"/>
      <c r="D291" s="3572"/>
      <c r="E291" s="4015" t="s">
        <v>380</v>
      </c>
      <c r="F291" s="3572" t="s">
        <v>380</v>
      </c>
      <c r="G291" s="3572" t="s">
        <v>380</v>
      </c>
      <c r="H291" s="3572" t="s">
        <v>380</v>
      </c>
      <c r="I291" s="3572" t="s">
        <v>380</v>
      </c>
      <c r="J291" s="3535"/>
      <c r="K291" s="3572"/>
      <c r="L291" s="3521" t="s">
        <v>378</v>
      </c>
      <c r="M291" s="3509" t="s">
        <v>378</v>
      </c>
      <c r="N291" s="3509" t="s">
        <v>378</v>
      </c>
      <c r="O291" s="3818" t="s">
        <v>378</v>
      </c>
      <c r="P291" s="3818" t="s">
        <v>378</v>
      </c>
      <c r="Q291" s="3535"/>
      <c r="R291" s="3572"/>
      <c r="S291" s="3519" t="s">
        <v>382</v>
      </c>
      <c r="T291" s="3519" t="s">
        <v>382</v>
      </c>
      <c r="U291" s="3519" t="s">
        <v>382</v>
      </c>
      <c r="V291" s="3519" t="s">
        <v>382</v>
      </c>
      <c r="W291" s="3523" t="s">
        <v>382</v>
      </c>
      <c r="X291" s="3535"/>
      <c r="Y291" s="3572"/>
      <c r="Z291" s="4016" t="s">
        <v>380</v>
      </c>
      <c r="AA291" s="4016" t="s">
        <v>380</v>
      </c>
      <c r="AB291" s="4016" t="s">
        <v>380</v>
      </c>
      <c r="AC291" s="4016" t="s">
        <v>380</v>
      </c>
      <c r="AD291" s="4016" t="s">
        <v>380</v>
      </c>
      <c r="AE291" s="3575"/>
      <c r="AF291" s="3575"/>
      <c r="AG291" s="3509" t="s">
        <v>378</v>
      </c>
      <c r="AH291" s="115"/>
      <c r="AI291" s="116"/>
    </row>
    <row r="292" spans="1:36" ht="18" customHeight="1" x14ac:dyDescent="0.2"/>
    <row r="293" spans="1:36" ht="18" customHeight="1" x14ac:dyDescent="0.2"/>
    <row r="294" spans="1:36" ht="18" customHeight="1" x14ac:dyDescent="0.2">
      <c r="A294" s="103" t="s">
        <v>383</v>
      </c>
    </row>
    <row r="295" spans="1:36" ht="18" customHeight="1" x14ac:dyDescent="0.2">
      <c r="A295" s="1"/>
      <c r="B295" s="4000" t="s">
        <v>340</v>
      </c>
      <c r="C295" s="3266"/>
      <c r="D295" s="3291" t="s">
        <v>17</v>
      </c>
      <c r="E295" s="3177"/>
      <c r="F295" s="3270"/>
      <c r="G295" s="3266"/>
      <c r="H295" s="3291" t="s">
        <v>18</v>
      </c>
      <c r="I295" s="3177"/>
      <c r="J295" s="3270"/>
      <c r="K295" s="3266"/>
      <c r="L295" s="3291" t="s">
        <v>19</v>
      </c>
      <c r="M295" s="3177"/>
      <c r="N295" s="3270"/>
      <c r="O295" s="3266"/>
      <c r="P295" s="3291" t="s">
        <v>20</v>
      </c>
      <c r="Q295" s="3177"/>
      <c r="R295" s="3270"/>
      <c r="S295" s="3266"/>
      <c r="T295" s="3291" t="s">
        <v>21</v>
      </c>
      <c r="U295" s="3177"/>
      <c r="V295" s="3270"/>
      <c r="W295" s="3266"/>
      <c r="X295" s="3291" t="s">
        <v>22</v>
      </c>
      <c r="Y295" s="3177"/>
      <c r="Z295" s="3270"/>
      <c r="AA295" s="3266"/>
      <c r="AB295" s="3291" t="s">
        <v>23</v>
      </c>
      <c r="AC295" s="3177"/>
      <c r="AD295" s="3177"/>
      <c r="AE295" s="3294" t="s">
        <v>126</v>
      </c>
      <c r="AF295" s="3177"/>
      <c r="AG295" s="3177"/>
      <c r="AH295" s="3177"/>
      <c r="AI295" s="3178"/>
    </row>
    <row r="296" spans="1:36" ht="18" customHeight="1" x14ac:dyDescent="0.2">
      <c r="A296" s="1"/>
      <c r="B296" s="452"/>
      <c r="C296" s="457"/>
      <c r="D296" s="1030"/>
      <c r="E296" s="467"/>
      <c r="F296" s="1077"/>
      <c r="G296" s="457"/>
      <c r="H296" s="1030"/>
      <c r="I296" s="467"/>
      <c r="J296" s="1077"/>
      <c r="K296" s="457"/>
      <c r="L296" s="1030"/>
      <c r="M296" s="467"/>
      <c r="N296" s="1077"/>
      <c r="O296" s="457"/>
      <c r="P296" s="1030"/>
      <c r="Q296" s="467"/>
      <c r="R296" s="1077"/>
      <c r="S296" s="457"/>
      <c r="T296" s="1030"/>
      <c r="U296" s="467"/>
      <c r="V296" s="1077"/>
      <c r="W296" s="457"/>
      <c r="X296" s="1030"/>
      <c r="Y296" s="467"/>
      <c r="Z296" s="1077"/>
      <c r="AA296" s="457"/>
      <c r="AB296" s="1030"/>
      <c r="AC296" s="467"/>
      <c r="AD296" s="467"/>
      <c r="AE296" s="1033"/>
      <c r="AF296" s="467"/>
      <c r="AG296" s="467"/>
      <c r="AH296" s="467"/>
      <c r="AI296" s="1026"/>
    </row>
    <row r="297" spans="1:36" ht="18" customHeight="1" x14ac:dyDescent="0.2">
      <c r="A297" s="70"/>
      <c r="B297" s="4001"/>
      <c r="C297" s="3594"/>
      <c r="D297" s="3754"/>
      <c r="E297" s="3754"/>
      <c r="F297" s="3879"/>
      <c r="G297" s="3594"/>
      <c r="H297" s="3754"/>
      <c r="I297" s="3754"/>
      <c r="J297" s="3879"/>
      <c r="K297" s="3594"/>
      <c r="L297" s="3754"/>
      <c r="M297" s="3754"/>
      <c r="N297" s="3879"/>
      <c r="O297" s="3594"/>
      <c r="P297" s="3754"/>
      <c r="Q297" s="3754"/>
      <c r="R297" s="3879"/>
      <c r="S297" s="3594"/>
      <c r="T297" s="3754"/>
      <c r="U297" s="3754"/>
      <c r="V297" s="3879"/>
      <c r="W297" s="3594"/>
      <c r="X297" s="3754"/>
      <c r="Y297" s="3754"/>
      <c r="Z297" s="3879"/>
      <c r="AA297" s="3877"/>
      <c r="AB297" s="3754"/>
      <c r="AC297" s="3754"/>
      <c r="AD297" s="3595"/>
      <c r="AE297" s="4017"/>
      <c r="AF297" s="3754"/>
      <c r="AG297" s="3754"/>
      <c r="AH297" s="3595"/>
      <c r="AI297" s="3928"/>
    </row>
    <row r="298" spans="1:36" ht="18" customHeight="1" x14ac:dyDescent="0.2">
      <c r="A298" s="1"/>
      <c r="B298" s="3888"/>
      <c r="C298" s="3889"/>
      <c r="D298" s="3562"/>
      <c r="E298" s="3562"/>
      <c r="F298" s="3908"/>
      <c r="G298" s="3889"/>
      <c r="H298" s="3562"/>
      <c r="I298" s="3562"/>
      <c r="J298" s="3908"/>
      <c r="K298" s="3889"/>
      <c r="L298" s="3562"/>
      <c r="M298" s="3562"/>
      <c r="N298" s="3908"/>
      <c r="O298" s="3889"/>
      <c r="P298" s="3562"/>
      <c r="Q298" s="3562"/>
      <c r="R298" s="3908"/>
      <c r="S298" s="3889"/>
      <c r="T298" s="3562"/>
      <c r="U298" s="3562"/>
      <c r="V298" s="3908"/>
      <c r="W298" s="3906"/>
      <c r="X298" s="3562"/>
      <c r="Y298" s="3562"/>
      <c r="Z298" s="3908"/>
      <c r="AA298" s="3906"/>
      <c r="AB298" s="3562"/>
      <c r="AC298" s="3562"/>
      <c r="AD298" s="3896"/>
      <c r="AE298" s="3906"/>
      <c r="AF298" s="3562"/>
      <c r="AG298" s="3562"/>
      <c r="AH298" s="3896"/>
      <c r="AI298" s="3569"/>
    </row>
    <row r="299" spans="1:36" ht="18" customHeight="1" x14ac:dyDescent="0.2">
      <c r="A299" s="1"/>
      <c r="B299" s="5"/>
      <c r="C299" s="42"/>
      <c r="F299" s="46"/>
      <c r="G299" s="42"/>
      <c r="J299" s="46"/>
      <c r="K299" s="42"/>
      <c r="N299" s="46"/>
      <c r="O299" s="42"/>
      <c r="R299" s="46"/>
      <c r="S299" s="42"/>
      <c r="V299" s="46"/>
      <c r="W299" s="46"/>
      <c r="Z299" s="46"/>
      <c r="AA299" s="46"/>
      <c r="AD299" s="46"/>
      <c r="AE299" s="46"/>
      <c r="AH299" s="46"/>
    </row>
    <row r="300" spans="1:36" ht="18" customHeight="1" x14ac:dyDescent="0.2">
      <c r="A300" s="103" t="s">
        <v>384</v>
      </c>
      <c r="B300" s="5"/>
      <c r="C300" s="42"/>
      <c r="F300" s="46"/>
      <c r="G300" s="42"/>
      <c r="J300" s="46"/>
      <c r="K300" s="42"/>
      <c r="N300" s="46"/>
      <c r="O300" s="42"/>
      <c r="R300" s="46"/>
      <c r="S300" s="42"/>
      <c r="V300" s="46"/>
      <c r="W300" s="46"/>
      <c r="Z300" s="46"/>
      <c r="AA300" s="46"/>
      <c r="AD300" s="46"/>
      <c r="AE300" s="46"/>
      <c r="AH300" s="208"/>
      <c r="AI300" s="123"/>
      <c r="AJ300" s="123"/>
    </row>
    <row r="301" spans="1:36" ht="18" customHeight="1" x14ac:dyDescent="0.2">
      <c r="A301" s="3875" t="s">
        <v>43</v>
      </c>
      <c r="B301" s="2817" t="s">
        <v>44</v>
      </c>
      <c r="C301" s="2707">
        <v>1</v>
      </c>
      <c r="D301" s="2707">
        <v>2</v>
      </c>
      <c r="E301" s="2706">
        <v>3</v>
      </c>
      <c r="F301" s="2706">
        <v>4</v>
      </c>
      <c r="G301" s="2706">
        <v>5</v>
      </c>
      <c r="H301" s="2706">
        <v>6</v>
      </c>
      <c r="I301" s="2706">
        <v>7</v>
      </c>
      <c r="J301" s="2707">
        <v>8</v>
      </c>
      <c r="K301" s="2707">
        <v>9</v>
      </c>
      <c r="L301" s="2706">
        <v>10</v>
      </c>
      <c r="M301" s="2706">
        <v>11</v>
      </c>
      <c r="N301" s="2706">
        <v>12</v>
      </c>
      <c r="O301" s="2706">
        <v>13</v>
      </c>
      <c r="P301" s="2706">
        <v>14</v>
      </c>
      <c r="Q301" s="2707">
        <v>15</v>
      </c>
      <c r="R301" s="2707">
        <v>16</v>
      </c>
      <c r="S301" s="2706">
        <v>17</v>
      </c>
      <c r="T301" s="2706">
        <v>18</v>
      </c>
      <c r="U301" s="2706">
        <v>19</v>
      </c>
      <c r="V301" s="2706">
        <v>20</v>
      </c>
      <c r="W301" s="2706">
        <v>21</v>
      </c>
      <c r="X301" s="2707">
        <v>22</v>
      </c>
      <c r="Y301" s="2707">
        <v>23</v>
      </c>
      <c r="Z301" s="2706">
        <v>24</v>
      </c>
      <c r="AA301" s="2706">
        <v>25</v>
      </c>
      <c r="AB301" s="2706">
        <v>26</v>
      </c>
      <c r="AC301" s="2706">
        <v>27</v>
      </c>
      <c r="AD301" s="2706">
        <v>28</v>
      </c>
      <c r="AE301" s="2707">
        <v>29</v>
      </c>
      <c r="AF301" s="2707">
        <v>30</v>
      </c>
      <c r="AG301" s="2706">
        <v>31</v>
      </c>
      <c r="AH301" s="209"/>
      <c r="AI301" s="210"/>
      <c r="AJ301" s="123"/>
    </row>
    <row r="302" spans="1:36" ht="18" customHeight="1" x14ac:dyDescent="0.2">
      <c r="A302" s="4018"/>
      <c r="B302" s="3227"/>
      <c r="C302" s="3366"/>
      <c r="D302" s="3366"/>
      <c r="E302" s="3366" t="s">
        <v>46</v>
      </c>
      <c r="F302" s="3366" t="s">
        <v>46</v>
      </c>
      <c r="G302" s="3366" t="s">
        <v>46</v>
      </c>
      <c r="H302" s="3366" t="s">
        <v>46</v>
      </c>
      <c r="I302" s="3366" t="s">
        <v>46</v>
      </c>
      <c r="J302" s="3366"/>
      <c r="K302" s="3366"/>
      <c r="L302" s="3366" t="s">
        <v>46</v>
      </c>
      <c r="M302" s="3366" t="s">
        <v>46</v>
      </c>
      <c r="N302" s="3366" t="s">
        <v>46</v>
      </c>
      <c r="O302" s="3366" t="s">
        <v>46</v>
      </c>
      <c r="P302" s="3366" t="s">
        <v>46</v>
      </c>
      <c r="Q302" s="3366"/>
      <c r="R302" s="3366"/>
      <c r="S302" s="3366" t="s">
        <v>46</v>
      </c>
      <c r="T302" s="3366" t="s">
        <v>46</v>
      </c>
      <c r="U302" s="3366" t="s">
        <v>46</v>
      </c>
      <c r="V302" s="3366" t="s">
        <v>46</v>
      </c>
      <c r="W302" s="3366" t="s">
        <v>46</v>
      </c>
      <c r="X302" s="3366"/>
      <c r="Y302" s="3366"/>
      <c r="Z302" s="3366" t="s">
        <v>46</v>
      </c>
      <c r="AA302" s="3366" t="s">
        <v>46</v>
      </c>
      <c r="AB302" s="3366" t="s">
        <v>46</v>
      </c>
      <c r="AC302" s="3366" t="s">
        <v>46</v>
      </c>
      <c r="AD302" s="3366" t="s">
        <v>46</v>
      </c>
      <c r="AE302" s="3366"/>
      <c r="AF302" s="3366"/>
      <c r="AG302" s="3366" t="s">
        <v>46</v>
      </c>
      <c r="AH302" s="211"/>
      <c r="AI302" s="212"/>
      <c r="AJ302" s="123"/>
    </row>
    <row r="303" spans="1:36" ht="18" customHeight="1" x14ac:dyDescent="0.2">
      <c r="A303" s="4019"/>
      <c r="B303" s="3804" t="s">
        <v>385</v>
      </c>
      <c r="C303" s="3366"/>
      <c r="D303" s="3366"/>
      <c r="E303" s="3366" t="s">
        <v>46</v>
      </c>
      <c r="F303" s="3366" t="s">
        <v>46</v>
      </c>
      <c r="G303" s="3366" t="s">
        <v>46</v>
      </c>
      <c r="H303" s="3366" t="s">
        <v>46</v>
      </c>
      <c r="I303" s="3366" t="s">
        <v>46</v>
      </c>
      <c r="J303" s="3366"/>
      <c r="K303" s="3366"/>
      <c r="L303" s="3366" t="s">
        <v>46</v>
      </c>
      <c r="M303" s="3366" t="s">
        <v>46</v>
      </c>
      <c r="N303" s="3366" t="s">
        <v>46</v>
      </c>
      <c r="O303" s="3366" t="s">
        <v>46</v>
      </c>
      <c r="P303" s="3366" t="s">
        <v>46</v>
      </c>
      <c r="Q303" s="3366"/>
      <c r="R303" s="3366"/>
      <c r="S303" s="3366" t="s">
        <v>46</v>
      </c>
      <c r="T303" s="3366" t="s">
        <v>46</v>
      </c>
      <c r="U303" s="3366" t="s">
        <v>46</v>
      </c>
      <c r="V303" s="3366" t="s">
        <v>46</v>
      </c>
      <c r="W303" s="3366" t="s">
        <v>46</v>
      </c>
      <c r="X303" s="3366"/>
      <c r="Y303" s="3366"/>
      <c r="Z303" s="3366" t="s">
        <v>46</v>
      </c>
      <c r="AA303" s="3366" t="s">
        <v>46</v>
      </c>
      <c r="AB303" s="3366" t="s">
        <v>46</v>
      </c>
      <c r="AC303" s="3366" t="s">
        <v>46</v>
      </c>
      <c r="AD303" s="3366" t="s">
        <v>46</v>
      </c>
      <c r="AE303" s="3366"/>
      <c r="AF303" s="3366"/>
      <c r="AG303" s="3366" t="s">
        <v>46</v>
      </c>
      <c r="AH303" s="211"/>
      <c r="AI303" s="212"/>
      <c r="AJ303" s="123"/>
    </row>
    <row r="304" spans="1:36" ht="18" customHeight="1" x14ac:dyDescent="0.2">
      <c r="A304" s="3990"/>
      <c r="B304" s="3804" t="s">
        <v>386</v>
      </c>
      <c r="C304" s="3366"/>
      <c r="D304" s="3366"/>
      <c r="E304" s="3366" t="s">
        <v>46</v>
      </c>
      <c r="F304" s="3366" t="s">
        <v>46</v>
      </c>
      <c r="G304" s="3366" t="s">
        <v>46</v>
      </c>
      <c r="H304" s="3366" t="s">
        <v>46</v>
      </c>
      <c r="I304" s="3366" t="s">
        <v>46</v>
      </c>
      <c r="J304" s="3366"/>
      <c r="K304" s="3366"/>
      <c r="L304" s="3366" t="s">
        <v>46</v>
      </c>
      <c r="M304" s="3366" t="s">
        <v>46</v>
      </c>
      <c r="N304" s="3366" t="s">
        <v>46</v>
      </c>
      <c r="O304" s="3366" t="s">
        <v>46</v>
      </c>
      <c r="P304" s="3366" t="s">
        <v>46</v>
      </c>
      <c r="Q304" s="3366"/>
      <c r="R304" s="3366"/>
      <c r="S304" s="3366" t="s">
        <v>46</v>
      </c>
      <c r="T304" s="3366" t="s">
        <v>46</v>
      </c>
      <c r="U304" s="3366" t="s">
        <v>46</v>
      </c>
      <c r="V304" s="3366" t="s">
        <v>46</v>
      </c>
      <c r="W304" s="3366" t="s">
        <v>46</v>
      </c>
      <c r="X304" s="3366"/>
      <c r="Y304" s="3366"/>
      <c r="Z304" s="3366" t="s">
        <v>46</v>
      </c>
      <c r="AA304" s="3366" t="s">
        <v>46</v>
      </c>
      <c r="AB304" s="3366" t="s">
        <v>46</v>
      </c>
      <c r="AC304" s="3366" t="s">
        <v>46</v>
      </c>
      <c r="AD304" s="3366" t="s">
        <v>46</v>
      </c>
      <c r="AE304" s="3366"/>
      <c r="AF304" s="3366"/>
      <c r="AG304" s="3366" t="s">
        <v>46</v>
      </c>
      <c r="AH304" s="211"/>
      <c r="AI304" s="212"/>
      <c r="AJ304" s="123"/>
    </row>
    <row r="305" spans="1:36" ht="18" customHeight="1" x14ac:dyDescent="0.2">
      <c r="A305" s="3990"/>
      <c r="B305" s="3804" t="s">
        <v>387</v>
      </c>
      <c r="C305" s="3366"/>
      <c r="D305" s="3366"/>
      <c r="E305" s="3366" t="s">
        <v>46</v>
      </c>
      <c r="F305" s="3366" t="s">
        <v>46</v>
      </c>
      <c r="G305" s="3366" t="s">
        <v>46</v>
      </c>
      <c r="H305" s="3366" t="s">
        <v>46</v>
      </c>
      <c r="I305" s="3366" t="s">
        <v>46</v>
      </c>
      <c r="J305" s="3366"/>
      <c r="K305" s="3366"/>
      <c r="L305" s="3366" t="s">
        <v>46</v>
      </c>
      <c r="M305" s="3366" t="s">
        <v>46</v>
      </c>
      <c r="N305" s="3366" t="s">
        <v>46</v>
      </c>
      <c r="O305" s="3366" t="s">
        <v>46</v>
      </c>
      <c r="P305" s="3366" t="s">
        <v>46</v>
      </c>
      <c r="Q305" s="3366"/>
      <c r="R305" s="3366"/>
      <c r="S305" s="3366" t="s">
        <v>46</v>
      </c>
      <c r="T305" s="3366" t="s">
        <v>46</v>
      </c>
      <c r="U305" s="3366" t="s">
        <v>46</v>
      </c>
      <c r="V305" s="3366" t="s">
        <v>46</v>
      </c>
      <c r="W305" s="3366" t="s">
        <v>46</v>
      </c>
      <c r="X305" s="3366"/>
      <c r="Y305" s="3366"/>
      <c r="Z305" s="3366" t="s">
        <v>46</v>
      </c>
      <c r="AA305" s="3366" t="s">
        <v>46</v>
      </c>
      <c r="AB305" s="3366" t="s">
        <v>46</v>
      </c>
      <c r="AC305" s="3366" t="s">
        <v>46</v>
      </c>
      <c r="AD305" s="3366" t="s">
        <v>46</v>
      </c>
      <c r="AE305" s="3366"/>
      <c r="AF305" s="3366"/>
      <c r="AG305" s="3366" t="s">
        <v>46</v>
      </c>
      <c r="AH305" s="211"/>
      <c r="AI305" s="212"/>
      <c r="AJ305" s="123"/>
    </row>
    <row r="306" spans="1:36" ht="18" customHeight="1" x14ac:dyDescent="0.2">
      <c r="A306" s="3990"/>
      <c r="B306" s="3804" t="s">
        <v>388</v>
      </c>
      <c r="C306" s="3366"/>
      <c r="D306" s="3366"/>
      <c r="E306" s="3366" t="s">
        <v>46</v>
      </c>
      <c r="F306" s="3366" t="s">
        <v>46</v>
      </c>
      <c r="G306" s="3366" t="s">
        <v>46</v>
      </c>
      <c r="H306" s="3366" t="s">
        <v>46</v>
      </c>
      <c r="I306" s="3366" t="s">
        <v>46</v>
      </c>
      <c r="J306" s="3366"/>
      <c r="K306" s="3366"/>
      <c r="L306" s="3366" t="s">
        <v>46</v>
      </c>
      <c r="M306" s="3366" t="s">
        <v>46</v>
      </c>
      <c r="N306" s="3366" t="s">
        <v>46</v>
      </c>
      <c r="O306" s="3366" t="s">
        <v>46</v>
      </c>
      <c r="P306" s="3366" t="s">
        <v>46</v>
      </c>
      <c r="Q306" s="3366"/>
      <c r="R306" s="3366"/>
      <c r="S306" s="3366" t="s">
        <v>46</v>
      </c>
      <c r="T306" s="3366" t="s">
        <v>46</v>
      </c>
      <c r="U306" s="3366" t="s">
        <v>46</v>
      </c>
      <c r="V306" s="3366" t="s">
        <v>46</v>
      </c>
      <c r="W306" s="3366" t="s">
        <v>46</v>
      </c>
      <c r="X306" s="3366"/>
      <c r="Y306" s="3366"/>
      <c r="Z306" s="3366" t="s">
        <v>46</v>
      </c>
      <c r="AA306" s="3366" t="s">
        <v>46</v>
      </c>
      <c r="AB306" s="3366" t="s">
        <v>46</v>
      </c>
      <c r="AC306" s="3366" t="s">
        <v>46</v>
      </c>
      <c r="AD306" s="3366" t="s">
        <v>46</v>
      </c>
      <c r="AE306" s="3366"/>
      <c r="AF306" s="3366"/>
      <c r="AG306" s="3366" t="s">
        <v>46</v>
      </c>
      <c r="AH306" s="211"/>
      <c r="AI306" s="212"/>
      <c r="AJ306" s="123"/>
    </row>
    <row r="307" spans="1:36" ht="18" customHeight="1" x14ac:dyDescent="0.2">
      <c r="A307" s="3990"/>
      <c r="B307" s="3804" t="s">
        <v>389</v>
      </c>
      <c r="C307" s="3366"/>
      <c r="D307" s="3366"/>
      <c r="E307" s="3366" t="s">
        <v>46</v>
      </c>
      <c r="F307" s="3366" t="s">
        <v>46</v>
      </c>
      <c r="G307" s="3366" t="s">
        <v>46</v>
      </c>
      <c r="H307" s="3366" t="s">
        <v>46</v>
      </c>
      <c r="I307" s="3366" t="s">
        <v>46</v>
      </c>
      <c r="J307" s="3366"/>
      <c r="K307" s="3366"/>
      <c r="L307" s="3366" t="s">
        <v>46</v>
      </c>
      <c r="M307" s="3366" t="s">
        <v>46</v>
      </c>
      <c r="N307" s="3366" t="s">
        <v>46</v>
      </c>
      <c r="O307" s="3366" t="s">
        <v>46</v>
      </c>
      <c r="P307" s="3366" t="s">
        <v>46</v>
      </c>
      <c r="Q307" s="3366"/>
      <c r="R307" s="3366"/>
      <c r="S307" s="3366" t="s">
        <v>46</v>
      </c>
      <c r="T307" s="3366" t="s">
        <v>46</v>
      </c>
      <c r="U307" s="3366" t="s">
        <v>46</v>
      </c>
      <c r="V307" s="3366" t="s">
        <v>46</v>
      </c>
      <c r="W307" s="3366" t="s">
        <v>46</v>
      </c>
      <c r="X307" s="3366"/>
      <c r="Y307" s="3366"/>
      <c r="Z307" s="3366" t="s">
        <v>46</v>
      </c>
      <c r="AA307" s="3366" t="s">
        <v>46</v>
      </c>
      <c r="AB307" s="3366" t="s">
        <v>46</v>
      </c>
      <c r="AC307" s="3366" t="s">
        <v>46</v>
      </c>
      <c r="AD307" s="3366" t="s">
        <v>46</v>
      </c>
      <c r="AE307" s="3366"/>
      <c r="AF307" s="3366"/>
      <c r="AG307" s="3366" t="s">
        <v>46</v>
      </c>
      <c r="AH307" s="211"/>
      <c r="AI307" s="212"/>
      <c r="AJ307" s="123"/>
    </row>
    <row r="308" spans="1:36" ht="18" customHeight="1" x14ac:dyDescent="0.2">
      <c r="A308" s="3990"/>
      <c r="B308" s="3804" t="s">
        <v>390</v>
      </c>
      <c r="C308" s="3366"/>
      <c r="D308" s="3366"/>
      <c r="E308" s="3366" t="s">
        <v>46</v>
      </c>
      <c r="F308" s="3366" t="s">
        <v>46</v>
      </c>
      <c r="G308" s="3366" t="s">
        <v>46</v>
      </c>
      <c r="H308" s="3366" t="s">
        <v>46</v>
      </c>
      <c r="I308" s="3366" t="s">
        <v>46</v>
      </c>
      <c r="J308" s="3366"/>
      <c r="K308" s="3366"/>
      <c r="L308" s="3366" t="s">
        <v>46</v>
      </c>
      <c r="M308" s="3366" t="s">
        <v>46</v>
      </c>
      <c r="N308" s="3366" t="s">
        <v>46</v>
      </c>
      <c r="O308" s="3366" t="s">
        <v>46</v>
      </c>
      <c r="P308" s="3366" t="s">
        <v>46</v>
      </c>
      <c r="Q308" s="3366"/>
      <c r="R308" s="3366"/>
      <c r="S308" s="3366" t="s">
        <v>46</v>
      </c>
      <c r="T308" s="3366" t="s">
        <v>46</v>
      </c>
      <c r="U308" s="3366" t="s">
        <v>46</v>
      </c>
      <c r="V308" s="3366" t="s">
        <v>46</v>
      </c>
      <c r="W308" s="3366" t="s">
        <v>46</v>
      </c>
      <c r="X308" s="3366"/>
      <c r="Y308" s="3366"/>
      <c r="Z308" s="3366" t="s">
        <v>46</v>
      </c>
      <c r="AA308" s="3366" t="s">
        <v>46</v>
      </c>
      <c r="AB308" s="3366" t="s">
        <v>46</v>
      </c>
      <c r="AC308" s="3366" t="s">
        <v>46</v>
      </c>
      <c r="AD308" s="3366" t="s">
        <v>46</v>
      </c>
      <c r="AE308" s="3366"/>
      <c r="AF308" s="3366"/>
      <c r="AG308" s="3366" t="s">
        <v>46</v>
      </c>
      <c r="AH308" s="211"/>
      <c r="AI308" s="212"/>
      <c r="AJ308" s="123"/>
    </row>
    <row r="309" spans="1:36" ht="18" customHeight="1" x14ac:dyDescent="0.2">
      <c r="A309" s="3990"/>
      <c r="B309" s="3804" t="s">
        <v>391</v>
      </c>
      <c r="C309" s="3366"/>
      <c r="D309" s="3366"/>
      <c r="E309" s="3366" t="s">
        <v>46</v>
      </c>
      <c r="F309" s="3366" t="s">
        <v>46</v>
      </c>
      <c r="G309" s="3366" t="s">
        <v>46</v>
      </c>
      <c r="H309" s="3366" t="s">
        <v>46</v>
      </c>
      <c r="I309" s="3366" t="s">
        <v>46</v>
      </c>
      <c r="J309" s="3366"/>
      <c r="K309" s="3366"/>
      <c r="L309" s="3366" t="s">
        <v>46</v>
      </c>
      <c r="M309" s="3366" t="s">
        <v>46</v>
      </c>
      <c r="N309" s="3366" t="s">
        <v>46</v>
      </c>
      <c r="O309" s="3366" t="s">
        <v>46</v>
      </c>
      <c r="P309" s="3366" t="s">
        <v>46</v>
      </c>
      <c r="Q309" s="3366"/>
      <c r="R309" s="3366"/>
      <c r="S309" s="3366" t="s">
        <v>46</v>
      </c>
      <c r="T309" s="3366" t="s">
        <v>46</v>
      </c>
      <c r="U309" s="3366" t="s">
        <v>46</v>
      </c>
      <c r="V309" s="3366" t="s">
        <v>46</v>
      </c>
      <c r="W309" s="3366" t="s">
        <v>46</v>
      </c>
      <c r="X309" s="3366"/>
      <c r="Y309" s="3366"/>
      <c r="Z309" s="3366" t="s">
        <v>46</v>
      </c>
      <c r="AA309" s="3366" t="s">
        <v>46</v>
      </c>
      <c r="AB309" s="3366" t="s">
        <v>46</v>
      </c>
      <c r="AC309" s="3366" t="s">
        <v>46</v>
      </c>
      <c r="AD309" s="3366" t="s">
        <v>46</v>
      </c>
      <c r="AE309" s="3366"/>
      <c r="AF309" s="3366"/>
      <c r="AG309" s="3366" t="s">
        <v>46</v>
      </c>
      <c r="AH309" s="211"/>
      <c r="AI309" s="212"/>
      <c r="AJ309" s="123"/>
    </row>
    <row r="310" spans="1:36" ht="18" customHeight="1" x14ac:dyDescent="0.2">
      <c r="A310" s="3990"/>
      <c r="B310" s="3804" t="s">
        <v>392</v>
      </c>
      <c r="C310" s="3366"/>
      <c r="D310" s="3366"/>
      <c r="E310" s="3366" t="s">
        <v>46</v>
      </c>
      <c r="F310" s="3366" t="s">
        <v>46</v>
      </c>
      <c r="G310" s="3366" t="s">
        <v>46</v>
      </c>
      <c r="H310" s="3366" t="s">
        <v>46</v>
      </c>
      <c r="I310" s="3366" t="s">
        <v>46</v>
      </c>
      <c r="J310" s="3366"/>
      <c r="K310" s="3366"/>
      <c r="L310" s="3366" t="s">
        <v>46</v>
      </c>
      <c r="M310" s="3366" t="s">
        <v>46</v>
      </c>
      <c r="N310" s="3366" t="s">
        <v>46</v>
      </c>
      <c r="O310" s="3366" t="s">
        <v>46</v>
      </c>
      <c r="P310" s="3366" t="s">
        <v>46</v>
      </c>
      <c r="Q310" s="3366"/>
      <c r="R310" s="3366"/>
      <c r="S310" s="3366" t="s">
        <v>46</v>
      </c>
      <c r="T310" s="3366" t="s">
        <v>46</v>
      </c>
      <c r="U310" s="3366" t="s">
        <v>46</v>
      </c>
      <c r="V310" s="3366" t="s">
        <v>46</v>
      </c>
      <c r="W310" s="3366" t="s">
        <v>46</v>
      </c>
      <c r="X310" s="3366"/>
      <c r="Y310" s="3366"/>
      <c r="Z310" s="3366" t="s">
        <v>46</v>
      </c>
      <c r="AA310" s="3366" t="s">
        <v>46</v>
      </c>
      <c r="AB310" s="3366" t="s">
        <v>46</v>
      </c>
      <c r="AC310" s="3366" t="s">
        <v>46</v>
      </c>
      <c r="AD310" s="3366" t="s">
        <v>46</v>
      </c>
      <c r="AE310" s="3366"/>
      <c r="AF310" s="3366"/>
      <c r="AG310" s="3366" t="s">
        <v>46</v>
      </c>
      <c r="AH310" s="211"/>
      <c r="AI310" s="212"/>
      <c r="AJ310" s="123"/>
    </row>
    <row r="311" spans="1:36" ht="18" customHeight="1" x14ac:dyDescent="0.2">
      <c r="A311" s="3990"/>
      <c r="B311" s="3804" t="s">
        <v>393</v>
      </c>
      <c r="C311" s="3366"/>
      <c r="D311" s="3366"/>
      <c r="E311" s="3366" t="s">
        <v>46</v>
      </c>
      <c r="F311" s="3366" t="s">
        <v>46</v>
      </c>
      <c r="G311" s="3366" t="s">
        <v>46</v>
      </c>
      <c r="H311" s="3366" t="s">
        <v>46</v>
      </c>
      <c r="I311" s="3366" t="s">
        <v>46</v>
      </c>
      <c r="J311" s="3366"/>
      <c r="K311" s="3366"/>
      <c r="L311" s="3366" t="s">
        <v>46</v>
      </c>
      <c r="M311" s="3366" t="s">
        <v>46</v>
      </c>
      <c r="N311" s="3366" t="s">
        <v>46</v>
      </c>
      <c r="O311" s="3366" t="s">
        <v>46</v>
      </c>
      <c r="P311" s="3366" t="s">
        <v>46</v>
      </c>
      <c r="Q311" s="3366"/>
      <c r="R311" s="3366"/>
      <c r="S311" s="3366" t="s">
        <v>46</v>
      </c>
      <c r="T311" s="3366" t="s">
        <v>46</v>
      </c>
      <c r="U311" s="3366" t="s">
        <v>46</v>
      </c>
      <c r="V311" s="3366" t="s">
        <v>46</v>
      </c>
      <c r="W311" s="3366" t="s">
        <v>46</v>
      </c>
      <c r="X311" s="3366"/>
      <c r="Y311" s="3366"/>
      <c r="Z311" s="3366" t="s">
        <v>46</v>
      </c>
      <c r="AA311" s="3366" t="s">
        <v>46</v>
      </c>
      <c r="AB311" s="3366" t="s">
        <v>46</v>
      </c>
      <c r="AC311" s="3366" t="s">
        <v>46</v>
      </c>
      <c r="AD311" s="3366" t="s">
        <v>46</v>
      </c>
      <c r="AE311" s="3366"/>
      <c r="AF311" s="3366"/>
      <c r="AG311" s="3366" t="s">
        <v>46</v>
      </c>
      <c r="AH311" s="211"/>
      <c r="AI311" s="212"/>
      <c r="AJ311" s="123"/>
    </row>
    <row r="312" spans="1:36" ht="18" customHeight="1" x14ac:dyDescent="0.2">
      <c r="A312" s="4020"/>
      <c r="B312" s="3628" t="s">
        <v>394</v>
      </c>
      <c r="C312" s="3366"/>
      <c r="D312" s="3366"/>
      <c r="E312" s="3366" t="s">
        <v>46</v>
      </c>
      <c r="F312" s="3366" t="s">
        <v>46</v>
      </c>
      <c r="G312" s="3366" t="s">
        <v>46</v>
      </c>
      <c r="H312" s="3366" t="s">
        <v>46</v>
      </c>
      <c r="I312" s="3366" t="s">
        <v>46</v>
      </c>
      <c r="J312" s="3366"/>
      <c r="K312" s="3366"/>
      <c r="L312" s="3366" t="s">
        <v>46</v>
      </c>
      <c r="M312" s="3366" t="s">
        <v>46</v>
      </c>
      <c r="N312" s="3366" t="s">
        <v>46</v>
      </c>
      <c r="O312" s="3366" t="s">
        <v>46</v>
      </c>
      <c r="P312" s="3366" t="s">
        <v>46</v>
      </c>
      <c r="Q312" s="3366"/>
      <c r="R312" s="3366"/>
      <c r="S312" s="3366" t="s">
        <v>46</v>
      </c>
      <c r="T312" s="3366" t="s">
        <v>46</v>
      </c>
      <c r="U312" s="3366" t="s">
        <v>46</v>
      </c>
      <c r="V312" s="3366" t="s">
        <v>46</v>
      </c>
      <c r="W312" s="3366" t="s">
        <v>46</v>
      </c>
      <c r="X312" s="3366"/>
      <c r="Y312" s="3366"/>
      <c r="Z312" s="3366" t="s">
        <v>46</v>
      </c>
      <c r="AA312" s="3366" t="s">
        <v>46</v>
      </c>
      <c r="AB312" s="3366" t="s">
        <v>46</v>
      </c>
      <c r="AC312" s="3366" t="s">
        <v>46</v>
      </c>
      <c r="AD312" s="3366" t="s">
        <v>46</v>
      </c>
      <c r="AE312" s="3366"/>
      <c r="AF312" s="3366"/>
      <c r="AG312" s="3366" t="s">
        <v>46</v>
      </c>
      <c r="AH312" s="211"/>
      <c r="AI312" s="212"/>
      <c r="AJ312" s="123"/>
    </row>
    <row r="313" spans="1:36" ht="18" customHeight="1" x14ac:dyDescent="0.2">
      <c r="A313" s="3990"/>
      <c r="B313" s="3804"/>
      <c r="C313" s="3826"/>
      <c r="D313" s="4021"/>
      <c r="E313" s="3826"/>
      <c r="F313" s="3826"/>
      <c r="G313" s="3826"/>
      <c r="H313" s="3826"/>
      <c r="I313" s="3826"/>
      <c r="J313" s="3826"/>
      <c r="K313" s="3826"/>
      <c r="L313" s="3826"/>
      <c r="M313" s="3826"/>
      <c r="N313" s="3826"/>
      <c r="O313" s="3826"/>
      <c r="P313" s="3826"/>
      <c r="Q313" s="3826"/>
      <c r="R313" s="3826"/>
      <c r="S313" s="3826"/>
      <c r="T313" s="3826"/>
      <c r="U313" s="3826"/>
      <c r="V313" s="3826"/>
      <c r="W313" s="3826"/>
      <c r="X313" s="3826"/>
      <c r="Y313" s="3826"/>
      <c r="Z313" s="3826"/>
      <c r="AA313" s="3826"/>
      <c r="AB313" s="3826"/>
      <c r="AC313" s="3826"/>
      <c r="AD313" s="3826"/>
      <c r="AE313" s="3826"/>
      <c r="AF313" s="3826"/>
      <c r="AG313" s="3827"/>
      <c r="AH313" s="211"/>
      <c r="AI313" s="212"/>
      <c r="AJ313" s="123"/>
    </row>
    <row r="314" spans="1:36" ht="18" customHeight="1" x14ac:dyDescent="0.2">
      <c r="A314" s="372"/>
      <c r="B314" s="1085"/>
      <c r="C314" s="712"/>
      <c r="D314" s="712"/>
      <c r="E314" s="712"/>
      <c r="F314" s="712"/>
      <c r="G314" s="712"/>
      <c r="H314" s="712"/>
      <c r="I314" s="712"/>
      <c r="J314" s="712"/>
      <c r="K314" s="712"/>
      <c r="L314" s="712"/>
      <c r="M314" s="712"/>
      <c r="N314" s="711"/>
      <c r="O314" s="711"/>
      <c r="P314" s="712"/>
      <c r="Q314" s="712"/>
      <c r="R314" s="712"/>
      <c r="S314" s="712"/>
      <c r="T314" s="712"/>
      <c r="U314" s="712"/>
      <c r="V314" s="712"/>
      <c r="W314" s="712"/>
      <c r="X314" s="712"/>
      <c r="Y314" s="712"/>
      <c r="Z314" s="712"/>
      <c r="AA314" s="712"/>
      <c r="AB314" s="711"/>
      <c r="AC314" s="711"/>
      <c r="AD314" s="712"/>
      <c r="AE314" s="712"/>
      <c r="AF314" s="712"/>
      <c r="AG314" s="1086"/>
      <c r="AH314" s="211"/>
      <c r="AI314" s="213"/>
      <c r="AJ314" s="123"/>
    </row>
    <row r="315" spans="1:36" ht="18" customHeight="1" x14ac:dyDescent="0.2">
      <c r="A315" s="3923"/>
      <c r="B315" s="1088"/>
      <c r="C315" s="4022"/>
      <c r="D315" s="3449"/>
      <c r="E315" s="3449"/>
      <c r="F315" s="3449"/>
      <c r="G315" s="3449"/>
      <c r="H315" s="3449"/>
      <c r="I315" s="3449"/>
      <c r="J315" s="3449"/>
      <c r="K315" s="3449"/>
      <c r="L315" s="3449"/>
      <c r="M315" s="3449"/>
      <c r="N315" s="3450"/>
      <c r="O315" s="3450"/>
      <c r="P315" s="3449"/>
      <c r="Q315" s="3449"/>
      <c r="R315" s="3449"/>
      <c r="S315" s="3449"/>
      <c r="T315" s="3449"/>
      <c r="U315" s="3449"/>
      <c r="V315" s="3449"/>
      <c r="W315" s="3449"/>
      <c r="X315" s="3449"/>
      <c r="Y315" s="3449"/>
      <c r="Z315" s="3449"/>
      <c r="AA315" s="3449"/>
      <c r="AB315" s="3450"/>
      <c r="AC315" s="3450"/>
      <c r="AD315" s="3449"/>
      <c r="AE315" s="3449"/>
      <c r="AF315" s="3449"/>
      <c r="AG315" s="4023"/>
      <c r="AH315" s="211"/>
      <c r="AI315" s="213"/>
      <c r="AJ315" s="123"/>
    </row>
    <row r="316" spans="1:36" ht="18" customHeight="1" x14ac:dyDescent="0.2">
      <c r="AH316" s="123"/>
      <c r="AI316" s="123"/>
      <c r="AJ316" s="123"/>
    </row>
    <row r="317" spans="1:36" x14ac:dyDescent="0.2">
      <c r="AH317" s="123"/>
      <c r="AI317" s="123"/>
      <c r="AJ317" s="123"/>
    </row>
    <row r="318" spans="1:36" x14ac:dyDescent="0.2">
      <c r="AH318" s="123"/>
      <c r="AI318" s="123"/>
      <c r="AJ318" s="123"/>
    </row>
    <row r="319" spans="1:36" x14ac:dyDescent="0.2">
      <c r="AH319" s="123"/>
      <c r="AI319" s="123"/>
      <c r="AJ319" s="123"/>
    </row>
  </sheetData>
  <sheetProtection algorithmName="SHA-512" hashValue="3+uKqWab1lw9f/WM0uWyF3ySaXpWjwNSfpsUt0NM8InVsAvZyjUPM7th1ny1l1A9SC7t36nHJz0HAr4o8sBXCg==" saltValue="BKebhMyzWA7CDB5uwZ/b3A==" spinCount="100000" sheet="1" objects="1" scenarios="1"/>
  <mergeCells count="1">
    <mergeCell ref="T38:Z38"/>
  </mergeCells>
  <phoneticPr fontId="9" type="noConversion"/>
  <pageMargins left="0.7" right="0.7" top="0.75" bottom="0.75" header="0.3" footer="0.3"/>
  <pageSetup paperSize="9" scale="1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27">
    <pageSetUpPr fitToPage="1"/>
  </sheetPr>
  <dimension ref="A1:AN318"/>
  <sheetViews>
    <sheetView tabSelected="1" topLeftCell="B55" workbookViewId="0">
      <pane xSplit="1" topLeftCell="C1" activePane="topRight" state="frozen"/>
      <selection activeCell="B34" sqref="B34"/>
      <selection pane="topRight" activeCell="AA75" sqref="AA75"/>
    </sheetView>
  </sheetViews>
  <sheetFormatPr defaultRowHeight="12" x14ac:dyDescent="0.2"/>
  <cols>
    <col min="1" max="1" width="5.85546875" hidden="1" customWidth="1"/>
    <col min="2" max="2" width="31.28515625" customWidth="1"/>
    <col min="3" max="33" width="4.5703125" customWidth="1"/>
    <col min="34" max="34" width="7.85546875" customWidth="1"/>
    <col min="35" max="35" width="4.28515625" customWidth="1"/>
    <col min="37" max="37" width="10.28515625" customWidth="1"/>
    <col min="38" max="38" width="11.5703125" customWidth="1"/>
    <col min="39" max="39" width="11.85546875" customWidth="1"/>
    <col min="40" max="40" width="13" customWidth="1"/>
  </cols>
  <sheetData>
    <row r="1" spans="1:38" ht="18" customHeight="1" x14ac:dyDescent="0.2">
      <c r="A1" t="s">
        <v>0</v>
      </c>
      <c r="B1" s="1" t="s">
        <v>1</v>
      </c>
      <c r="U1" t="s">
        <v>433</v>
      </c>
    </row>
    <row r="2" spans="1:38" ht="18" customHeight="1" x14ac:dyDescent="0.2">
      <c r="B2" s="4024" t="s">
        <v>2</v>
      </c>
      <c r="C2" s="4025" t="s">
        <v>3</v>
      </c>
      <c r="D2" s="4026"/>
      <c r="E2" s="4027" t="s">
        <v>4</v>
      </c>
      <c r="F2" s="4028"/>
      <c r="G2" s="4029"/>
      <c r="H2" s="4029"/>
      <c r="I2" s="4029"/>
      <c r="J2" s="4029"/>
      <c r="K2" s="4030"/>
      <c r="L2" s="4031" t="s">
        <v>5</v>
      </c>
      <c r="M2" s="4032"/>
      <c r="N2" s="4033"/>
      <c r="O2" s="4034" t="s">
        <v>6</v>
      </c>
      <c r="P2" s="4035"/>
      <c r="Q2" s="4036"/>
      <c r="R2" s="4037"/>
      <c r="S2" s="4038" t="s">
        <v>7</v>
      </c>
      <c r="T2" s="4039"/>
      <c r="U2" s="4040"/>
      <c r="V2" s="4039"/>
      <c r="W2" s="4041" t="s">
        <v>8</v>
      </c>
      <c r="X2" s="4042"/>
      <c r="Y2" s="4043"/>
      <c r="Z2" s="105" t="s">
        <v>9</v>
      </c>
      <c r="AA2" s="4044"/>
      <c r="AB2" s="4045"/>
      <c r="AC2" s="4046"/>
      <c r="AD2" s="4047" t="s">
        <v>10</v>
      </c>
      <c r="AE2" s="4048"/>
      <c r="AF2" s="4048"/>
      <c r="AG2" s="4049"/>
    </row>
    <row r="3" spans="1:38" ht="18" customHeight="1" x14ac:dyDescent="0.2">
      <c r="A3" s="1"/>
      <c r="B3" s="4050" t="s">
        <v>10</v>
      </c>
      <c r="C3" s="4051" t="s">
        <v>10</v>
      </c>
      <c r="D3" s="4052"/>
      <c r="E3" s="543"/>
      <c r="F3" s="544"/>
      <c r="G3" s="544"/>
      <c r="H3" s="545" t="s">
        <v>10</v>
      </c>
      <c r="I3" s="546"/>
      <c r="J3" s="546"/>
      <c r="K3" s="547"/>
      <c r="L3" s="4053" t="s">
        <v>11</v>
      </c>
      <c r="M3" s="4054"/>
      <c r="N3" s="4055"/>
      <c r="O3" s="546"/>
      <c r="P3" s="546"/>
      <c r="Q3" s="546"/>
      <c r="R3" s="546"/>
      <c r="S3" s="467"/>
      <c r="T3" s="551" t="s">
        <v>12</v>
      </c>
      <c r="U3" s="552"/>
      <c r="V3" s="553"/>
      <c r="W3" s="554"/>
      <c r="X3" s="1123"/>
      <c r="Y3" s="545" t="s">
        <v>10</v>
      </c>
      <c r="Z3" s="4054"/>
      <c r="AA3" s="4054"/>
      <c r="AB3" s="4056"/>
      <c r="AC3" s="4057"/>
      <c r="AD3" s="4058" t="s">
        <v>13</v>
      </c>
      <c r="AE3" s="4059"/>
      <c r="AF3" s="4059"/>
      <c r="AG3" s="4060"/>
      <c r="AH3" s="4061" t="s">
        <v>14</v>
      </c>
      <c r="AI3" s="4061"/>
      <c r="AJ3" s="4061"/>
    </row>
    <row r="4" spans="1:38" ht="18" customHeight="1" x14ac:dyDescent="0.2">
      <c r="A4" s="103" t="s">
        <v>15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18" customHeight="1" x14ac:dyDescent="0.2">
      <c r="A5" s="103" t="s">
        <v>16</v>
      </c>
      <c r="B5" s="1"/>
      <c r="C5" s="4062"/>
      <c r="D5" s="4063" t="s">
        <v>17</v>
      </c>
      <c r="E5" s="4064"/>
      <c r="F5" s="4062"/>
      <c r="G5" s="4063" t="s">
        <v>18</v>
      </c>
      <c r="H5" s="4064"/>
      <c r="I5" s="4062"/>
      <c r="J5" s="4063" t="s">
        <v>19</v>
      </c>
      <c r="K5" s="4064"/>
      <c r="L5" s="4062"/>
      <c r="M5" s="4063" t="s">
        <v>20</v>
      </c>
      <c r="N5" s="4064"/>
      <c r="O5" s="4062"/>
      <c r="P5" s="4063" t="s">
        <v>21</v>
      </c>
      <c r="Q5" s="4064"/>
      <c r="R5" s="4062"/>
      <c r="S5" s="4063" t="s">
        <v>22</v>
      </c>
      <c r="T5" s="4065"/>
      <c r="U5" s="4066"/>
      <c r="V5" s="4067" t="s">
        <v>23</v>
      </c>
      <c r="W5" s="4065"/>
    </row>
    <row r="6" spans="1:38" ht="18" customHeight="1" x14ac:dyDescent="0.2">
      <c r="A6" s="4068"/>
      <c r="B6" s="3936" t="s">
        <v>560</v>
      </c>
      <c r="C6" s="4069" t="s">
        <v>561</v>
      </c>
      <c r="D6" s="4070"/>
      <c r="E6" s="4071"/>
      <c r="F6" s="4069" t="s">
        <v>561</v>
      </c>
      <c r="G6" s="4072"/>
      <c r="H6" s="4072"/>
      <c r="I6" s="4069" t="s">
        <v>561</v>
      </c>
      <c r="J6" s="4072"/>
      <c r="K6" s="4071"/>
      <c r="L6" s="4069" t="s">
        <v>561</v>
      </c>
      <c r="M6" s="4072"/>
      <c r="N6" s="4071"/>
      <c r="O6" s="4069" t="s">
        <v>562</v>
      </c>
      <c r="P6" s="4072"/>
      <c r="Q6" s="4071"/>
      <c r="R6" s="1148" t="s">
        <v>35</v>
      </c>
      <c r="S6" s="367"/>
      <c r="T6" s="367"/>
      <c r="U6" s="1149" t="s">
        <v>35</v>
      </c>
      <c r="V6" s="367"/>
      <c r="W6" s="1150"/>
      <c r="X6" s="4072"/>
      <c r="Y6" s="4072"/>
      <c r="Z6" s="4072"/>
      <c r="AA6" s="4072"/>
      <c r="AB6" s="4073"/>
      <c r="AC6" s="4071"/>
      <c r="AD6" s="123"/>
      <c r="AE6" s="123"/>
      <c r="AF6" s="123"/>
      <c r="AG6" s="123"/>
    </row>
    <row r="7" spans="1:38" ht="18" customHeight="1" x14ac:dyDescent="0.2">
      <c r="A7" s="3936"/>
      <c r="B7" s="3936" t="s">
        <v>49</v>
      </c>
      <c r="C7" s="4074" t="s">
        <v>563</v>
      </c>
      <c r="D7" s="4075"/>
      <c r="E7" s="4076"/>
      <c r="F7" s="4074" t="s">
        <v>563</v>
      </c>
      <c r="G7" s="4075"/>
      <c r="H7" s="4075"/>
      <c r="I7" s="4074" t="s">
        <v>563</v>
      </c>
      <c r="J7" s="4075"/>
      <c r="K7" s="4076"/>
      <c r="L7" s="4074" t="s">
        <v>563</v>
      </c>
      <c r="M7" s="4075"/>
      <c r="N7" s="4075"/>
      <c r="O7" s="4074" t="s">
        <v>563</v>
      </c>
      <c r="P7" s="4075"/>
      <c r="Q7" s="4076"/>
      <c r="X7" s="4072"/>
      <c r="Y7" s="4072"/>
      <c r="Z7" s="4072"/>
      <c r="AA7" s="4072"/>
      <c r="AB7" s="4077"/>
      <c r="AC7" s="4071"/>
      <c r="AD7" s="123"/>
      <c r="AE7" s="123"/>
      <c r="AF7" s="123"/>
      <c r="AG7" s="123"/>
    </row>
    <row r="8" spans="1:38" ht="18" customHeight="1" x14ac:dyDescent="0.2">
      <c r="A8" s="3936"/>
      <c r="B8" s="3936" t="s">
        <v>36</v>
      </c>
      <c r="C8" s="4069" t="s">
        <v>564</v>
      </c>
      <c r="D8" s="4075"/>
      <c r="E8" s="4076"/>
      <c r="F8" s="4069" t="s">
        <v>564</v>
      </c>
      <c r="G8" s="4072"/>
      <c r="H8" s="4072"/>
      <c r="I8" s="4069" t="s">
        <v>564</v>
      </c>
      <c r="J8" s="4072"/>
      <c r="K8" s="4071"/>
      <c r="L8" s="4069" t="s">
        <v>564</v>
      </c>
      <c r="M8" s="4072"/>
      <c r="N8" s="4071"/>
      <c r="O8" s="4069" t="s">
        <v>564</v>
      </c>
      <c r="P8" s="4072"/>
      <c r="Q8" s="4071"/>
      <c r="R8" s="4078" t="s">
        <v>39</v>
      </c>
      <c r="S8" s="4072"/>
      <c r="T8" s="4072"/>
      <c r="U8" s="4069" t="s">
        <v>565</v>
      </c>
      <c r="V8" s="4072"/>
      <c r="W8" s="4071"/>
      <c r="X8" s="4072"/>
      <c r="Y8" s="4072"/>
      <c r="Z8" s="4072"/>
      <c r="AA8" s="4072"/>
      <c r="AB8" s="4077"/>
      <c r="AC8" s="4071"/>
      <c r="AD8" s="123"/>
      <c r="AE8" s="123"/>
      <c r="AF8" s="123"/>
      <c r="AG8" s="123"/>
    </row>
    <row r="9" spans="1:38" ht="18" customHeight="1" x14ac:dyDescent="0.2">
      <c r="A9" s="103" t="s">
        <v>10</v>
      </c>
    </row>
    <row r="10" spans="1:38" ht="18" customHeight="1" x14ac:dyDescent="0.2">
      <c r="A10" s="103" t="s">
        <v>10</v>
      </c>
      <c r="AG10" s="123"/>
      <c r="AH10" s="244"/>
      <c r="AI10" s="111"/>
      <c r="AJ10" s="4079" t="s">
        <v>41</v>
      </c>
    </row>
    <row r="11" spans="1:38" ht="18" customHeight="1" x14ac:dyDescent="0.2">
      <c r="AH11" s="116"/>
      <c r="AI11" s="116"/>
      <c r="AJ11" s="4079">
        <v>160.33000000000001</v>
      </c>
    </row>
    <row r="12" spans="1:38" ht="18" customHeight="1" x14ac:dyDescent="0.2">
      <c r="B12" s="61" t="s">
        <v>42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114"/>
      <c r="AI12" s="114"/>
    </row>
    <row r="13" spans="1:38" ht="18" customHeight="1" thickBot="1" x14ac:dyDescent="0.25">
      <c r="A13" s="4080" t="s">
        <v>43</v>
      </c>
      <c r="B13" s="4081" t="s">
        <v>44</v>
      </c>
      <c r="C13" s="4082">
        <v>1</v>
      </c>
      <c r="D13" s="4082">
        <v>2</v>
      </c>
      <c r="E13" s="4082">
        <v>3</v>
      </c>
      <c r="F13" s="4082">
        <v>4</v>
      </c>
      <c r="G13" s="4083">
        <v>5</v>
      </c>
      <c r="H13" s="4083">
        <v>6</v>
      </c>
      <c r="I13" s="4082">
        <v>7</v>
      </c>
      <c r="J13" s="4082">
        <v>8</v>
      </c>
      <c r="K13" s="4082">
        <v>9</v>
      </c>
      <c r="L13" s="4082">
        <v>10</v>
      </c>
      <c r="M13" s="4082">
        <v>11</v>
      </c>
      <c r="N13" s="4083">
        <v>12</v>
      </c>
      <c r="O13" s="4083">
        <v>13</v>
      </c>
      <c r="P13" s="4082">
        <v>14</v>
      </c>
      <c r="Q13" s="4082">
        <v>15</v>
      </c>
      <c r="R13" s="4082">
        <v>16</v>
      </c>
      <c r="S13" s="4083">
        <v>17</v>
      </c>
      <c r="T13" s="4083">
        <v>18</v>
      </c>
      <c r="U13" s="4083">
        <v>19</v>
      </c>
      <c r="V13" s="4083">
        <v>20</v>
      </c>
      <c r="W13" s="4083">
        <v>21</v>
      </c>
      <c r="X13" s="4082">
        <v>22</v>
      </c>
      <c r="Y13" s="4082">
        <v>23</v>
      </c>
      <c r="Z13" s="4082">
        <v>24</v>
      </c>
      <c r="AA13" s="4082">
        <v>25</v>
      </c>
      <c r="AB13" s="4083">
        <v>26</v>
      </c>
      <c r="AC13" s="4083">
        <v>27</v>
      </c>
      <c r="AD13" s="4082">
        <v>28</v>
      </c>
      <c r="AE13" s="4082">
        <v>29</v>
      </c>
      <c r="AF13" s="4082">
        <v>30</v>
      </c>
      <c r="AG13" s="4084"/>
      <c r="AH13" s="116"/>
      <c r="AI13" s="116"/>
    </row>
    <row r="14" spans="1:38" ht="18" customHeight="1" thickBot="1" x14ac:dyDescent="0.25">
      <c r="A14" s="4085">
        <v>8500</v>
      </c>
      <c r="B14" s="4086" t="s">
        <v>45</v>
      </c>
      <c r="C14" s="4087" t="s">
        <v>46</v>
      </c>
      <c r="D14" s="4087" t="s">
        <v>46</v>
      </c>
      <c r="E14" s="4087" t="s">
        <v>46</v>
      </c>
      <c r="F14" s="4087" t="s">
        <v>46</v>
      </c>
      <c r="G14" s="4088"/>
      <c r="H14" s="4089"/>
      <c r="I14" s="4087" t="s">
        <v>46</v>
      </c>
      <c r="J14" s="4087" t="s">
        <v>46</v>
      </c>
      <c r="K14" s="4087" t="s">
        <v>46</v>
      </c>
      <c r="L14" s="4087" t="s">
        <v>46</v>
      </c>
      <c r="M14" s="4087" t="s">
        <v>46</v>
      </c>
      <c r="N14" s="4088"/>
      <c r="O14" s="4089"/>
      <c r="P14" s="4087" t="s">
        <v>46</v>
      </c>
      <c r="Q14" s="4087" t="s">
        <v>46</v>
      </c>
      <c r="R14" s="4087" t="s">
        <v>46</v>
      </c>
      <c r="S14" s="4087"/>
      <c r="T14" s="4087"/>
      <c r="U14" s="4088"/>
      <c r="V14" s="4089"/>
      <c r="W14" s="4087"/>
      <c r="X14" s="4087" t="s">
        <v>46</v>
      </c>
      <c r="Y14" s="4087" t="s">
        <v>46</v>
      </c>
      <c r="Z14" s="4087" t="s">
        <v>46</v>
      </c>
      <c r="AA14" s="4087" t="s">
        <v>46</v>
      </c>
      <c r="AB14" s="4088"/>
      <c r="AC14" s="4089"/>
      <c r="AD14" s="4087" t="s">
        <v>46</v>
      </c>
      <c r="AE14" s="4088" t="s">
        <v>46</v>
      </c>
      <c r="AF14" s="4087" t="s">
        <v>46</v>
      </c>
      <c r="AG14" s="4090"/>
      <c r="AH14" s="116"/>
      <c r="AI14" s="116"/>
      <c r="AL14" t="s">
        <v>0</v>
      </c>
    </row>
    <row r="15" spans="1:38" ht="18" customHeight="1" thickBot="1" x14ac:dyDescent="0.25">
      <c r="A15" s="4085">
        <v>8500</v>
      </c>
      <c r="B15" s="4091" t="s">
        <v>58</v>
      </c>
      <c r="C15" s="780" t="s">
        <v>46</v>
      </c>
      <c r="D15" s="1625" t="s">
        <v>46</v>
      </c>
      <c r="E15" s="1284" t="s">
        <v>46</v>
      </c>
      <c r="F15" s="1284" t="s">
        <v>46</v>
      </c>
      <c r="G15" s="1741" t="s">
        <v>53</v>
      </c>
      <c r="H15" s="1741" t="s">
        <v>53</v>
      </c>
      <c r="I15" s="1625" t="s">
        <v>46</v>
      </c>
      <c r="J15" s="1625" t="s">
        <v>46</v>
      </c>
      <c r="K15" s="1625" t="s">
        <v>46</v>
      </c>
      <c r="L15" s="1625" t="s">
        <v>46</v>
      </c>
      <c r="M15" s="1625" t="s">
        <v>46</v>
      </c>
      <c r="N15" s="4092"/>
      <c r="O15" s="1343"/>
      <c r="P15" s="1625" t="s">
        <v>46</v>
      </c>
      <c r="Q15" s="1625" t="s">
        <v>46</v>
      </c>
      <c r="R15" s="1625" t="s">
        <v>46</v>
      </c>
      <c r="S15" s="1625"/>
      <c r="T15" s="1625"/>
      <c r="U15" s="4092"/>
      <c r="V15" s="1343"/>
      <c r="W15" s="1625"/>
      <c r="X15" s="1625" t="s">
        <v>46</v>
      </c>
      <c r="Y15" s="1741" t="s">
        <v>46</v>
      </c>
      <c r="Z15" s="1625" t="s">
        <v>46</v>
      </c>
      <c r="AA15" s="1625" t="s">
        <v>46</v>
      </c>
      <c r="AB15" s="4092"/>
      <c r="AC15" s="1343"/>
      <c r="AD15" s="1625" t="s">
        <v>46</v>
      </c>
      <c r="AE15" s="4092" t="s">
        <v>46</v>
      </c>
      <c r="AF15" s="1625" t="s">
        <v>46</v>
      </c>
      <c r="AG15" s="1834"/>
      <c r="AH15" s="116"/>
      <c r="AI15" s="116"/>
    </row>
    <row r="16" spans="1:38" ht="18" customHeight="1" thickBot="1" x14ac:dyDescent="0.25">
      <c r="A16" s="4085">
        <v>8500</v>
      </c>
      <c r="B16" s="4093" t="s">
        <v>519</v>
      </c>
      <c r="C16" s="1625" t="s">
        <v>46</v>
      </c>
      <c r="D16" s="1625" t="s">
        <v>46</v>
      </c>
      <c r="E16" s="1625" t="s">
        <v>46</v>
      </c>
      <c r="F16" s="1625" t="s">
        <v>46</v>
      </c>
      <c r="G16" s="4092"/>
      <c r="H16" s="1343"/>
      <c r="I16" s="1625" t="s">
        <v>46</v>
      </c>
      <c r="J16" s="1625" t="s">
        <v>46</v>
      </c>
      <c r="K16" s="1625" t="s">
        <v>46</v>
      </c>
      <c r="L16" s="4094" t="s">
        <v>24</v>
      </c>
      <c r="M16" s="4094" t="s">
        <v>24</v>
      </c>
      <c r="N16" s="4092"/>
      <c r="O16" s="1343"/>
      <c r="P16" s="1625" t="s">
        <v>46</v>
      </c>
      <c r="Q16" s="1625" t="s">
        <v>46</v>
      </c>
      <c r="R16" s="1625" t="s">
        <v>46</v>
      </c>
      <c r="S16" s="1625"/>
      <c r="T16" s="1625"/>
      <c r="U16" s="4092"/>
      <c r="V16" s="1343"/>
      <c r="W16" s="1625"/>
      <c r="X16" s="1625" t="s">
        <v>46</v>
      </c>
      <c r="Y16" s="1625" t="s">
        <v>46</v>
      </c>
      <c r="Z16" s="1625" t="s">
        <v>46</v>
      </c>
      <c r="AA16" s="1625" t="s">
        <v>46</v>
      </c>
      <c r="AB16" s="4092"/>
      <c r="AC16" s="1343"/>
      <c r="AD16" s="252" t="s">
        <v>24</v>
      </c>
      <c r="AE16" s="252" t="s">
        <v>24</v>
      </c>
      <c r="AF16" s="252" t="s">
        <v>24</v>
      </c>
      <c r="AG16" s="1834"/>
      <c r="AH16" s="116"/>
      <c r="AI16" s="116"/>
    </row>
    <row r="17" spans="1:40" ht="18" customHeight="1" thickBot="1" x14ac:dyDescent="0.25">
      <c r="A17" s="4095" t="s">
        <v>47</v>
      </c>
      <c r="B17" s="4013"/>
      <c r="C17" s="4013"/>
      <c r="D17" s="4013"/>
      <c r="E17" s="4013"/>
      <c r="F17" s="4013"/>
      <c r="G17" s="4013"/>
      <c r="H17" s="4013"/>
      <c r="I17" s="4013"/>
      <c r="J17" s="4013"/>
      <c r="K17" s="4013"/>
      <c r="L17" s="4013"/>
      <c r="M17" s="4013"/>
      <c r="N17" s="4013"/>
      <c r="O17" s="4013"/>
      <c r="P17" s="4013"/>
      <c r="Q17" s="4013"/>
      <c r="R17" s="4013"/>
      <c r="S17" s="4013"/>
      <c r="T17" s="4013"/>
      <c r="U17" s="4013"/>
      <c r="V17" s="4013"/>
      <c r="W17" s="4013"/>
      <c r="X17" s="4013"/>
      <c r="Y17" s="4013"/>
      <c r="Z17" s="4013"/>
      <c r="AA17" s="4013"/>
      <c r="AB17" s="4013"/>
      <c r="AC17" s="4013"/>
      <c r="AD17" s="4013"/>
      <c r="AE17" s="4013"/>
      <c r="AF17" s="4013"/>
      <c r="AG17" s="4096"/>
      <c r="AH17" s="116"/>
      <c r="AI17" s="116"/>
    </row>
    <row r="18" spans="1:40" ht="18" customHeight="1" x14ac:dyDescent="0.2">
      <c r="A18" s="4097">
        <v>8546</v>
      </c>
      <c r="B18" s="594" t="s">
        <v>48</v>
      </c>
      <c r="C18" s="4098" t="s">
        <v>24</v>
      </c>
      <c r="D18" s="4099" t="s">
        <v>510</v>
      </c>
      <c r="E18" s="4100" t="s">
        <v>24</v>
      </c>
      <c r="F18" s="3930" t="s">
        <v>24</v>
      </c>
      <c r="G18" s="4101"/>
      <c r="H18" s="4102"/>
      <c r="I18" s="4103" t="s">
        <v>49</v>
      </c>
      <c r="J18" s="4103" t="s">
        <v>49</v>
      </c>
      <c r="K18" s="4103" t="s">
        <v>49</v>
      </c>
      <c r="L18" s="4103" t="s">
        <v>49</v>
      </c>
      <c r="M18" s="4103" t="s">
        <v>49</v>
      </c>
      <c r="N18" s="4103" t="s">
        <v>0</v>
      </c>
      <c r="O18" s="4103"/>
      <c r="P18" s="4103" t="s">
        <v>50</v>
      </c>
      <c r="Q18" s="4103" t="s">
        <v>50</v>
      </c>
      <c r="R18" s="4103" t="s">
        <v>50</v>
      </c>
      <c r="S18" s="4103" t="s">
        <v>50</v>
      </c>
      <c r="T18" s="4103" t="s">
        <v>50</v>
      </c>
      <c r="U18" s="4103" t="s">
        <v>52</v>
      </c>
      <c r="V18" s="4103" t="s">
        <v>52</v>
      </c>
      <c r="W18" s="4103" t="s">
        <v>51</v>
      </c>
      <c r="X18" s="4103" t="s">
        <v>51</v>
      </c>
      <c r="Y18" s="4104" t="s">
        <v>51</v>
      </c>
      <c r="Z18" s="4104" t="s">
        <v>51</v>
      </c>
      <c r="AA18" s="4104" t="s">
        <v>51</v>
      </c>
      <c r="AB18" s="4101"/>
      <c r="AC18" s="4103"/>
      <c r="AD18" s="4103" t="s">
        <v>50</v>
      </c>
      <c r="AE18" s="4101" t="s">
        <v>50</v>
      </c>
      <c r="AF18" s="4103" t="s">
        <v>50</v>
      </c>
      <c r="AG18" s="4105"/>
      <c r="AH18" s="116"/>
      <c r="AI18" s="116"/>
    </row>
    <row r="19" spans="1:40" ht="18" customHeight="1" x14ac:dyDescent="0.2">
      <c r="A19" s="3930">
        <v>8500</v>
      </c>
      <c r="B19" s="4091" t="s">
        <v>566</v>
      </c>
      <c r="C19" s="4066" t="s">
        <v>49</v>
      </c>
      <c r="D19" s="4106" t="s">
        <v>49</v>
      </c>
      <c r="E19" s="4106" t="s">
        <v>49</v>
      </c>
      <c r="F19" s="4106" t="s">
        <v>49</v>
      </c>
      <c r="G19" s="4106"/>
      <c r="H19" s="4106"/>
      <c r="I19" s="4106" t="s">
        <v>50</v>
      </c>
      <c r="J19" s="4106" t="s">
        <v>50</v>
      </c>
      <c r="K19" s="4106" t="s">
        <v>50</v>
      </c>
      <c r="L19" s="4106" t="s">
        <v>50</v>
      </c>
      <c r="M19" s="4106" t="s">
        <v>50</v>
      </c>
      <c r="N19" s="4106" t="s">
        <v>52</v>
      </c>
      <c r="O19" s="4106" t="s">
        <v>52</v>
      </c>
      <c r="P19" s="4106" t="s">
        <v>51</v>
      </c>
      <c r="Q19" s="4106" t="s">
        <v>51</v>
      </c>
      <c r="R19" s="4106" t="s">
        <v>51</v>
      </c>
      <c r="S19" s="4106" t="s">
        <v>51</v>
      </c>
      <c r="T19" s="4106" t="s">
        <v>51</v>
      </c>
      <c r="U19" s="4106"/>
      <c r="V19" s="4106"/>
      <c r="W19" s="4106" t="s">
        <v>50</v>
      </c>
      <c r="X19" s="4106" t="s">
        <v>46</v>
      </c>
      <c r="Y19" s="4107">
        <v>79</v>
      </c>
      <c r="Z19" s="4108">
        <v>99</v>
      </c>
      <c r="AA19" s="4108" t="s">
        <v>174</v>
      </c>
      <c r="AB19" s="4106"/>
      <c r="AC19" s="4106"/>
      <c r="AD19" s="4108">
        <v>25</v>
      </c>
      <c r="AE19" s="4108">
        <v>25</v>
      </c>
      <c r="AF19" s="4108">
        <v>26</v>
      </c>
      <c r="AG19" s="4109"/>
      <c r="AH19" s="116"/>
      <c r="AI19" s="116"/>
    </row>
    <row r="20" spans="1:40" ht="18" customHeight="1" x14ac:dyDescent="0.2">
      <c r="A20" s="4110">
        <v>8500</v>
      </c>
      <c r="B20" s="4091" t="s">
        <v>542</v>
      </c>
      <c r="C20" s="4103" t="s">
        <v>50</v>
      </c>
      <c r="D20" s="4103" t="s">
        <v>50</v>
      </c>
      <c r="E20" s="4111" t="s">
        <v>46</v>
      </c>
      <c r="F20" s="4094" t="s">
        <v>50</v>
      </c>
      <c r="G20" s="4103" t="s">
        <v>52</v>
      </c>
      <c r="H20" s="4103" t="s">
        <v>52</v>
      </c>
      <c r="I20" s="4103" t="s">
        <v>24</v>
      </c>
      <c r="J20" s="4103" t="s">
        <v>24</v>
      </c>
      <c r="K20" s="3930" t="s">
        <v>24</v>
      </c>
      <c r="L20" s="4112" t="s">
        <v>51</v>
      </c>
      <c r="M20" s="4112" t="s">
        <v>51</v>
      </c>
      <c r="N20" s="4103"/>
      <c r="O20" s="4103"/>
      <c r="P20" s="4103" t="s">
        <v>50</v>
      </c>
      <c r="Q20" s="4103" t="s">
        <v>50</v>
      </c>
      <c r="R20" s="4103" t="s">
        <v>50</v>
      </c>
      <c r="S20" s="4103" t="s">
        <v>50</v>
      </c>
      <c r="T20" s="4101" t="s">
        <v>50</v>
      </c>
      <c r="U20" s="4113" t="s">
        <v>53</v>
      </c>
      <c r="V20" s="4114" t="s">
        <v>53</v>
      </c>
      <c r="W20" s="4114" t="s">
        <v>24</v>
      </c>
      <c r="X20" s="4102" t="s">
        <v>24</v>
      </c>
      <c r="Y20" s="4102" t="s">
        <v>24</v>
      </c>
      <c r="Z20" s="4102" t="s">
        <v>24</v>
      </c>
      <c r="AA20" s="4103" t="s">
        <v>24</v>
      </c>
      <c r="AB20" s="4102"/>
      <c r="AC20" s="4103"/>
      <c r="AD20" s="4103" t="s">
        <v>49</v>
      </c>
      <c r="AE20" s="4102" t="s">
        <v>49</v>
      </c>
      <c r="AF20" s="4103" t="s">
        <v>49</v>
      </c>
      <c r="AG20" s="4105"/>
      <c r="AH20" s="114"/>
      <c r="AI20" s="114"/>
      <c r="AJ20" s="241"/>
      <c r="AK20" s="241"/>
      <c r="AL20" s="241"/>
      <c r="AM20" s="241"/>
      <c r="AN20" s="241"/>
    </row>
    <row r="21" spans="1:40" ht="18" customHeight="1" x14ac:dyDescent="0.2">
      <c r="A21" s="4110">
        <v>8546</v>
      </c>
      <c r="B21" s="4091" t="s">
        <v>55</v>
      </c>
      <c r="C21" s="4103" t="s">
        <v>51</v>
      </c>
      <c r="D21" s="4103" t="s">
        <v>51</v>
      </c>
      <c r="E21" s="4103" t="s">
        <v>51</v>
      </c>
      <c r="F21" s="4103" t="s">
        <v>51</v>
      </c>
      <c r="G21" s="4102"/>
      <c r="H21" s="4102"/>
      <c r="I21" s="4103" t="s">
        <v>50</v>
      </c>
      <c r="J21" s="4102" t="s">
        <v>50</v>
      </c>
      <c r="K21" s="4102" t="s">
        <v>50</v>
      </c>
      <c r="L21" s="4103" t="s">
        <v>50</v>
      </c>
      <c r="M21" s="4102" t="s">
        <v>50</v>
      </c>
      <c r="N21" s="4102" t="s">
        <v>53</v>
      </c>
      <c r="O21" s="4102" t="s">
        <v>53</v>
      </c>
      <c r="P21" s="4102" t="s">
        <v>24</v>
      </c>
      <c r="Q21" s="4100" t="s">
        <v>24</v>
      </c>
      <c r="R21" s="4106" t="s">
        <v>24</v>
      </c>
      <c r="S21" s="4106" t="s">
        <v>24</v>
      </c>
      <c r="T21" s="4103" t="s">
        <v>24</v>
      </c>
      <c r="U21" s="4103"/>
      <c r="V21" s="4103"/>
      <c r="W21" s="4103" t="s">
        <v>49</v>
      </c>
      <c r="X21" s="4103" t="s">
        <v>49</v>
      </c>
      <c r="Y21" s="4103" t="s">
        <v>49</v>
      </c>
      <c r="Z21" s="4115" t="s">
        <v>49</v>
      </c>
      <c r="AA21" s="4103" t="s">
        <v>49</v>
      </c>
      <c r="AB21" s="4101"/>
      <c r="AC21" s="4116"/>
      <c r="AD21" s="4103" t="s">
        <v>50</v>
      </c>
      <c r="AE21" s="4101" t="s">
        <v>50</v>
      </c>
      <c r="AF21" s="4116" t="s">
        <v>50</v>
      </c>
      <c r="AG21" s="4105"/>
      <c r="AH21" s="116"/>
      <c r="AI21" s="116"/>
      <c r="AJ21" s="123"/>
      <c r="AK21" s="123"/>
      <c r="AL21" s="123"/>
      <c r="AM21" s="215"/>
      <c r="AN21" s="215"/>
    </row>
    <row r="22" spans="1:40" ht="18" customHeight="1" x14ac:dyDescent="0.2">
      <c r="A22" s="4110"/>
      <c r="C22" s="4103"/>
      <c r="D22" s="4103"/>
      <c r="E22" s="4103"/>
      <c r="F22" s="4103"/>
      <c r="G22" s="4102"/>
      <c r="H22" s="4102"/>
      <c r="I22" s="4103"/>
      <c r="J22" s="4102"/>
      <c r="K22" s="4102"/>
      <c r="L22" s="4103"/>
      <c r="M22" s="4102"/>
      <c r="N22" s="4102"/>
      <c r="O22" s="4102"/>
      <c r="P22" s="4102"/>
      <c r="Q22" s="4102"/>
      <c r="R22" s="4106"/>
      <c r="S22" s="4106"/>
      <c r="T22" s="4103"/>
      <c r="U22" s="4103"/>
      <c r="V22" s="4103"/>
      <c r="W22" s="4103"/>
      <c r="X22" s="4103" t="s">
        <v>46</v>
      </c>
      <c r="Y22" s="4103"/>
      <c r="Z22" s="4115"/>
      <c r="AA22" s="4103"/>
      <c r="AB22" s="4101"/>
      <c r="AC22" s="4116"/>
      <c r="AD22" s="4103"/>
      <c r="AE22" s="4101"/>
      <c r="AF22" s="4116"/>
      <c r="AG22" s="4105"/>
      <c r="AH22" s="116"/>
      <c r="AI22" s="116"/>
      <c r="AJ22" s="123"/>
      <c r="AK22" s="123"/>
      <c r="AL22" s="123"/>
      <c r="AM22" s="215"/>
      <c r="AN22" s="215"/>
    </row>
    <row r="23" spans="1:40" ht="18" customHeight="1" x14ac:dyDescent="0.2">
      <c r="A23" s="4110"/>
      <c r="B23" s="4091"/>
      <c r="C23" s="4102" t="s">
        <v>50</v>
      </c>
      <c r="D23" s="4103" t="s">
        <v>50</v>
      </c>
      <c r="E23" s="4103" t="s">
        <v>50</v>
      </c>
      <c r="F23" s="4101" t="s">
        <v>50</v>
      </c>
      <c r="G23" s="4103" t="s">
        <v>53</v>
      </c>
      <c r="H23" s="4103" t="s">
        <v>53</v>
      </c>
      <c r="I23" s="4103" t="s">
        <v>24</v>
      </c>
      <c r="J23" s="4094" t="s">
        <v>24</v>
      </c>
      <c r="K23" s="4117" t="s">
        <v>24</v>
      </c>
      <c r="L23" s="4094" t="s">
        <v>24</v>
      </c>
      <c r="M23" s="4094" t="s">
        <v>24</v>
      </c>
      <c r="N23" s="4094"/>
      <c r="O23" s="4094"/>
      <c r="P23" s="4094" t="s">
        <v>49</v>
      </c>
      <c r="Q23" s="4103" t="s">
        <v>49</v>
      </c>
      <c r="R23" s="4103" t="s">
        <v>49</v>
      </c>
      <c r="S23" s="4103" t="s">
        <v>49</v>
      </c>
      <c r="T23" s="4103" t="s">
        <v>49</v>
      </c>
      <c r="U23" s="4101"/>
      <c r="V23" s="4103"/>
      <c r="W23" s="4103" t="s">
        <v>50</v>
      </c>
      <c r="X23" s="4118" t="s">
        <v>50</v>
      </c>
      <c r="Y23" s="4118" t="s">
        <v>50</v>
      </c>
      <c r="Z23" s="4118" t="s">
        <v>50</v>
      </c>
      <c r="AA23" s="4118" t="s">
        <v>50</v>
      </c>
      <c r="AB23" s="4103" t="s">
        <v>52</v>
      </c>
      <c r="AC23" s="4101" t="s">
        <v>52</v>
      </c>
      <c r="AD23" s="4103" t="s">
        <v>51</v>
      </c>
      <c r="AE23" s="4103" t="s">
        <v>51</v>
      </c>
      <c r="AF23" s="4101" t="s">
        <v>51</v>
      </c>
      <c r="AG23" s="4105"/>
      <c r="AH23" s="116"/>
      <c r="AI23" s="116"/>
      <c r="AJ23" s="123"/>
      <c r="AK23" s="123"/>
      <c r="AL23" s="123"/>
      <c r="AM23" s="215"/>
      <c r="AN23" s="215"/>
    </row>
    <row r="24" spans="1:40" ht="18" customHeight="1" thickBot="1" x14ac:dyDescent="0.25">
      <c r="A24" s="4119">
        <v>8546</v>
      </c>
      <c r="B24" s="4120" t="s">
        <v>470</v>
      </c>
      <c r="C24" s="4121" t="s">
        <v>24</v>
      </c>
      <c r="D24" s="4121" t="s">
        <v>24</v>
      </c>
      <c r="E24" s="4121" t="s">
        <v>24</v>
      </c>
      <c r="F24" s="4121" t="s">
        <v>24</v>
      </c>
      <c r="G24" s="4122" t="s">
        <v>52</v>
      </c>
      <c r="H24" s="4122" t="s">
        <v>52</v>
      </c>
      <c r="I24" s="4121" t="s">
        <v>51</v>
      </c>
      <c r="J24" s="4121" t="s">
        <v>51</v>
      </c>
      <c r="K24" s="4121" t="s">
        <v>51</v>
      </c>
      <c r="L24" s="4121" t="s">
        <v>51</v>
      </c>
      <c r="M24" s="4121" t="s">
        <v>51</v>
      </c>
      <c r="N24" s="4123"/>
      <c r="O24" s="4124"/>
      <c r="P24" s="4121" t="s">
        <v>46</v>
      </c>
      <c r="Q24" s="4121" t="s">
        <v>24</v>
      </c>
      <c r="R24" s="4121" t="s">
        <v>46</v>
      </c>
      <c r="S24" s="4125" t="s">
        <v>51</v>
      </c>
      <c r="T24" s="4125" t="s">
        <v>51</v>
      </c>
      <c r="U24" s="4124"/>
      <c r="V24" s="4124"/>
      <c r="W24" s="4124"/>
      <c r="X24" s="4121">
        <v>79</v>
      </c>
      <c r="Y24" s="4126">
        <v>79</v>
      </c>
      <c r="Z24" s="4121">
        <v>79</v>
      </c>
      <c r="AA24" s="4121">
        <v>79</v>
      </c>
      <c r="AB24" s="4198" t="s">
        <v>52</v>
      </c>
      <c r="AC24" s="4198" t="s">
        <v>52</v>
      </c>
      <c r="AD24" s="4121" t="s">
        <v>51</v>
      </c>
      <c r="AE24" s="4121" t="s">
        <v>51</v>
      </c>
      <c r="AF24" s="4121" t="s">
        <v>51</v>
      </c>
      <c r="AG24" s="4127"/>
      <c r="AH24" s="116"/>
      <c r="AI24" s="116"/>
      <c r="AJ24" s="123"/>
      <c r="AK24" s="123"/>
      <c r="AL24" s="123"/>
      <c r="AM24" s="215"/>
      <c r="AN24" s="215"/>
    </row>
    <row r="25" spans="1:40" ht="18" customHeight="1" thickBot="1" x14ac:dyDescent="0.25">
      <c r="A25" s="4128" t="s">
        <v>60</v>
      </c>
      <c r="B25" s="4129"/>
      <c r="C25" s="4129"/>
      <c r="D25" s="4129"/>
      <c r="E25" s="4129"/>
      <c r="F25" s="4129"/>
      <c r="G25" s="4129"/>
      <c r="H25" s="4129"/>
      <c r="I25" s="4129"/>
      <c r="J25" s="4129"/>
      <c r="K25" s="4129"/>
      <c r="L25" s="4129"/>
      <c r="M25" s="4129"/>
      <c r="N25" s="4129"/>
      <c r="O25" s="4129"/>
      <c r="P25" s="4129"/>
      <c r="Q25" s="4129"/>
      <c r="R25" s="4129"/>
      <c r="S25" s="4129"/>
      <c r="T25" s="4129"/>
      <c r="U25" s="4129"/>
      <c r="V25" s="4129"/>
      <c r="W25" s="4129"/>
      <c r="X25" s="4129"/>
      <c r="Y25" s="4129"/>
      <c r="Z25" s="4129"/>
      <c r="AA25" s="4129"/>
      <c r="AB25" s="4129"/>
      <c r="AC25" s="4129"/>
      <c r="AD25" s="4129"/>
      <c r="AE25" s="4129"/>
      <c r="AF25" s="4129"/>
      <c r="AG25" s="4129"/>
      <c r="AJ25" s="123"/>
      <c r="AK25" s="123"/>
      <c r="AL25" s="123"/>
      <c r="AM25" s="215"/>
      <c r="AN25" s="215"/>
    </row>
    <row r="26" spans="1:40" ht="18" customHeight="1" x14ac:dyDescent="0.2">
      <c r="A26" s="626">
        <v>8500</v>
      </c>
      <c r="B26" s="4130" t="s">
        <v>61</v>
      </c>
      <c r="C26" s="4087" t="s">
        <v>46</v>
      </c>
      <c r="D26" s="4131" t="s">
        <v>46</v>
      </c>
      <c r="E26" s="4131" t="s">
        <v>46</v>
      </c>
      <c r="F26" s="4132" t="s">
        <v>46</v>
      </c>
      <c r="G26" s="4088"/>
      <c r="H26" s="4087"/>
      <c r="I26" s="4087" t="s">
        <v>46</v>
      </c>
      <c r="J26" s="4087" t="s">
        <v>46</v>
      </c>
      <c r="K26" s="4133" t="s">
        <v>46</v>
      </c>
      <c r="L26" s="4131" t="s">
        <v>46</v>
      </c>
      <c r="M26" s="4087" t="s">
        <v>46</v>
      </c>
      <c r="N26" s="4088"/>
      <c r="O26" s="4087"/>
      <c r="P26" s="4087" t="s">
        <v>46</v>
      </c>
      <c r="Q26" s="4087" t="s">
        <v>46</v>
      </c>
      <c r="R26" s="4131" t="s">
        <v>46</v>
      </c>
      <c r="S26" s="4131"/>
      <c r="T26" s="4087"/>
      <c r="U26" s="4088"/>
      <c r="V26" s="4087"/>
      <c r="W26" s="4087"/>
      <c r="X26" s="4087" t="s">
        <v>46</v>
      </c>
      <c r="Y26" s="4131" t="s">
        <v>46</v>
      </c>
      <c r="Z26" s="4131" t="s">
        <v>46</v>
      </c>
      <c r="AA26" s="4087" t="s">
        <v>46</v>
      </c>
      <c r="AB26" s="4088"/>
      <c r="AC26" s="4087"/>
      <c r="AD26" s="4131" t="s">
        <v>46</v>
      </c>
      <c r="AE26" s="4088" t="s">
        <v>46</v>
      </c>
      <c r="AF26" s="4963" t="s">
        <v>46</v>
      </c>
      <c r="AG26" s="4090"/>
      <c r="AJ26" s="4079" t="s">
        <v>41</v>
      </c>
      <c r="AK26" s="4079" t="s">
        <v>62</v>
      </c>
      <c r="AL26" s="4079" t="s">
        <v>63</v>
      </c>
      <c r="AM26" s="4079" t="s">
        <v>64</v>
      </c>
      <c r="AN26" s="4079" t="s">
        <v>65</v>
      </c>
    </row>
    <row r="27" spans="1:40" ht="18" customHeight="1" thickBot="1" x14ac:dyDescent="0.25">
      <c r="A27" s="626">
        <v>8500</v>
      </c>
      <c r="B27" s="4091" t="s">
        <v>67</v>
      </c>
      <c r="C27" s="4134" t="s">
        <v>49</v>
      </c>
      <c r="D27" s="4134" t="s">
        <v>50</v>
      </c>
      <c r="E27" s="4134" t="s">
        <v>50</v>
      </c>
      <c r="F27" s="4103" t="s">
        <v>50</v>
      </c>
      <c r="G27" s="4102"/>
      <c r="H27" s="4102"/>
      <c r="I27" s="4112" t="s">
        <v>46</v>
      </c>
      <c r="J27" s="4112" t="s">
        <v>46</v>
      </c>
      <c r="K27" s="4112" t="s">
        <v>46</v>
      </c>
      <c r="L27" s="4112" t="s">
        <v>46</v>
      </c>
      <c r="M27" s="4112" t="s">
        <v>46</v>
      </c>
      <c r="N27" s="4112"/>
      <c r="O27" s="4112"/>
      <c r="P27" s="4103" t="s">
        <v>49</v>
      </c>
      <c r="Q27" s="4094" t="s">
        <v>49</v>
      </c>
      <c r="R27" s="4106" t="s">
        <v>49</v>
      </c>
      <c r="S27" s="4102" t="s">
        <v>49</v>
      </c>
      <c r="T27" s="4102" t="s">
        <v>49</v>
      </c>
      <c r="U27" s="4102"/>
      <c r="V27" s="4106"/>
      <c r="W27" s="4106"/>
      <c r="X27" s="4106" t="s">
        <v>50</v>
      </c>
      <c r="Y27" s="4106" t="s">
        <v>50</v>
      </c>
      <c r="Z27" s="4106" t="s">
        <v>50</v>
      </c>
      <c r="AA27" s="4106" t="s">
        <v>50</v>
      </c>
      <c r="AB27" s="4099" t="s">
        <v>52</v>
      </c>
      <c r="AC27" s="4099" t="s">
        <v>52</v>
      </c>
      <c r="AD27" s="4099" t="s">
        <v>51</v>
      </c>
      <c r="AE27" s="4099" t="s">
        <v>51</v>
      </c>
      <c r="AF27" s="4106" t="s">
        <v>50</v>
      </c>
      <c r="AG27" s="4109"/>
      <c r="AH27" s="123"/>
      <c r="AJ27" s="3960">
        <f>$AJ$11</f>
        <v>160.33000000000001</v>
      </c>
      <c r="AK27" s="3960"/>
      <c r="AL27" s="3960">
        <f>IF(AJ27="","",SUM(AJ27:AK27))</f>
        <v>160.33000000000001</v>
      </c>
      <c r="AM27" s="4135">
        <f>IF(AJ27="","",AL27-_xlfn.SINGLE(NormTid))</f>
        <v>0</v>
      </c>
      <c r="AN27" s="4135">
        <f>IF(AM27="","",AM27+'Marts 2025'!AN27)</f>
        <v>0</v>
      </c>
    </row>
    <row r="28" spans="1:40" ht="18" customHeight="1" x14ac:dyDescent="0.2">
      <c r="A28" s="4136"/>
      <c r="B28" s="4091" t="s">
        <v>75</v>
      </c>
      <c r="C28" s="4116">
        <v>69</v>
      </c>
      <c r="D28" s="4116" t="s">
        <v>46</v>
      </c>
      <c r="E28" s="4106">
        <v>4</v>
      </c>
      <c r="F28" s="4106" t="s">
        <v>46</v>
      </c>
      <c r="G28" s="4116"/>
      <c r="H28" s="4116"/>
      <c r="I28" s="4116" t="s">
        <v>46</v>
      </c>
      <c r="J28" s="4116" t="s">
        <v>46</v>
      </c>
      <c r="K28" s="4116" t="s">
        <v>46</v>
      </c>
      <c r="L28" s="4106" t="s">
        <v>46</v>
      </c>
      <c r="M28" s="4106" t="s">
        <v>309</v>
      </c>
      <c r="N28" s="4116"/>
      <c r="O28" s="4116"/>
      <c r="P28" s="4102" t="s">
        <v>46</v>
      </c>
      <c r="Q28" s="4131" t="s">
        <v>252</v>
      </c>
      <c r="R28" s="4131" t="s">
        <v>174</v>
      </c>
      <c r="S28" s="4106"/>
      <c r="T28" s="4106"/>
      <c r="U28" s="4106"/>
      <c r="V28" s="4116"/>
      <c r="W28" s="4116"/>
      <c r="X28" s="4104" t="s">
        <v>46</v>
      </c>
      <c r="Y28" s="4104" t="s">
        <v>46</v>
      </c>
      <c r="Z28" s="4104" t="s">
        <v>46</v>
      </c>
      <c r="AA28" s="4104" t="s">
        <v>46</v>
      </c>
      <c r="AB28" s="4106"/>
      <c r="AC28" s="4106"/>
      <c r="AD28" s="4117" t="s">
        <v>46</v>
      </c>
      <c r="AE28" s="4106" t="s">
        <v>46</v>
      </c>
      <c r="AF28" s="4106" t="s">
        <v>46</v>
      </c>
      <c r="AG28" s="4137"/>
      <c r="AH28" s="123"/>
    </row>
    <row r="29" spans="1:40" ht="18" customHeight="1" thickBot="1" x14ac:dyDescent="0.25">
      <c r="A29" s="646"/>
      <c r="B29" s="4138" t="s">
        <v>1071</v>
      </c>
      <c r="C29" s="4139" t="s">
        <v>46</v>
      </c>
      <c r="D29" s="4140" t="s">
        <v>46</v>
      </c>
      <c r="E29" s="4141" t="s">
        <v>46</v>
      </c>
      <c r="F29" s="4142" t="s">
        <v>46</v>
      </c>
      <c r="G29" s="4142"/>
      <c r="H29" s="4142"/>
      <c r="I29" s="4142" t="s">
        <v>46</v>
      </c>
      <c r="J29" s="4142" t="s">
        <v>46</v>
      </c>
      <c r="K29" s="4142" t="s">
        <v>46</v>
      </c>
      <c r="L29" s="4143" t="s">
        <v>46</v>
      </c>
      <c r="M29" s="4143" t="s">
        <v>46</v>
      </c>
      <c r="N29" s="4143"/>
      <c r="O29" s="4143"/>
      <c r="P29" s="4143" t="s">
        <v>46</v>
      </c>
      <c r="Q29" s="4143" t="s">
        <v>46</v>
      </c>
      <c r="R29" s="4143" t="s">
        <v>46</v>
      </c>
      <c r="S29" s="4140"/>
      <c r="T29" s="4139"/>
      <c r="U29" s="4144"/>
      <c r="V29" s="4139"/>
      <c r="W29" s="4139"/>
      <c r="X29" s="4139" t="s">
        <v>46</v>
      </c>
      <c r="Y29" s="4140" t="s">
        <v>46</v>
      </c>
      <c r="Z29" s="4140" t="s">
        <v>46</v>
      </c>
      <c r="AA29" s="4139" t="s">
        <v>46</v>
      </c>
      <c r="AB29" s="4144"/>
      <c r="AC29" s="4139"/>
      <c r="AD29" s="4140" t="s">
        <v>46</v>
      </c>
      <c r="AE29" s="4145" t="s">
        <v>46</v>
      </c>
      <c r="AF29" s="4139" t="s">
        <v>46</v>
      </c>
      <c r="AG29" s="4146"/>
      <c r="AH29" s="123"/>
    </row>
    <row r="30" spans="1:40" ht="18" customHeight="1" x14ac:dyDescent="0.2">
      <c r="A30" s="245"/>
      <c r="B30" s="246"/>
      <c r="C30" s="247"/>
      <c r="D30" s="248"/>
      <c r="E30" s="248"/>
      <c r="F30" s="248"/>
      <c r="G30" s="246"/>
      <c r="H30" s="246"/>
      <c r="I30" s="248"/>
      <c r="J30" s="247"/>
      <c r="K30" s="248"/>
      <c r="L30" s="246"/>
      <c r="M30" s="246"/>
      <c r="N30" s="246"/>
      <c r="O30" s="246"/>
      <c r="P30" s="248"/>
      <c r="Q30" s="247"/>
      <c r="R30" s="248"/>
      <c r="S30" s="248"/>
      <c r="T30" s="248"/>
      <c r="U30" s="246"/>
      <c r="V30" s="246"/>
      <c r="W30" s="248"/>
      <c r="X30" s="247"/>
      <c r="Y30" s="248"/>
      <c r="Z30" s="248"/>
      <c r="AA30" s="248"/>
      <c r="AB30" s="246"/>
      <c r="AC30" s="246"/>
      <c r="AD30" s="248"/>
      <c r="AE30" s="247"/>
      <c r="AF30" s="248"/>
      <c r="AG30" s="246"/>
      <c r="AH30" s="123"/>
    </row>
    <row r="31" spans="1:40" ht="18" customHeight="1" x14ac:dyDescent="0.2">
      <c r="A31" s="249"/>
      <c r="B31" s="250"/>
      <c r="C31" s="251">
        <v>89</v>
      </c>
      <c r="D31" s="252"/>
      <c r="E31" s="252"/>
      <c r="F31" s="252"/>
      <c r="G31" s="250"/>
      <c r="H31" s="250"/>
      <c r="I31" s="252"/>
      <c r="J31" s="251"/>
      <c r="K31" s="252"/>
      <c r="L31" s="250"/>
      <c r="M31" s="250"/>
      <c r="N31" s="250"/>
      <c r="O31" s="250"/>
      <c r="P31" s="252"/>
      <c r="Q31" s="251"/>
      <c r="R31" s="252"/>
      <c r="S31" s="252"/>
      <c r="T31" s="252"/>
      <c r="U31" s="250"/>
      <c r="V31" s="250"/>
      <c r="W31" s="252"/>
      <c r="X31" s="251"/>
      <c r="Y31" s="252"/>
      <c r="Z31" s="252"/>
      <c r="AA31" s="252"/>
      <c r="AB31" s="250"/>
      <c r="AC31" s="250"/>
      <c r="AG31" s="250"/>
      <c r="AH31" s="123"/>
    </row>
    <row r="32" spans="1:40" ht="18" customHeight="1" x14ac:dyDescent="0.2">
      <c r="A32" s="249"/>
      <c r="B32" s="250"/>
      <c r="C32" s="252"/>
      <c r="D32" s="252"/>
      <c r="E32" s="252">
        <v>99</v>
      </c>
      <c r="F32" s="252"/>
      <c r="G32" s="250"/>
      <c r="H32" s="250"/>
      <c r="I32" s="252"/>
      <c r="J32" s="251"/>
      <c r="K32" s="252"/>
      <c r="L32" s="250"/>
      <c r="M32" s="250"/>
      <c r="N32" s="250"/>
      <c r="O32" s="250"/>
      <c r="P32" s="252"/>
      <c r="Q32" s="251"/>
      <c r="R32" s="252"/>
      <c r="S32" s="252"/>
      <c r="T32" s="252"/>
      <c r="U32" s="250"/>
      <c r="V32" s="250"/>
      <c r="W32" s="252"/>
      <c r="X32" s="252">
        <v>89</v>
      </c>
      <c r="Y32" s="251"/>
      <c r="Z32" s="252"/>
      <c r="AA32" s="252"/>
      <c r="AB32" s="4117"/>
      <c r="AC32" s="4117"/>
      <c r="AD32" s="252"/>
      <c r="AE32" s="251"/>
      <c r="AF32" s="252">
        <v>1</v>
      </c>
      <c r="AG32" s="250"/>
      <c r="AH32" s="123"/>
    </row>
    <row r="33" spans="1:38" ht="18" customHeight="1" x14ac:dyDescent="0.2">
      <c r="A33" s="249"/>
      <c r="B33" s="250"/>
      <c r="C33" s="251"/>
      <c r="D33" s="252"/>
      <c r="E33" s="252"/>
      <c r="F33" s="252"/>
      <c r="G33" s="250"/>
      <c r="H33" s="250"/>
      <c r="I33" s="252"/>
      <c r="J33" s="251"/>
      <c r="K33" s="252"/>
      <c r="L33" s="250"/>
      <c r="M33" s="250"/>
      <c r="N33" s="250"/>
      <c r="O33" s="250"/>
      <c r="P33" s="252"/>
      <c r="Q33" s="251"/>
      <c r="R33" s="252"/>
      <c r="S33" s="252"/>
      <c r="T33" s="252"/>
      <c r="U33" s="250"/>
      <c r="V33" s="250"/>
      <c r="W33" s="252"/>
      <c r="X33" s="251" t="s">
        <v>168</v>
      </c>
      <c r="Y33" s="252" t="s">
        <v>168</v>
      </c>
      <c r="Z33" s="252"/>
      <c r="AA33" s="252"/>
      <c r="AB33" s="250"/>
      <c r="AC33" s="250"/>
      <c r="AD33" s="252">
        <v>25</v>
      </c>
      <c r="AE33" s="251"/>
      <c r="AF33" s="252"/>
      <c r="AG33" s="250"/>
      <c r="AH33" s="123"/>
    </row>
    <row r="34" spans="1:38" ht="18" customHeight="1" x14ac:dyDescent="0.2">
      <c r="A34" s="249"/>
      <c r="B34" s="250"/>
      <c r="C34" s="251"/>
      <c r="D34" s="252"/>
      <c r="E34" s="252"/>
      <c r="F34" s="252"/>
      <c r="G34" s="250"/>
      <c r="H34" s="250"/>
      <c r="I34" s="252"/>
      <c r="J34" s="251"/>
      <c r="K34" s="252"/>
      <c r="L34" s="250"/>
      <c r="M34" s="250"/>
      <c r="N34" s="250"/>
      <c r="O34" s="250"/>
      <c r="P34" s="252"/>
      <c r="Q34" s="251"/>
      <c r="R34" s="252"/>
      <c r="S34" s="252"/>
      <c r="T34" s="252"/>
      <c r="U34" s="250"/>
      <c r="V34" s="250"/>
      <c r="W34" s="252"/>
      <c r="X34" s="251"/>
      <c r="Y34" s="252" t="s">
        <v>309</v>
      </c>
      <c r="Z34" s="252">
        <v>3</v>
      </c>
      <c r="AA34" s="252">
        <v>3</v>
      </c>
      <c r="AB34" s="250"/>
      <c r="AC34" s="250"/>
      <c r="AD34" s="252"/>
      <c r="AE34" s="251"/>
      <c r="AF34" s="252"/>
      <c r="AG34" s="250"/>
      <c r="AH34" s="123"/>
    </row>
    <row r="35" spans="1:38" ht="18" customHeight="1" x14ac:dyDescent="0.2">
      <c r="A35" s="249"/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  <c r="AB35" s="250"/>
      <c r="AC35" s="250"/>
      <c r="AD35" s="250"/>
      <c r="AE35" s="250"/>
      <c r="AF35" s="250"/>
      <c r="AG35" s="250"/>
    </row>
    <row r="36" spans="1:38" ht="18" customHeight="1" x14ac:dyDescent="0.2">
      <c r="A36" s="249"/>
      <c r="B36" s="250"/>
      <c r="C36" s="250"/>
      <c r="D36" s="250"/>
      <c r="E36" s="250"/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0"/>
      <c r="V36" s="250"/>
      <c r="W36" s="250"/>
      <c r="X36" s="250"/>
      <c r="Y36" s="250"/>
      <c r="Z36" s="250"/>
      <c r="AA36" s="250"/>
      <c r="AB36" s="250" t="s">
        <v>0</v>
      </c>
      <c r="AC36" s="250"/>
      <c r="AD36" s="250"/>
      <c r="AE36" s="250"/>
      <c r="AF36" s="250"/>
      <c r="AG36" s="250"/>
    </row>
    <row r="37" spans="1:38" ht="18" customHeight="1" x14ac:dyDescent="0.2">
      <c r="A37" s="103" t="s">
        <v>82</v>
      </c>
      <c r="B37" s="42" t="s">
        <v>567</v>
      </c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 t="s">
        <v>0</v>
      </c>
      <c r="P37" s="48"/>
      <c r="Q37" s="48" t="s">
        <v>83</v>
      </c>
      <c r="R37" s="48" t="s">
        <v>0</v>
      </c>
      <c r="S37" s="48" t="s">
        <v>84</v>
      </c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K37" s="1"/>
    </row>
    <row r="38" spans="1:38" ht="18" customHeight="1" x14ac:dyDescent="0.2">
      <c r="A38" s="4147" t="s">
        <v>85</v>
      </c>
      <c r="B38" s="4147" t="s">
        <v>85</v>
      </c>
      <c r="C38" s="4148"/>
      <c r="D38" s="4149" t="s">
        <v>86</v>
      </c>
      <c r="E38" s="4150"/>
      <c r="F38" s="4150"/>
      <c r="G38" s="4150"/>
      <c r="H38" s="4150"/>
      <c r="I38" s="4150"/>
      <c r="J38" s="4150"/>
      <c r="K38" s="4150"/>
      <c r="L38" s="4150"/>
      <c r="M38" s="4151" t="s">
        <v>87</v>
      </c>
      <c r="N38" s="4150"/>
      <c r="O38" s="4150"/>
      <c r="P38" s="4150"/>
      <c r="Q38" s="4150"/>
      <c r="R38" s="4150"/>
      <c r="S38" s="4152"/>
      <c r="T38" s="4986" t="s">
        <v>88</v>
      </c>
      <c r="U38" s="4986"/>
      <c r="V38" s="4986"/>
      <c r="W38" s="4986"/>
      <c r="X38" s="4986"/>
      <c r="Y38" s="4986"/>
      <c r="Z38" s="4986"/>
      <c r="AA38" s="4153" t="s">
        <v>89</v>
      </c>
      <c r="AB38" s="4154"/>
      <c r="AC38" s="4154"/>
      <c r="AD38" s="4154"/>
      <c r="AE38" s="4154"/>
      <c r="AF38" s="4154"/>
      <c r="AG38" s="4155"/>
      <c r="AK38" s="1"/>
    </row>
    <row r="39" spans="1:38" ht="18" customHeight="1" x14ac:dyDescent="0.2">
      <c r="A39" s="4156" t="s">
        <v>90</v>
      </c>
      <c r="B39" s="4156" t="s">
        <v>90</v>
      </c>
      <c r="C39" s="4157"/>
      <c r="D39" s="4158" t="s">
        <v>91</v>
      </c>
      <c r="E39" s="4159"/>
      <c r="F39" s="4054"/>
      <c r="G39" s="4054"/>
      <c r="H39" s="4054"/>
      <c r="I39" s="4054"/>
      <c r="J39" s="4054"/>
      <c r="K39" s="4054"/>
      <c r="L39" s="4160"/>
      <c r="M39" s="4161" t="s">
        <v>92</v>
      </c>
      <c r="N39" s="4157"/>
      <c r="O39" s="4162"/>
      <c r="P39" s="4157"/>
      <c r="Q39" s="4157"/>
      <c r="R39" s="4157"/>
      <c r="S39" s="4163"/>
      <c r="T39" s="4158" t="s">
        <v>93</v>
      </c>
      <c r="U39" s="4054"/>
      <c r="V39" s="4159"/>
      <c r="W39" s="4054"/>
      <c r="X39" s="4054"/>
      <c r="Y39" s="4054"/>
      <c r="Z39" s="4160"/>
      <c r="AA39" s="104" t="s">
        <v>94</v>
      </c>
      <c r="AD39" s="60"/>
      <c r="AG39" s="63"/>
      <c r="AK39" s="1"/>
    </row>
    <row r="40" spans="1:38" ht="18" customHeight="1" x14ac:dyDescent="0.2">
      <c r="A40" s="4164" t="s">
        <v>95</v>
      </c>
      <c r="B40" s="4164" t="s">
        <v>95</v>
      </c>
      <c r="C40" s="4054"/>
      <c r="D40" s="4165"/>
      <c r="E40" s="4054"/>
      <c r="F40" s="4054"/>
      <c r="G40" s="4160"/>
      <c r="H40" s="4166" t="s">
        <v>96</v>
      </c>
      <c r="I40" s="4054"/>
      <c r="J40" s="4054"/>
      <c r="K40" s="4054"/>
      <c r="L40" s="4054"/>
      <c r="M40" s="4167"/>
      <c r="N40" s="4054"/>
      <c r="O40" s="4054"/>
      <c r="P40" s="4054"/>
      <c r="Q40" s="4054"/>
      <c r="R40" s="4054"/>
      <c r="S40" s="4054"/>
      <c r="T40" s="4165"/>
      <c r="U40" s="103" t="s">
        <v>97</v>
      </c>
      <c r="AA40" s="4162"/>
      <c r="AB40" s="4157"/>
      <c r="AC40" s="4157"/>
      <c r="AD40" s="4157"/>
      <c r="AE40" s="4157"/>
      <c r="AF40" s="4157"/>
      <c r="AG40" s="4168"/>
      <c r="AK40" s="42"/>
    </row>
    <row r="41" spans="1:38" ht="18" customHeight="1" x14ac:dyDescent="0.2">
      <c r="A41" s="4169" t="s">
        <v>98</v>
      </c>
      <c r="B41" s="4169" t="s">
        <v>98</v>
      </c>
      <c r="C41" s="4170"/>
      <c r="D41" s="4171"/>
      <c r="E41" s="4170"/>
      <c r="F41" s="4170"/>
      <c r="G41" s="4172"/>
      <c r="H41" s="4173" t="s">
        <v>99</v>
      </c>
      <c r="I41" s="4172"/>
      <c r="J41" s="4170"/>
      <c r="K41" s="4170"/>
      <c r="L41" s="4170"/>
      <c r="M41" s="4174"/>
      <c r="N41" s="4170"/>
      <c r="O41" s="4170"/>
      <c r="P41" s="4170"/>
      <c r="Q41" s="4175"/>
      <c r="R41" s="4175"/>
      <c r="S41" s="4175"/>
      <c r="T41" s="4171"/>
      <c r="U41" s="4176" t="s">
        <v>100</v>
      </c>
      <c r="V41" s="4170"/>
      <c r="W41" s="4170"/>
      <c r="X41" s="4170"/>
      <c r="Y41" s="4170"/>
      <c r="Z41" s="4170"/>
      <c r="AA41" s="4170"/>
      <c r="AB41" s="4170"/>
      <c r="AC41" s="4170"/>
      <c r="AD41" s="4170"/>
      <c r="AE41" s="4170"/>
      <c r="AF41" s="4170"/>
      <c r="AG41" s="4177"/>
      <c r="AK41" s="1"/>
    </row>
    <row r="42" spans="1:38" ht="18" customHeight="1" x14ac:dyDescent="0.2">
      <c r="B42" s="64" t="s">
        <v>42</v>
      </c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1"/>
    </row>
    <row r="43" spans="1:38" ht="18" customHeight="1" thickBot="1" x14ac:dyDescent="0.25">
      <c r="A43" s="4178" t="s">
        <v>43</v>
      </c>
      <c r="B43" s="4179" t="s">
        <v>44</v>
      </c>
      <c r="C43" s="4082">
        <v>1</v>
      </c>
      <c r="D43" s="4082">
        <v>2</v>
      </c>
      <c r="E43" s="4082">
        <v>3</v>
      </c>
      <c r="F43" s="4082">
        <v>4</v>
      </c>
      <c r="G43" s="4083">
        <v>5</v>
      </c>
      <c r="H43" s="4083">
        <v>6</v>
      </c>
      <c r="I43" s="4082">
        <v>7</v>
      </c>
      <c r="J43" s="4082">
        <v>8</v>
      </c>
      <c r="K43" s="4082">
        <v>9</v>
      </c>
      <c r="L43" s="4082">
        <v>10</v>
      </c>
      <c r="M43" s="4082">
        <v>11</v>
      </c>
      <c r="N43" s="4083">
        <v>12</v>
      </c>
      <c r="O43" s="4083">
        <v>13</v>
      </c>
      <c r="P43" s="4082">
        <v>14</v>
      </c>
      <c r="Q43" s="4082">
        <v>15</v>
      </c>
      <c r="R43" s="4082">
        <v>16</v>
      </c>
      <c r="S43" s="4083">
        <v>17</v>
      </c>
      <c r="T43" s="4083">
        <v>18</v>
      </c>
      <c r="U43" s="4083">
        <v>19</v>
      </c>
      <c r="V43" s="4083">
        <v>20</v>
      </c>
      <c r="W43" s="4083">
        <v>21</v>
      </c>
      <c r="X43" s="4082">
        <v>22</v>
      </c>
      <c r="Y43" s="4082">
        <v>23</v>
      </c>
      <c r="Z43" s="4082">
        <v>24</v>
      </c>
      <c r="AA43" s="4082">
        <v>25</v>
      </c>
      <c r="AB43" s="4083">
        <v>26</v>
      </c>
      <c r="AC43" s="4083">
        <v>27</v>
      </c>
      <c r="AD43" s="4082">
        <v>28</v>
      </c>
      <c r="AE43" s="4082">
        <v>29</v>
      </c>
      <c r="AF43" s="4082">
        <v>30</v>
      </c>
      <c r="AG43" s="4084"/>
      <c r="AH43" s="110"/>
      <c r="AI43" s="111"/>
      <c r="AL43" t="s">
        <v>0</v>
      </c>
    </row>
    <row r="44" spans="1:38" ht="18" customHeight="1" x14ac:dyDescent="0.2">
      <c r="A44" s="4180">
        <v>1</v>
      </c>
      <c r="B44" s="4074" t="s">
        <v>546</v>
      </c>
      <c r="C44" s="4181">
        <v>6</v>
      </c>
      <c r="D44" s="4181">
        <v>6</v>
      </c>
      <c r="E44" s="4181">
        <v>6</v>
      </c>
      <c r="F44" s="4181">
        <v>6</v>
      </c>
      <c r="G44" s="4133"/>
      <c r="H44" s="4133"/>
      <c r="I44" s="4133" t="s">
        <v>50</v>
      </c>
      <c r="J44" s="4182" t="s">
        <v>50</v>
      </c>
      <c r="K44" s="4183" t="s">
        <v>50</v>
      </c>
      <c r="L44" s="4133" t="s">
        <v>50</v>
      </c>
      <c r="M44" s="4133" t="s">
        <v>50</v>
      </c>
      <c r="N44" s="4133"/>
      <c r="O44" s="4131"/>
      <c r="P44" s="4133">
        <v>5</v>
      </c>
      <c r="Q44" s="4132">
        <v>5</v>
      </c>
      <c r="R44" s="4131">
        <v>5</v>
      </c>
      <c r="S44" s="4133"/>
      <c r="T44" s="4184"/>
      <c r="U44" s="4184"/>
      <c r="V44" s="4184"/>
      <c r="W44" s="4133">
        <v>10</v>
      </c>
      <c r="X44" s="4132">
        <v>10</v>
      </c>
      <c r="Y44" s="4132">
        <v>10</v>
      </c>
      <c r="Z44" s="4133">
        <v>10</v>
      </c>
      <c r="AA44" s="4133">
        <v>10</v>
      </c>
      <c r="AB44" s="4132" t="s">
        <v>106</v>
      </c>
      <c r="AC44" s="4132" t="s">
        <v>106</v>
      </c>
      <c r="AD44" s="4132" t="s">
        <v>50</v>
      </c>
      <c r="AE44" s="4184" t="s">
        <v>420</v>
      </c>
      <c r="AF44" s="4133" t="s">
        <v>50</v>
      </c>
      <c r="AG44" s="4185"/>
      <c r="AH44" s="115"/>
      <c r="AI44" s="116"/>
    </row>
    <row r="45" spans="1:38" ht="18" customHeight="1" x14ac:dyDescent="0.2">
      <c r="A45" s="4186">
        <v>6</v>
      </c>
      <c r="B45" s="4091" t="s">
        <v>105</v>
      </c>
      <c r="C45" s="4114">
        <v>7</v>
      </c>
      <c r="D45" s="4114">
        <v>7</v>
      </c>
      <c r="E45" s="4114">
        <v>7</v>
      </c>
      <c r="F45" s="4187">
        <v>7</v>
      </c>
      <c r="G45" s="4114"/>
      <c r="H45" s="4114"/>
      <c r="I45" s="4114">
        <v>4</v>
      </c>
      <c r="J45" s="3930">
        <v>4</v>
      </c>
      <c r="K45" s="4114">
        <v>4</v>
      </c>
      <c r="L45" s="4114">
        <v>4</v>
      </c>
      <c r="M45" s="4114">
        <v>4</v>
      </c>
      <c r="N45" s="4114"/>
      <c r="O45" s="4114"/>
      <c r="P45" s="4114">
        <v>3</v>
      </c>
      <c r="Q45" s="4100">
        <v>3</v>
      </c>
      <c r="R45" s="4114">
        <v>3</v>
      </c>
      <c r="S45" s="4114">
        <v>3</v>
      </c>
      <c r="T45" s="4114">
        <v>3</v>
      </c>
      <c r="U45" s="4114"/>
      <c r="V45" s="4114"/>
      <c r="W45" s="4104">
        <v>11</v>
      </c>
      <c r="X45" s="4114">
        <v>11</v>
      </c>
      <c r="Y45" s="4114">
        <v>11</v>
      </c>
      <c r="Z45" s="4114">
        <v>11</v>
      </c>
      <c r="AA45" s="4114">
        <v>11</v>
      </c>
      <c r="AB45" s="4114" t="s">
        <v>109</v>
      </c>
      <c r="AC45" s="4114" t="s">
        <v>109</v>
      </c>
      <c r="AD45" s="4114" t="s">
        <v>50</v>
      </c>
      <c r="AE45" s="4114" t="s">
        <v>50</v>
      </c>
      <c r="AF45" s="4114" t="s">
        <v>50</v>
      </c>
      <c r="AG45" s="4109"/>
      <c r="AH45" s="115"/>
      <c r="AI45" s="116"/>
    </row>
    <row r="46" spans="1:38" ht="18" customHeight="1" thickBot="1" x14ac:dyDescent="0.25">
      <c r="A46" s="4188">
        <v>11</v>
      </c>
      <c r="B46" s="4093" t="s">
        <v>108</v>
      </c>
      <c r="C46" s="4189">
        <v>8</v>
      </c>
      <c r="D46" s="4189">
        <v>8</v>
      </c>
      <c r="E46" s="4190">
        <v>8</v>
      </c>
      <c r="F46" s="4189">
        <v>8</v>
      </c>
      <c r="G46" s="4189"/>
      <c r="H46" s="4189"/>
      <c r="I46" s="4189" t="s">
        <v>50</v>
      </c>
      <c r="J46" s="4189" t="s">
        <v>50</v>
      </c>
      <c r="K46" s="4189" t="s">
        <v>50</v>
      </c>
      <c r="L46" s="4189" t="s">
        <v>50</v>
      </c>
      <c r="M46" s="4191" t="s">
        <v>50</v>
      </c>
      <c r="N46" s="4189"/>
      <c r="O46" s="4189"/>
      <c r="P46" s="4189">
        <v>1</v>
      </c>
      <c r="Q46" s="4189">
        <v>1</v>
      </c>
      <c r="R46" s="4189">
        <v>1</v>
      </c>
      <c r="S46" s="4189">
        <v>1</v>
      </c>
      <c r="T46" s="4139">
        <v>1</v>
      </c>
      <c r="U46" s="4189"/>
      <c r="V46" s="4189"/>
      <c r="W46" s="4189">
        <v>9</v>
      </c>
      <c r="X46" s="4189">
        <v>9</v>
      </c>
      <c r="Y46" s="4189">
        <v>9</v>
      </c>
      <c r="Z46" s="4189">
        <v>9</v>
      </c>
      <c r="AA46" s="4189">
        <v>9</v>
      </c>
      <c r="AB46" s="4189" t="s">
        <v>70</v>
      </c>
      <c r="AC46" s="4191" t="s">
        <v>70</v>
      </c>
      <c r="AD46" s="4189" t="s">
        <v>50</v>
      </c>
      <c r="AE46" s="4189" t="s">
        <v>50</v>
      </c>
      <c r="AF46" s="4189" t="s">
        <v>50</v>
      </c>
      <c r="AG46" s="4192"/>
      <c r="AH46" s="115"/>
      <c r="AI46" s="116"/>
    </row>
    <row r="47" spans="1:38" ht="18" customHeight="1" x14ac:dyDescent="0.2">
      <c r="A47" s="4180">
        <v>2</v>
      </c>
      <c r="B47" s="4193" t="s">
        <v>156</v>
      </c>
      <c r="C47" s="4087" t="s">
        <v>50</v>
      </c>
      <c r="D47" s="4194" t="s">
        <v>50</v>
      </c>
      <c r="E47" s="344" t="s">
        <v>50</v>
      </c>
      <c r="F47" s="4089" t="s">
        <v>50</v>
      </c>
      <c r="G47" s="4089"/>
      <c r="H47" s="4133"/>
      <c r="I47" s="4133">
        <v>5</v>
      </c>
      <c r="J47" s="4131">
        <v>5</v>
      </c>
      <c r="K47" s="4131">
        <v>5</v>
      </c>
      <c r="L47" s="4133">
        <v>5</v>
      </c>
      <c r="M47" s="4133">
        <v>5</v>
      </c>
      <c r="N47" s="4133"/>
      <c r="O47" s="4132"/>
      <c r="P47" s="4133">
        <v>10</v>
      </c>
      <c r="Q47" s="4132">
        <v>10</v>
      </c>
      <c r="R47" s="4132">
        <v>10</v>
      </c>
      <c r="S47" s="4131">
        <v>10</v>
      </c>
      <c r="T47" s="4132">
        <v>10</v>
      </c>
      <c r="U47" s="4132" t="s">
        <v>106</v>
      </c>
      <c r="V47" s="4132" t="s">
        <v>106</v>
      </c>
      <c r="W47" s="4132" t="s">
        <v>50</v>
      </c>
      <c r="X47" s="4132" t="s">
        <v>50</v>
      </c>
      <c r="Y47" s="4132" t="s">
        <v>50</v>
      </c>
      <c r="Z47" s="4133" t="s">
        <v>50</v>
      </c>
      <c r="AA47" s="4133" t="s">
        <v>50</v>
      </c>
      <c r="AB47" s="4133" t="s">
        <v>107</v>
      </c>
      <c r="AC47" s="4132" t="s">
        <v>107</v>
      </c>
      <c r="AD47" s="4132">
        <v>7</v>
      </c>
      <c r="AE47" s="4133">
        <v>7</v>
      </c>
      <c r="AF47" s="4133">
        <v>7</v>
      </c>
      <c r="AG47" s="4185"/>
      <c r="AH47" s="115"/>
      <c r="AI47" s="116"/>
    </row>
    <row r="48" spans="1:38" ht="18" customHeight="1" x14ac:dyDescent="0.2">
      <c r="A48" s="4186">
        <v>7</v>
      </c>
      <c r="B48" s="4091" t="s">
        <v>114</v>
      </c>
      <c r="C48" s="4112">
        <v>4</v>
      </c>
      <c r="D48" s="4112">
        <v>4</v>
      </c>
      <c r="E48" s="4195">
        <v>4</v>
      </c>
      <c r="F48" s="4112">
        <v>4</v>
      </c>
      <c r="G48" s="4112"/>
      <c r="H48" s="4112"/>
      <c r="I48" s="4106">
        <v>3</v>
      </c>
      <c r="J48" s="4116">
        <v>3</v>
      </c>
      <c r="K48" s="4116">
        <v>3</v>
      </c>
      <c r="L48" s="4116">
        <v>3</v>
      </c>
      <c r="M48" s="4116">
        <v>3</v>
      </c>
      <c r="N48" s="4196"/>
      <c r="O48" s="4196" t="s">
        <v>68</v>
      </c>
      <c r="P48" s="4116">
        <v>11</v>
      </c>
      <c r="Q48" s="4116">
        <v>11</v>
      </c>
      <c r="R48" s="4116">
        <v>11</v>
      </c>
      <c r="S48" s="4116">
        <v>11</v>
      </c>
      <c r="T48" s="4116">
        <v>11</v>
      </c>
      <c r="U48" s="4196" t="s">
        <v>109</v>
      </c>
      <c r="V48" s="4196" t="s">
        <v>109</v>
      </c>
      <c r="W48" s="4197" t="s">
        <v>50</v>
      </c>
      <c r="X48" s="4117" t="s">
        <v>50</v>
      </c>
      <c r="Y48" s="4198" t="s">
        <v>51</v>
      </c>
      <c r="Z48" s="4117" t="s">
        <v>50</v>
      </c>
      <c r="AA48" s="4117" t="s">
        <v>50</v>
      </c>
      <c r="AB48" s="250" t="s">
        <v>53</v>
      </c>
      <c r="AC48" s="250" t="s">
        <v>53</v>
      </c>
      <c r="AD48" s="4117">
        <v>8</v>
      </c>
      <c r="AE48" s="4117">
        <v>8</v>
      </c>
      <c r="AF48" s="4117">
        <v>8</v>
      </c>
      <c r="AG48" s="4137"/>
      <c r="AH48" s="115"/>
      <c r="AI48" s="116"/>
    </row>
    <row r="49" spans="1:40" ht="18" customHeight="1" thickBot="1" x14ac:dyDescent="0.25">
      <c r="A49" s="4188">
        <v>12</v>
      </c>
      <c r="B49" s="4199" t="s">
        <v>115</v>
      </c>
      <c r="C49" s="4200" t="s">
        <v>50</v>
      </c>
      <c r="D49" s="4201" t="s">
        <v>50</v>
      </c>
      <c r="E49" s="4202" t="s">
        <v>50</v>
      </c>
      <c r="F49" s="4203" t="s">
        <v>50</v>
      </c>
      <c r="G49" s="4204"/>
      <c r="H49" s="4204"/>
      <c r="I49" s="4204">
        <v>1</v>
      </c>
      <c r="J49" s="4205" t="s">
        <v>396</v>
      </c>
      <c r="K49" s="4191">
        <v>1</v>
      </c>
      <c r="L49" s="4191">
        <v>1</v>
      </c>
      <c r="M49" s="4191">
        <v>1</v>
      </c>
      <c r="N49" s="4191"/>
      <c r="O49" s="4206"/>
      <c r="P49" s="4142">
        <v>9</v>
      </c>
      <c r="Q49" s="4142">
        <v>9</v>
      </c>
      <c r="R49" s="4142">
        <v>9</v>
      </c>
      <c r="S49" s="4142">
        <v>9</v>
      </c>
      <c r="T49" s="4142">
        <v>9</v>
      </c>
      <c r="U49" s="4142" t="s">
        <v>70</v>
      </c>
      <c r="V49" s="4142" t="s">
        <v>70</v>
      </c>
      <c r="W49" s="4191" t="s">
        <v>50</v>
      </c>
      <c r="X49" s="4206">
        <v>5</v>
      </c>
      <c r="Y49" s="4206">
        <v>5</v>
      </c>
      <c r="Z49" s="4191" t="s">
        <v>50</v>
      </c>
      <c r="AA49" s="4191" t="s">
        <v>50</v>
      </c>
      <c r="AB49" s="4191" t="s">
        <v>103</v>
      </c>
      <c r="AC49" s="4191" t="s">
        <v>104</v>
      </c>
      <c r="AD49" s="4966">
        <v>6</v>
      </c>
      <c r="AE49" s="4207">
        <v>6</v>
      </c>
      <c r="AF49" s="4207">
        <v>6</v>
      </c>
      <c r="AG49" s="4208"/>
      <c r="AH49" s="115"/>
      <c r="AI49" s="116"/>
    </row>
    <row r="50" spans="1:40" ht="18" customHeight="1" x14ac:dyDescent="0.2">
      <c r="A50" s="4180">
        <v>3</v>
      </c>
      <c r="B50" s="4209" t="s">
        <v>116</v>
      </c>
      <c r="C50" s="711">
        <v>5</v>
      </c>
      <c r="D50" s="597">
        <v>5</v>
      </c>
      <c r="E50" s="712">
        <v>5</v>
      </c>
      <c r="F50" s="712">
        <v>5</v>
      </c>
      <c r="G50" s="712"/>
      <c r="H50" s="712"/>
      <c r="I50" s="712">
        <v>10</v>
      </c>
      <c r="J50" s="597">
        <v>10</v>
      </c>
      <c r="K50" s="597">
        <v>10</v>
      </c>
      <c r="L50" s="597">
        <v>10</v>
      </c>
      <c r="M50" s="597">
        <v>10</v>
      </c>
      <c r="N50" s="597" t="s">
        <v>106</v>
      </c>
      <c r="O50" s="597" t="s">
        <v>106</v>
      </c>
      <c r="P50" s="597" t="s">
        <v>50</v>
      </c>
      <c r="Q50" s="713" t="s">
        <v>50</v>
      </c>
      <c r="R50" s="1741" t="s">
        <v>50</v>
      </c>
      <c r="S50" s="712" t="s">
        <v>50</v>
      </c>
      <c r="T50" s="712" t="s">
        <v>50</v>
      </c>
      <c r="U50" s="712" t="s">
        <v>107</v>
      </c>
      <c r="V50" s="597" t="s">
        <v>107</v>
      </c>
      <c r="W50" s="713">
        <v>7</v>
      </c>
      <c r="X50" s="711">
        <v>7</v>
      </c>
      <c r="Y50" s="1741">
        <v>7</v>
      </c>
      <c r="Z50" s="712">
        <v>7</v>
      </c>
      <c r="AA50" s="712">
        <v>7</v>
      </c>
      <c r="AB50" s="712"/>
      <c r="AC50" s="596"/>
      <c r="AD50" s="1782">
        <v>4</v>
      </c>
      <c r="AE50" s="1782">
        <v>4</v>
      </c>
      <c r="AF50" s="1782">
        <v>4</v>
      </c>
      <c r="AG50" s="1086"/>
      <c r="AH50" s="115"/>
      <c r="AI50" s="116"/>
    </row>
    <row r="51" spans="1:40" ht="18" customHeight="1" x14ac:dyDescent="0.2">
      <c r="A51" s="4186">
        <v>8</v>
      </c>
      <c r="B51" s="4091" t="s">
        <v>117</v>
      </c>
      <c r="C51" s="4116">
        <v>3</v>
      </c>
      <c r="D51" s="4116">
        <v>3</v>
      </c>
      <c r="E51" s="258">
        <v>3</v>
      </c>
      <c r="F51" s="4116">
        <v>3</v>
      </c>
      <c r="G51" s="4116"/>
      <c r="H51" s="4116"/>
      <c r="I51" s="4094">
        <v>11</v>
      </c>
      <c r="J51" s="4116">
        <v>11</v>
      </c>
      <c r="K51" s="4116">
        <v>11</v>
      </c>
      <c r="L51" s="4116">
        <v>11</v>
      </c>
      <c r="M51" s="4116">
        <v>11</v>
      </c>
      <c r="N51" s="4102" t="s">
        <v>109</v>
      </c>
      <c r="O51" s="4116" t="s">
        <v>109</v>
      </c>
      <c r="P51" s="4116" t="s">
        <v>50</v>
      </c>
      <c r="Q51" s="4116" t="s">
        <v>50</v>
      </c>
      <c r="R51" s="4116" t="s">
        <v>50</v>
      </c>
      <c r="S51" s="4116" t="s">
        <v>50</v>
      </c>
      <c r="T51" s="4116" t="s">
        <v>50</v>
      </c>
      <c r="U51" s="4116" t="s">
        <v>104</v>
      </c>
      <c r="V51" s="4117" t="s">
        <v>104</v>
      </c>
      <c r="W51" s="4117">
        <v>8</v>
      </c>
      <c r="X51" s="4066">
        <v>8</v>
      </c>
      <c r="Y51" s="4210">
        <v>8</v>
      </c>
      <c r="Z51" s="4210">
        <v>8</v>
      </c>
      <c r="AA51" s="4210">
        <v>8</v>
      </c>
      <c r="AB51" s="4117"/>
      <c r="AC51" s="4117"/>
      <c r="AD51" s="4102" t="s">
        <v>50</v>
      </c>
      <c r="AE51" s="4102" t="s">
        <v>50</v>
      </c>
      <c r="AF51" s="4196" t="s">
        <v>50</v>
      </c>
      <c r="AG51" s="4137"/>
      <c r="AH51" s="115"/>
      <c r="AI51" s="116"/>
    </row>
    <row r="52" spans="1:40" ht="18" customHeight="1" thickBot="1" x14ac:dyDescent="0.25">
      <c r="A52" s="4188">
        <v>13</v>
      </c>
      <c r="B52" s="4093" t="s">
        <v>118</v>
      </c>
      <c r="C52" s="4140">
        <v>1</v>
      </c>
      <c r="D52" s="4140">
        <v>1</v>
      </c>
      <c r="E52" s="4189">
        <v>1</v>
      </c>
      <c r="F52" s="4189">
        <v>1</v>
      </c>
      <c r="G52" s="4189"/>
      <c r="H52" s="4189"/>
      <c r="I52" s="4189">
        <v>9</v>
      </c>
      <c r="J52" s="4140">
        <v>9</v>
      </c>
      <c r="K52" s="4189">
        <v>9</v>
      </c>
      <c r="L52" s="4211">
        <v>9</v>
      </c>
      <c r="M52" s="4189">
        <v>9</v>
      </c>
      <c r="N52" s="4211" t="s">
        <v>70</v>
      </c>
      <c r="O52" s="4191" t="s">
        <v>70</v>
      </c>
      <c r="P52" s="4212" t="s">
        <v>50</v>
      </c>
      <c r="Q52" s="4189" t="s">
        <v>50</v>
      </c>
      <c r="R52" s="4189" t="s">
        <v>50</v>
      </c>
      <c r="S52" s="4189" t="s">
        <v>50</v>
      </c>
      <c r="T52" s="4189" t="s">
        <v>50</v>
      </c>
      <c r="U52" s="4189" t="s">
        <v>103</v>
      </c>
      <c r="V52" s="4189" t="s">
        <v>104</v>
      </c>
      <c r="W52" s="4142">
        <v>6</v>
      </c>
      <c r="X52" s="4142">
        <v>6</v>
      </c>
      <c r="Y52" s="4142">
        <v>6</v>
      </c>
      <c r="Z52" s="4142">
        <v>6</v>
      </c>
      <c r="AA52" s="4142">
        <v>6</v>
      </c>
      <c r="AB52" s="4142"/>
      <c r="AC52" s="4142"/>
      <c r="AD52" s="4189" t="s">
        <v>50</v>
      </c>
      <c r="AE52" s="4140" t="s">
        <v>50</v>
      </c>
      <c r="AF52" s="4189" t="s">
        <v>50</v>
      </c>
      <c r="AG52" s="4192"/>
      <c r="AH52" s="115"/>
      <c r="AI52" s="116"/>
    </row>
    <row r="53" spans="1:40" ht="18" customHeight="1" x14ac:dyDescent="0.2">
      <c r="A53" s="4180">
        <v>4</v>
      </c>
      <c r="B53" s="4130" t="s">
        <v>119</v>
      </c>
      <c r="C53" s="4133">
        <v>10</v>
      </c>
      <c r="D53" s="4132">
        <v>10</v>
      </c>
      <c r="E53" s="4133">
        <v>10</v>
      </c>
      <c r="F53" s="4131">
        <v>10</v>
      </c>
      <c r="G53" s="4131" t="s">
        <v>106</v>
      </c>
      <c r="H53" s="4131" t="s">
        <v>106</v>
      </c>
      <c r="I53" s="4131" t="s">
        <v>50</v>
      </c>
      <c r="J53" s="4131" t="s">
        <v>50</v>
      </c>
      <c r="K53" s="4131" t="s">
        <v>50</v>
      </c>
      <c r="L53" s="4131" t="s">
        <v>50</v>
      </c>
      <c r="M53" s="4131" t="s">
        <v>50</v>
      </c>
      <c r="N53" s="4133" t="s">
        <v>107</v>
      </c>
      <c r="O53" s="4132" t="s">
        <v>107</v>
      </c>
      <c r="P53" s="4132">
        <v>7</v>
      </c>
      <c r="Q53" s="4132">
        <v>7</v>
      </c>
      <c r="R53" s="4132">
        <v>7</v>
      </c>
      <c r="S53" s="4132">
        <v>7</v>
      </c>
      <c r="T53" s="4133">
        <v>7</v>
      </c>
      <c r="U53" s="4133"/>
      <c r="V53" s="4213"/>
      <c r="W53" s="276">
        <v>4</v>
      </c>
      <c r="X53" s="4214">
        <v>4</v>
      </c>
      <c r="Y53" s="4214">
        <v>4</v>
      </c>
      <c r="Z53" s="4214">
        <v>4</v>
      </c>
      <c r="AA53" s="4100">
        <v>4</v>
      </c>
      <c r="AB53" s="4100"/>
      <c r="AC53" s="4214"/>
      <c r="AD53" s="4214">
        <v>3</v>
      </c>
      <c r="AE53" s="4214">
        <v>3</v>
      </c>
      <c r="AF53" s="4214">
        <v>3</v>
      </c>
      <c r="AG53" s="4185"/>
      <c r="AH53" s="115"/>
      <c r="AI53" s="116"/>
    </row>
    <row r="54" spans="1:40" ht="18" customHeight="1" x14ac:dyDescent="0.2">
      <c r="A54" s="4186">
        <v>9</v>
      </c>
      <c r="B54" s="4091" t="s">
        <v>120</v>
      </c>
      <c r="C54" s="4117">
        <v>11</v>
      </c>
      <c r="D54" s="4117">
        <v>11</v>
      </c>
      <c r="E54" s="4117">
        <v>11</v>
      </c>
      <c r="F54" s="4117">
        <v>11</v>
      </c>
      <c r="G54" s="4117" t="s">
        <v>109</v>
      </c>
      <c r="H54" s="4117" t="s">
        <v>109</v>
      </c>
      <c r="I54" s="4117" t="s">
        <v>50</v>
      </c>
      <c r="J54" s="4117" t="s">
        <v>50</v>
      </c>
      <c r="K54" s="4117" t="s">
        <v>50</v>
      </c>
      <c r="L54" s="4117" t="s">
        <v>50</v>
      </c>
      <c r="M54" s="4117" t="s">
        <v>50</v>
      </c>
      <c r="N54" s="4117" t="s">
        <v>104</v>
      </c>
      <c r="O54" s="4117" t="s">
        <v>104</v>
      </c>
      <c r="P54" s="4117">
        <v>8</v>
      </c>
      <c r="Q54" s="4106">
        <v>8</v>
      </c>
      <c r="R54" s="4117">
        <v>8</v>
      </c>
      <c r="S54" s="4117">
        <v>8</v>
      </c>
      <c r="T54" s="4117">
        <v>8</v>
      </c>
      <c r="U54" s="4117"/>
      <c r="V54" s="4117"/>
      <c r="W54" s="4117" t="s">
        <v>50</v>
      </c>
      <c r="X54" s="4117" t="s">
        <v>50</v>
      </c>
      <c r="Y54" s="4117" t="s">
        <v>50</v>
      </c>
      <c r="Z54" s="4117" t="s">
        <v>50</v>
      </c>
      <c r="AA54" s="4117" t="s">
        <v>50</v>
      </c>
      <c r="AB54" s="4117"/>
      <c r="AC54" s="4117"/>
      <c r="AD54" s="4117">
        <v>1</v>
      </c>
      <c r="AE54" s="4117">
        <v>1</v>
      </c>
      <c r="AF54" s="4117">
        <v>1</v>
      </c>
      <c r="AG54" s="4137"/>
      <c r="AH54" s="115"/>
      <c r="AI54" s="116"/>
    </row>
    <row r="55" spans="1:40" ht="18" customHeight="1" x14ac:dyDescent="0.2">
      <c r="A55" s="4188">
        <v>14</v>
      </c>
      <c r="B55" s="4093" t="s">
        <v>121</v>
      </c>
      <c r="C55" s="4140">
        <v>9</v>
      </c>
      <c r="D55" s="4189">
        <v>9</v>
      </c>
      <c r="E55" s="4189">
        <v>9</v>
      </c>
      <c r="F55" s="4189">
        <v>9</v>
      </c>
      <c r="G55" s="4211" t="s">
        <v>70</v>
      </c>
      <c r="H55" s="4191" t="s">
        <v>70</v>
      </c>
      <c r="I55" s="4211" t="s">
        <v>50</v>
      </c>
      <c r="J55" s="4189" t="s">
        <v>50</v>
      </c>
      <c r="K55" s="4189" t="s">
        <v>50</v>
      </c>
      <c r="L55" s="4189" t="s">
        <v>50</v>
      </c>
      <c r="M55" s="4189" t="s">
        <v>50</v>
      </c>
      <c r="N55" s="4189" t="s">
        <v>103</v>
      </c>
      <c r="O55" s="4140" t="s">
        <v>104</v>
      </c>
      <c r="P55" s="4189">
        <v>6</v>
      </c>
      <c r="Q55" s="4189">
        <v>6</v>
      </c>
      <c r="R55" s="4140">
        <v>6</v>
      </c>
      <c r="S55" s="4189">
        <v>6</v>
      </c>
      <c r="T55" s="4189">
        <v>6</v>
      </c>
      <c r="U55" s="4189"/>
      <c r="V55" s="4189"/>
      <c r="W55" s="4189" t="s">
        <v>50</v>
      </c>
      <c r="X55" s="4140" t="s">
        <v>50</v>
      </c>
      <c r="Y55" s="4189" t="s">
        <v>50</v>
      </c>
      <c r="Z55" s="4189" t="s">
        <v>50</v>
      </c>
      <c r="AA55" s="4189" t="s">
        <v>50</v>
      </c>
      <c r="AB55" s="4189"/>
      <c r="AC55" s="4140"/>
      <c r="AD55" s="4142">
        <v>5</v>
      </c>
      <c r="AE55" s="4142">
        <v>5</v>
      </c>
      <c r="AF55" s="4142">
        <v>5</v>
      </c>
      <c r="AG55" s="4146"/>
      <c r="AH55" s="115"/>
      <c r="AI55" s="116"/>
      <c r="AK55" t="s">
        <v>0</v>
      </c>
    </row>
    <row r="56" spans="1:40" ht="18" customHeight="1" x14ac:dyDescent="0.2">
      <c r="A56" s="4180">
        <v>5</v>
      </c>
      <c r="B56" s="4091" t="s">
        <v>122</v>
      </c>
      <c r="C56" s="4131" t="s">
        <v>50</v>
      </c>
      <c r="D56" s="4131" t="s">
        <v>50</v>
      </c>
      <c r="E56" s="4131" t="s">
        <v>50</v>
      </c>
      <c r="F56" s="4089" t="s">
        <v>50</v>
      </c>
      <c r="G56" s="4132" t="s">
        <v>107</v>
      </c>
      <c r="H56" s="4132" t="s">
        <v>107</v>
      </c>
      <c r="I56" s="4132">
        <v>7</v>
      </c>
      <c r="J56" s="4132">
        <v>7</v>
      </c>
      <c r="K56" s="4133">
        <v>7</v>
      </c>
      <c r="L56" s="4133">
        <v>7</v>
      </c>
      <c r="M56" s="4133">
        <v>7</v>
      </c>
      <c r="N56" s="4215"/>
      <c r="O56" s="4131"/>
      <c r="P56" s="4216">
        <v>4</v>
      </c>
      <c r="Q56" s="4216">
        <v>4</v>
      </c>
      <c r="R56" s="4216">
        <v>4</v>
      </c>
      <c r="S56" s="4133">
        <v>4</v>
      </c>
      <c r="T56" s="4133">
        <v>4</v>
      </c>
      <c r="U56" s="4132"/>
      <c r="V56" s="4132"/>
      <c r="W56" s="4132">
        <v>3</v>
      </c>
      <c r="X56" s="4132">
        <v>3</v>
      </c>
      <c r="Y56" s="4215">
        <v>3</v>
      </c>
      <c r="Z56" s="4217" t="s">
        <v>50</v>
      </c>
      <c r="AA56" s="4216">
        <v>3</v>
      </c>
      <c r="AB56" s="4132"/>
      <c r="AC56" s="4132"/>
      <c r="AD56" s="4133" t="s">
        <v>456</v>
      </c>
      <c r="AE56" s="4133" t="s">
        <v>456</v>
      </c>
      <c r="AF56" s="4131">
        <v>3</v>
      </c>
      <c r="AG56" s="4090"/>
      <c r="AH56" s="115"/>
      <c r="AI56" s="116"/>
    </row>
    <row r="57" spans="1:40" ht="18" customHeight="1" x14ac:dyDescent="0.2">
      <c r="A57" s="4186">
        <v>10</v>
      </c>
      <c r="B57" s="4091" t="s">
        <v>123</v>
      </c>
      <c r="C57" s="4102" t="s">
        <v>50</v>
      </c>
      <c r="D57" s="4102" t="s">
        <v>50</v>
      </c>
      <c r="E57" s="4102" t="s">
        <v>50</v>
      </c>
      <c r="F57" s="4102" t="s">
        <v>50</v>
      </c>
      <c r="G57" s="4094" t="s">
        <v>104</v>
      </c>
      <c r="H57" s="4094" t="s">
        <v>104</v>
      </c>
      <c r="I57" s="4094">
        <v>8</v>
      </c>
      <c r="J57" s="4094">
        <v>8</v>
      </c>
      <c r="K57" s="4094">
        <v>8</v>
      </c>
      <c r="L57" s="4094">
        <v>8</v>
      </c>
      <c r="M57" s="4094">
        <v>8</v>
      </c>
      <c r="N57" s="4094"/>
      <c r="O57" s="4102"/>
      <c r="P57" s="4102" t="s">
        <v>50</v>
      </c>
      <c r="Q57" s="4102" t="s">
        <v>50</v>
      </c>
      <c r="R57" s="4102" t="s">
        <v>50</v>
      </c>
      <c r="S57" s="4102" t="s">
        <v>50</v>
      </c>
      <c r="T57" s="4094" t="s">
        <v>50</v>
      </c>
      <c r="U57" s="4094"/>
      <c r="V57" s="4116"/>
      <c r="W57" s="4116">
        <v>1</v>
      </c>
      <c r="X57" s="4116">
        <v>1</v>
      </c>
      <c r="Y57" s="4116">
        <v>1</v>
      </c>
      <c r="Z57" s="4116">
        <v>1</v>
      </c>
      <c r="AA57" s="4116">
        <v>1</v>
      </c>
      <c r="AB57" s="4116"/>
      <c r="AC57" s="4117"/>
      <c r="AD57" s="4117">
        <v>9</v>
      </c>
      <c r="AE57" s="4117">
        <v>9</v>
      </c>
      <c r="AF57" s="4117">
        <v>9</v>
      </c>
      <c r="AG57" s="4137"/>
      <c r="AH57" s="115"/>
      <c r="AI57" s="116"/>
    </row>
    <row r="58" spans="1:40" ht="18" customHeight="1" x14ac:dyDescent="0.2">
      <c r="A58" s="4188">
        <v>15</v>
      </c>
      <c r="B58" s="4093" t="s">
        <v>124</v>
      </c>
      <c r="C58" s="4189" t="s">
        <v>50</v>
      </c>
      <c r="D58" s="4189" t="s">
        <v>50</v>
      </c>
      <c r="E58" s="4189" t="s">
        <v>50</v>
      </c>
      <c r="F58" s="4211" t="s">
        <v>50</v>
      </c>
      <c r="G58" s="4211" t="s">
        <v>103</v>
      </c>
      <c r="H58" s="4211" t="s">
        <v>104</v>
      </c>
      <c r="I58" s="4211">
        <v>6</v>
      </c>
      <c r="J58" s="4205" t="s">
        <v>112</v>
      </c>
      <c r="K58" s="4218">
        <v>6</v>
      </c>
      <c r="L58" s="4218">
        <v>6</v>
      </c>
      <c r="M58" s="4218">
        <v>6</v>
      </c>
      <c r="N58" s="4189"/>
      <c r="O58" s="4191"/>
      <c r="P58" s="4191" t="s">
        <v>50</v>
      </c>
      <c r="Q58" s="4191" t="s">
        <v>50</v>
      </c>
      <c r="R58" s="4191" t="s">
        <v>50</v>
      </c>
      <c r="S58" s="4191" t="s">
        <v>50</v>
      </c>
      <c r="T58" s="4191" t="s">
        <v>50</v>
      </c>
      <c r="U58" s="4191"/>
      <c r="V58" s="4189"/>
      <c r="W58" s="4142"/>
      <c r="X58" s="4142">
        <v>5</v>
      </c>
      <c r="Y58" s="4142">
        <v>5</v>
      </c>
      <c r="Z58" s="4142">
        <v>5</v>
      </c>
      <c r="AA58" s="4142">
        <v>5</v>
      </c>
      <c r="AB58" s="4142"/>
      <c r="AC58" s="4142"/>
      <c r="AD58" s="4142">
        <v>10</v>
      </c>
      <c r="AE58" s="4142">
        <v>10</v>
      </c>
      <c r="AF58" s="4142">
        <v>10</v>
      </c>
      <c r="AG58" s="4219"/>
      <c r="AH58" s="115"/>
      <c r="AI58" s="116"/>
    </row>
    <row r="59" spans="1:40" ht="18" customHeight="1" x14ac:dyDescent="0.2">
      <c r="A59" s="62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1"/>
    </row>
    <row r="60" spans="1:40" ht="18" customHeight="1" x14ac:dyDescent="0.2">
      <c r="A60" s="69"/>
      <c r="B60" s="42" t="s">
        <v>125</v>
      </c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1"/>
    </row>
    <row r="61" spans="1:40" ht="18" customHeight="1" x14ac:dyDescent="0.2">
      <c r="A61" s="4067" t="s">
        <v>43</v>
      </c>
      <c r="B61" s="4067"/>
      <c r="C61" s="4066"/>
      <c r="D61" s="4067" t="s">
        <v>17</v>
      </c>
      <c r="E61" s="4065"/>
      <c r="F61" s="4066"/>
      <c r="G61" s="4067" t="s">
        <v>18</v>
      </c>
      <c r="H61" s="4065"/>
      <c r="I61" s="4066"/>
      <c r="J61" s="4067" t="s">
        <v>19</v>
      </c>
      <c r="K61" s="4065"/>
      <c r="L61" s="4066"/>
      <c r="M61" s="4067" t="s">
        <v>20</v>
      </c>
      <c r="N61" s="4065"/>
      <c r="O61" s="4066"/>
      <c r="P61" s="4067" t="s">
        <v>21</v>
      </c>
      <c r="Q61" s="4065"/>
      <c r="R61" s="4062"/>
      <c r="S61" s="4063" t="s">
        <v>22</v>
      </c>
      <c r="T61" s="4065"/>
      <c r="U61" s="4066"/>
      <c r="V61" s="4067" t="s">
        <v>23</v>
      </c>
      <c r="W61" s="4065"/>
      <c r="X61" s="4220" t="s">
        <v>126</v>
      </c>
      <c r="Y61" s="4065"/>
      <c r="Z61" s="4065"/>
      <c r="AA61" s="4221"/>
      <c r="AB61" s="4056"/>
      <c r="AC61" s="4056"/>
      <c r="AD61" s="4056"/>
      <c r="AE61" s="4056"/>
      <c r="AF61" s="4056"/>
      <c r="AG61" s="4057"/>
      <c r="AH61" s="1"/>
    </row>
    <row r="62" spans="1:40" ht="18" customHeight="1" x14ac:dyDescent="0.2">
      <c r="B62" s="4110" t="s">
        <v>131</v>
      </c>
      <c r="C62" s="4222" t="s">
        <v>132</v>
      </c>
      <c r="D62" s="4223"/>
      <c r="E62" s="4224"/>
      <c r="F62" s="4222" t="s">
        <v>132</v>
      </c>
      <c r="G62" s="4055"/>
      <c r="H62" s="4224"/>
      <c r="I62" s="4222" t="s">
        <v>132</v>
      </c>
      <c r="J62" s="4223"/>
      <c r="K62" s="4224"/>
      <c r="L62" s="4222" t="s">
        <v>132</v>
      </c>
      <c r="M62" s="4223"/>
      <c r="N62" s="4224"/>
      <c r="O62" s="4222" t="s">
        <v>133</v>
      </c>
      <c r="P62" s="4223"/>
      <c r="Q62" s="4055"/>
      <c r="R62" s="4225" t="s">
        <v>0</v>
      </c>
      <c r="S62" s="4223"/>
      <c r="T62" s="4224"/>
      <c r="U62" s="4223" t="s">
        <v>0</v>
      </c>
      <c r="V62" s="4223"/>
      <c r="W62" s="4055"/>
      <c r="X62" s="386" t="s">
        <v>0</v>
      </c>
      <c r="Y62" s="48"/>
      <c r="Z62" s="48"/>
      <c r="AA62" s="48"/>
      <c r="AB62" s="48"/>
      <c r="AC62" s="48"/>
      <c r="AD62" s="48"/>
      <c r="AE62" s="48"/>
      <c r="AF62" s="48"/>
      <c r="AG62" s="71"/>
      <c r="AH62" s="1"/>
    </row>
    <row r="63" spans="1:40" ht="18" customHeight="1" thickBot="1" x14ac:dyDescent="0.25">
      <c r="A63" s="37"/>
      <c r="B63" s="62"/>
      <c r="C63" s="46"/>
      <c r="D63" s="46"/>
      <c r="E63" s="6"/>
      <c r="F63" s="46"/>
      <c r="G63" s="46"/>
      <c r="H63" s="6"/>
      <c r="I63" s="46"/>
      <c r="J63" s="46"/>
      <c r="K63" s="6"/>
      <c r="L63" s="46"/>
      <c r="M63" s="46"/>
      <c r="N63" s="6"/>
      <c r="O63" s="46"/>
      <c r="P63" s="46"/>
      <c r="Q63" s="6"/>
      <c r="R63" s="46"/>
      <c r="S63" s="46"/>
      <c r="T63" s="6"/>
      <c r="U63" s="46"/>
      <c r="V63" s="46"/>
      <c r="W63" s="6"/>
      <c r="X63" s="6"/>
      <c r="Y63" s="48"/>
      <c r="Z63" s="48"/>
      <c r="AA63" s="48"/>
      <c r="AB63" s="48"/>
      <c r="AC63" s="48"/>
      <c r="AD63" s="48"/>
      <c r="AE63" s="48"/>
      <c r="AF63" s="48"/>
      <c r="AG63" s="48"/>
      <c r="AH63" s="1"/>
    </row>
    <row r="64" spans="1:40" ht="18" customHeight="1" thickBot="1" x14ac:dyDescent="0.25">
      <c r="A64" s="4226"/>
      <c r="B64" s="4227" t="s">
        <v>44</v>
      </c>
      <c r="C64" s="4082">
        <v>1</v>
      </c>
      <c r="D64" s="4082">
        <v>2</v>
      </c>
      <c r="E64" s="4082">
        <v>3</v>
      </c>
      <c r="F64" s="4082">
        <v>4</v>
      </c>
      <c r="G64" s="4083">
        <v>5</v>
      </c>
      <c r="H64" s="4083">
        <v>6</v>
      </c>
      <c r="I64" s="4082">
        <v>7</v>
      </c>
      <c r="J64" s="4082">
        <v>8</v>
      </c>
      <c r="K64" s="4082">
        <v>9</v>
      </c>
      <c r="L64" s="4082">
        <v>10</v>
      </c>
      <c r="M64" s="4082">
        <v>11</v>
      </c>
      <c r="N64" s="4083">
        <v>12</v>
      </c>
      <c r="O64" s="4083">
        <v>13</v>
      </c>
      <c r="P64" s="4082">
        <v>14</v>
      </c>
      <c r="Q64" s="4082">
        <v>15</v>
      </c>
      <c r="R64" s="4082">
        <v>16</v>
      </c>
      <c r="S64" s="4083">
        <v>17</v>
      </c>
      <c r="T64" s="4083">
        <v>18</v>
      </c>
      <c r="U64" s="4083">
        <v>19</v>
      </c>
      <c r="V64" s="4083">
        <v>20</v>
      </c>
      <c r="W64" s="4083">
        <v>21</v>
      </c>
      <c r="X64" s="4082">
        <v>22</v>
      </c>
      <c r="Y64" s="4082">
        <v>23</v>
      </c>
      <c r="Z64" s="4082">
        <v>24</v>
      </c>
      <c r="AA64" s="4082">
        <v>25</v>
      </c>
      <c r="AB64" s="4083">
        <v>26</v>
      </c>
      <c r="AC64" s="4083">
        <v>27</v>
      </c>
      <c r="AD64" s="4082">
        <v>28</v>
      </c>
      <c r="AE64" s="4082">
        <v>29</v>
      </c>
      <c r="AF64" s="4082">
        <v>30</v>
      </c>
      <c r="AG64" s="4084"/>
      <c r="AH64" s="1"/>
      <c r="AJ64" s="4079" t="s">
        <v>41</v>
      </c>
      <c r="AK64" s="4079" t="s">
        <v>62</v>
      </c>
      <c r="AL64" s="4079" t="s">
        <v>63</v>
      </c>
      <c r="AM64" s="4079" t="s">
        <v>64</v>
      </c>
      <c r="AN64" s="4079" t="s">
        <v>65</v>
      </c>
    </row>
    <row r="65" spans="1:40" ht="18" customHeight="1" thickBot="1" x14ac:dyDescent="0.25">
      <c r="A65" s="4228"/>
      <c r="B65" s="4229" t="s">
        <v>146</v>
      </c>
      <c r="C65" s="4106" t="s">
        <v>68</v>
      </c>
      <c r="D65" s="4106" t="s">
        <v>49</v>
      </c>
      <c r="E65" s="4106" t="s">
        <v>49</v>
      </c>
      <c r="F65" s="4106" t="s">
        <v>49</v>
      </c>
      <c r="G65" s="4106"/>
      <c r="H65" s="4106"/>
      <c r="I65" s="4106" t="s">
        <v>68</v>
      </c>
      <c r="J65" s="4106" t="s">
        <v>50</v>
      </c>
      <c r="K65" s="4106" t="s">
        <v>50</v>
      </c>
      <c r="L65" s="4106" t="s">
        <v>68</v>
      </c>
      <c r="M65" s="4116" t="s">
        <v>50</v>
      </c>
      <c r="N65" s="4116" t="s">
        <v>52</v>
      </c>
      <c r="O65" s="4117" t="s">
        <v>52</v>
      </c>
      <c r="P65" s="4117" t="s">
        <v>51</v>
      </c>
      <c r="Q65" s="4117" t="s">
        <v>51</v>
      </c>
      <c r="R65" s="4117" t="s">
        <v>51</v>
      </c>
      <c r="S65" s="4117"/>
      <c r="T65" s="4106"/>
      <c r="U65" s="4106" t="s">
        <v>475</v>
      </c>
      <c r="V65" s="4106" t="s">
        <v>475</v>
      </c>
      <c r="W65" s="4106"/>
      <c r="X65" s="4106" t="s">
        <v>50</v>
      </c>
      <c r="Y65" s="4106" t="s">
        <v>50</v>
      </c>
      <c r="Z65" s="4198" t="s">
        <v>51</v>
      </c>
      <c r="AA65" s="4198" t="s">
        <v>51</v>
      </c>
      <c r="AB65" s="4106"/>
      <c r="AC65" s="4106"/>
      <c r="AD65" s="4100">
        <v>11</v>
      </c>
      <c r="AE65" s="4100">
        <v>11</v>
      </c>
      <c r="AF65" s="4106">
        <v>11</v>
      </c>
      <c r="AG65" s="4230"/>
      <c r="AH65" s="1"/>
      <c r="AJ65" s="3960">
        <f t="shared" ref="AJ65:AJ88" si="0">$AJ$11</f>
        <v>160.33000000000001</v>
      </c>
      <c r="AK65" s="3960"/>
      <c r="AL65" s="3960">
        <f t="shared" ref="AL65:AL88" si="1">IF(AJ65="","",SUM(AJ65:AK65))</f>
        <v>160.33000000000001</v>
      </c>
      <c r="AM65" s="4135">
        <f t="shared" ref="AM65:AM88" si="2">IF(AJ65="","",AL65-_xlfn.SINGLE(NormTid))</f>
        <v>0</v>
      </c>
      <c r="AN65" s="4135">
        <f>IF(AM65="","",AM65+'Marts 2025'!AN65)</f>
        <v>0</v>
      </c>
    </row>
    <row r="66" spans="1:40" ht="18" customHeight="1" thickBot="1" x14ac:dyDescent="0.25">
      <c r="A66" s="4228"/>
      <c r="B66" s="4229" t="s">
        <v>151</v>
      </c>
      <c r="C66" s="4106" t="s">
        <v>46</v>
      </c>
      <c r="D66" s="4106" t="s">
        <v>46</v>
      </c>
      <c r="E66" s="4117" t="s">
        <v>46</v>
      </c>
      <c r="F66" s="4117" t="s">
        <v>46</v>
      </c>
      <c r="G66" s="4117"/>
      <c r="H66" s="4117"/>
      <c r="I66" s="4231" t="s">
        <v>46</v>
      </c>
      <c r="J66" s="4231" t="s">
        <v>46</v>
      </c>
      <c r="K66" s="4231" t="s">
        <v>46</v>
      </c>
      <c r="L66" s="4231" t="s">
        <v>46</v>
      </c>
      <c r="M66" s="4231" t="s">
        <v>46</v>
      </c>
      <c r="N66" s="4102"/>
      <c r="O66" s="4102"/>
      <c r="P66" s="4102" t="s">
        <v>46</v>
      </c>
      <c r="Q66" s="4117" t="s">
        <v>46</v>
      </c>
      <c r="R66" s="4117" t="s">
        <v>46</v>
      </c>
      <c r="S66" s="4117"/>
      <c r="T66" s="4117"/>
      <c r="U66" s="4117"/>
      <c r="V66" s="4117"/>
      <c r="W66" s="4117"/>
      <c r="X66" s="4117" t="s">
        <v>46</v>
      </c>
      <c r="Y66" s="4106" t="s">
        <v>46</v>
      </c>
      <c r="Z66" s="4117" t="s">
        <v>46</v>
      </c>
      <c r="AA66" s="4117" t="s">
        <v>46</v>
      </c>
      <c r="AB66" s="4117"/>
      <c r="AC66" s="4117"/>
      <c r="AD66" s="4117" t="s">
        <v>46</v>
      </c>
      <c r="AE66" s="4106" t="s">
        <v>46</v>
      </c>
      <c r="AF66" s="4117" t="s">
        <v>46</v>
      </c>
      <c r="AG66" s="4230"/>
      <c r="AH66" s="1"/>
      <c r="AJ66" s="3960">
        <f t="shared" si="0"/>
        <v>160.33000000000001</v>
      </c>
      <c r="AK66" s="3960"/>
      <c r="AL66" s="3960">
        <f t="shared" si="1"/>
        <v>160.33000000000001</v>
      </c>
      <c r="AM66" s="4135">
        <f t="shared" si="2"/>
        <v>0</v>
      </c>
      <c r="AN66" s="4135">
        <f>IF(AM66="","",AM66+'Marts 2025'!AN66)</f>
        <v>0</v>
      </c>
    </row>
    <row r="67" spans="1:40" ht="18" customHeight="1" x14ac:dyDescent="0.2">
      <c r="A67" s="4228"/>
      <c r="B67" s="4074" t="s">
        <v>155</v>
      </c>
      <c r="C67" s="4116" t="s">
        <v>162</v>
      </c>
      <c r="D67" s="4106" t="s">
        <v>162</v>
      </c>
      <c r="E67" s="4106" t="s">
        <v>162</v>
      </c>
      <c r="F67" s="4116" t="s">
        <v>162</v>
      </c>
      <c r="G67" s="4116" t="s">
        <v>162</v>
      </c>
      <c r="H67" s="4116" t="s">
        <v>162</v>
      </c>
      <c r="I67" s="4231" t="s">
        <v>50</v>
      </c>
      <c r="J67" s="4231" t="s">
        <v>50</v>
      </c>
      <c r="K67" s="4231" t="s">
        <v>50</v>
      </c>
      <c r="L67" s="4231" t="s">
        <v>50</v>
      </c>
      <c r="M67" s="4231" t="s">
        <v>50</v>
      </c>
      <c r="N67" s="4116"/>
      <c r="O67" s="4116"/>
      <c r="P67" s="4102">
        <v>25</v>
      </c>
      <c r="Q67" s="4117" t="s">
        <v>153</v>
      </c>
      <c r="R67" s="4117" t="s">
        <v>153</v>
      </c>
      <c r="S67" s="4117"/>
      <c r="T67" s="4117"/>
      <c r="U67" s="4116" t="s">
        <v>209</v>
      </c>
      <c r="V67" s="4106" t="s">
        <v>209</v>
      </c>
      <c r="W67" s="4106"/>
      <c r="X67" s="4232">
        <v>5</v>
      </c>
      <c r="Y67" s="4098">
        <v>5</v>
      </c>
      <c r="Z67" s="4233">
        <v>5</v>
      </c>
      <c r="AA67" s="4233" t="s">
        <v>113</v>
      </c>
      <c r="AB67" s="4116"/>
      <c r="AC67" s="4116"/>
      <c r="AD67" s="3964">
        <v>25</v>
      </c>
      <c r="AE67" s="4116">
        <v>5</v>
      </c>
      <c r="AF67" s="4198">
        <v>5</v>
      </c>
      <c r="AG67" s="4230"/>
      <c r="AH67" s="1"/>
      <c r="AJ67" s="3960">
        <f t="shared" si="0"/>
        <v>160.33000000000001</v>
      </c>
      <c r="AK67" s="3960"/>
      <c r="AL67" s="3960">
        <f t="shared" si="1"/>
        <v>160.33000000000001</v>
      </c>
      <c r="AM67" s="4135">
        <f t="shared" si="2"/>
        <v>0</v>
      </c>
      <c r="AN67" s="4135">
        <f>IF(AM67="","",AM67+'Marts 2025'!AN67)</f>
        <v>0</v>
      </c>
    </row>
    <row r="68" spans="1:40" ht="18" customHeight="1" x14ac:dyDescent="0.2">
      <c r="A68" s="368"/>
      <c r="B68" s="4193" t="s">
        <v>159</v>
      </c>
      <c r="C68" s="4106" t="s">
        <v>50</v>
      </c>
      <c r="D68" s="4106" t="s">
        <v>50</v>
      </c>
      <c r="E68" s="4106" t="s">
        <v>50</v>
      </c>
      <c r="F68" s="4116" t="s">
        <v>160</v>
      </c>
      <c r="G68" s="4116" t="s">
        <v>68</v>
      </c>
      <c r="H68" s="4094" t="s">
        <v>68</v>
      </c>
      <c r="I68" s="4094">
        <v>1</v>
      </c>
      <c r="J68" s="4094">
        <v>1</v>
      </c>
      <c r="K68" s="4094">
        <v>1</v>
      </c>
      <c r="L68" s="4100" t="s">
        <v>46</v>
      </c>
      <c r="M68" s="4116" t="s">
        <v>297</v>
      </c>
      <c r="N68" s="4116" t="s">
        <v>68</v>
      </c>
      <c r="O68" s="4106" t="s">
        <v>68</v>
      </c>
      <c r="P68" s="4106" t="s">
        <v>297</v>
      </c>
      <c r="Q68" s="4106">
        <v>69</v>
      </c>
      <c r="R68" s="4234">
        <v>69</v>
      </c>
      <c r="S68" s="4099" t="s">
        <v>403</v>
      </c>
      <c r="T68" s="4116" t="s">
        <v>68</v>
      </c>
      <c r="U68" s="4116" t="s">
        <v>68</v>
      </c>
      <c r="V68" s="4106" t="s">
        <v>68</v>
      </c>
      <c r="W68" s="4106" t="s">
        <v>68</v>
      </c>
      <c r="X68" s="4106" t="s">
        <v>160</v>
      </c>
      <c r="Y68" s="4106" t="s">
        <v>160</v>
      </c>
      <c r="Z68" s="4106" t="s">
        <v>160</v>
      </c>
      <c r="AA68" s="4116" t="s">
        <v>160</v>
      </c>
      <c r="AB68" s="4116" t="s">
        <v>72</v>
      </c>
      <c r="AC68" s="4106" t="s">
        <v>72</v>
      </c>
      <c r="AD68" s="4106" t="s">
        <v>50</v>
      </c>
      <c r="AE68" s="4116" t="s">
        <v>50</v>
      </c>
      <c r="AF68" s="4116" t="s">
        <v>50</v>
      </c>
      <c r="AG68" s="4230"/>
      <c r="AH68" s="1"/>
      <c r="AJ68" s="3960">
        <f t="shared" si="0"/>
        <v>160.33000000000001</v>
      </c>
      <c r="AK68" s="3960"/>
      <c r="AL68" s="3960">
        <f t="shared" si="1"/>
        <v>160.33000000000001</v>
      </c>
      <c r="AM68" s="4135">
        <f t="shared" si="2"/>
        <v>0</v>
      </c>
      <c r="AN68" s="4135">
        <f>IF(AM68="","",AM68+'Marts 2025'!AN68)</f>
        <v>0</v>
      </c>
    </row>
    <row r="69" spans="1:40" ht="18" customHeight="1" x14ac:dyDescent="0.2">
      <c r="A69" s="4235"/>
      <c r="B69" s="4074" t="s">
        <v>165</v>
      </c>
      <c r="C69" s="4116" t="s">
        <v>142</v>
      </c>
      <c r="D69" s="4197" t="s">
        <v>142</v>
      </c>
      <c r="E69" s="4106" t="s">
        <v>142</v>
      </c>
      <c r="F69" s="4106" t="s">
        <v>142</v>
      </c>
      <c r="G69" s="4106" t="s">
        <v>143</v>
      </c>
      <c r="H69" s="4106" t="s">
        <v>143</v>
      </c>
      <c r="I69" s="4106" t="s">
        <v>50</v>
      </c>
      <c r="J69" s="4116" t="s">
        <v>50</v>
      </c>
      <c r="K69" s="4116" t="s">
        <v>50</v>
      </c>
      <c r="L69" s="4116" t="s">
        <v>50</v>
      </c>
      <c r="M69" s="4116" t="s">
        <v>50</v>
      </c>
      <c r="N69" s="4116">
        <v>22</v>
      </c>
      <c r="O69" s="4106">
        <v>22</v>
      </c>
      <c r="P69" s="4106" t="s">
        <v>50</v>
      </c>
      <c r="Q69" s="4106" t="s">
        <v>50</v>
      </c>
      <c r="R69" s="4106" t="s">
        <v>50</v>
      </c>
      <c r="S69" s="4106">
        <v>9</v>
      </c>
      <c r="T69" s="4116">
        <v>9</v>
      </c>
      <c r="U69" s="4116" t="s">
        <v>70</v>
      </c>
      <c r="V69" s="4106" t="s">
        <v>70</v>
      </c>
      <c r="W69" s="4106"/>
      <c r="X69" s="4116" t="s">
        <v>50</v>
      </c>
      <c r="Y69" s="4116" t="s">
        <v>50</v>
      </c>
      <c r="Z69" s="4106" t="s">
        <v>50</v>
      </c>
      <c r="AA69" s="4106" t="s">
        <v>50</v>
      </c>
      <c r="AB69" s="4106" t="s">
        <v>104</v>
      </c>
      <c r="AC69" s="4106" t="s">
        <v>104</v>
      </c>
      <c r="AD69" s="4198">
        <v>5</v>
      </c>
      <c r="AE69" s="4106" t="s">
        <v>50</v>
      </c>
      <c r="AF69" s="4106" t="s">
        <v>50</v>
      </c>
      <c r="AG69" s="4109"/>
      <c r="AH69" s="1"/>
      <c r="AJ69" s="3960">
        <f t="shared" si="0"/>
        <v>160.33000000000001</v>
      </c>
      <c r="AK69" s="3960"/>
      <c r="AL69" s="3960">
        <f t="shared" si="1"/>
        <v>160.33000000000001</v>
      </c>
      <c r="AM69" s="4135">
        <f t="shared" si="2"/>
        <v>0</v>
      </c>
      <c r="AN69" s="4135">
        <f>IF(AM69="","",AM69+'Marts 2025'!AN69)</f>
        <v>0</v>
      </c>
    </row>
    <row r="70" spans="1:40" ht="18" customHeight="1" thickBot="1" x14ac:dyDescent="0.25">
      <c r="A70" s="4236"/>
      <c r="B70" s="4237" t="s">
        <v>170</v>
      </c>
      <c r="C70" s="4116" t="s">
        <v>451</v>
      </c>
      <c r="D70" s="4116" t="s">
        <v>451</v>
      </c>
      <c r="E70" s="4102" t="s">
        <v>451</v>
      </c>
      <c r="F70" s="4117" t="s">
        <v>451</v>
      </c>
      <c r="G70" s="4117"/>
      <c r="H70" s="4106">
        <v>26</v>
      </c>
      <c r="I70" s="4106" t="s">
        <v>451</v>
      </c>
      <c r="J70" s="4116" t="s">
        <v>451</v>
      </c>
      <c r="K70" s="4116" t="s">
        <v>46</v>
      </c>
      <c r="L70" s="4100" t="s">
        <v>46</v>
      </c>
      <c r="M70" s="4116" t="s">
        <v>46</v>
      </c>
      <c r="N70" s="4102" t="s">
        <v>209</v>
      </c>
      <c r="O70" s="4102" t="s">
        <v>209</v>
      </c>
      <c r="P70" s="4102" t="s">
        <v>50</v>
      </c>
      <c r="Q70" s="4102" t="s">
        <v>50</v>
      </c>
      <c r="R70" s="4116" t="s">
        <v>50</v>
      </c>
      <c r="S70" s="4116" t="s">
        <v>68</v>
      </c>
      <c r="T70" s="4116" t="s">
        <v>68</v>
      </c>
      <c r="U70" s="4116" t="s">
        <v>68</v>
      </c>
      <c r="V70" s="4117" t="s">
        <v>68</v>
      </c>
      <c r="W70" s="4117" t="s">
        <v>68</v>
      </c>
      <c r="X70" s="4117" t="s">
        <v>186</v>
      </c>
      <c r="Y70" s="4117" t="s">
        <v>186</v>
      </c>
      <c r="Z70" s="4117" t="s">
        <v>186</v>
      </c>
      <c r="AA70" s="4116">
        <v>26</v>
      </c>
      <c r="AB70" s="4116"/>
      <c r="AC70" s="4106"/>
      <c r="AD70" s="4106" t="s">
        <v>142</v>
      </c>
      <c r="AE70" s="4106" t="s">
        <v>142</v>
      </c>
      <c r="AF70" s="4106" t="s">
        <v>142</v>
      </c>
      <c r="AG70" s="4137"/>
      <c r="AH70" s="1"/>
      <c r="AJ70" s="3960">
        <f t="shared" si="0"/>
        <v>160.33000000000001</v>
      </c>
      <c r="AK70" s="3960"/>
      <c r="AL70" s="3960">
        <f t="shared" si="1"/>
        <v>160.33000000000001</v>
      </c>
      <c r="AM70" s="4135">
        <f t="shared" si="2"/>
        <v>0</v>
      </c>
      <c r="AN70" s="4135">
        <f>IF(AM70="","",AM70+'Marts 2025'!AN70)</f>
        <v>0</v>
      </c>
    </row>
    <row r="71" spans="1:40" ht="18" customHeight="1" thickBot="1" x14ac:dyDescent="0.25">
      <c r="A71" s="4236"/>
      <c r="B71" s="4193" t="s">
        <v>180</v>
      </c>
      <c r="C71" s="4238" t="s">
        <v>50</v>
      </c>
      <c r="D71" s="4238" t="s">
        <v>50</v>
      </c>
      <c r="E71" s="4238" t="s">
        <v>50</v>
      </c>
      <c r="F71" s="4238" t="s">
        <v>50</v>
      </c>
      <c r="G71" s="4238"/>
      <c r="H71" s="4238"/>
      <c r="I71" s="4238" t="s">
        <v>209</v>
      </c>
      <c r="J71" s="4238" t="s">
        <v>209</v>
      </c>
      <c r="K71" s="4238" t="s">
        <v>209</v>
      </c>
      <c r="L71" s="4238" t="s">
        <v>209</v>
      </c>
      <c r="M71" s="4238" t="s">
        <v>209</v>
      </c>
      <c r="N71" s="258" t="s">
        <v>162</v>
      </c>
      <c r="O71" s="258" t="s">
        <v>162</v>
      </c>
      <c r="P71" s="4238" t="s">
        <v>50</v>
      </c>
      <c r="Q71" s="4239" t="s">
        <v>50</v>
      </c>
      <c r="R71" s="4238" t="s">
        <v>50</v>
      </c>
      <c r="S71" s="4238" t="s">
        <v>50</v>
      </c>
      <c r="T71" s="4238" t="s">
        <v>50</v>
      </c>
      <c r="U71" s="4238"/>
      <c r="V71" s="4238"/>
      <c r="W71" s="4238" t="s">
        <v>209</v>
      </c>
      <c r="X71" s="4238" t="s">
        <v>209</v>
      </c>
      <c r="Y71" s="4238" t="s">
        <v>209</v>
      </c>
      <c r="Z71" s="4240" t="s">
        <v>209</v>
      </c>
      <c r="AA71" s="4240" t="s">
        <v>209</v>
      </c>
      <c r="AB71" s="4241"/>
      <c r="AC71" s="4241"/>
      <c r="AD71" s="4241" t="s">
        <v>50</v>
      </c>
      <c r="AE71" s="4241" t="s">
        <v>50</v>
      </c>
      <c r="AF71" s="4241" t="s">
        <v>1074</v>
      </c>
      <c r="AG71" s="4242"/>
      <c r="AH71" s="1"/>
      <c r="AJ71" s="3960">
        <f t="shared" si="0"/>
        <v>160.33000000000001</v>
      </c>
      <c r="AK71" s="3960"/>
      <c r="AL71" s="3960">
        <f t="shared" si="1"/>
        <v>160.33000000000001</v>
      </c>
      <c r="AM71" s="4135">
        <f t="shared" si="2"/>
        <v>0</v>
      </c>
      <c r="AN71" s="4135">
        <f>IF(AM71="","",AM71+'Marts 2025'!AN71)</f>
        <v>0</v>
      </c>
    </row>
    <row r="72" spans="1:40" ht="18" customHeight="1" x14ac:dyDescent="0.2">
      <c r="A72" s="4236"/>
      <c r="B72" s="4228" t="s">
        <v>181</v>
      </c>
      <c r="C72" s="4243" t="s">
        <v>50</v>
      </c>
      <c r="D72" s="4243" t="s">
        <v>50</v>
      </c>
      <c r="E72" s="4243" t="s">
        <v>50</v>
      </c>
      <c r="F72" s="4243" t="s">
        <v>50</v>
      </c>
      <c r="G72" s="4244"/>
      <c r="H72" s="4245"/>
      <c r="I72" s="4245" t="s">
        <v>475</v>
      </c>
      <c r="J72" s="4245" t="s">
        <v>475</v>
      </c>
      <c r="K72" s="4245" t="s">
        <v>475</v>
      </c>
      <c r="L72" s="4245" t="s">
        <v>475</v>
      </c>
      <c r="M72" s="4245" t="s">
        <v>475</v>
      </c>
      <c r="N72" s="4244"/>
      <c r="O72" s="4244"/>
      <c r="P72" s="4244" t="s">
        <v>50</v>
      </c>
      <c r="Q72" s="4244" t="s">
        <v>50</v>
      </c>
      <c r="R72" s="4244" t="s">
        <v>50</v>
      </c>
      <c r="S72" s="4244" t="s">
        <v>50</v>
      </c>
      <c r="T72" s="4244" t="s">
        <v>50</v>
      </c>
      <c r="U72" s="4244"/>
      <c r="V72" s="4245"/>
      <c r="W72" s="4245" t="s">
        <v>475</v>
      </c>
      <c r="X72" s="4245" t="s">
        <v>475</v>
      </c>
      <c r="Y72" s="4245" t="s">
        <v>475</v>
      </c>
      <c r="Z72" s="4244" t="s">
        <v>475</v>
      </c>
      <c r="AA72" s="4244" t="s">
        <v>475</v>
      </c>
      <c r="AB72" s="4244"/>
      <c r="AC72" s="4244"/>
      <c r="AD72" s="4244" t="s">
        <v>50</v>
      </c>
      <c r="AE72" s="4244" t="s">
        <v>50</v>
      </c>
      <c r="AF72" s="4244" t="s">
        <v>50</v>
      </c>
      <c r="AG72" s="4242"/>
      <c r="AH72" s="1"/>
      <c r="AJ72" s="3960">
        <f t="shared" si="0"/>
        <v>160.33000000000001</v>
      </c>
      <c r="AK72" s="3960"/>
      <c r="AL72" s="3960">
        <f t="shared" si="1"/>
        <v>160.33000000000001</v>
      </c>
      <c r="AM72" s="4135">
        <f t="shared" si="2"/>
        <v>0</v>
      </c>
      <c r="AN72" s="4135">
        <f>IF(AM72="","",AM72+'Marts 2025'!AN72)</f>
        <v>0</v>
      </c>
    </row>
    <row r="73" spans="1:40" ht="18" customHeight="1" x14ac:dyDescent="0.2">
      <c r="A73" s="4236"/>
      <c r="B73" s="4246" t="s">
        <v>183</v>
      </c>
      <c r="C73" s="4198" t="s">
        <v>153</v>
      </c>
      <c r="D73" s="4117" t="s">
        <v>153</v>
      </c>
      <c r="E73" s="4117" t="s">
        <v>153</v>
      </c>
      <c r="F73" s="4116">
        <v>25</v>
      </c>
      <c r="G73" s="4116"/>
      <c r="H73" s="4106"/>
      <c r="I73" s="4106" t="s">
        <v>50</v>
      </c>
      <c r="J73" s="4106" t="s">
        <v>50</v>
      </c>
      <c r="K73" s="4114" t="s">
        <v>50</v>
      </c>
      <c r="L73" s="4114" t="s">
        <v>50</v>
      </c>
      <c r="M73" s="4106" t="s">
        <v>50</v>
      </c>
      <c r="N73" s="4106" t="s">
        <v>475</v>
      </c>
      <c r="O73" s="4106" t="s">
        <v>475</v>
      </c>
      <c r="P73" s="4106" t="s">
        <v>162</v>
      </c>
      <c r="Q73" s="4106" t="s">
        <v>162</v>
      </c>
      <c r="R73" s="4106">
        <v>9</v>
      </c>
      <c r="S73" s="4106"/>
      <c r="T73" s="4187"/>
      <c r="U73" s="4106"/>
      <c r="V73" s="4116"/>
      <c r="W73" s="4116"/>
      <c r="X73" s="4233" t="s">
        <v>338</v>
      </c>
      <c r="Y73" s="3930">
        <v>89</v>
      </c>
      <c r="Z73" s="3930">
        <v>89</v>
      </c>
      <c r="AA73" s="4198">
        <v>89</v>
      </c>
      <c r="AB73" t="s">
        <v>475</v>
      </c>
      <c r="AC73" s="4116" t="s">
        <v>475</v>
      </c>
      <c r="AD73" s="4117" t="s">
        <v>50</v>
      </c>
      <c r="AE73" s="4117" t="s">
        <v>50</v>
      </c>
      <c r="AF73" s="4117" t="s">
        <v>50</v>
      </c>
      <c r="AG73" s="4242"/>
      <c r="AH73" s="1"/>
      <c r="AJ73" s="3960">
        <f t="shared" ref="AJ73:AJ84" si="3">$AJ$11</f>
        <v>160.33000000000001</v>
      </c>
      <c r="AK73" s="3960"/>
      <c r="AL73" s="3960">
        <f t="shared" ref="AL73:AL84" si="4">IF(AJ73="","",SUM(AJ73:AK73))</f>
        <v>160.33000000000001</v>
      </c>
      <c r="AM73" s="4135">
        <f t="shared" ref="AM73:AM84" si="5">IF(AJ73="","",AL73-_xlfn.SINGLE(NormTid))</f>
        <v>0</v>
      </c>
      <c r="AN73" s="4135">
        <f>IF(AM73="","",AM73+'Marts 2025'!AN73)</f>
        <v>0</v>
      </c>
    </row>
    <row r="74" spans="1:40" ht="18" customHeight="1" x14ac:dyDescent="0.2">
      <c r="A74" s="4236"/>
      <c r="B74" s="4228" t="s">
        <v>477</v>
      </c>
      <c r="C74" s="4117" t="s">
        <v>408</v>
      </c>
      <c r="D74" s="4117" t="s">
        <v>408</v>
      </c>
      <c r="E74" s="4117" t="s">
        <v>408</v>
      </c>
      <c r="F74" s="4116">
        <v>6</v>
      </c>
      <c r="G74" s="4116"/>
      <c r="H74" s="4106"/>
      <c r="I74" s="4106" t="s">
        <v>46</v>
      </c>
      <c r="J74" s="4106" t="s">
        <v>46</v>
      </c>
      <c r="K74" s="4114" t="s">
        <v>46</v>
      </c>
      <c r="L74" s="4114" t="s">
        <v>50</v>
      </c>
      <c r="M74" s="4106" t="s">
        <v>50</v>
      </c>
      <c r="N74" s="4106" t="s">
        <v>72</v>
      </c>
      <c r="O74" s="4106" t="s">
        <v>72</v>
      </c>
      <c r="P74" s="4106">
        <v>9</v>
      </c>
      <c r="Q74" s="4106">
        <v>9</v>
      </c>
      <c r="R74" s="4106" t="s">
        <v>162</v>
      </c>
      <c r="S74" s="4106"/>
      <c r="T74" s="4114"/>
      <c r="U74" s="4106"/>
      <c r="V74" s="4116"/>
      <c r="W74" s="4116">
        <v>6</v>
      </c>
      <c r="X74" s="4116">
        <v>6</v>
      </c>
      <c r="Y74" s="4116">
        <v>6</v>
      </c>
      <c r="Z74" s="4116">
        <v>6</v>
      </c>
      <c r="AA74" s="4116">
        <v>6</v>
      </c>
      <c r="AB74" s="4116" t="s">
        <v>209</v>
      </c>
      <c r="AC74" s="4101" t="s">
        <v>209</v>
      </c>
      <c r="AD74" s="4117" t="s">
        <v>50</v>
      </c>
      <c r="AE74" s="4117" t="s">
        <v>50</v>
      </c>
      <c r="AF74" s="4117" t="s">
        <v>50</v>
      </c>
      <c r="AG74" s="4242"/>
      <c r="AH74" s="1"/>
      <c r="AJ74" s="3960">
        <f t="shared" si="3"/>
        <v>160.33000000000001</v>
      </c>
      <c r="AK74" s="3960"/>
      <c r="AL74" s="3960">
        <f t="shared" si="4"/>
        <v>160.33000000000001</v>
      </c>
      <c r="AM74" s="4135">
        <f t="shared" si="5"/>
        <v>0</v>
      </c>
      <c r="AN74" s="4135">
        <f>IF(AM74="","",AM74+'Marts 2025'!AN74)</f>
        <v>0</v>
      </c>
    </row>
    <row r="75" spans="1:40" ht="18" customHeight="1" x14ac:dyDescent="0.2">
      <c r="A75" s="4236"/>
      <c r="B75" s="4247" t="s">
        <v>549</v>
      </c>
      <c r="C75" s="4117" t="s">
        <v>174</v>
      </c>
      <c r="D75" s="4117" t="s">
        <v>399</v>
      </c>
      <c r="E75" s="4117" t="s">
        <v>174</v>
      </c>
      <c r="F75" s="4117" t="s">
        <v>174</v>
      </c>
      <c r="G75" s="4116"/>
      <c r="H75" s="4106"/>
      <c r="I75" s="4117" t="s">
        <v>174</v>
      </c>
      <c r="J75" s="4117" t="s">
        <v>174</v>
      </c>
      <c r="K75" s="4117" t="s">
        <v>174</v>
      </c>
      <c r="L75" s="4117" t="s">
        <v>174</v>
      </c>
      <c r="M75" s="4117" t="s">
        <v>174</v>
      </c>
      <c r="N75" s="4106"/>
      <c r="O75" s="4106"/>
      <c r="P75" s="4112" t="s">
        <v>174</v>
      </c>
      <c r="Q75" s="4112" t="s">
        <v>174</v>
      </c>
      <c r="R75" s="4112" t="s">
        <v>174</v>
      </c>
      <c r="S75" s="4106"/>
      <c r="T75" s="4114"/>
      <c r="U75" s="4106"/>
      <c r="V75" s="4116">
        <v>26</v>
      </c>
      <c r="W75" s="4116"/>
      <c r="X75" s="4117" t="s">
        <v>46</v>
      </c>
      <c r="Y75" s="4117" t="s">
        <v>46</v>
      </c>
      <c r="Z75" s="4117" t="s">
        <v>309</v>
      </c>
      <c r="AA75" s="4248" t="s">
        <v>309</v>
      </c>
      <c r="AB75" s="4116">
        <v>89</v>
      </c>
      <c r="AC75" s="4101"/>
      <c r="AD75" s="4117" t="s">
        <v>160</v>
      </c>
      <c r="AE75" s="4117" t="s">
        <v>160</v>
      </c>
      <c r="AF75" s="4117" t="s">
        <v>160</v>
      </c>
      <c r="AG75" s="4242"/>
      <c r="AH75" s="1"/>
      <c r="AJ75" s="3960">
        <f>$AJ$11</f>
        <v>160.33000000000001</v>
      </c>
      <c r="AK75" s="3960"/>
      <c r="AL75" s="3960">
        <f>IF(AJ75="","",SUM(AJ75:AK75))</f>
        <v>160.33000000000001</v>
      </c>
      <c r="AM75" s="4135">
        <f>IF(AJ75="","",AL75-_xlfn.SINGLE(NormTid))</f>
        <v>0</v>
      </c>
      <c r="AN75" s="4135">
        <f>IF(AM75="","",AM75+'Marts 2025'!AN76)</f>
        <v>0</v>
      </c>
    </row>
    <row r="76" spans="1:40" ht="18" customHeight="1" x14ac:dyDescent="0.2">
      <c r="A76" s="4236"/>
      <c r="B76" s="374" t="s">
        <v>522</v>
      </c>
      <c r="C76" s="4117" t="s">
        <v>50</v>
      </c>
      <c r="D76" s="4117" t="s">
        <v>50</v>
      </c>
      <c r="E76" s="4117" t="s">
        <v>50</v>
      </c>
      <c r="F76" s="4116" t="s">
        <v>50</v>
      </c>
      <c r="G76" s="4116"/>
      <c r="H76" s="4106"/>
      <c r="I76" s="4108">
        <v>8</v>
      </c>
      <c r="J76" s="4108">
        <v>8</v>
      </c>
      <c r="K76" s="4108">
        <v>8</v>
      </c>
      <c r="L76" s="4108">
        <v>8</v>
      </c>
      <c r="M76" s="4108">
        <v>8</v>
      </c>
      <c r="N76" s="4106"/>
      <c r="O76" s="4106"/>
      <c r="P76" s="4106">
        <v>4</v>
      </c>
      <c r="Q76" s="4106">
        <v>4</v>
      </c>
      <c r="R76" s="4106">
        <v>4</v>
      </c>
      <c r="S76" s="4106"/>
      <c r="T76" s="4114"/>
      <c r="U76" s="4106"/>
      <c r="V76" s="4116"/>
      <c r="W76" s="4116"/>
      <c r="X76" s="4249">
        <v>4</v>
      </c>
      <c r="Y76" s="4250">
        <v>4</v>
      </c>
      <c r="Z76" s="4249" t="s">
        <v>50</v>
      </c>
      <c r="AA76" s="4249">
        <v>4</v>
      </c>
      <c r="AB76" s="4249"/>
      <c r="AC76" s="4251"/>
      <c r="AD76" s="4252" t="s">
        <v>404</v>
      </c>
      <c r="AE76" s="4252" t="s">
        <v>404</v>
      </c>
      <c r="AF76" s="4252" t="s">
        <v>404</v>
      </c>
      <c r="AG76" s="4242"/>
      <c r="AH76" s="1"/>
      <c r="AJ76" s="3960">
        <f>$AJ$11</f>
        <v>160.33000000000001</v>
      </c>
      <c r="AK76" s="3960"/>
      <c r="AL76" s="3960">
        <f>IF(AJ76="","",SUM(AJ76:AK76))</f>
        <v>160.33000000000001</v>
      </c>
      <c r="AM76" s="4135">
        <f>IF(AJ76="","",AL76-_xlfn.SINGLE(NormTid))</f>
        <v>0</v>
      </c>
      <c r="AN76" s="4135">
        <f>IF(AM76="","",AM76+'Marts 2025'!AN77)</f>
        <v>0</v>
      </c>
    </row>
    <row r="77" spans="1:40" ht="20.45" customHeight="1" x14ac:dyDescent="0.2">
      <c r="A77" s="3960"/>
      <c r="B77" s="4228" t="s">
        <v>568</v>
      </c>
      <c r="C77" s="4244"/>
      <c r="D77" s="4253"/>
      <c r="E77" s="4245"/>
      <c r="F77" s="4245"/>
      <c r="G77" s="4245"/>
      <c r="H77" s="4245"/>
      <c r="I77" s="4245"/>
      <c r="J77" s="4253"/>
      <c r="K77" s="4253"/>
      <c r="L77" s="4253"/>
      <c r="M77" s="4254"/>
      <c r="N77" s="4254"/>
      <c r="O77" s="4254"/>
      <c r="P77" s="4254"/>
      <c r="Q77" s="4254"/>
      <c r="R77" s="4254"/>
      <c r="S77" s="4254"/>
      <c r="T77" s="4254"/>
      <c r="U77" s="4254"/>
      <c r="V77" s="4254"/>
      <c r="W77" s="4255"/>
      <c r="X77" s="4256" t="s">
        <v>46</v>
      </c>
      <c r="Y77" s="2927" t="s">
        <v>142</v>
      </c>
      <c r="Z77" s="2927" t="s">
        <v>142</v>
      </c>
      <c r="AA77" s="2927" t="s">
        <v>142</v>
      </c>
      <c r="AB77" s="4108" t="s">
        <v>143</v>
      </c>
      <c r="AC77" s="4108" t="s">
        <v>143</v>
      </c>
      <c r="AD77" s="4254" t="s">
        <v>50</v>
      </c>
      <c r="AE77" s="4254" t="s">
        <v>50</v>
      </c>
      <c r="AF77" s="4257">
        <v>25</v>
      </c>
      <c r="AG77" s="4258"/>
      <c r="AH77" s="1"/>
      <c r="AJ77" s="3960">
        <f t="shared" si="3"/>
        <v>160.33000000000001</v>
      </c>
      <c r="AK77" s="3960"/>
      <c r="AL77" s="3960">
        <f t="shared" si="4"/>
        <v>160.33000000000001</v>
      </c>
      <c r="AM77" s="4135">
        <f t="shared" si="5"/>
        <v>0</v>
      </c>
      <c r="AN77" s="4135">
        <f>IF(AM77="","",AM77)</f>
        <v>0</v>
      </c>
    </row>
    <row r="78" spans="1:40" ht="18" customHeight="1" x14ac:dyDescent="0.2">
      <c r="A78" s="3950"/>
      <c r="B78" s="4228" t="s">
        <v>569</v>
      </c>
      <c r="C78" s="4244"/>
      <c r="D78" s="4253"/>
      <c r="E78" s="4245"/>
      <c r="F78" s="4245"/>
      <c r="G78" s="4245"/>
      <c r="H78" s="4245"/>
      <c r="I78" s="4245"/>
      <c r="J78" s="4253"/>
      <c r="K78" s="4253"/>
      <c r="L78" s="4253"/>
      <c r="M78" s="4256"/>
      <c r="N78" s="4256"/>
      <c r="O78" s="4256"/>
      <c r="P78" s="4256"/>
      <c r="Q78" s="4256"/>
      <c r="R78" s="4256"/>
      <c r="S78" s="4256"/>
      <c r="T78" s="4256"/>
      <c r="U78" s="4256"/>
      <c r="V78" s="4256"/>
      <c r="W78" s="4259"/>
      <c r="X78" s="4256" t="s">
        <v>46</v>
      </c>
      <c r="Y78" s="4260">
        <v>21</v>
      </c>
      <c r="Z78" s="4260">
        <v>21</v>
      </c>
      <c r="AA78" s="4260">
        <v>21</v>
      </c>
      <c r="AB78" s="4254" t="s">
        <v>68</v>
      </c>
      <c r="AC78" s="4256" t="s">
        <v>68</v>
      </c>
      <c r="AD78" s="4117" t="s">
        <v>50</v>
      </c>
      <c r="AE78" s="4117" t="s">
        <v>50</v>
      </c>
      <c r="AF78" s="4117" t="s">
        <v>68</v>
      </c>
      <c r="AG78" s="4261"/>
      <c r="AH78" s="1"/>
      <c r="AJ78" s="3960">
        <f t="shared" si="3"/>
        <v>160.33000000000001</v>
      </c>
      <c r="AK78" s="3960"/>
      <c r="AL78" s="3960">
        <f t="shared" ref="AL78:AL82" si="6">IF(AJ78="","",SUM(AJ78:AK78))</f>
        <v>160.33000000000001</v>
      </c>
      <c r="AM78" s="4135">
        <f t="shared" ref="AM78:AM82" si="7">IF(AJ78="","",AL78-_xlfn.SINGLE(NormTid))</f>
        <v>0</v>
      </c>
      <c r="AN78" s="4135">
        <f t="shared" ref="AN78:AN82" si="8">IF(AM78="","",AM78)</f>
        <v>0</v>
      </c>
    </row>
    <row r="79" spans="1:40" ht="18" customHeight="1" x14ac:dyDescent="0.2">
      <c r="A79" s="3950"/>
      <c r="B79" s="4228" t="s">
        <v>570</v>
      </c>
      <c r="C79" s="4244"/>
      <c r="D79" s="4253"/>
      <c r="E79" s="4245"/>
      <c r="F79" s="4245"/>
      <c r="G79" s="4245"/>
      <c r="H79" s="4245"/>
      <c r="I79" s="4245"/>
      <c r="J79" s="4253"/>
      <c r="K79" s="4253"/>
      <c r="L79" s="4253"/>
      <c r="M79" s="4254"/>
      <c r="N79" s="4254"/>
      <c r="O79" s="4254"/>
      <c r="P79" s="4254"/>
      <c r="Q79" s="4254"/>
      <c r="R79" s="4254"/>
      <c r="S79" s="4254"/>
      <c r="T79" s="4254"/>
      <c r="U79" s="4254"/>
      <c r="V79" s="4254"/>
      <c r="W79" s="4255"/>
      <c r="X79" s="4256" t="s">
        <v>46</v>
      </c>
      <c r="Y79" s="4257">
        <v>99</v>
      </c>
      <c r="Z79" s="4257">
        <v>69</v>
      </c>
      <c r="AA79" s="4257">
        <v>69</v>
      </c>
      <c r="AB79" s="4254"/>
      <c r="AC79" s="4254"/>
      <c r="AD79" s="2927">
        <v>4</v>
      </c>
      <c r="AE79" s="2927">
        <v>4</v>
      </c>
      <c r="AF79" s="2927">
        <v>4</v>
      </c>
      <c r="AG79" s="4258"/>
      <c r="AH79" s="1"/>
      <c r="AJ79" s="3960">
        <f t="shared" si="3"/>
        <v>160.33000000000001</v>
      </c>
      <c r="AK79" s="3960"/>
      <c r="AL79" s="3960">
        <f t="shared" si="6"/>
        <v>160.33000000000001</v>
      </c>
      <c r="AM79" s="4135">
        <f t="shared" si="7"/>
        <v>0</v>
      </c>
      <c r="AN79" s="4135">
        <f t="shared" si="8"/>
        <v>0</v>
      </c>
    </row>
    <row r="80" spans="1:40" ht="18" customHeight="1" x14ac:dyDescent="0.2">
      <c r="A80" s="3950"/>
      <c r="B80" s="4228" t="s">
        <v>571</v>
      </c>
      <c r="C80" s="3960"/>
      <c r="D80" s="4262"/>
      <c r="E80" s="4263"/>
      <c r="F80" s="4263"/>
      <c r="G80" s="4263"/>
      <c r="H80" s="4263"/>
      <c r="I80" s="4263"/>
      <c r="J80" s="4262"/>
      <c r="K80" s="4262"/>
      <c r="L80" s="4262"/>
      <c r="M80" s="4254"/>
      <c r="N80" s="4254"/>
      <c r="O80" s="4254"/>
      <c r="P80" s="4254"/>
      <c r="Q80" s="4254"/>
      <c r="R80" s="4254"/>
      <c r="S80" s="4254"/>
      <c r="T80" s="4254"/>
      <c r="U80" s="4254"/>
      <c r="V80" s="4254"/>
      <c r="W80" s="4254"/>
      <c r="X80" s="4256" t="s">
        <v>46</v>
      </c>
      <c r="Y80" s="4257">
        <v>8</v>
      </c>
      <c r="Z80" s="4257">
        <v>8</v>
      </c>
      <c r="AA80" s="4257">
        <v>8</v>
      </c>
      <c r="AB80" s="4254"/>
      <c r="AC80" s="4254"/>
      <c r="AD80" s="4257">
        <v>6</v>
      </c>
      <c r="AE80" s="4257">
        <v>6</v>
      </c>
      <c r="AF80" s="4257">
        <v>6</v>
      </c>
      <c r="AG80" s="4254"/>
      <c r="AH80" s="1"/>
      <c r="AJ80" s="3960">
        <f t="shared" si="3"/>
        <v>160.33000000000001</v>
      </c>
      <c r="AK80" s="3960"/>
      <c r="AL80" s="3960">
        <f t="shared" si="6"/>
        <v>160.33000000000001</v>
      </c>
      <c r="AM80" s="4135">
        <f t="shared" si="7"/>
        <v>0</v>
      </c>
      <c r="AN80" s="4135">
        <f t="shared" si="8"/>
        <v>0</v>
      </c>
    </row>
    <row r="81" spans="1:40" ht="18" customHeight="1" x14ac:dyDescent="0.2">
      <c r="A81" s="3960"/>
      <c r="B81" s="4228" t="s">
        <v>572</v>
      </c>
      <c r="C81" s="3960"/>
      <c r="D81" s="4262"/>
      <c r="E81" s="4263"/>
      <c r="F81" s="4263"/>
      <c r="G81" s="4263"/>
      <c r="H81" s="4263"/>
      <c r="I81" s="4263"/>
      <c r="J81" s="4262"/>
      <c r="K81" s="4262"/>
      <c r="L81" s="4262"/>
      <c r="M81" s="4254"/>
      <c r="N81" s="4254"/>
      <c r="O81" s="4254"/>
      <c r="P81" s="4254"/>
      <c r="Q81" s="4254"/>
      <c r="R81" s="4254"/>
      <c r="S81" s="4254"/>
      <c r="T81" s="4254"/>
      <c r="U81" s="4254"/>
      <c r="V81" s="4254"/>
      <c r="W81" s="4254"/>
      <c r="X81" s="4256" t="s">
        <v>46</v>
      </c>
      <c r="Y81" s="4257">
        <v>25</v>
      </c>
      <c r="Z81" s="4257">
        <v>25</v>
      </c>
      <c r="AA81" s="4257">
        <v>25</v>
      </c>
      <c r="AB81" s="4254"/>
      <c r="AC81" s="4108">
        <v>26</v>
      </c>
      <c r="AD81" s="4108">
        <v>26</v>
      </c>
      <c r="AE81" s="4108">
        <v>26</v>
      </c>
      <c r="AF81" s="4256" t="s">
        <v>50</v>
      </c>
      <c r="AG81" s="4254"/>
      <c r="AH81" s="1"/>
      <c r="AJ81" s="3960">
        <f t="shared" si="3"/>
        <v>160.33000000000001</v>
      </c>
      <c r="AK81" s="3960"/>
      <c r="AL81" s="3960">
        <f t="shared" si="6"/>
        <v>160.33000000000001</v>
      </c>
      <c r="AM81" s="4135">
        <f t="shared" si="7"/>
        <v>0</v>
      </c>
      <c r="AN81" s="4135">
        <f t="shared" si="8"/>
        <v>0</v>
      </c>
    </row>
    <row r="82" spans="1:40" ht="18" customHeight="1" x14ac:dyDescent="0.2">
      <c r="A82" s="4236"/>
      <c r="B82" s="4228" t="s">
        <v>573</v>
      </c>
      <c r="C82" s="3960"/>
      <c r="D82" s="4262"/>
      <c r="E82" s="4263"/>
      <c r="F82" s="4263"/>
      <c r="G82" s="4263"/>
      <c r="H82" s="4263"/>
      <c r="I82" s="4263"/>
      <c r="J82" s="4262"/>
      <c r="K82" s="4262"/>
      <c r="L82" s="4262"/>
      <c r="M82" s="4254"/>
      <c r="N82" s="4254"/>
      <c r="O82" s="4254"/>
      <c r="P82" s="4254"/>
      <c r="Q82" s="4254"/>
      <c r="R82" s="4254"/>
      <c r="S82" s="4254"/>
      <c r="T82" s="4254"/>
      <c r="U82" s="4254"/>
      <c r="V82" s="4254"/>
      <c r="W82" s="4254"/>
      <c r="X82" s="4256" t="s">
        <v>46</v>
      </c>
      <c r="Y82" s="4257" t="s">
        <v>378</v>
      </c>
      <c r="Z82" s="4257" t="s">
        <v>378</v>
      </c>
      <c r="AA82" s="4257" t="s">
        <v>378</v>
      </c>
      <c r="AB82" s="4254"/>
      <c r="AC82" s="4254"/>
      <c r="AD82" s="4257" t="s">
        <v>380</v>
      </c>
      <c r="AE82" s="4257" t="s">
        <v>380</v>
      </c>
      <c r="AF82" s="4257" t="s">
        <v>380</v>
      </c>
      <c r="AG82" s="4254"/>
      <c r="AH82" s="1"/>
      <c r="AJ82" s="3960">
        <f t="shared" si="3"/>
        <v>160.33000000000001</v>
      </c>
      <c r="AK82" s="3960"/>
      <c r="AL82" s="3960">
        <f t="shared" si="6"/>
        <v>160.33000000000001</v>
      </c>
      <c r="AM82" s="4135">
        <f t="shared" si="7"/>
        <v>0</v>
      </c>
      <c r="AN82" s="4135">
        <f t="shared" si="8"/>
        <v>0</v>
      </c>
    </row>
    <row r="83" spans="1:40" ht="18" customHeight="1" x14ac:dyDescent="0.2">
      <c r="A83" s="4264"/>
      <c r="B83" s="3960"/>
      <c r="C83" s="3960"/>
      <c r="D83" s="3960"/>
      <c r="E83" s="3960"/>
      <c r="F83" s="3960"/>
      <c r="G83" s="3960"/>
      <c r="H83" s="3960"/>
      <c r="I83" s="3960"/>
      <c r="J83" s="3960"/>
      <c r="K83" s="3960"/>
      <c r="L83" s="3960"/>
      <c r="M83" s="3960"/>
      <c r="N83" s="3960"/>
      <c r="O83" s="3960"/>
      <c r="P83" s="3960"/>
      <c r="Q83" s="3960"/>
      <c r="R83" s="3960"/>
      <c r="S83" s="3960"/>
      <c r="T83" s="3960"/>
      <c r="U83" s="3960"/>
      <c r="V83" s="3960"/>
      <c r="W83" s="3960"/>
      <c r="X83" s="3960"/>
      <c r="Y83" s="3960"/>
      <c r="Z83" s="3960"/>
      <c r="AA83" s="3960"/>
      <c r="AB83" s="3960"/>
      <c r="AC83" s="3960"/>
      <c r="AD83" s="3960"/>
      <c r="AE83" s="3960"/>
      <c r="AF83" s="3960"/>
      <c r="AG83" s="3960"/>
      <c r="AH83" s="1"/>
      <c r="AJ83" s="3960"/>
      <c r="AK83" s="3960"/>
      <c r="AL83" s="3960"/>
      <c r="AM83" s="4135"/>
      <c r="AN83" s="4135"/>
    </row>
    <row r="84" spans="1:40" ht="18" customHeight="1" thickBot="1" x14ac:dyDescent="0.25">
      <c r="A84" s="4265"/>
      <c r="B84" s="4228"/>
      <c r="C84" s="4245"/>
      <c r="D84" s="4253"/>
      <c r="E84" s="4245"/>
      <c r="F84" s="4244"/>
      <c r="G84" s="4244"/>
      <c r="H84" s="4244"/>
      <c r="I84" s="4244"/>
      <c r="J84" s="4244"/>
      <c r="K84" s="4244"/>
      <c r="L84" s="4244"/>
      <c r="M84" s="4244"/>
      <c r="N84" s="4244"/>
      <c r="O84" s="4244"/>
      <c r="P84" s="4244"/>
      <c r="Q84" s="4244"/>
      <c r="R84" s="4244"/>
      <c r="S84" s="4244"/>
      <c r="T84" s="4245"/>
      <c r="U84" s="4245"/>
      <c r="V84" s="4021"/>
      <c r="W84" s="4245"/>
      <c r="X84" s="4245"/>
      <c r="Y84" s="4244"/>
      <c r="Z84" s="4245"/>
      <c r="AA84" s="4245"/>
      <c r="AB84" s="4245"/>
      <c r="AC84" s="4245"/>
      <c r="AD84" s="4245"/>
      <c r="AE84" s="4253"/>
      <c r="AF84" s="4245"/>
      <c r="AG84" s="4245"/>
      <c r="AH84" s="1"/>
      <c r="AJ84" s="3960">
        <f t="shared" si="3"/>
        <v>160.33000000000001</v>
      </c>
      <c r="AK84" s="3960"/>
      <c r="AL84" s="3960">
        <f t="shared" si="4"/>
        <v>160.33000000000001</v>
      </c>
      <c r="AM84" s="4135">
        <f t="shared" si="5"/>
        <v>0</v>
      </c>
      <c r="AN84" s="4135">
        <f>IF(AM84="","",AM84+'Marts 2025'!AN79)</f>
        <v>0</v>
      </c>
    </row>
    <row r="85" spans="1:40" ht="18" customHeight="1" thickBot="1" x14ac:dyDescent="0.25">
      <c r="A85" s="242"/>
      <c r="B85" s="332" t="s">
        <v>182</v>
      </c>
      <c r="C85" s="389">
        <v>1</v>
      </c>
      <c r="D85" s="389">
        <v>2</v>
      </c>
      <c r="E85" s="389">
        <v>3</v>
      </c>
      <c r="F85" s="389">
        <v>4</v>
      </c>
      <c r="G85" s="390">
        <v>5</v>
      </c>
      <c r="H85" s="390">
        <v>6</v>
      </c>
      <c r="I85" s="389">
        <v>7</v>
      </c>
      <c r="J85" s="389">
        <v>8</v>
      </c>
      <c r="K85" s="389">
        <v>9</v>
      </c>
      <c r="L85" s="389">
        <v>10</v>
      </c>
      <c r="M85" s="389">
        <v>11</v>
      </c>
      <c r="N85" s="390">
        <v>12</v>
      </c>
      <c r="O85" s="390">
        <v>13</v>
      </c>
      <c r="P85" s="389">
        <v>14</v>
      </c>
      <c r="Q85" s="389">
        <v>15</v>
      </c>
      <c r="R85" s="389">
        <v>16</v>
      </c>
      <c r="S85" s="390">
        <v>17</v>
      </c>
      <c r="T85" s="390">
        <v>18</v>
      </c>
      <c r="U85" s="390">
        <v>19</v>
      </c>
      <c r="V85" s="390">
        <v>20</v>
      </c>
      <c r="W85" s="390">
        <v>21</v>
      </c>
      <c r="X85" s="389">
        <v>22</v>
      </c>
      <c r="Y85" s="389">
        <v>23</v>
      </c>
      <c r="Z85" s="389">
        <v>24</v>
      </c>
      <c r="AA85" s="389">
        <v>25</v>
      </c>
      <c r="AB85" s="390">
        <v>26</v>
      </c>
      <c r="AC85" s="390">
        <v>27</v>
      </c>
      <c r="AD85" s="389">
        <v>28</v>
      </c>
      <c r="AE85" s="389">
        <v>29</v>
      </c>
      <c r="AF85" s="389">
        <v>30</v>
      </c>
      <c r="AG85" s="401"/>
      <c r="AH85" s="1"/>
      <c r="AJ85" s="3960"/>
      <c r="AK85" s="3960"/>
      <c r="AL85" s="3960"/>
      <c r="AM85" s="4135"/>
      <c r="AN85" s="4135"/>
    </row>
    <row r="86" spans="1:40" ht="18" customHeight="1" x14ac:dyDescent="0.2">
      <c r="A86" s="369"/>
      <c r="B86" s="4266" t="s">
        <v>409</v>
      </c>
      <c r="C86" s="4267"/>
      <c r="D86" s="4253"/>
      <c r="E86" s="4245"/>
      <c r="F86" s="4245"/>
      <c r="G86" s="4245"/>
      <c r="H86" s="4245"/>
      <c r="I86" s="4245" t="s">
        <v>46</v>
      </c>
      <c r="J86" s="4253" t="s">
        <v>46</v>
      </c>
      <c r="K86" s="4253" t="s">
        <v>451</v>
      </c>
      <c r="L86" s="4253" t="s">
        <v>451</v>
      </c>
      <c r="M86" s="4254" t="s">
        <v>451</v>
      </c>
      <c r="N86" s="4254"/>
      <c r="O86" s="4254"/>
      <c r="P86" s="4254" t="s">
        <v>154</v>
      </c>
      <c r="Q86" s="4254" t="s">
        <v>46</v>
      </c>
      <c r="R86" s="4254" t="s">
        <v>322</v>
      </c>
      <c r="S86" s="4254"/>
      <c r="T86" s="4254"/>
      <c r="U86" s="4254" t="s">
        <v>72</v>
      </c>
      <c r="V86" s="4254" t="s">
        <v>72</v>
      </c>
      <c r="W86" s="4254"/>
      <c r="X86" s="4258" t="s">
        <v>50</v>
      </c>
      <c r="Y86" s="4254" t="s">
        <v>50</v>
      </c>
      <c r="Z86" s="4268">
        <v>3</v>
      </c>
      <c r="AA86" s="4268">
        <v>3</v>
      </c>
      <c r="AB86" s="4254" t="s">
        <v>162</v>
      </c>
      <c r="AC86" s="4254" t="s">
        <v>162</v>
      </c>
      <c r="AD86" s="4254" t="s">
        <v>50</v>
      </c>
      <c r="AE86" s="4254" t="s">
        <v>50</v>
      </c>
      <c r="AF86" s="4254" t="s">
        <v>50</v>
      </c>
      <c r="AG86" s="366"/>
      <c r="AH86" s="1"/>
      <c r="AJ86" s="3960">
        <f t="shared" si="0"/>
        <v>160.33000000000001</v>
      </c>
      <c r="AK86" s="3960"/>
      <c r="AL86" s="3960">
        <f t="shared" si="1"/>
        <v>160.33000000000001</v>
      </c>
      <c r="AM86" s="4135">
        <f t="shared" si="2"/>
        <v>0</v>
      </c>
      <c r="AN86" s="4135">
        <f>IF(AM86="","",AM86+'Marts 2025'!AN81)</f>
        <v>0</v>
      </c>
    </row>
    <row r="87" spans="1:40" ht="18" customHeight="1" x14ac:dyDescent="0.2">
      <c r="A87" s="4236"/>
      <c r="B87" s="4193"/>
      <c r="C87" s="4244" t="s">
        <v>46</v>
      </c>
      <c r="D87" s="370" t="s">
        <v>46</v>
      </c>
      <c r="E87" s="370" t="s">
        <v>46</v>
      </c>
      <c r="F87" s="370" t="s">
        <v>46</v>
      </c>
      <c r="G87" s="370"/>
      <c r="H87" s="370"/>
      <c r="I87" s="370" t="s">
        <v>46</v>
      </c>
      <c r="J87" s="370" t="s">
        <v>46</v>
      </c>
      <c r="K87" s="370" t="s">
        <v>46</v>
      </c>
      <c r="L87" s="370" t="s">
        <v>46</v>
      </c>
      <c r="M87" s="370" t="s">
        <v>46</v>
      </c>
      <c r="N87" s="370"/>
      <c r="O87" s="370"/>
      <c r="P87" s="370" t="s">
        <v>46</v>
      </c>
      <c r="Q87" s="370" t="s">
        <v>46</v>
      </c>
      <c r="R87" s="370" t="s">
        <v>46</v>
      </c>
      <c r="S87" s="370"/>
      <c r="T87" s="370"/>
      <c r="U87" s="370"/>
      <c r="V87" s="370"/>
      <c r="W87" s="370"/>
      <c r="X87" s="4244" t="s">
        <v>46</v>
      </c>
      <c r="Y87" s="4244" t="s">
        <v>46</v>
      </c>
      <c r="Z87" s="4244" t="s">
        <v>46</v>
      </c>
      <c r="AA87" s="4244" t="s">
        <v>46</v>
      </c>
      <c r="AB87" s="4244"/>
      <c r="AC87" s="4244"/>
      <c r="AD87" s="4244" t="s">
        <v>46</v>
      </c>
      <c r="AE87" s="4269" t="s">
        <v>46</v>
      </c>
      <c r="AF87" s="4269" t="s">
        <v>46</v>
      </c>
      <c r="AG87" s="4270"/>
      <c r="AH87" s="1"/>
      <c r="AJ87" s="3960">
        <f t="shared" si="0"/>
        <v>160.33000000000001</v>
      </c>
      <c r="AK87" s="3960"/>
      <c r="AL87" s="3960">
        <f t="shared" si="1"/>
        <v>160.33000000000001</v>
      </c>
      <c r="AM87" s="4135">
        <f t="shared" si="2"/>
        <v>0</v>
      </c>
      <c r="AN87" s="4135">
        <f>IF(AM87="","",AM87+'Marts 2025'!AN82)</f>
        <v>0</v>
      </c>
    </row>
    <row r="88" spans="1:40" ht="18" customHeight="1" x14ac:dyDescent="0.2">
      <c r="A88" s="4236"/>
      <c r="B88" s="4271"/>
      <c r="C88" s="4245" t="s">
        <v>46</v>
      </c>
      <c r="D88" s="4245" t="s">
        <v>46</v>
      </c>
      <c r="E88" s="4245" t="s">
        <v>46</v>
      </c>
      <c r="F88" s="4269" t="s">
        <v>46</v>
      </c>
      <c r="G88" s="4269"/>
      <c r="H88" s="4244"/>
      <c r="I88" s="4244" t="s">
        <v>46</v>
      </c>
      <c r="J88" s="4244" t="s">
        <v>46</v>
      </c>
      <c r="K88" s="4272" t="s">
        <v>46</v>
      </c>
      <c r="L88" s="4272" t="s">
        <v>46</v>
      </c>
      <c r="M88" s="4244" t="s">
        <v>46</v>
      </c>
      <c r="N88" s="4244"/>
      <c r="O88" s="4244"/>
      <c r="P88" s="4244" t="s">
        <v>46</v>
      </c>
      <c r="Q88" s="4244" t="s">
        <v>46</v>
      </c>
      <c r="R88" s="4244" t="s">
        <v>46</v>
      </c>
      <c r="S88" s="4244"/>
      <c r="T88" s="4272"/>
      <c r="U88" s="4244"/>
      <c r="V88" s="4269"/>
      <c r="W88" s="4269"/>
      <c r="X88" s="4269" t="s">
        <v>46</v>
      </c>
      <c r="Y88" s="4269" t="s">
        <v>46</v>
      </c>
      <c r="Z88" s="4269" t="s">
        <v>46</v>
      </c>
      <c r="AA88" s="4269" t="s">
        <v>46</v>
      </c>
      <c r="AB88" s="4269"/>
      <c r="AC88" s="4021"/>
      <c r="AD88" s="4245" t="s">
        <v>46</v>
      </c>
      <c r="AE88" s="4245" t="s">
        <v>46</v>
      </c>
      <c r="AF88" s="4245" t="s">
        <v>46</v>
      </c>
      <c r="AG88" s="4270"/>
      <c r="AH88" s="1"/>
      <c r="AJ88" s="3960">
        <f t="shared" si="0"/>
        <v>160.33000000000001</v>
      </c>
      <c r="AK88" s="3960"/>
      <c r="AL88" s="3960">
        <f t="shared" si="1"/>
        <v>160.33000000000001</v>
      </c>
      <c r="AM88" s="4135">
        <f t="shared" si="2"/>
        <v>0</v>
      </c>
      <c r="AN88" s="4135">
        <f>IF(AM88="","",AM88+'Marts 2025'!AN83)</f>
        <v>0</v>
      </c>
    </row>
    <row r="89" spans="1:40" ht="18" customHeight="1" x14ac:dyDescent="0.2">
      <c r="A89" s="4236"/>
      <c r="B89" s="3936"/>
      <c r="C89" s="4244"/>
      <c r="D89" s="4244"/>
      <c r="E89" s="4245"/>
      <c r="F89" s="4244"/>
      <c r="G89" s="4244"/>
      <c r="H89" s="4244"/>
      <c r="I89" s="4244"/>
      <c r="J89" s="4244"/>
      <c r="K89" s="4244"/>
      <c r="L89" s="4244"/>
      <c r="M89" s="4244"/>
      <c r="N89" s="4244"/>
      <c r="O89" s="4269"/>
      <c r="P89" s="4269"/>
      <c r="Q89" s="4269"/>
      <c r="R89" s="4269"/>
      <c r="S89" s="4269"/>
      <c r="T89" s="4269"/>
      <c r="U89" s="4269"/>
      <c r="V89" s="4269"/>
      <c r="W89" s="4244"/>
      <c r="X89" s="4244"/>
      <c r="Y89" s="4244"/>
      <c r="Z89" s="4244"/>
      <c r="AA89" s="4244"/>
      <c r="AB89" s="4244"/>
      <c r="AC89" s="4244"/>
      <c r="AD89" s="4245"/>
      <c r="AE89" s="4244"/>
      <c r="AF89" s="4244"/>
      <c r="AG89" s="4273"/>
      <c r="AH89" s="1"/>
      <c r="AJ89" s="3960">
        <f>$AJ$11</f>
        <v>160.33000000000001</v>
      </c>
      <c r="AK89" s="3960"/>
      <c r="AL89" s="3960">
        <f>IF(AJ89="","",SUM(AJ89:AK89))</f>
        <v>160.33000000000001</v>
      </c>
      <c r="AM89" s="4135">
        <f>IF(AJ89="","",AL89-_xlfn.SINGLE(NormTid))</f>
        <v>0</v>
      </c>
      <c r="AN89" s="4135">
        <f>IF(AM89="","",AM89+'Marts 2025'!AN84)</f>
        <v>0</v>
      </c>
    </row>
    <row r="90" spans="1:40" ht="18" customHeight="1" thickBot="1" x14ac:dyDescent="0.25">
      <c r="A90" s="4274"/>
      <c r="B90" s="4275" t="s">
        <v>0</v>
      </c>
      <c r="C90" s="4276"/>
      <c r="D90" s="4277"/>
      <c r="E90" s="4277"/>
      <c r="F90" s="4278"/>
      <c r="G90" s="4278"/>
      <c r="H90" s="4279"/>
      <c r="I90" s="4279"/>
      <c r="J90" s="4279"/>
      <c r="K90" s="4279"/>
      <c r="L90" s="4279"/>
      <c r="M90" s="4279"/>
      <c r="N90" s="4279"/>
      <c r="O90" s="4279"/>
      <c r="P90" s="4279"/>
      <c r="Q90" s="4279"/>
      <c r="R90" s="4279"/>
      <c r="S90" s="4279"/>
      <c r="T90" s="4279"/>
      <c r="U90" s="4279"/>
      <c r="V90" s="4279"/>
      <c r="W90" s="4279"/>
      <c r="X90" s="4279"/>
      <c r="Y90" s="4279"/>
      <c r="Z90" s="4279"/>
      <c r="AA90" s="4279"/>
      <c r="AB90" s="4279"/>
      <c r="AC90" s="4279"/>
      <c r="AD90" s="4279"/>
      <c r="AE90" s="4279"/>
      <c r="AF90" s="4279"/>
      <c r="AG90" s="4280"/>
      <c r="AH90" s="1"/>
      <c r="AJ90" s="3960">
        <f>$AJ$11</f>
        <v>160.33000000000001</v>
      </c>
      <c r="AK90" s="3960"/>
      <c r="AL90" s="3960">
        <f>IF(AJ90="","",SUM(AJ90:AK90))</f>
        <v>160.33000000000001</v>
      </c>
      <c r="AM90" s="4135">
        <f>IF(AJ90="","",AL90-_xlfn.SINGLE(NormTid))</f>
        <v>0</v>
      </c>
      <c r="AN90" s="4135">
        <f>IF(AM90="","",AM90+'Marts 2025'!AN85)</f>
        <v>0</v>
      </c>
    </row>
    <row r="91" spans="1:40" ht="18" customHeight="1" thickBot="1" x14ac:dyDescent="0.25">
      <c r="A91" s="339"/>
      <c r="B91" s="4281" t="s">
        <v>191</v>
      </c>
      <c r="C91" s="333">
        <v>1</v>
      </c>
      <c r="D91" s="389">
        <v>2</v>
      </c>
      <c r="E91" s="389">
        <v>3</v>
      </c>
      <c r="F91" s="389">
        <v>4</v>
      </c>
      <c r="G91" s="390">
        <v>5</v>
      </c>
      <c r="H91" s="390">
        <v>6</v>
      </c>
      <c r="I91" s="389">
        <v>7</v>
      </c>
      <c r="J91" s="389">
        <v>8</v>
      </c>
      <c r="K91" s="389">
        <v>9</v>
      </c>
      <c r="L91" s="389">
        <v>10</v>
      </c>
      <c r="M91" s="389">
        <v>11</v>
      </c>
      <c r="N91" s="390">
        <v>12</v>
      </c>
      <c r="O91" s="390">
        <v>13</v>
      </c>
      <c r="P91" s="389">
        <v>14</v>
      </c>
      <c r="Q91" s="389">
        <v>15</v>
      </c>
      <c r="R91" s="389">
        <v>16</v>
      </c>
      <c r="S91" s="390">
        <v>17</v>
      </c>
      <c r="T91" s="390">
        <v>18</v>
      </c>
      <c r="U91" s="390">
        <v>19</v>
      </c>
      <c r="V91" s="390">
        <v>20</v>
      </c>
      <c r="W91" s="390">
        <v>21</v>
      </c>
      <c r="X91" s="389">
        <v>22</v>
      </c>
      <c r="Y91" s="389">
        <v>23</v>
      </c>
      <c r="Z91" s="389">
        <v>24</v>
      </c>
      <c r="AA91" s="389">
        <v>25</v>
      </c>
      <c r="AB91" s="390">
        <v>26</v>
      </c>
      <c r="AC91" s="390">
        <v>27</v>
      </c>
      <c r="AD91" s="389">
        <v>28</v>
      </c>
      <c r="AE91" s="389">
        <v>29</v>
      </c>
      <c r="AF91" s="389">
        <v>30</v>
      </c>
      <c r="AG91" s="401"/>
      <c r="AH91" s="1"/>
      <c r="AJ91" s="1638"/>
      <c r="AK91" s="1638"/>
      <c r="AL91" s="1638"/>
      <c r="AM91" s="1639"/>
      <c r="AN91" s="1639"/>
    </row>
    <row r="92" spans="1:40" ht="18" customHeight="1" thickBot="1" x14ac:dyDescent="0.25">
      <c r="A92" s="3066"/>
      <c r="B92" s="4282"/>
      <c r="C92" s="4283" t="s">
        <v>46</v>
      </c>
      <c r="D92" s="4284" t="s">
        <v>46</v>
      </c>
      <c r="E92" s="4231" t="s">
        <v>46</v>
      </c>
      <c r="F92" s="4231" t="s">
        <v>46</v>
      </c>
      <c r="G92" s="4231"/>
      <c r="H92" s="4231"/>
      <c r="I92" s="4231" t="s">
        <v>46</v>
      </c>
      <c r="J92" s="4284" t="s">
        <v>46</v>
      </c>
      <c r="K92" s="4284" t="s">
        <v>46</v>
      </c>
      <c r="L92" s="4284" t="s">
        <v>46</v>
      </c>
      <c r="M92" s="4285" t="s">
        <v>46</v>
      </c>
      <c r="N92" s="4285"/>
      <c r="O92" s="4285"/>
      <c r="P92" s="4285" t="s">
        <v>46</v>
      </c>
      <c r="Q92" s="4285" t="s">
        <v>46</v>
      </c>
      <c r="R92" s="4285" t="s">
        <v>46</v>
      </c>
      <c r="S92" s="4285"/>
      <c r="T92" s="4285"/>
      <c r="U92" s="4285"/>
      <c r="V92" s="4286"/>
      <c r="W92" s="4286"/>
      <c r="X92" s="4286" t="s">
        <v>46</v>
      </c>
      <c r="Y92" s="4286" t="s">
        <v>46</v>
      </c>
      <c r="Z92" s="4286" t="s">
        <v>46</v>
      </c>
      <c r="AA92" s="4286" t="s">
        <v>46</v>
      </c>
      <c r="AB92" s="4286"/>
      <c r="AC92" s="4286"/>
      <c r="AD92" s="4286" t="s">
        <v>46</v>
      </c>
      <c r="AE92" s="4286" t="s">
        <v>46</v>
      </c>
      <c r="AF92" s="4286" t="s">
        <v>46</v>
      </c>
      <c r="AG92" s="4287"/>
      <c r="AH92" s="1"/>
      <c r="AJ92" s="123"/>
      <c r="AK92" s="123"/>
      <c r="AL92" s="123"/>
      <c r="AM92" s="215"/>
      <c r="AN92" s="215"/>
    </row>
    <row r="93" spans="1:40" ht="18" customHeight="1" x14ac:dyDescent="0.2">
      <c r="A93" s="4288"/>
      <c r="B93" s="4076" t="s">
        <v>431</v>
      </c>
      <c r="C93" s="4284" t="s">
        <v>46</v>
      </c>
      <c r="D93" s="4289" t="s">
        <v>79</v>
      </c>
      <c r="E93" s="4284" t="s">
        <v>46</v>
      </c>
      <c r="F93" s="4284" t="s">
        <v>46</v>
      </c>
      <c r="G93" s="4269"/>
      <c r="H93" s="4244"/>
      <c r="I93" s="4284" t="s">
        <v>46</v>
      </c>
      <c r="J93" s="4284" t="s">
        <v>46</v>
      </c>
      <c r="K93" s="4284" t="s">
        <v>46</v>
      </c>
      <c r="L93" s="4284" t="s">
        <v>46</v>
      </c>
      <c r="M93" s="4284" t="s">
        <v>46</v>
      </c>
      <c r="N93" s="4244"/>
      <c r="O93" s="4244"/>
      <c r="P93" s="4284" t="s">
        <v>46</v>
      </c>
      <c r="Q93" s="4284" t="s">
        <v>46</v>
      </c>
      <c r="R93" s="4284" t="s">
        <v>46</v>
      </c>
      <c r="S93" s="4244"/>
      <c r="T93" s="4272"/>
      <c r="U93" s="4244"/>
      <c r="V93" s="4269"/>
      <c r="W93" s="4269"/>
      <c r="X93" s="4284" t="s">
        <v>46</v>
      </c>
      <c r="Y93" s="4284" t="s">
        <v>46</v>
      </c>
      <c r="Z93" s="4290">
        <v>5</v>
      </c>
      <c r="AA93" s="4284" t="s">
        <v>46</v>
      </c>
      <c r="AB93" s="4269"/>
      <c r="AC93" s="4021"/>
      <c r="AD93" s="4284" t="s">
        <v>46</v>
      </c>
      <c r="AE93" s="4284" t="s">
        <v>46</v>
      </c>
      <c r="AF93" s="4284" t="s">
        <v>46</v>
      </c>
      <c r="AG93" s="4269"/>
      <c r="AH93" s="1"/>
      <c r="AJ93" s="123"/>
      <c r="AK93" s="123"/>
      <c r="AL93" s="123"/>
      <c r="AM93" s="123"/>
      <c r="AN93" s="123"/>
    </row>
    <row r="94" spans="1:40" ht="18" customHeight="1" thickBot="1" x14ac:dyDescent="0.25">
      <c r="A94" s="4226"/>
      <c r="B94" s="3070" t="s">
        <v>482</v>
      </c>
      <c r="C94" s="4291" t="s">
        <v>574</v>
      </c>
      <c r="D94" s="4292" t="s">
        <v>574</v>
      </c>
      <c r="E94" s="4292" t="s">
        <v>574</v>
      </c>
      <c r="F94" s="4292" t="s">
        <v>574</v>
      </c>
      <c r="G94" s="4293"/>
      <c r="H94" s="4277"/>
      <c r="I94" s="4292" t="s">
        <v>574</v>
      </c>
      <c r="J94" s="4292" t="s">
        <v>574</v>
      </c>
      <c r="K94" s="4292" t="s">
        <v>574</v>
      </c>
      <c r="L94" s="4292" t="s">
        <v>574</v>
      </c>
      <c r="M94" s="4292" t="s">
        <v>574</v>
      </c>
      <c r="N94" s="4293"/>
      <c r="O94" s="4277"/>
      <c r="P94" s="4292" t="s">
        <v>574</v>
      </c>
      <c r="Q94" s="4292" t="s">
        <v>574</v>
      </c>
      <c r="R94" s="4292" t="s">
        <v>574</v>
      </c>
      <c r="S94" s="4293"/>
      <c r="T94" s="4293"/>
      <c r="U94" s="4293"/>
      <c r="V94" s="4277"/>
      <c r="W94" s="4277"/>
      <c r="X94" s="4292" t="s">
        <v>574</v>
      </c>
      <c r="Y94" s="4292" t="s">
        <v>574</v>
      </c>
      <c r="Z94" s="4292" t="s">
        <v>574</v>
      </c>
      <c r="AA94" s="4292" t="s">
        <v>574</v>
      </c>
      <c r="AB94" s="4293"/>
      <c r="AC94" s="4277"/>
      <c r="AD94" s="4292" t="s">
        <v>574</v>
      </c>
      <c r="AE94" s="4292" t="s">
        <v>574</v>
      </c>
      <c r="AF94" s="4292" t="s">
        <v>574</v>
      </c>
      <c r="AG94" s="4294"/>
      <c r="AH94" s="1"/>
      <c r="AJ94" s="123"/>
      <c r="AK94" s="123"/>
      <c r="AL94" s="123"/>
      <c r="AM94" s="123"/>
      <c r="AN94" s="123"/>
    </row>
    <row r="95" spans="1:40" ht="18" customHeight="1" thickBot="1" x14ac:dyDescent="0.25">
      <c r="A95" s="841"/>
      <c r="B95" s="392" t="s">
        <v>44</v>
      </c>
      <c r="C95" s="273">
        <v>1</v>
      </c>
      <c r="D95" s="273">
        <v>2</v>
      </c>
      <c r="E95" s="273">
        <v>3</v>
      </c>
      <c r="F95" s="273">
        <v>4</v>
      </c>
      <c r="G95" s="272">
        <v>5</v>
      </c>
      <c r="H95" s="272">
        <v>6</v>
      </c>
      <c r="I95" s="273">
        <v>7</v>
      </c>
      <c r="J95" s="273">
        <v>8</v>
      </c>
      <c r="K95" s="273">
        <v>9</v>
      </c>
      <c r="L95" s="273">
        <v>10</v>
      </c>
      <c r="M95" s="273">
        <v>11</v>
      </c>
      <c r="N95" s="272">
        <v>12</v>
      </c>
      <c r="O95" s="272">
        <v>13</v>
      </c>
      <c r="P95" s="273">
        <v>14</v>
      </c>
      <c r="Q95" s="273">
        <v>15</v>
      </c>
      <c r="R95" s="273">
        <v>16</v>
      </c>
      <c r="S95" s="272">
        <v>17</v>
      </c>
      <c r="T95" s="272">
        <v>18</v>
      </c>
      <c r="U95" s="272">
        <v>19</v>
      </c>
      <c r="V95" s="272">
        <v>20</v>
      </c>
      <c r="W95" s="272">
        <v>21</v>
      </c>
      <c r="X95" s="273">
        <v>22</v>
      </c>
      <c r="Y95" s="273">
        <v>23</v>
      </c>
      <c r="Z95" s="273">
        <v>24</v>
      </c>
      <c r="AA95" s="273">
        <v>25</v>
      </c>
      <c r="AB95" s="272">
        <v>26</v>
      </c>
      <c r="AC95" s="272">
        <v>27</v>
      </c>
      <c r="AD95" s="273">
        <v>28</v>
      </c>
      <c r="AE95" s="273">
        <v>29</v>
      </c>
      <c r="AF95" s="273">
        <v>30</v>
      </c>
      <c r="AG95" s="274"/>
      <c r="AH95" s="1"/>
    </row>
    <row r="96" spans="1:40" ht="18" customHeight="1" x14ac:dyDescent="0.2">
      <c r="A96" s="4288"/>
      <c r="B96" s="4120" t="s">
        <v>195</v>
      </c>
      <c r="C96" s="4131"/>
      <c r="D96" s="4295"/>
      <c r="E96" s="4131"/>
      <c r="F96" s="4131"/>
      <c r="G96" s="4131"/>
      <c r="H96" s="4131"/>
      <c r="I96" s="4131"/>
      <c r="J96" s="4131"/>
      <c r="K96" s="4131"/>
      <c r="L96" s="4131"/>
      <c r="M96" s="4131"/>
      <c r="N96" s="4131"/>
      <c r="O96" s="4131"/>
      <c r="P96" s="4131"/>
      <c r="Q96" s="4131"/>
      <c r="R96" s="4131"/>
      <c r="S96" s="4131"/>
      <c r="T96" s="4131"/>
      <c r="U96" s="4131"/>
      <c r="V96" s="4131"/>
      <c r="W96" s="4131"/>
      <c r="X96" s="4131"/>
      <c r="Y96" s="4131"/>
      <c r="Z96" s="4131"/>
      <c r="AA96" s="4131"/>
      <c r="AB96" s="4131"/>
      <c r="AC96" s="4131"/>
      <c r="AD96" s="4131"/>
      <c r="AE96" s="4131"/>
      <c r="AF96" s="4131"/>
      <c r="AG96" s="4090"/>
      <c r="AH96" s="1"/>
    </row>
    <row r="97" spans="1:34" ht="18" customHeight="1" x14ac:dyDescent="0.2">
      <c r="A97" s="4288"/>
      <c r="B97" s="4091"/>
      <c r="C97" s="4296"/>
      <c r="D97" s="4296"/>
      <c r="E97" s="4296"/>
      <c r="F97" s="4094"/>
      <c r="G97" s="4094"/>
      <c r="H97" s="4296"/>
      <c r="I97" s="4296"/>
      <c r="J97" s="4296"/>
      <c r="K97" s="4296"/>
      <c r="L97" s="4296"/>
      <c r="M97" s="4296"/>
      <c r="N97" s="4296"/>
      <c r="O97" s="4296"/>
      <c r="P97" s="4296"/>
      <c r="Q97" s="4296"/>
      <c r="R97" s="4296"/>
      <c r="S97" s="4296"/>
      <c r="T97" s="4106"/>
      <c r="U97" s="4296"/>
      <c r="V97" s="4296"/>
      <c r="W97" s="4296"/>
      <c r="X97" s="4296"/>
      <c r="Y97" s="4296"/>
      <c r="Z97" s="4296"/>
      <c r="AA97" s="4296"/>
      <c r="AB97" s="4296"/>
      <c r="AC97" s="4296"/>
      <c r="AD97" s="4296"/>
      <c r="AE97" s="4296"/>
      <c r="AF97" s="4296"/>
      <c r="AG97" s="4297"/>
      <c r="AH97" s="1"/>
    </row>
    <row r="98" spans="1:34" ht="18" customHeight="1" x14ac:dyDescent="0.2">
      <c r="A98" s="4288"/>
      <c r="B98" s="4091"/>
      <c r="C98" s="4106"/>
      <c r="D98" s="4106"/>
      <c r="E98" s="4106"/>
      <c r="F98" s="4106"/>
      <c r="G98" s="4106"/>
      <c r="H98" s="4106"/>
      <c r="I98" s="4106"/>
      <c r="J98" s="4106"/>
      <c r="K98" s="4106"/>
      <c r="L98" s="4106"/>
      <c r="M98" s="4106"/>
      <c r="N98" s="4106"/>
      <c r="O98" s="4106"/>
      <c r="P98" s="4106"/>
      <c r="Q98" s="4106"/>
      <c r="R98" s="4106"/>
      <c r="S98" s="4106"/>
      <c r="T98" s="4106"/>
      <c r="U98" s="4106"/>
      <c r="V98" s="4106"/>
      <c r="W98" s="4106"/>
      <c r="X98" s="4106"/>
      <c r="Y98" s="4106"/>
      <c r="Z98" s="4106"/>
      <c r="AA98" s="4106"/>
      <c r="AB98" s="4106"/>
      <c r="AC98" s="4106"/>
      <c r="AD98" s="4106"/>
      <c r="AE98" s="4106"/>
      <c r="AF98" s="4106"/>
      <c r="AG98" s="4109"/>
      <c r="AH98" s="1"/>
    </row>
    <row r="99" spans="1:34" ht="18" customHeight="1" thickBot="1" x14ac:dyDescent="0.25">
      <c r="A99" s="96"/>
      <c r="B99" s="4093"/>
      <c r="C99" s="4298"/>
      <c r="D99" s="4298"/>
      <c r="E99" s="4298"/>
      <c r="F99" s="4298"/>
      <c r="G99" s="4298"/>
      <c r="H99" s="4298"/>
      <c r="I99" s="4298"/>
      <c r="J99" s="4298"/>
      <c r="K99" s="4298"/>
      <c r="L99" s="4298"/>
      <c r="M99" s="4298"/>
      <c r="N99" s="4298"/>
      <c r="O99" s="4298"/>
      <c r="P99" s="4298"/>
      <c r="Q99" s="4298"/>
      <c r="R99" s="4298"/>
      <c r="S99" s="4298"/>
      <c r="T99" s="4298"/>
      <c r="U99" s="4298"/>
      <c r="V99" s="4298"/>
      <c r="W99" s="4298"/>
      <c r="X99" s="4298"/>
      <c r="Y99" s="4298"/>
      <c r="Z99" s="4298"/>
      <c r="AA99" s="4298"/>
      <c r="AB99" s="4298"/>
      <c r="AC99" s="4298"/>
      <c r="AD99" s="4298"/>
      <c r="AE99" s="4298"/>
      <c r="AF99" s="4298"/>
      <c r="AG99" s="4146"/>
      <c r="AH99" s="1"/>
    </row>
    <row r="100" spans="1:34" ht="18" customHeight="1" x14ac:dyDescent="0.2">
      <c r="A100" s="126"/>
      <c r="B100" s="127"/>
      <c r="C100" s="142"/>
      <c r="D100" s="142"/>
      <c r="E100" s="142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28"/>
      <c r="AH100" s="1"/>
    </row>
    <row r="101" spans="1:34" ht="18" customHeight="1" x14ac:dyDescent="0.2">
      <c r="A101" s="126"/>
      <c r="B101" s="42" t="s">
        <v>232</v>
      </c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"/>
    </row>
    <row r="102" spans="1:34" ht="18" customHeight="1" x14ac:dyDescent="0.2">
      <c r="A102" s="126"/>
      <c r="B102" s="4067"/>
      <c r="C102" s="4066"/>
      <c r="D102" s="4067" t="s">
        <v>17</v>
      </c>
      <c r="E102" s="4066"/>
      <c r="F102" s="4066"/>
      <c r="G102" s="4067" t="s">
        <v>18</v>
      </c>
      <c r="H102" s="4066"/>
      <c r="I102" s="4066"/>
      <c r="J102" s="4067" t="s">
        <v>19</v>
      </c>
      <c r="K102" s="4066"/>
      <c r="L102" s="4066"/>
      <c r="M102" s="4067" t="s">
        <v>20</v>
      </c>
      <c r="N102" s="4066"/>
      <c r="O102" s="4066"/>
      <c r="P102" s="4067" t="s">
        <v>21</v>
      </c>
      <c r="Q102" s="4066"/>
      <c r="R102" s="4062"/>
      <c r="S102" s="4063" t="s">
        <v>22</v>
      </c>
      <c r="T102" s="4066"/>
      <c r="U102" s="4066"/>
      <c r="V102" s="4067" t="s">
        <v>23</v>
      </c>
      <c r="W102" s="4066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1"/>
    </row>
    <row r="103" spans="1:34" ht="18" customHeight="1" x14ac:dyDescent="0.2">
      <c r="A103" s="126"/>
      <c r="B103" s="4299" t="s">
        <v>127</v>
      </c>
      <c r="C103" s="4300" t="s">
        <v>527</v>
      </c>
      <c r="D103" s="4223"/>
      <c r="E103" s="4223"/>
      <c r="F103" s="4300" t="s">
        <v>527</v>
      </c>
      <c r="G103" s="4223"/>
      <c r="H103" s="4223"/>
      <c r="I103" s="4300" t="s">
        <v>527</v>
      </c>
      <c r="J103" s="4223"/>
      <c r="K103" s="4223"/>
      <c r="L103" s="4300" t="s">
        <v>527</v>
      </c>
      <c r="M103" s="4223"/>
      <c r="N103" s="4223"/>
      <c r="O103" s="4300" t="s">
        <v>527</v>
      </c>
      <c r="P103" s="4223"/>
      <c r="Q103" s="4223"/>
      <c r="R103" s="4222"/>
      <c r="S103" s="4223"/>
      <c r="T103" s="4223"/>
      <c r="U103" s="4222" t="s">
        <v>256</v>
      </c>
      <c r="V103" s="4223"/>
      <c r="W103" s="4301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1"/>
    </row>
    <row r="104" spans="1:34" ht="18" customHeight="1" x14ac:dyDescent="0.2">
      <c r="A104" s="126"/>
      <c r="B104" s="4299" t="s">
        <v>134</v>
      </c>
      <c r="C104" s="4302" t="s">
        <v>529</v>
      </c>
      <c r="D104" s="4303"/>
      <c r="E104" s="4303"/>
      <c r="F104" s="4302" t="s">
        <v>529</v>
      </c>
      <c r="G104" s="4303"/>
      <c r="H104" s="4303"/>
      <c r="I104" s="4302" t="s">
        <v>529</v>
      </c>
      <c r="J104" s="4303"/>
      <c r="K104" s="4303"/>
      <c r="L104" s="4302" t="s">
        <v>529</v>
      </c>
      <c r="M104" s="4303"/>
      <c r="N104" s="4303"/>
      <c r="O104" s="4302" t="s">
        <v>530</v>
      </c>
      <c r="P104" s="4303"/>
      <c r="Q104" s="4303"/>
      <c r="R104" s="387"/>
      <c r="S104" s="46"/>
      <c r="T104" s="4301"/>
      <c r="U104" s="387"/>
      <c r="V104" s="46"/>
      <c r="W104" s="4301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1"/>
    </row>
    <row r="105" spans="1:34" ht="18" customHeight="1" x14ac:dyDescent="0.2">
      <c r="A105" s="126"/>
      <c r="B105" s="4299" t="s">
        <v>472</v>
      </c>
      <c r="C105" s="4304" t="s">
        <v>531</v>
      </c>
      <c r="D105" s="4054"/>
      <c r="E105" s="4054"/>
      <c r="F105" s="4304" t="s">
        <v>531</v>
      </c>
      <c r="G105" s="4167"/>
      <c r="H105" s="4054"/>
      <c r="I105" s="4193" t="s">
        <v>531</v>
      </c>
      <c r="J105" s="4305"/>
      <c r="K105" s="4306"/>
      <c r="L105" s="4193" t="s">
        <v>532</v>
      </c>
      <c r="M105" s="4305"/>
      <c r="N105" s="4307"/>
      <c r="O105" s="4304" t="s">
        <v>532</v>
      </c>
      <c r="P105" s="4054"/>
      <c r="Q105" s="4054"/>
      <c r="R105" s="4193" t="s">
        <v>533</v>
      </c>
      <c r="S105" s="4305"/>
      <c r="T105" s="4306"/>
      <c r="U105" s="4193" t="s">
        <v>533</v>
      </c>
      <c r="V105" s="4305"/>
      <c r="W105" s="4306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1"/>
    </row>
    <row r="106" spans="1:34" ht="18" customHeight="1" thickBot="1" x14ac:dyDescent="0.25">
      <c r="A106" s="126"/>
      <c r="B106" s="4299" t="s">
        <v>534</v>
      </c>
      <c r="C106" s="4304" t="s">
        <v>50</v>
      </c>
      <c r="D106" s="4054"/>
      <c r="E106" s="4054"/>
      <c r="F106" s="4304" t="s">
        <v>50</v>
      </c>
      <c r="G106" s="4167"/>
      <c r="H106" s="4054"/>
      <c r="I106" s="4193" t="s">
        <v>50</v>
      </c>
      <c r="J106" s="4305"/>
      <c r="K106" s="4306"/>
      <c r="L106" s="4193" t="s">
        <v>50</v>
      </c>
      <c r="M106" s="4305"/>
      <c r="N106" s="4307"/>
      <c r="O106" s="4304" t="s">
        <v>50</v>
      </c>
      <c r="P106" s="4054"/>
      <c r="Q106" s="4054"/>
      <c r="R106" s="4193"/>
      <c r="S106" s="4305"/>
      <c r="T106" s="4306"/>
      <c r="U106" s="4193"/>
      <c r="V106" s="4305"/>
      <c r="W106" s="1008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1"/>
    </row>
    <row r="107" spans="1:34" ht="18" customHeight="1" thickBot="1" x14ac:dyDescent="0.25">
      <c r="A107" s="126"/>
      <c r="B107" s="392" t="s">
        <v>44</v>
      </c>
      <c r="C107" s="4082">
        <v>1</v>
      </c>
      <c r="D107" s="4082">
        <v>2</v>
      </c>
      <c r="E107" s="4082">
        <v>3</v>
      </c>
      <c r="F107" s="4082">
        <v>4</v>
      </c>
      <c r="G107" s="4083">
        <v>5</v>
      </c>
      <c r="H107" s="4083">
        <v>6</v>
      </c>
      <c r="I107" s="4082">
        <v>7</v>
      </c>
      <c r="J107" s="4082">
        <v>8</v>
      </c>
      <c r="K107" s="4082">
        <v>9</v>
      </c>
      <c r="L107" s="4082">
        <v>10</v>
      </c>
      <c r="M107" s="4082">
        <v>11</v>
      </c>
      <c r="N107" s="4083">
        <v>12</v>
      </c>
      <c r="O107" s="4083">
        <v>13</v>
      </c>
      <c r="P107" s="4082">
        <v>14</v>
      </c>
      <c r="Q107" s="4082">
        <v>15</v>
      </c>
      <c r="R107" s="4082">
        <v>16</v>
      </c>
      <c r="S107" s="4083">
        <v>17</v>
      </c>
      <c r="T107" s="4083">
        <v>18</v>
      </c>
      <c r="U107" s="4083">
        <v>19</v>
      </c>
      <c r="V107" s="4083">
        <v>20</v>
      </c>
      <c r="W107" s="4083">
        <v>21</v>
      </c>
      <c r="X107" s="4082">
        <v>22</v>
      </c>
      <c r="Y107" s="4082">
        <v>23</v>
      </c>
      <c r="Z107" s="4082">
        <v>24</v>
      </c>
      <c r="AA107" s="4082">
        <v>25</v>
      </c>
      <c r="AB107" s="4083">
        <v>26</v>
      </c>
      <c r="AC107" s="4083">
        <v>27</v>
      </c>
      <c r="AD107" s="4082">
        <v>28</v>
      </c>
      <c r="AE107" s="4082">
        <v>29</v>
      </c>
      <c r="AF107" s="4082">
        <v>30</v>
      </c>
      <c r="AG107" s="4084"/>
      <c r="AH107" s="1"/>
    </row>
    <row r="108" spans="1:34" ht="18" customHeight="1" x14ac:dyDescent="0.2">
      <c r="A108" s="126"/>
      <c r="B108" s="4308" t="s">
        <v>138</v>
      </c>
      <c r="C108" s="4296" t="s">
        <v>50</v>
      </c>
      <c r="D108" s="4296" t="s">
        <v>50</v>
      </c>
      <c r="E108" s="4296" t="s">
        <v>50</v>
      </c>
      <c r="F108" s="4296" t="s">
        <v>50</v>
      </c>
      <c r="G108" s="4296"/>
      <c r="H108" s="4296"/>
      <c r="I108" s="4296">
        <v>25</v>
      </c>
      <c r="J108" s="4296">
        <v>25</v>
      </c>
      <c r="K108" s="4296">
        <v>25</v>
      </c>
      <c r="L108" s="4296">
        <v>25</v>
      </c>
      <c r="M108" s="4296">
        <v>25</v>
      </c>
      <c r="N108" s="4296"/>
      <c r="O108" s="4296">
        <v>26</v>
      </c>
      <c r="P108" s="4296">
        <v>26</v>
      </c>
      <c r="Q108" s="4296">
        <v>26</v>
      </c>
      <c r="R108" s="4296">
        <v>26</v>
      </c>
      <c r="S108" s="4296"/>
      <c r="T108" s="4296"/>
      <c r="U108" s="1653"/>
      <c r="V108" s="1653"/>
      <c r="W108" s="1653" t="s">
        <v>143</v>
      </c>
      <c r="X108" s="1653" t="s">
        <v>142</v>
      </c>
      <c r="Y108" s="1782" t="s">
        <v>142</v>
      </c>
      <c r="Z108" s="1782" t="s">
        <v>142</v>
      </c>
      <c r="AA108" s="1782" t="s">
        <v>142</v>
      </c>
      <c r="AB108" s="4309" t="s">
        <v>143</v>
      </c>
      <c r="AC108" s="4210" t="s">
        <v>143</v>
      </c>
      <c r="AD108" s="4066" t="s">
        <v>50</v>
      </c>
      <c r="AE108" s="4066" t="s">
        <v>50</v>
      </c>
      <c r="AF108" s="4066" t="s">
        <v>50</v>
      </c>
      <c r="AG108" s="1653"/>
      <c r="AH108" s="1"/>
    </row>
    <row r="109" spans="1:34" ht="18" customHeight="1" x14ac:dyDescent="0.2">
      <c r="A109" s="126"/>
      <c r="B109" s="4193" t="s">
        <v>144</v>
      </c>
      <c r="C109" s="4112">
        <v>25</v>
      </c>
      <c r="D109" s="4112">
        <v>25</v>
      </c>
      <c r="E109" s="4112">
        <v>25</v>
      </c>
      <c r="F109" s="4112">
        <v>25</v>
      </c>
      <c r="G109" s="4112"/>
      <c r="H109" s="4112">
        <v>26</v>
      </c>
      <c r="I109" s="3930">
        <v>26</v>
      </c>
      <c r="J109" s="3930">
        <v>26</v>
      </c>
      <c r="K109" s="3930">
        <v>26</v>
      </c>
      <c r="L109" s="3930">
        <v>26</v>
      </c>
      <c r="M109" s="3930">
        <v>26</v>
      </c>
      <c r="N109" s="780"/>
      <c r="O109" s="780"/>
      <c r="P109" s="1653" t="s">
        <v>142</v>
      </c>
      <c r="Q109" s="1653" t="s">
        <v>142</v>
      </c>
      <c r="R109" s="1653" t="s">
        <v>142</v>
      </c>
      <c r="S109" s="1653" t="s">
        <v>143</v>
      </c>
      <c r="T109" s="1653" t="s">
        <v>143</v>
      </c>
      <c r="U109" s="4296" t="s">
        <v>143</v>
      </c>
      <c r="V109" s="4296" t="s">
        <v>143</v>
      </c>
      <c r="W109" s="4296" t="s">
        <v>50</v>
      </c>
      <c r="X109" s="4296" t="s">
        <v>50</v>
      </c>
      <c r="Y109" s="4296" t="s">
        <v>50</v>
      </c>
      <c r="Z109" s="4296" t="s">
        <v>50</v>
      </c>
      <c r="AA109" s="4296" t="s">
        <v>50</v>
      </c>
      <c r="AB109" s="4296"/>
      <c r="AC109" s="4296"/>
      <c r="AD109" s="4390">
        <v>25</v>
      </c>
      <c r="AE109" s="4309">
        <v>25</v>
      </c>
      <c r="AF109" s="4309">
        <v>25</v>
      </c>
      <c r="AG109" s="4296"/>
      <c r="AH109" s="1"/>
    </row>
    <row r="110" spans="1:34" ht="18" customHeight="1" x14ac:dyDescent="0.2">
      <c r="A110" s="126"/>
      <c r="B110" s="4275" t="s">
        <v>513</v>
      </c>
      <c r="C110" s="4296">
        <v>26</v>
      </c>
      <c r="D110" s="4296">
        <v>26</v>
      </c>
      <c r="E110" s="4296">
        <v>26</v>
      </c>
      <c r="F110" s="4296">
        <v>26</v>
      </c>
      <c r="G110" s="4296"/>
      <c r="H110" s="4296"/>
      <c r="I110" s="4296" t="s">
        <v>142</v>
      </c>
      <c r="J110" s="4296" t="s">
        <v>142</v>
      </c>
      <c r="K110" s="4296" t="s">
        <v>142</v>
      </c>
      <c r="L110" s="4296" t="s">
        <v>142</v>
      </c>
      <c r="M110" s="4296" t="s">
        <v>142</v>
      </c>
      <c r="N110" s="4296" t="s">
        <v>143</v>
      </c>
      <c r="O110" s="4296" t="s">
        <v>143</v>
      </c>
      <c r="P110" s="4296" t="s">
        <v>50</v>
      </c>
      <c r="Q110" s="4296" t="s">
        <v>50</v>
      </c>
      <c r="R110" s="4310" t="s">
        <v>50</v>
      </c>
      <c r="S110" s="4296" t="s">
        <v>50</v>
      </c>
      <c r="T110" s="4296" t="s">
        <v>50</v>
      </c>
      <c r="U110" s="4296"/>
      <c r="V110" s="4296"/>
      <c r="W110" s="4296"/>
      <c r="X110" s="4296">
        <v>25</v>
      </c>
      <c r="Y110" s="4309">
        <v>25</v>
      </c>
      <c r="Z110" s="4309">
        <v>25</v>
      </c>
      <c r="AA110" s="4309">
        <v>25</v>
      </c>
      <c r="AB110" s="4296"/>
      <c r="AC110" s="4309">
        <v>26</v>
      </c>
      <c r="AD110" s="4309">
        <v>26</v>
      </c>
      <c r="AE110" s="4309">
        <v>26</v>
      </c>
      <c r="AF110" s="4309">
        <v>26</v>
      </c>
      <c r="AG110" s="4296"/>
      <c r="AH110" s="1"/>
    </row>
    <row r="111" spans="1:34" ht="18" customHeight="1" x14ac:dyDescent="0.2">
      <c r="A111" s="126"/>
      <c r="B111" s="3070"/>
      <c r="C111" s="4311" t="s">
        <v>142</v>
      </c>
      <c r="D111" s="4311" t="s">
        <v>142</v>
      </c>
      <c r="E111" s="4311" t="s">
        <v>142</v>
      </c>
      <c r="F111" s="4311" t="s">
        <v>142</v>
      </c>
      <c r="G111" s="4311" t="s">
        <v>143</v>
      </c>
      <c r="H111" s="4311" t="s">
        <v>143</v>
      </c>
      <c r="I111" s="4296" t="s">
        <v>50</v>
      </c>
      <c r="J111" s="4296" t="s">
        <v>50</v>
      </c>
      <c r="K111" s="4296" t="s">
        <v>50</v>
      </c>
      <c r="L111" s="4296" t="s">
        <v>50</v>
      </c>
      <c r="M111" s="4296" t="s">
        <v>50</v>
      </c>
      <c r="N111" s="4296"/>
      <c r="O111" s="4296"/>
      <c r="P111" s="4312">
        <v>25</v>
      </c>
      <c r="Q111" s="4312">
        <v>25</v>
      </c>
      <c r="R111" s="4312">
        <v>25</v>
      </c>
      <c r="S111" s="4296"/>
      <c r="T111" s="4296"/>
      <c r="U111" s="4296"/>
      <c r="V111" s="4313">
        <v>26</v>
      </c>
      <c r="W111" s="4312"/>
      <c r="X111" s="4312">
        <v>26</v>
      </c>
      <c r="Y111" s="4312">
        <v>26</v>
      </c>
      <c r="Z111" s="4312">
        <v>26</v>
      </c>
      <c r="AA111" s="4312">
        <v>26</v>
      </c>
      <c r="AB111" s="4296"/>
      <c r="AC111" s="4296"/>
      <c r="AD111" s="4312" t="s">
        <v>142</v>
      </c>
      <c r="AE111" s="4312" t="s">
        <v>142</v>
      </c>
      <c r="AF111" s="4312" t="s">
        <v>142</v>
      </c>
      <c r="AG111" s="4296"/>
      <c r="AH111" s="1"/>
    </row>
    <row r="112" spans="1:34" ht="18" customHeight="1" x14ac:dyDescent="0.2">
      <c r="A112" s="126"/>
      <c r="B112" s="127"/>
      <c r="C112" s="142"/>
      <c r="D112" s="142"/>
      <c r="E112" s="142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28"/>
      <c r="AH112" s="1"/>
    </row>
    <row r="113" spans="1:40" ht="18" customHeight="1" x14ac:dyDescent="0.2">
      <c r="A113" s="126"/>
      <c r="B113" s="127"/>
      <c r="C113" s="142"/>
      <c r="D113" s="142"/>
      <c r="E113" s="142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28"/>
      <c r="AH113" s="1"/>
    </row>
    <row r="114" spans="1:40" ht="18" customHeight="1" x14ac:dyDescent="0.2">
      <c r="A114" s="126"/>
      <c r="B114" s="127"/>
      <c r="C114" s="142"/>
      <c r="D114" s="142"/>
      <c r="E114" s="142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28"/>
      <c r="AH114" s="1"/>
    </row>
    <row r="115" spans="1:40" ht="18" customHeight="1" x14ac:dyDescent="0.2">
      <c r="A115" s="126"/>
      <c r="B115" s="127"/>
      <c r="C115" s="142"/>
      <c r="D115" s="142"/>
      <c r="E115" s="142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28"/>
      <c r="AH115" s="1"/>
    </row>
    <row r="116" spans="1:40" ht="18" customHeight="1" thickBot="1" x14ac:dyDescent="0.25">
      <c r="A116" s="216" t="s">
        <v>197</v>
      </c>
      <c r="B116" s="60" t="s">
        <v>575</v>
      </c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28"/>
      <c r="AH116" s="1"/>
    </row>
    <row r="117" spans="1:40" ht="18" customHeight="1" x14ac:dyDescent="0.25">
      <c r="A117" s="126"/>
      <c r="B117" s="217"/>
      <c r="C117" s="218"/>
      <c r="D117" s="218"/>
      <c r="E117" s="221" t="s">
        <v>198</v>
      </c>
      <c r="F117" s="218"/>
      <c r="G117" s="218"/>
      <c r="H117" s="218"/>
      <c r="I117" s="218"/>
      <c r="J117" s="218"/>
      <c r="K117" s="226" t="s">
        <v>13</v>
      </c>
      <c r="L117" s="222"/>
      <c r="M117" s="222"/>
      <c r="N117" s="222"/>
      <c r="O117" s="222"/>
      <c r="P117" s="222"/>
      <c r="Q117" s="222"/>
      <c r="R117" s="222"/>
      <c r="S117" s="222"/>
      <c r="T117" s="223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"/>
    </row>
    <row r="118" spans="1:40" ht="18" customHeight="1" thickBot="1" x14ac:dyDescent="0.3">
      <c r="A118" s="126"/>
      <c r="B118" s="217" t="s">
        <v>535</v>
      </c>
      <c r="C118" s="218"/>
      <c r="D118" s="218"/>
      <c r="E118" s="219" t="s">
        <v>200</v>
      </c>
      <c r="F118" s="218"/>
      <c r="G118" s="218"/>
      <c r="H118" s="218"/>
      <c r="I118" s="218"/>
      <c r="J118" s="218"/>
      <c r="K118" s="218" t="s">
        <v>0</v>
      </c>
      <c r="L118" s="218"/>
      <c r="M118" s="218"/>
      <c r="N118" s="218"/>
      <c r="O118" s="218"/>
      <c r="P118" s="218"/>
      <c r="Q118" s="218"/>
      <c r="R118" s="236" t="s">
        <v>0</v>
      </c>
      <c r="S118" s="236"/>
      <c r="T118" s="236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"/>
    </row>
    <row r="119" spans="1:40" ht="18" customHeight="1" thickBot="1" x14ac:dyDescent="0.3">
      <c r="A119" s="126"/>
      <c r="B119" s="227"/>
      <c r="C119" s="227"/>
      <c r="D119" s="227"/>
      <c r="E119" s="228"/>
      <c r="F119" s="227"/>
      <c r="G119" s="227"/>
      <c r="H119" s="227"/>
      <c r="I119" s="227"/>
      <c r="J119" s="227"/>
      <c r="K119" s="227"/>
      <c r="L119" s="231"/>
      <c r="M119" s="231"/>
      <c r="N119" s="231"/>
      <c r="O119" s="231"/>
      <c r="P119" s="231"/>
      <c r="Q119" s="231"/>
      <c r="R119" s="231"/>
      <c r="S119" s="231"/>
      <c r="T119" s="231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"/>
    </row>
    <row r="120" spans="1:40" ht="18" customHeight="1" x14ac:dyDescent="0.25">
      <c r="A120" s="126"/>
      <c r="B120" s="4314" t="s">
        <v>44</v>
      </c>
      <c r="C120" s="4082">
        <v>1</v>
      </c>
      <c r="D120" s="4082">
        <v>2</v>
      </c>
      <c r="E120" s="4082">
        <v>3</v>
      </c>
      <c r="F120" s="4082">
        <v>4</v>
      </c>
      <c r="G120" s="4083">
        <v>5</v>
      </c>
      <c r="H120" s="4083">
        <v>6</v>
      </c>
      <c r="I120" s="4082">
        <v>7</v>
      </c>
      <c r="J120" s="4082">
        <v>8</v>
      </c>
      <c r="K120" s="4082">
        <v>9</v>
      </c>
      <c r="L120" s="4082">
        <v>10</v>
      </c>
      <c r="M120" s="4082">
        <v>11</v>
      </c>
      <c r="N120" s="4083">
        <v>12</v>
      </c>
      <c r="O120" s="4083">
        <v>13</v>
      </c>
      <c r="P120" s="4082">
        <v>14</v>
      </c>
      <c r="Q120" s="4082">
        <v>15</v>
      </c>
      <c r="R120" s="4082">
        <v>16</v>
      </c>
      <c r="S120" s="4083">
        <v>17</v>
      </c>
      <c r="T120" s="4083">
        <v>18</v>
      </c>
      <c r="U120" s="4083">
        <v>19</v>
      </c>
      <c r="V120" s="4083">
        <v>20</v>
      </c>
      <c r="W120" s="4083">
        <v>21</v>
      </c>
      <c r="X120" s="4082">
        <v>22</v>
      </c>
      <c r="Y120" s="4082">
        <v>23</v>
      </c>
      <c r="Z120" s="4082">
        <v>24</v>
      </c>
      <c r="AA120" s="4082">
        <v>25</v>
      </c>
      <c r="AB120" s="4083">
        <v>26</v>
      </c>
      <c r="AC120" s="4083">
        <v>27</v>
      </c>
      <c r="AD120" s="4082">
        <v>28</v>
      </c>
      <c r="AE120" s="4082">
        <v>29</v>
      </c>
      <c r="AF120" s="4082">
        <v>30</v>
      </c>
      <c r="AG120" s="4084"/>
      <c r="AH120" s="1"/>
      <c r="AJ120" s="4079" t="s">
        <v>41</v>
      </c>
      <c r="AK120" s="4079" t="s">
        <v>62</v>
      </c>
      <c r="AL120" s="4079" t="s">
        <v>63</v>
      </c>
      <c r="AM120" s="4079" t="s">
        <v>64</v>
      </c>
      <c r="AN120" s="4079" t="s">
        <v>65</v>
      </c>
    </row>
    <row r="121" spans="1:40" ht="18" customHeight="1" x14ac:dyDescent="0.2">
      <c r="B121" s="4315" t="s">
        <v>484</v>
      </c>
      <c r="C121" s="4316" t="s">
        <v>50</v>
      </c>
      <c r="D121" s="4316" t="s">
        <v>50</v>
      </c>
      <c r="E121" s="4316" t="s">
        <v>50</v>
      </c>
      <c r="F121" s="4316" t="s">
        <v>50</v>
      </c>
      <c r="G121" s="4316"/>
      <c r="H121" s="4316"/>
      <c r="I121" s="4316" t="s">
        <v>209</v>
      </c>
      <c r="J121" s="4316" t="s">
        <v>209</v>
      </c>
      <c r="K121" s="4316" t="s">
        <v>209</v>
      </c>
      <c r="L121" s="4316" t="s">
        <v>209</v>
      </c>
      <c r="M121" s="4316" t="s">
        <v>209</v>
      </c>
      <c r="N121" s="4316" t="s">
        <v>209</v>
      </c>
      <c r="O121" s="4316" t="s">
        <v>209</v>
      </c>
      <c r="P121" s="4316" t="s">
        <v>50</v>
      </c>
      <c r="Q121" s="4316" t="s">
        <v>50</v>
      </c>
      <c r="R121" s="4316" t="s">
        <v>50</v>
      </c>
      <c r="S121" s="4316" t="s">
        <v>50</v>
      </c>
      <c r="T121" s="4316" t="s">
        <v>50</v>
      </c>
      <c r="U121" s="4316"/>
      <c r="V121" s="4316"/>
      <c r="W121" s="4316" t="s">
        <v>209</v>
      </c>
      <c r="X121" s="4316" t="s">
        <v>209</v>
      </c>
      <c r="Y121" s="4316" t="s">
        <v>209</v>
      </c>
      <c r="Z121" s="4316" t="s">
        <v>209</v>
      </c>
      <c r="AA121" s="4316" t="s">
        <v>209</v>
      </c>
      <c r="AB121" s="4316"/>
      <c r="AC121" s="4316"/>
      <c r="AD121" s="4316" t="s">
        <v>50</v>
      </c>
      <c r="AE121" s="4316" t="s">
        <v>50</v>
      </c>
      <c r="AF121" s="4316" t="s">
        <v>50</v>
      </c>
      <c r="AG121" s="4317"/>
      <c r="AH121" s="1"/>
      <c r="AJ121" s="3960">
        <f>$AJ$11</f>
        <v>160.33000000000001</v>
      </c>
      <c r="AK121" s="3960"/>
      <c r="AL121" s="3960">
        <f>IF(AJ121="","",SUM(AJ121:AK121))</f>
        <v>160.33000000000001</v>
      </c>
      <c r="AM121" s="4135">
        <f t="shared" ref="AM121:AM122" si="9">IF(AJ121="","",AL121-AJ121)</f>
        <v>0</v>
      </c>
      <c r="AN121" s="4135">
        <f>IF(AM121="","",AM121+'Marts 2025'!AN117)</f>
        <v>0</v>
      </c>
    </row>
    <row r="122" spans="1:40" ht="18" customHeight="1" thickBot="1" x14ac:dyDescent="0.25">
      <c r="B122" s="4318" t="s">
        <v>212</v>
      </c>
      <c r="C122" s="4021" t="s">
        <v>209</v>
      </c>
      <c r="D122" s="4245" t="s">
        <v>209</v>
      </c>
      <c r="E122" s="4245" t="s">
        <v>209</v>
      </c>
      <c r="F122" s="4244" t="s">
        <v>209</v>
      </c>
      <c r="G122" s="4245" t="s">
        <v>209</v>
      </c>
      <c r="H122" s="4245" t="s">
        <v>209</v>
      </c>
      <c r="I122" s="4244" t="s">
        <v>50</v>
      </c>
      <c r="J122" s="4244" t="s">
        <v>50</v>
      </c>
      <c r="K122" s="4244" t="s">
        <v>50</v>
      </c>
      <c r="L122" s="4244" t="s">
        <v>50</v>
      </c>
      <c r="M122" s="4244" t="s">
        <v>50</v>
      </c>
      <c r="N122" s="4244"/>
      <c r="O122" s="4245"/>
      <c r="P122" s="4245" t="s">
        <v>209</v>
      </c>
      <c r="Q122" s="4021" t="s">
        <v>209</v>
      </c>
      <c r="R122" s="4245" t="s">
        <v>209</v>
      </c>
      <c r="S122" s="4245" t="s">
        <v>209</v>
      </c>
      <c r="T122" s="4244" t="s">
        <v>209</v>
      </c>
      <c r="U122" s="4245"/>
      <c r="V122" s="4245"/>
      <c r="W122" s="4244" t="s">
        <v>50</v>
      </c>
      <c r="X122" s="4244" t="s">
        <v>50</v>
      </c>
      <c r="Y122" s="4244" t="s">
        <v>50</v>
      </c>
      <c r="Z122" s="4244" t="s">
        <v>50</v>
      </c>
      <c r="AA122" s="4244" t="s">
        <v>50</v>
      </c>
      <c r="AB122" s="4244"/>
      <c r="AC122" s="4245"/>
      <c r="AD122" s="4245" t="s">
        <v>209</v>
      </c>
      <c r="AE122" s="4021" t="s">
        <v>209</v>
      </c>
      <c r="AF122" s="4245" t="s">
        <v>209</v>
      </c>
      <c r="AG122" s="4273"/>
      <c r="AH122" s="1"/>
      <c r="AJ122" s="4319">
        <f t="shared" ref="AJ122" si="10">$AJ$11</f>
        <v>160.33000000000001</v>
      </c>
      <c r="AK122" s="4319"/>
      <c r="AL122" s="4319">
        <f t="shared" ref="AL122" si="11">IF(AJ122="","",SUM(AJ122:AK122))</f>
        <v>160.33000000000001</v>
      </c>
      <c r="AM122" s="4320">
        <f t="shared" si="9"/>
        <v>0</v>
      </c>
      <c r="AN122" s="4135">
        <f>IF(AM122="","",AM122+'Marts 2025'!AN118)</f>
        <v>0</v>
      </c>
    </row>
    <row r="123" spans="1:40" ht="18" customHeight="1" x14ac:dyDescent="0.2">
      <c r="B123" s="232"/>
      <c r="C123" s="233"/>
      <c r="D123" s="233"/>
      <c r="E123" s="234"/>
      <c r="F123" s="234"/>
      <c r="G123" s="234"/>
      <c r="H123" s="234"/>
      <c r="I123" s="234"/>
      <c r="J123" s="234"/>
      <c r="K123" s="234"/>
      <c r="L123" s="234"/>
      <c r="M123" s="234"/>
      <c r="N123" s="234"/>
      <c r="O123" s="234"/>
      <c r="P123" s="234"/>
      <c r="Q123" s="234"/>
      <c r="R123" s="234"/>
      <c r="S123" s="234"/>
      <c r="T123" s="234"/>
      <c r="U123" s="234"/>
      <c r="V123" s="234"/>
      <c r="W123" s="234"/>
      <c r="X123" s="234"/>
      <c r="Y123" s="234"/>
      <c r="Z123" s="234"/>
      <c r="AA123" s="234"/>
      <c r="AB123" s="234"/>
      <c r="AC123" s="234"/>
      <c r="AD123" s="234"/>
      <c r="AE123" s="234"/>
      <c r="AF123" s="234"/>
      <c r="AG123" s="234"/>
      <c r="AH123" s="1"/>
      <c r="AJ123" s="123"/>
      <c r="AK123" s="123"/>
      <c r="AL123" s="123"/>
      <c r="AM123" s="215"/>
      <c r="AN123" s="215"/>
    </row>
    <row r="124" spans="1:40" ht="18" customHeight="1" x14ac:dyDescent="0.2">
      <c r="A124" s="3" t="s">
        <v>213</v>
      </c>
      <c r="B124" s="60" t="s">
        <v>576</v>
      </c>
      <c r="AH124" s="1"/>
      <c r="AJ124" s="123"/>
      <c r="AK124" s="123"/>
      <c r="AL124" s="123"/>
      <c r="AM124" s="215"/>
      <c r="AN124" s="215"/>
    </row>
    <row r="125" spans="1:40" ht="18" customHeight="1" x14ac:dyDescent="0.25">
      <c r="B125" s="217"/>
      <c r="C125" s="218"/>
      <c r="D125" s="218"/>
      <c r="E125" s="221" t="s">
        <v>198</v>
      </c>
      <c r="F125" s="218"/>
      <c r="G125" s="218"/>
      <c r="H125" s="218"/>
      <c r="I125" s="218"/>
      <c r="J125" s="218"/>
      <c r="K125" s="226" t="s">
        <v>13</v>
      </c>
      <c r="L125" s="222"/>
      <c r="M125" s="222"/>
      <c r="N125" s="222"/>
      <c r="O125" s="222"/>
      <c r="P125" s="222"/>
      <c r="Q125" s="222"/>
      <c r="R125" s="222"/>
      <c r="S125" s="222"/>
      <c r="T125" s="223"/>
      <c r="AH125" s="1"/>
      <c r="AJ125" s="123"/>
      <c r="AK125" s="123"/>
      <c r="AL125" s="123"/>
      <c r="AM125" s="215"/>
      <c r="AN125" s="215"/>
    </row>
    <row r="126" spans="1:40" ht="18" customHeight="1" thickBot="1" x14ac:dyDescent="0.3">
      <c r="B126" s="217" t="s">
        <v>487</v>
      </c>
      <c r="C126" s="218"/>
      <c r="D126" s="218"/>
      <c r="E126" s="219" t="s">
        <v>214</v>
      </c>
      <c r="F126" s="218"/>
      <c r="G126" s="218"/>
      <c r="H126" s="218"/>
      <c r="I126" s="218"/>
      <c r="J126" s="218"/>
      <c r="K126" s="218"/>
      <c r="L126" s="218"/>
      <c r="M126" s="218"/>
      <c r="N126" s="218"/>
      <c r="O126" s="218"/>
      <c r="P126" s="218"/>
      <c r="Q126" s="218"/>
      <c r="R126" s="236"/>
      <c r="S126" s="236"/>
      <c r="T126" s="236"/>
      <c r="AH126" s="1"/>
      <c r="AJ126" s="123"/>
      <c r="AK126" s="123"/>
      <c r="AL126" s="123"/>
      <c r="AM126" s="215"/>
      <c r="AN126" s="215"/>
    </row>
    <row r="127" spans="1:40" ht="18" customHeight="1" thickBot="1" x14ac:dyDescent="0.25">
      <c r="T127" s="108"/>
      <c r="U127" s="108"/>
      <c r="V127" s="108"/>
      <c r="AH127" s="1"/>
      <c r="AJ127" s="123"/>
      <c r="AK127" s="123"/>
      <c r="AL127" s="123"/>
      <c r="AM127" s="215"/>
      <c r="AN127" s="215"/>
    </row>
    <row r="128" spans="1:40" ht="18" customHeight="1" x14ac:dyDescent="0.2">
      <c r="B128" s="4321" t="s">
        <v>44</v>
      </c>
      <c r="C128" s="4082">
        <v>1</v>
      </c>
      <c r="D128" s="4082">
        <v>2</v>
      </c>
      <c r="E128" s="4082">
        <v>3</v>
      </c>
      <c r="F128" s="4082">
        <v>4</v>
      </c>
      <c r="G128" s="4083">
        <v>5</v>
      </c>
      <c r="H128" s="4083">
        <v>6</v>
      </c>
      <c r="I128" s="4082">
        <v>7</v>
      </c>
      <c r="J128" s="4082">
        <v>8</v>
      </c>
      <c r="K128" s="4082">
        <v>9</v>
      </c>
      <c r="L128" s="4082">
        <v>10</v>
      </c>
      <c r="M128" s="4082">
        <v>11</v>
      </c>
      <c r="N128" s="4083">
        <v>12</v>
      </c>
      <c r="O128" s="4083">
        <v>13</v>
      </c>
      <c r="P128" s="4082">
        <v>14</v>
      </c>
      <c r="Q128" s="4082">
        <v>15</v>
      </c>
      <c r="R128" s="4082">
        <v>16</v>
      </c>
      <c r="S128" s="4083">
        <v>17</v>
      </c>
      <c r="T128" s="4083">
        <v>18</v>
      </c>
      <c r="U128" s="4083">
        <v>19</v>
      </c>
      <c r="V128" s="4083">
        <v>20</v>
      </c>
      <c r="W128" s="4083">
        <v>21</v>
      </c>
      <c r="X128" s="4082">
        <v>22</v>
      </c>
      <c r="Y128" s="4082">
        <v>23</v>
      </c>
      <c r="Z128" s="4082">
        <v>24</v>
      </c>
      <c r="AA128" s="4082">
        <v>25</v>
      </c>
      <c r="AB128" s="4083">
        <v>26</v>
      </c>
      <c r="AC128" s="4083">
        <v>27</v>
      </c>
      <c r="AD128" s="4082">
        <v>28</v>
      </c>
      <c r="AE128" s="4082">
        <v>29</v>
      </c>
      <c r="AF128" s="4082">
        <v>30</v>
      </c>
      <c r="AG128" s="4084"/>
      <c r="AH128" s="1"/>
      <c r="AJ128" s="4079" t="s">
        <v>41</v>
      </c>
      <c r="AK128" s="4079" t="s">
        <v>62</v>
      </c>
      <c r="AL128" s="4079" t="s">
        <v>63</v>
      </c>
      <c r="AM128" s="4079" t="s">
        <v>64</v>
      </c>
      <c r="AN128" s="4079" t="s">
        <v>65</v>
      </c>
    </row>
    <row r="129" spans="1:40" ht="18" customHeight="1" x14ac:dyDescent="0.2">
      <c r="B129" s="4322" t="s">
        <v>221</v>
      </c>
      <c r="C129" s="422" t="s">
        <v>50</v>
      </c>
      <c r="D129" s="422" t="s">
        <v>102</v>
      </c>
      <c r="E129" s="370" t="s">
        <v>50</v>
      </c>
      <c r="F129" s="370" t="s">
        <v>50</v>
      </c>
      <c r="G129" s="370"/>
      <c r="H129" s="373"/>
      <c r="I129" s="373" t="s">
        <v>72</v>
      </c>
      <c r="J129" s="373" t="s">
        <v>72</v>
      </c>
      <c r="K129" s="373" t="s">
        <v>72</v>
      </c>
      <c r="L129" s="373" t="s">
        <v>72</v>
      </c>
      <c r="M129" s="370" t="s">
        <v>72</v>
      </c>
      <c r="N129" s="370"/>
      <c r="O129" s="370"/>
      <c r="P129" s="370" t="s">
        <v>50</v>
      </c>
      <c r="Q129" s="370" t="s">
        <v>50</v>
      </c>
      <c r="R129" s="370" t="s">
        <v>50</v>
      </c>
      <c r="S129" s="370" t="s">
        <v>50</v>
      </c>
      <c r="T129" s="370" t="s">
        <v>50</v>
      </c>
      <c r="U129" s="370"/>
      <c r="V129" s="373"/>
      <c r="W129" s="373" t="s">
        <v>72</v>
      </c>
      <c r="X129" s="373" t="s">
        <v>72</v>
      </c>
      <c r="Y129" s="373" t="s">
        <v>72</v>
      </c>
      <c r="Z129" s="373" t="s">
        <v>72</v>
      </c>
      <c r="AA129" s="370" t="s">
        <v>72</v>
      </c>
      <c r="AB129" s="370"/>
      <c r="AC129" s="370"/>
      <c r="AD129" s="370" t="s">
        <v>50</v>
      </c>
      <c r="AE129" s="370" t="s">
        <v>50</v>
      </c>
      <c r="AF129" s="370" t="s">
        <v>50</v>
      </c>
      <c r="AG129" s="4243" t="s">
        <v>0</v>
      </c>
      <c r="AH129" s="1"/>
      <c r="AJ129" s="3960">
        <f>$AJ$11</f>
        <v>160.33000000000001</v>
      </c>
      <c r="AK129" s="3960"/>
      <c r="AL129" s="3960">
        <f>IF(AJ129="","",SUM(AJ129:AK129))</f>
        <v>160.33000000000001</v>
      </c>
      <c r="AM129" s="4135">
        <f>IF(AJ129="","",AL129-AJ129)</f>
        <v>0</v>
      </c>
      <c r="AN129" s="4135">
        <f>IF(AM129="","",AM129+'Marts 2025'!AN125)</f>
        <v>0</v>
      </c>
    </row>
    <row r="130" spans="1:40" ht="18" customHeight="1" thickBot="1" x14ac:dyDescent="0.25">
      <c r="B130" s="4323" t="s">
        <v>222</v>
      </c>
      <c r="C130" s="4245" t="s">
        <v>72</v>
      </c>
      <c r="D130" s="4245" t="s">
        <v>72</v>
      </c>
      <c r="E130" s="4245" t="s">
        <v>72</v>
      </c>
      <c r="F130" s="4244" t="s">
        <v>72</v>
      </c>
      <c r="G130" s="4244" t="s">
        <v>72</v>
      </c>
      <c r="H130" s="4244" t="s">
        <v>72</v>
      </c>
      <c r="I130" s="4244" t="s">
        <v>50</v>
      </c>
      <c r="J130" s="4244" t="s">
        <v>50</v>
      </c>
      <c r="K130" s="4244" t="s">
        <v>50</v>
      </c>
      <c r="L130" s="4244" t="s">
        <v>50</v>
      </c>
      <c r="M130" s="4244" t="s">
        <v>50</v>
      </c>
      <c r="N130" s="4244"/>
      <c r="O130" s="4245"/>
      <c r="P130" s="4245" t="s">
        <v>72</v>
      </c>
      <c r="Q130" s="4245" t="s">
        <v>72</v>
      </c>
      <c r="R130" s="4245" t="s">
        <v>72</v>
      </c>
      <c r="S130" s="4245" t="s">
        <v>72</v>
      </c>
      <c r="T130" s="4244" t="s">
        <v>72</v>
      </c>
      <c r="U130" s="4244"/>
      <c r="V130" s="4244"/>
      <c r="W130" s="4244" t="s">
        <v>50</v>
      </c>
      <c r="X130" s="4244" t="s">
        <v>50</v>
      </c>
      <c r="Y130" s="4244" t="s">
        <v>50</v>
      </c>
      <c r="Z130" s="4244" t="s">
        <v>50</v>
      </c>
      <c r="AA130" s="4244" t="s">
        <v>68</v>
      </c>
      <c r="AB130" s="4244" t="s">
        <v>68</v>
      </c>
      <c r="AC130" s="4245"/>
      <c r="AD130" s="4245" t="s">
        <v>72</v>
      </c>
      <c r="AE130" s="4324" t="s">
        <v>72</v>
      </c>
      <c r="AF130" s="4245" t="s">
        <v>72</v>
      </c>
      <c r="AG130" s="4244" t="s">
        <v>0</v>
      </c>
      <c r="AH130" s="1"/>
      <c r="AJ130" s="3960">
        <f>$AJ$11</f>
        <v>160.33000000000001</v>
      </c>
      <c r="AK130" s="3960"/>
      <c r="AL130" s="3960">
        <f>IF(AJ130="","",SUM(AJ130:AK130))</f>
        <v>160.33000000000001</v>
      </c>
      <c r="AM130" s="4135">
        <f>IF(AJ130="","",AL130-AJ130)</f>
        <v>0</v>
      </c>
      <c r="AN130" s="4135">
        <f>IF(AM130="","",AM130+'Marts 2025'!AN126)</f>
        <v>0</v>
      </c>
    </row>
    <row r="131" spans="1:40" ht="18" customHeight="1" x14ac:dyDescent="0.2">
      <c r="B131" s="235" t="s">
        <v>0</v>
      </c>
      <c r="C131" s="234" t="s">
        <v>0</v>
      </c>
      <c r="D131" s="234" t="s">
        <v>0</v>
      </c>
      <c r="E131" s="234" t="s">
        <v>0</v>
      </c>
      <c r="F131" s="234" t="s">
        <v>0</v>
      </c>
      <c r="G131" s="234" t="s">
        <v>0</v>
      </c>
      <c r="H131" s="234" t="s">
        <v>0</v>
      </c>
      <c r="I131" s="234" t="s">
        <v>0</v>
      </c>
      <c r="J131" s="234" t="s">
        <v>0</v>
      </c>
      <c r="K131" s="234" t="s">
        <v>0</v>
      </c>
      <c r="L131" s="234" t="s">
        <v>0</v>
      </c>
      <c r="M131" s="234" t="s">
        <v>0</v>
      </c>
      <c r="N131" s="234" t="s">
        <v>0</v>
      </c>
      <c r="O131" s="234" t="s">
        <v>0</v>
      </c>
      <c r="P131" s="234" t="s">
        <v>0</v>
      </c>
      <c r="Q131" s="234" t="s">
        <v>0</v>
      </c>
      <c r="R131" s="234" t="s">
        <v>0</v>
      </c>
      <c r="S131" s="234" t="s">
        <v>0</v>
      </c>
      <c r="T131" s="234" t="s">
        <v>0</v>
      </c>
      <c r="U131" s="234" t="s">
        <v>0</v>
      </c>
      <c r="V131" s="234" t="s">
        <v>0</v>
      </c>
      <c r="W131" s="234" t="s">
        <v>0</v>
      </c>
      <c r="X131" s="234" t="s">
        <v>0</v>
      </c>
      <c r="Y131" s="234" t="s">
        <v>0</v>
      </c>
      <c r="Z131" s="234" t="s">
        <v>0</v>
      </c>
      <c r="AA131" s="234" t="s">
        <v>0</v>
      </c>
      <c r="AB131" s="234" t="s">
        <v>0</v>
      </c>
      <c r="AC131" s="234" t="s">
        <v>0</v>
      </c>
      <c r="AD131" s="234" t="s">
        <v>0</v>
      </c>
      <c r="AE131" s="234" t="s">
        <v>0</v>
      </c>
      <c r="AF131" s="234" t="s">
        <v>0</v>
      </c>
      <c r="AG131" s="234" t="s">
        <v>0</v>
      </c>
      <c r="AH131" s="1"/>
      <c r="AJ131" s="123"/>
      <c r="AK131" s="123"/>
      <c r="AL131" s="123"/>
      <c r="AM131" s="215"/>
      <c r="AN131" s="215"/>
    </row>
    <row r="132" spans="1:40" ht="18" customHeight="1" x14ac:dyDescent="0.2">
      <c r="A132" s="3" t="s">
        <v>223</v>
      </c>
      <c r="B132" s="60" t="s">
        <v>223</v>
      </c>
      <c r="AH132" s="1"/>
      <c r="AJ132" s="123"/>
      <c r="AK132" s="123"/>
      <c r="AL132" s="123"/>
      <c r="AM132" s="215"/>
      <c r="AN132" s="215"/>
    </row>
    <row r="133" spans="1:40" ht="18" customHeight="1" x14ac:dyDescent="0.25">
      <c r="B133" s="217"/>
      <c r="C133" s="218"/>
      <c r="D133" s="218"/>
      <c r="E133" s="221" t="s">
        <v>198</v>
      </c>
      <c r="F133" s="218"/>
      <c r="G133" s="218"/>
      <c r="H133" s="218"/>
      <c r="I133" s="218"/>
      <c r="J133" s="218"/>
      <c r="K133" s="226" t="s">
        <v>13</v>
      </c>
      <c r="L133" s="222"/>
      <c r="M133" s="222"/>
      <c r="N133" s="222"/>
      <c r="O133" s="222"/>
      <c r="P133" s="222"/>
      <c r="Q133" s="222"/>
      <c r="R133" s="222"/>
      <c r="S133" s="222"/>
      <c r="T133" s="223"/>
      <c r="AH133" s="1"/>
      <c r="AJ133" s="123"/>
      <c r="AK133" s="123"/>
      <c r="AL133" s="123"/>
      <c r="AM133" s="215"/>
      <c r="AN133" s="215"/>
    </row>
    <row r="134" spans="1:40" ht="18" customHeight="1" thickBot="1" x14ac:dyDescent="0.3">
      <c r="B134" s="217" t="s">
        <v>487</v>
      </c>
      <c r="C134" s="218"/>
      <c r="D134" s="218"/>
      <c r="E134" s="219" t="s">
        <v>224</v>
      </c>
      <c r="F134" s="218"/>
      <c r="G134" s="218"/>
      <c r="H134" s="218"/>
      <c r="I134" s="218"/>
      <c r="J134" s="218"/>
      <c r="K134" s="218" t="s">
        <v>0</v>
      </c>
      <c r="L134" s="218"/>
      <c r="M134" s="218"/>
      <c r="N134" s="218"/>
      <c r="O134" s="218"/>
      <c r="P134" s="218"/>
      <c r="Q134" s="218"/>
      <c r="R134" s="236" t="s">
        <v>0</v>
      </c>
      <c r="S134" s="236"/>
      <c r="T134" s="236"/>
      <c r="AH134" s="1"/>
      <c r="AJ134" s="123"/>
      <c r="AK134" s="123"/>
      <c r="AL134" s="123"/>
      <c r="AM134" s="215"/>
      <c r="AN134" s="215"/>
    </row>
    <row r="135" spans="1:40" ht="18" customHeight="1" thickBot="1" x14ac:dyDescent="0.25">
      <c r="T135" s="108"/>
      <c r="U135" s="108"/>
      <c r="V135" s="108"/>
      <c r="AH135" s="1"/>
      <c r="AJ135" s="123"/>
      <c r="AK135" s="123"/>
      <c r="AL135" s="123"/>
      <c r="AM135" s="215"/>
      <c r="AN135" s="215"/>
    </row>
    <row r="136" spans="1:40" ht="18" customHeight="1" x14ac:dyDescent="0.2">
      <c r="B136" s="4321" t="s">
        <v>44</v>
      </c>
      <c r="C136" s="4082">
        <v>1</v>
      </c>
      <c r="D136" s="4082">
        <v>2</v>
      </c>
      <c r="E136" s="4082">
        <v>3</v>
      </c>
      <c r="F136" s="4082">
        <v>4</v>
      </c>
      <c r="G136" s="4083">
        <v>5</v>
      </c>
      <c r="H136" s="4083">
        <v>6</v>
      </c>
      <c r="I136" s="4082">
        <v>7</v>
      </c>
      <c r="J136" s="4082">
        <v>8</v>
      </c>
      <c r="K136" s="4082">
        <v>9</v>
      </c>
      <c r="L136" s="4082">
        <v>10</v>
      </c>
      <c r="M136" s="4082">
        <v>11</v>
      </c>
      <c r="N136" s="4083">
        <v>12</v>
      </c>
      <c r="O136" s="4083">
        <v>13</v>
      </c>
      <c r="P136" s="4082">
        <v>14</v>
      </c>
      <c r="Q136" s="4082">
        <v>15</v>
      </c>
      <c r="R136" s="4082">
        <v>16</v>
      </c>
      <c r="S136" s="4083">
        <v>17</v>
      </c>
      <c r="T136" s="4083">
        <v>18</v>
      </c>
      <c r="U136" s="4083">
        <v>19</v>
      </c>
      <c r="V136" s="4083">
        <v>20</v>
      </c>
      <c r="W136" s="4083">
        <v>21</v>
      </c>
      <c r="X136" s="4082">
        <v>22</v>
      </c>
      <c r="Y136" s="4082">
        <v>23</v>
      </c>
      <c r="Z136" s="4082">
        <v>24</v>
      </c>
      <c r="AA136" s="4082">
        <v>25</v>
      </c>
      <c r="AB136" s="4083">
        <v>26</v>
      </c>
      <c r="AC136" s="4083">
        <v>27</v>
      </c>
      <c r="AD136" s="4082">
        <v>28</v>
      </c>
      <c r="AE136" s="4082">
        <v>29</v>
      </c>
      <c r="AF136" s="4082">
        <v>30</v>
      </c>
      <c r="AG136" s="4084"/>
      <c r="AH136" s="1"/>
      <c r="AJ136" s="4079" t="s">
        <v>41</v>
      </c>
      <c r="AK136" s="4079" t="s">
        <v>62</v>
      </c>
      <c r="AL136" s="4079" t="s">
        <v>63</v>
      </c>
      <c r="AM136" s="4079" t="s">
        <v>64</v>
      </c>
      <c r="AN136" s="4079" t="s">
        <v>65</v>
      </c>
    </row>
    <row r="137" spans="1:40" ht="18" customHeight="1" x14ac:dyDescent="0.2">
      <c r="B137" s="4325" t="s">
        <v>231</v>
      </c>
      <c r="C137" s="4243" t="s">
        <v>50</v>
      </c>
      <c r="D137" s="4243" t="s">
        <v>50</v>
      </c>
      <c r="E137" s="4243" t="s">
        <v>50</v>
      </c>
      <c r="F137" s="4243" t="s">
        <v>50</v>
      </c>
      <c r="G137" s="4243"/>
      <c r="H137" s="4231"/>
      <c r="I137" s="4231" t="s">
        <v>162</v>
      </c>
      <c r="J137" s="4231" t="s">
        <v>162</v>
      </c>
      <c r="K137" s="4231" t="s">
        <v>162</v>
      </c>
      <c r="L137" s="4231" t="s">
        <v>162</v>
      </c>
      <c r="M137" s="4243" t="s">
        <v>162</v>
      </c>
      <c r="N137" s="4243"/>
      <c r="O137" s="4243"/>
      <c r="P137" s="4326" t="s">
        <v>50</v>
      </c>
      <c r="Q137" s="4243" t="s">
        <v>50</v>
      </c>
      <c r="R137" s="4243" t="s">
        <v>50</v>
      </c>
      <c r="S137" s="4326" t="s">
        <v>50</v>
      </c>
      <c r="T137" s="4326" t="s">
        <v>50</v>
      </c>
      <c r="U137" s="4326" t="s">
        <v>162</v>
      </c>
      <c r="V137" s="4327" t="s">
        <v>162</v>
      </c>
      <c r="W137" s="4231" t="s">
        <v>162</v>
      </c>
      <c r="X137" s="4231" t="s">
        <v>162</v>
      </c>
      <c r="Y137" s="4231" t="s">
        <v>162</v>
      </c>
      <c r="Z137" s="4231" t="s">
        <v>162</v>
      </c>
      <c r="AA137" s="4243" t="s">
        <v>162</v>
      </c>
      <c r="AB137" s="4243"/>
      <c r="AC137" s="4243"/>
      <c r="AD137" s="4243" t="s">
        <v>50</v>
      </c>
      <c r="AE137" s="4243" t="s">
        <v>50</v>
      </c>
      <c r="AF137" s="4243" t="s">
        <v>50</v>
      </c>
      <c r="AG137" s="4243" t="s">
        <v>0</v>
      </c>
      <c r="AH137" s="1"/>
      <c r="AJ137" s="3960">
        <f>$AJ$11</f>
        <v>160.33000000000001</v>
      </c>
      <c r="AK137" s="3960"/>
      <c r="AL137" s="3960">
        <f>IF(AJ137="","",SUM(AJ137:AK137))</f>
        <v>160.33000000000001</v>
      </c>
      <c r="AM137" s="4135">
        <f>IF(AJ137="","",AL137-AJ137)</f>
        <v>0</v>
      </c>
      <c r="AN137" s="4135">
        <f>IF(AM137="","",AM137+'Marts 2025'!AN133)</f>
        <v>0</v>
      </c>
    </row>
    <row r="138" spans="1:40" ht="18" customHeight="1" x14ac:dyDescent="0.2">
      <c r="B138" s="4074" t="s">
        <v>161</v>
      </c>
      <c r="C138" s="4328" t="s">
        <v>162</v>
      </c>
      <c r="D138" s="4328" t="s">
        <v>162</v>
      </c>
      <c r="E138" s="4328" t="s">
        <v>162</v>
      </c>
      <c r="F138" s="4328" t="s">
        <v>162</v>
      </c>
      <c r="G138" s="4328" t="s">
        <v>162</v>
      </c>
      <c r="H138" s="4328" t="s">
        <v>162</v>
      </c>
      <c r="I138" s="4328" t="s">
        <v>50</v>
      </c>
      <c r="J138" s="4328" t="s">
        <v>50</v>
      </c>
      <c r="K138" s="4328" t="s">
        <v>50</v>
      </c>
      <c r="L138" s="4328" t="s">
        <v>50</v>
      </c>
      <c r="M138" s="4328" t="s">
        <v>50</v>
      </c>
      <c r="N138" s="4328"/>
      <c r="O138" s="4328"/>
      <c r="P138" s="4328" t="s">
        <v>162</v>
      </c>
      <c r="Q138" s="4328" t="s">
        <v>162</v>
      </c>
      <c r="R138" s="4328" t="s">
        <v>162</v>
      </c>
      <c r="S138" s="4328" t="s">
        <v>162</v>
      </c>
      <c r="T138" s="4328" t="s">
        <v>162</v>
      </c>
      <c r="U138" s="4964"/>
      <c r="V138" s="4964"/>
      <c r="W138" s="4964" t="s">
        <v>50</v>
      </c>
      <c r="X138" s="4964" t="s">
        <v>50</v>
      </c>
      <c r="Y138" s="4964" t="s">
        <v>50</v>
      </c>
      <c r="Z138" s="4964" t="s">
        <v>50</v>
      </c>
      <c r="AA138" s="4964" t="s">
        <v>0</v>
      </c>
      <c r="AB138" s="4964"/>
      <c r="AC138" s="4964" t="s">
        <v>1072</v>
      </c>
      <c r="AD138" s="4245" t="s">
        <v>162</v>
      </c>
      <c r="AE138" s="4245" t="s">
        <v>162</v>
      </c>
      <c r="AF138" s="4245" t="s">
        <v>162</v>
      </c>
      <c r="AG138" s="4244" t="s">
        <v>0</v>
      </c>
      <c r="AH138" s="1"/>
      <c r="AJ138" s="3960">
        <f>$AJ$11</f>
        <v>160.33000000000001</v>
      </c>
      <c r="AK138" s="3960"/>
      <c r="AL138" s="3960">
        <f>IF(AJ138="","",SUM(AJ138:AK138))</f>
        <v>160.33000000000001</v>
      </c>
      <c r="AM138" s="4135">
        <f>IF(AJ138="","",AL138-AJ138)</f>
        <v>0</v>
      </c>
      <c r="AN138" s="4135">
        <f>IF(AM138="","",AM138+'Marts 2025'!AN134)</f>
        <v>0</v>
      </c>
    </row>
    <row r="139" spans="1:40" ht="18" customHeight="1" x14ac:dyDescent="0.2">
      <c r="B139" s="354"/>
      <c r="C139" s="140"/>
      <c r="D139" s="140"/>
      <c r="E139" s="140"/>
      <c r="F139" s="128"/>
      <c r="G139" s="128"/>
      <c r="H139" s="128"/>
      <c r="I139" s="128"/>
      <c r="J139" s="128"/>
      <c r="K139" s="128"/>
      <c r="L139" s="128"/>
      <c r="M139" s="128"/>
      <c r="N139" s="128"/>
      <c r="O139" s="140"/>
      <c r="P139" s="140"/>
      <c r="Q139" s="140"/>
      <c r="R139" s="140"/>
      <c r="S139" s="140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40"/>
      <c r="AD139" s="140"/>
      <c r="AE139" s="140"/>
      <c r="AF139" s="140"/>
      <c r="AG139" s="128"/>
      <c r="AH139" s="1"/>
      <c r="AJ139" s="123"/>
      <c r="AK139" s="123"/>
      <c r="AL139" s="123"/>
      <c r="AM139" s="215"/>
      <c r="AN139" s="215"/>
    </row>
    <row r="140" spans="1:40" ht="18" customHeight="1" thickBot="1" x14ac:dyDescent="0.25">
      <c r="B140" s="60" t="s">
        <v>503</v>
      </c>
      <c r="T140" s="10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28"/>
      <c r="AH140" s="1"/>
    </row>
    <row r="141" spans="1:40" ht="18" customHeight="1" thickBot="1" x14ac:dyDescent="0.3">
      <c r="B141" s="217"/>
      <c r="C141" s="218"/>
      <c r="D141" s="218"/>
      <c r="E141" s="221" t="s">
        <v>198</v>
      </c>
      <c r="F141" s="218"/>
      <c r="G141" s="218"/>
      <c r="H141" s="218"/>
      <c r="I141" s="218"/>
      <c r="J141" s="218"/>
      <c r="K141" s="226" t="s">
        <v>13</v>
      </c>
      <c r="L141" s="222"/>
      <c r="M141" s="222"/>
      <c r="N141" s="222"/>
      <c r="O141" s="222"/>
      <c r="P141" s="222"/>
      <c r="Q141" s="222"/>
      <c r="R141" s="222"/>
      <c r="S141" s="222"/>
      <c r="T141" s="223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32"/>
      <c r="AI141" s="116"/>
    </row>
    <row r="142" spans="1:40" ht="18" customHeight="1" thickBot="1" x14ac:dyDescent="0.3">
      <c r="B142" s="217" t="s">
        <v>487</v>
      </c>
      <c r="C142" s="218"/>
      <c r="D142" s="218"/>
      <c r="E142" s="219" t="s">
        <v>488</v>
      </c>
      <c r="F142" s="218"/>
      <c r="G142" s="218"/>
      <c r="H142" s="218"/>
      <c r="I142" s="218"/>
      <c r="J142" s="218"/>
      <c r="K142" s="218"/>
      <c r="L142" s="218"/>
      <c r="M142" s="218"/>
      <c r="N142" s="218"/>
      <c r="O142" s="218"/>
      <c r="P142" s="218"/>
      <c r="Q142" s="218"/>
      <c r="R142" s="236"/>
      <c r="S142" s="236"/>
      <c r="T142" s="236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32"/>
      <c r="AI142" s="116"/>
    </row>
    <row r="143" spans="1:40" ht="18" customHeight="1" thickBot="1" x14ac:dyDescent="0.25">
      <c r="B143" s="227"/>
      <c r="C143" s="128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32"/>
      <c r="AI143" s="116"/>
    </row>
    <row r="144" spans="1:40" ht="18" customHeight="1" thickBot="1" x14ac:dyDescent="0.25">
      <c r="B144" s="4321" t="s">
        <v>44</v>
      </c>
      <c r="C144" s="4082">
        <v>1</v>
      </c>
      <c r="D144" s="4082">
        <v>2</v>
      </c>
      <c r="E144" s="4329">
        <v>3</v>
      </c>
      <c r="F144" s="4329">
        <v>4</v>
      </c>
      <c r="G144" s="4330">
        <v>5</v>
      </c>
      <c r="H144" s="4330">
        <v>6</v>
      </c>
      <c r="I144" s="4329">
        <v>7</v>
      </c>
      <c r="J144" s="4329">
        <v>8</v>
      </c>
      <c r="K144" s="4329">
        <v>9</v>
      </c>
      <c r="L144" s="4329">
        <v>10</v>
      </c>
      <c r="M144" s="4329">
        <v>11</v>
      </c>
      <c r="N144" s="4330">
        <v>12</v>
      </c>
      <c r="O144" s="4330">
        <v>13</v>
      </c>
      <c r="P144" s="4329">
        <v>14</v>
      </c>
      <c r="Q144" s="4329">
        <v>15</v>
      </c>
      <c r="R144" s="4329">
        <v>16</v>
      </c>
      <c r="S144" s="4330">
        <v>17</v>
      </c>
      <c r="T144" s="4330">
        <v>18</v>
      </c>
      <c r="U144" s="4330">
        <v>19</v>
      </c>
      <c r="V144" s="4330">
        <v>20</v>
      </c>
      <c r="W144" s="4330">
        <v>21</v>
      </c>
      <c r="X144" s="4329">
        <v>22</v>
      </c>
      <c r="Y144" s="4329">
        <v>23</v>
      </c>
      <c r="Z144" s="4329">
        <v>24</v>
      </c>
      <c r="AA144" s="4329">
        <v>25</v>
      </c>
      <c r="AB144" s="4330">
        <v>26</v>
      </c>
      <c r="AC144" s="4330">
        <v>27</v>
      </c>
      <c r="AD144" s="4329">
        <v>28</v>
      </c>
      <c r="AE144" s="4329">
        <v>29</v>
      </c>
      <c r="AF144" s="4329">
        <v>30</v>
      </c>
      <c r="AG144" s="4331"/>
      <c r="AH144" s="132"/>
      <c r="AI144" s="116"/>
    </row>
    <row r="145" spans="1:36" ht="18" customHeight="1" thickBot="1" x14ac:dyDescent="0.25">
      <c r="B145" s="4325"/>
      <c r="C145" s="4243" t="s">
        <v>50</v>
      </c>
      <c r="D145" s="4243" t="s">
        <v>50</v>
      </c>
      <c r="E145" s="4243" t="s">
        <v>50</v>
      </c>
      <c r="F145" s="4243" t="s">
        <v>50</v>
      </c>
      <c r="G145" s="4244"/>
      <c r="H145" s="4245"/>
      <c r="I145" s="4245" t="s">
        <v>475</v>
      </c>
      <c r="J145" s="4245" t="s">
        <v>475</v>
      </c>
      <c r="K145" s="4245" t="s">
        <v>475</v>
      </c>
      <c r="L145" s="4245" t="s">
        <v>475</v>
      </c>
      <c r="M145" s="4245" t="s">
        <v>475</v>
      </c>
      <c r="N145" s="4245"/>
      <c r="O145" s="4245"/>
      <c r="P145" s="4244" t="s">
        <v>50</v>
      </c>
      <c r="Q145" s="4244" t="s">
        <v>50</v>
      </c>
      <c r="R145" s="4244" t="s">
        <v>50</v>
      </c>
      <c r="S145" s="4244" t="s">
        <v>50</v>
      </c>
      <c r="T145" s="4244" t="s">
        <v>50</v>
      </c>
      <c r="U145" s="4244"/>
      <c r="V145" s="4245"/>
      <c r="W145" s="4245" t="s">
        <v>475</v>
      </c>
      <c r="X145" s="4245" t="s">
        <v>475</v>
      </c>
      <c r="Y145" s="4245" t="s">
        <v>475</v>
      </c>
      <c r="Z145" s="4244" t="s">
        <v>475</v>
      </c>
      <c r="AA145" s="4244" t="s">
        <v>475</v>
      </c>
      <c r="AB145" s="4244"/>
      <c r="AC145" s="4244"/>
      <c r="AD145" s="4244" t="s">
        <v>50</v>
      </c>
      <c r="AE145" s="4244" t="s">
        <v>50</v>
      </c>
      <c r="AF145" s="4244" t="s">
        <v>50</v>
      </c>
      <c r="AG145" s="4244"/>
      <c r="AH145" s="132"/>
      <c r="AI145" s="116"/>
    </row>
    <row r="146" spans="1:36" ht="18" customHeight="1" x14ac:dyDescent="0.2">
      <c r="B146" s="4332" t="s">
        <v>176</v>
      </c>
      <c r="C146" s="4245" t="s">
        <v>475</v>
      </c>
      <c r="D146" s="4245" t="s">
        <v>475</v>
      </c>
      <c r="E146" s="4245" t="s">
        <v>475</v>
      </c>
      <c r="F146" s="4245" t="s">
        <v>475</v>
      </c>
      <c r="G146" s="4245" t="s">
        <v>475</v>
      </c>
      <c r="H146" s="4245" t="s">
        <v>475</v>
      </c>
      <c r="I146" s="4243" t="s">
        <v>50</v>
      </c>
      <c r="J146" s="4243" t="s">
        <v>50</v>
      </c>
      <c r="K146" s="4243" t="s">
        <v>50</v>
      </c>
      <c r="L146" s="4243" t="s">
        <v>50</v>
      </c>
      <c r="M146" s="4243" t="s">
        <v>50</v>
      </c>
      <c r="N146" s="4244"/>
      <c r="O146" s="4245"/>
      <c r="P146" s="4245" t="s">
        <v>475</v>
      </c>
      <c r="Q146" s="4245" t="s">
        <v>475</v>
      </c>
      <c r="R146" s="4245" t="s">
        <v>475</v>
      </c>
      <c r="S146" s="4245" t="s">
        <v>475</v>
      </c>
      <c r="T146" s="4245" t="s">
        <v>475</v>
      </c>
      <c r="U146" s="4245"/>
      <c r="V146" s="4245"/>
      <c r="W146" s="4244" t="s">
        <v>50</v>
      </c>
      <c r="X146" s="4244" t="s">
        <v>50</v>
      </c>
      <c r="Y146" s="4244" t="s">
        <v>50</v>
      </c>
      <c r="Z146" s="4244" t="s">
        <v>50</v>
      </c>
      <c r="AA146" s="4244" t="s">
        <v>50</v>
      </c>
      <c r="AB146" s="4244"/>
      <c r="AC146" s="4245"/>
      <c r="AD146" s="4245" t="s">
        <v>475</v>
      </c>
      <c r="AE146" s="4245" t="s">
        <v>475</v>
      </c>
      <c r="AF146" s="4245" t="s">
        <v>475</v>
      </c>
      <c r="AG146" s="4244"/>
      <c r="AH146" s="132"/>
      <c r="AI146" s="116"/>
    </row>
    <row r="147" spans="1:36" ht="18" customHeight="1" x14ac:dyDescent="0.2">
      <c r="B147" s="127"/>
      <c r="C147" s="128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32"/>
      <c r="AI147" s="116"/>
    </row>
    <row r="148" spans="1:36" ht="18" customHeight="1" thickBot="1" x14ac:dyDescent="0.25">
      <c r="A148" s="129"/>
      <c r="B148" s="123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  <c r="Y148" s="130"/>
      <c r="Z148" s="130"/>
      <c r="AA148" s="130"/>
      <c r="AB148" s="130"/>
      <c r="AC148" s="130"/>
      <c r="AD148" s="130"/>
      <c r="AE148" s="130"/>
      <c r="AF148" s="130"/>
      <c r="AG148" s="131"/>
      <c r="AH148" s="67"/>
      <c r="AI148" s="67"/>
    </row>
    <row r="149" spans="1:36" ht="18" customHeight="1" x14ac:dyDescent="0.2">
      <c r="A149" s="48"/>
      <c r="B149" s="4333" t="s">
        <v>247</v>
      </c>
      <c r="C149" s="4334"/>
      <c r="D149" s="4335" t="s">
        <v>17</v>
      </c>
      <c r="E149" s="4336"/>
      <c r="F149" s="4334"/>
      <c r="G149" s="4337" t="s">
        <v>18</v>
      </c>
      <c r="H149" s="4338"/>
      <c r="I149" s="4339"/>
      <c r="J149" s="4337" t="s">
        <v>19</v>
      </c>
      <c r="K149" s="4340"/>
      <c r="L149" s="4339"/>
      <c r="M149" s="4341" t="s">
        <v>20</v>
      </c>
      <c r="N149" s="4340"/>
      <c r="O149" s="4339"/>
      <c r="P149" s="4337" t="s">
        <v>21</v>
      </c>
      <c r="Q149" s="4342"/>
      <c r="R149" s="4339"/>
      <c r="S149" s="4337" t="s">
        <v>22</v>
      </c>
      <c r="T149" s="4343"/>
      <c r="U149" s="4339"/>
      <c r="V149" s="4337" t="s">
        <v>23</v>
      </c>
      <c r="W149" s="4342"/>
      <c r="X149" s="4344" t="s">
        <v>234</v>
      </c>
      <c r="Y149" s="4345"/>
      <c r="Z149" s="4345"/>
      <c r="AA149" s="4346"/>
      <c r="AB149" s="4347" t="s">
        <v>126</v>
      </c>
      <c r="AC149" s="4348"/>
      <c r="AD149" s="4348"/>
      <c r="AE149" s="4349"/>
      <c r="AF149" s="4349"/>
      <c r="AG149" s="4349"/>
      <c r="AH149" s="280"/>
      <c r="AI149" s="280"/>
      <c r="AJ149" s="123"/>
    </row>
    <row r="150" spans="1:36" ht="18" customHeight="1" x14ac:dyDescent="0.2">
      <c r="A150" s="48"/>
      <c r="B150" s="4350" t="s">
        <v>248</v>
      </c>
      <c r="C150" s="4351" t="s">
        <v>249</v>
      </c>
      <c r="D150" s="4056"/>
      <c r="E150" s="4057"/>
      <c r="F150" s="4351" t="s">
        <v>249</v>
      </c>
      <c r="G150" s="4056"/>
      <c r="H150" s="4057"/>
      <c r="I150" s="4351" t="s">
        <v>249</v>
      </c>
      <c r="J150" s="4056"/>
      <c r="K150" s="4057"/>
      <c r="L150" s="4351" t="s">
        <v>249</v>
      </c>
      <c r="M150" s="4056"/>
      <c r="N150" s="4057"/>
      <c r="O150" s="4351" t="s">
        <v>250</v>
      </c>
      <c r="P150" s="4056"/>
      <c r="Q150" s="4057"/>
      <c r="R150" s="4351"/>
      <c r="S150" s="4056"/>
      <c r="T150" s="4057"/>
      <c r="U150" s="4351"/>
      <c r="V150" s="4056"/>
      <c r="W150" s="4057"/>
      <c r="X150" s="4351"/>
      <c r="Y150" s="4352"/>
      <c r="Z150" s="4352"/>
      <c r="AA150" s="4352"/>
      <c r="AB150" s="4053"/>
      <c r="AC150" s="4352"/>
      <c r="AD150" s="4352"/>
      <c r="AE150" s="4352"/>
      <c r="AF150" s="4352"/>
      <c r="AG150" s="4352"/>
      <c r="AH150" s="280"/>
      <c r="AI150" s="280"/>
      <c r="AJ150" s="123"/>
    </row>
    <row r="151" spans="1:36" ht="18" customHeight="1" thickBot="1" x14ac:dyDescent="0.25">
      <c r="A151" s="48"/>
      <c r="B151" s="4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208"/>
      <c r="AI151" s="280"/>
      <c r="AJ151" s="123"/>
    </row>
    <row r="152" spans="1:36" ht="18" customHeight="1" thickBot="1" x14ac:dyDescent="0.25">
      <c r="A152" s="4353" t="s">
        <v>43</v>
      </c>
      <c r="B152" s="4179" t="s">
        <v>44</v>
      </c>
      <c r="C152" s="4082">
        <v>1</v>
      </c>
      <c r="D152" s="4082">
        <v>2</v>
      </c>
      <c r="E152" s="4082">
        <v>3</v>
      </c>
      <c r="F152" s="4082">
        <v>4</v>
      </c>
      <c r="G152" s="4083">
        <v>5</v>
      </c>
      <c r="H152" s="4083">
        <v>6</v>
      </c>
      <c r="I152" s="4082">
        <v>7</v>
      </c>
      <c r="J152" s="4082">
        <v>8</v>
      </c>
      <c r="K152" s="4082">
        <v>9</v>
      </c>
      <c r="L152" s="4082">
        <v>10</v>
      </c>
      <c r="M152" s="4082">
        <v>11</v>
      </c>
      <c r="N152" s="4083">
        <v>12</v>
      </c>
      <c r="O152" s="4083">
        <v>13</v>
      </c>
      <c r="P152" s="4082">
        <v>14</v>
      </c>
      <c r="Q152" s="4082">
        <v>15</v>
      </c>
      <c r="R152" s="4082">
        <v>16</v>
      </c>
      <c r="S152" s="4083">
        <v>17</v>
      </c>
      <c r="T152" s="4083">
        <v>18</v>
      </c>
      <c r="U152" s="4083">
        <v>19</v>
      </c>
      <c r="V152" s="4083">
        <v>20</v>
      </c>
      <c r="W152" s="4083">
        <v>21</v>
      </c>
      <c r="X152" s="4082">
        <v>22</v>
      </c>
      <c r="Y152" s="4082">
        <v>23</v>
      </c>
      <c r="Z152" s="4082">
        <v>24</v>
      </c>
      <c r="AA152" s="4082">
        <v>25</v>
      </c>
      <c r="AB152" s="4083">
        <v>26</v>
      </c>
      <c r="AC152" s="4083">
        <v>27</v>
      </c>
      <c r="AD152" s="4082">
        <v>28</v>
      </c>
      <c r="AE152" s="4082">
        <v>29</v>
      </c>
      <c r="AF152" s="4082">
        <v>30</v>
      </c>
      <c r="AG152" s="4354"/>
      <c r="AH152" s="208"/>
      <c r="AI152" s="280"/>
      <c r="AJ152" s="123"/>
    </row>
    <row r="153" spans="1:36" ht="18" customHeight="1" x14ac:dyDescent="0.2">
      <c r="A153" s="4355">
        <v>8520</v>
      </c>
      <c r="B153" s="4356" t="s">
        <v>251</v>
      </c>
      <c r="C153" s="4131" t="s">
        <v>252</v>
      </c>
      <c r="D153" s="4131" t="s">
        <v>252</v>
      </c>
      <c r="E153" s="4131" t="s">
        <v>252</v>
      </c>
      <c r="F153" s="4131" t="s">
        <v>252</v>
      </c>
      <c r="G153" s="4131"/>
      <c r="H153" s="4131"/>
      <c r="I153" s="4131" t="s">
        <v>252</v>
      </c>
      <c r="J153" s="4131" t="s">
        <v>252</v>
      </c>
      <c r="K153" s="4131" t="s">
        <v>252</v>
      </c>
      <c r="L153" s="4131" t="s">
        <v>252</v>
      </c>
      <c r="M153" s="4131" t="s">
        <v>252</v>
      </c>
      <c r="N153" s="4131"/>
      <c r="O153" s="4131"/>
      <c r="P153" s="4131" t="s">
        <v>252</v>
      </c>
      <c r="Q153" s="4216" t="s">
        <v>252</v>
      </c>
      <c r="R153" s="4216" t="s">
        <v>252</v>
      </c>
      <c r="S153" s="4131"/>
      <c r="T153" s="4131"/>
      <c r="U153" s="4131"/>
      <c r="V153" s="4131"/>
      <c r="W153" s="4131"/>
      <c r="X153" s="4131" t="s">
        <v>252</v>
      </c>
      <c r="Y153" s="4131" t="s">
        <v>252</v>
      </c>
      <c r="Z153" s="4131" t="s">
        <v>252</v>
      </c>
      <c r="AA153" s="4131" t="s">
        <v>252</v>
      </c>
      <c r="AB153" s="4131"/>
      <c r="AC153" s="4131"/>
      <c r="AD153" s="4131" t="s">
        <v>252</v>
      </c>
      <c r="AE153" s="4131" t="s">
        <v>252</v>
      </c>
      <c r="AF153" s="4131" t="s">
        <v>252</v>
      </c>
      <c r="AG153" s="4357"/>
      <c r="AH153" s="208"/>
      <c r="AI153" s="280"/>
      <c r="AJ153" s="123"/>
    </row>
    <row r="154" spans="1:36" ht="18" customHeight="1" x14ac:dyDescent="0.2">
      <c r="A154" s="136"/>
      <c r="B154" s="135"/>
      <c r="C154" s="128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208"/>
      <c r="AI154" s="280"/>
      <c r="AJ154" s="123"/>
    </row>
    <row r="155" spans="1:36" ht="18" customHeight="1" x14ac:dyDescent="0.2">
      <c r="AH155" s="208"/>
      <c r="AI155" s="280"/>
      <c r="AJ155" s="123"/>
    </row>
    <row r="156" spans="1:36" ht="18" customHeight="1" thickBot="1" x14ac:dyDescent="0.25">
      <c r="A156" s="107" t="s">
        <v>254</v>
      </c>
      <c r="B156" s="108"/>
      <c r="C156" s="108"/>
      <c r="D156" s="109"/>
      <c r="E156" s="109"/>
      <c r="F156" s="109"/>
      <c r="G156" s="65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8"/>
      <c r="AI156" s="108"/>
    </row>
    <row r="157" spans="1:36" ht="18" customHeight="1" x14ac:dyDescent="0.2">
      <c r="A157" s="107"/>
      <c r="B157" s="4333" t="s">
        <v>255</v>
      </c>
      <c r="C157" s="4358"/>
      <c r="D157" s="4359" t="s">
        <v>17</v>
      </c>
      <c r="E157" s="4360"/>
      <c r="F157" s="4361"/>
      <c r="G157" s="4358"/>
      <c r="H157" s="4359" t="s">
        <v>18</v>
      </c>
      <c r="I157" s="4360"/>
      <c r="J157" s="4361"/>
      <c r="K157" s="4358"/>
      <c r="L157" s="4359" t="s">
        <v>19</v>
      </c>
      <c r="M157" s="4360"/>
      <c r="N157" s="4361"/>
      <c r="O157" s="4358"/>
      <c r="P157" s="4359" t="s">
        <v>20</v>
      </c>
      <c r="Q157" s="4360"/>
      <c r="R157" s="4361"/>
      <c r="S157" s="4358"/>
      <c r="T157" s="4359" t="s">
        <v>21</v>
      </c>
      <c r="U157" s="4360"/>
      <c r="V157" s="4361"/>
      <c r="W157" s="4358"/>
      <c r="X157" s="4359" t="s">
        <v>22</v>
      </c>
      <c r="Y157" s="4360"/>
      <c r="Z157" s="4361"/>
      <c r="AA157" s="4358"/>
      <c r="AB157" s="4359" t="s">
        <v>23</v>
      </c>
      <c r="AC157" s="4360"/>
      <c r="AD157" s="4360"/>
      <c r="AE157" s="4362" t="s">
        <v>126</v>
      </c>
      <c r="AF157" s="4360"/>
      <c r="AG157" s="4360"/>
      <c r="AH157" s="110"/>
      <c r="AI157" s="111"/>
    </row>
    <row r="158" spans="1:36" ht="18" customHeight="1" x14ac:dyDescent="0.2">
      <c r="A158" s="107"/>
      <c r="B158" s="4363" t="s">
        <v>235</v>
      </c>
      <c r="C158" s="4364">
        <v>69</v>
      </c>
      <c r="D158" s="4365" t="s">
        <v>256</v>
      </c>
      <c r="E158" s="4365"/>
      <c r="F158" s="4366"/>
      <c r="G158" s="4364">
        <v>69</v>
      </c>
      <c r="H158" s="4365" t="s">
        <v>256</v>
      </c>
      <c r="I158" s="4365"/>
      <c r="J158" s="4366"/>
      <c r="K158" s="4364">
        <v>69</v>
      </c>
      <c r="L158" s="4365" t="s">
        <v>256</v>
      </c>
      <c r="M158" s="4365"/>
      <c r="N158" s="4366"/>
      <c r="O158" s="4364">
        <v>69</v>
      </c>
      <c r="P158" s="4365" t="s">
        <v>256</v>
      </c>
      <c r="Q158" s="4365"/>
      <c r="R158" s="4366"/>
      <c r="S158" s="4364">
        <v>69</v>
      </c>
      <c r="T158" s="4365" t="s">
        <v>256</v>
      </c>
      <c r="U158" s="4365"/>
      <c r="V158" s="4366"/>
      <c r="W158" s="4364"/>
      <c r="X158" s="4367"/>
      <c r="Y158" s="4367"/>
      <c r="Z158" s="4368"/>
      <c r="AA158" s="4364"/>
      <c r="AB158" s="4365"/>
      <c r="AC158" s="4365"/>
      <c r="AD158" s="4223"/>
      <c r="AE158" s="4369">
        <v>35</v>
      </c>
      <c r="AF158" s="4365"/>
      <c r="AG158" s="4365"/>
      <c r="AH158" s="124"/>
      <c r="AI158" s="67"/>
    </row>
    <row r="159" spans="1:36" ht="18" customHeight="1" x14ac:dyDescent="0.2">
      <c r="A159" s="107"/>
      <c r="B159" s="4363" t="s">
        <v>236</v>
      </c>
      <c r="C159" s="4364">
        <v>79</v>
      </c>
      <c r="D159" s="4365" t="s">
        <v>257</v>
      </c>
      <c r="E159" s="4365"/>
      <c r="F159" s="4366"/>
      <c r="G159" s="4364">
        <v>79</v>
      </c>
      <c r="H159" s="4365" t="s">
        <v>257</v>
      </c>
      <c r="I159" s="4365"/>
      <c r="J159" s="4366"/>
      <c r="K159" s="4364">
        <v>79</v>
      </c>
      <c r="L159" s="4365" t="s">
        <v>257</v>
      </c>
      <c r="M159" s="4365"/>
      <c r="N159" s="4366"/>
      <c r="O159" s="4364">
        <v>79</v>
      </c>
      <c r="P159" s="4365" t="s">
        <v>257</v>
      </c>
      <c r="Q159" s="4365"/>
      <c r="R159" s="4366"/>
      <c r="S159" s="4364">
        <v>79</v>
      </c>
      <c r="T159" s="4365" t="s">
        <v>257</v>
      </c>
      <c r="U159" s="4365"/>
      <c r="V159" s="4366"/>
      <c r="W159" s="4364"/>
      <c r="X159" s="4365"/>
      <c r="Y159" s="4365"/>
      <c r="Z159" s="4366"/>
      <c r="AA159" s="4365"/>
      <c r="AB159" s="4365"/>
      <c r="AC159" s="4365"/>
      <c r="AD159" s="4223"/>
      <c r="AE159" s="4369">
        <v>40</v>
      </c>
      <c r="AF159" s="4365"/>
      <c r="AG159" s="4365"/>
      <c r="AH159" s="125"/>
      <c r="AI159" s="106"/>
    </row>
    <row r="160" spans="1:36" ht="18" customHeight="1" x14ac:dyDescent="0.2">
      <c r="A160" s="107"/>
      <c r="B160" s="4363" t="s">
        <v>243</v>
      </c>
      <c r="C160" s="4364">
        <v>89</v>
      </c>
      <c r="D160" s="4365" t="s">
        <v>258</v>
      </c>
      <c r="E160" s="4365"/>
      <c r="F160" s="4366"/>
      <c r="G160" s="4364">
        <v>89</v>
      </c>
      <c r="H160" s="4365" t="s">
        <v>258</v>
      </c>
      <c r="I160" s="4365"/>
      <c r="J160" s="4366"/>
      <c r="K160" s="4364">
        <v>89</v>
      </c>
      <c r="L160" s="4365" t="s">
        <v>258</v>
      </c>
      <c r="M160" s="4365"/>
      <c r="N160" s="4366"/>
      <c r="O160" s="4364">
        <v>89</v>
      </c>
      <c r="P160" s="4365" t="s">
        <v>258</v>
      </c>
      <c r="Q160" s="4365"/>
      <c r="R160" s="4366"/>
      <c r="S160" s="4364">
        <v>89</v>
      </c>
      <c r="T160" s="4365" t="s">
        <v>259</v>
      </c>
      <c r="U160" s="4365"/>
      <c r="V160" s="4366"/>
      <c r="W160" s="4370"/>
      <c r="X160" s="4371" t="s">
        <v>260</v>
      </c>
      <c r="Y160" s="4371"/>
      <c r="Z160" s="4301"/>
      <c r="AA160" s="4370"/>
      <c r="AB160" s="4371"/>
      <c r="AC160" s="4371"/>
      <c r="AD160" s="4303"/>
      <c r="AE160" s="4369">
        <v>44</v>
      </c>
      <c r="AF160" s="4365"/>
      <c r="AG160" s="4365"/>
      <c r="AH160" s="124"/>
      <c r="AI160" s="67"/>
    </row>
    <row r="161" spans="1:35" ht="18" customHeight="1" x14ac:dyDescent="0.2">
      <c r="A161" s="107"/>
      <c r="B161" s="19" t="s">
        <v>245</v>
      </c>
      <c r="C161" s="4370">
        <v>99</v>
      </c>
      <c r="D161" s="4371" t="s">
        <v>261</v>
      </c>
      <c r="E161" s="4371"/>
      <c r="F161" s="4301"/>
      <c r="G161" s="4370">
        <v>99</v>
      </c>
      <c r="H161" s="4371" t="s">
        <v>261</v>
      </c>
      <c r="I161" s="4371"/>
      <c r="J161" s="4301"/>
      <c r="K161" s="4370">
        <v>99</v>
      </c>
      <c r="L161" s="4371" t="s">
        <v>261</v>
      </c>
      <c r="M161" s="4371"/>
      <c r="N161" s="4301"/>
      <c r="O161" s="4370">
        <v>99</v>
      </c>
      <c r="P161" s="4371" t="s">
        <v>261</v>
      </c>
      <c r="Q161" s="4371"/>
      <c r="R161" s="4301"/>
      <c r="S161" s="4370">
        <v>99</v>
      </c>
      <c r="T161" s="4371" t="s">
        <v>244</v>
      </c>
      <c r="U161" s="4371"/>
      <c r="V161" s="4303"/>
      <c r="W161" s="4302"/>
      <c r="X161" s="4303"/>
      <c r="Y161" s="4371"/>
      <c r="Z161" s="4301"/>
      <c r="AA161" s="4302"/>
      <c r="AB161" s="4303"/>
      <c r="AC161" s="4371"/>
      <c r="AD161" s="4301"/>
      <c r="AE161" s="4372">
        <v>28</v>
      </c>
      <c r="AF161" s="4371"/>
      <c r="AG161" s="4371"/>
      <c r="AH161" s="124"/>
      <c r="AI161" s="67"/>
    </row>
    <row r="162" spans="1:35" ht="18" customHeight="1" thickBot="1" x14ac:dyDescent="0.25">
      <c r="A162" s="107"/>
      <c r="B162" s="4373" t="s">
        <v>262</v>
      </c>
      <c r="C162" s="4374" t="s">
        <v>77</v>
      </c>
      <c r="D162" s="4375" t="s">
        <v>263</v>
      </c>
      <c r="E162" s="4376"/>
      <c r="F162" s="4172"/>
      <c r="G162" s="4374" t="s">
        <v>77</v>
      </c>
      <c r="H162" s="4375" t="s">
        <v>263</v>
      </c>
      <c r="I162" s="4170"/>
      <c r="J162" s="4376"/>
      <c r="K162" s="4374" t="s">
        <v>77</v>
      </c>
      <c r="L162" s="4375" t="s">
        <v>263</v>
      </c>
      <c r="M162" s="4376"/>
      <c r="N162" s="4377"/>
      <c r="O162" s="4374" t="s">
        <v>77</v>
      </c>
      <c r="P162" s="4375" t="s">
        <v>263</v>
      </c>
      <c r="Q162" s="4376"/>
      <c r="R162" s="4375"/>
      <c r="S162" s="4374" t="s">
        <v>77</v>
      </c>
      <c r="T162" s="4174" t="s">
        <v>264</v>
      </c>
      <c r="U162" s="4375"/>
      <c r="V162" s="4377"/>
      <c r="W162" s="4376"/>
      <c r="X162" s="4375"/>
      <c r="Y162" s="4375"/>
      <c r="Z162" s="4375"/>
      <c r="AA162" s="4378"/>
      <c r="AB162" s="4379"/>
      <c r="AC162" s="4375"/>
      <c r="AD162" s="4380"/>
      <c r="AE162" s="4375"/>
      <c r="AF162" s="4375"/>
      <c r="AG162" s="4375"/>
      <c r="AH162" s="124"/>
      <c r="AI162" s="67"/>
    </row>
    <row r="163" spans="1:35" ht="18" customHeight="1" thickBot="1" x14ac:dyDescent="0.25">
      <c r="A163" s="68"/>
      <c r="B163" s="107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24"/>
      <c r="AI163" s="4381"/>
    </row>
    <row r="164" spans="1:35" ht="18" customHeight="1" thickBot="1" x14ac:dyDescent="0.25">
      <c r="A164" s="4353"/>
      <c r="B164" s="4179" t="s">
        <v>44</v>
      </c>
      <c r="C164" s="4082">
        <v>1</v>
      </c>
      <c r="D164" s="4082">
        <v>2</v>
      </c>
      <c r="E164" s="4082">
        <v>3</v>
      </c>
      <c r="F164" s="4082">
        <v>4</v>
      </c>
      <c r="G164" s="4083">
        <v>5</v>
      </c>
      <c r="H164" s="4083">
        <v>6</v>
      </c>
      <c r="I164" s="4082">
        <v>7</v>
      </c>
      <c r="J164" s="4082">
        <v>8</v>
      </c>
      <c r="K164" s="4082">
        <v>9</v>
      </c>
      <c r="L164" s="4082">
        <v>10</v>
      </c>
      <c r="M164" s="4082">
        <v>11</v>
      </c>
      <c r="N164" s="4083">
        <v>12</v>
      </c>
      <c r="O164" s="4083">
        <v>13</v>
      </c>
      <c r="P164" s="4082">
        <v>14</v>
      </c>
      <c r="Q164" s="4082">
        <v>15</v>
      </c>
      <c r="R164" s="4082">
        <v>16</v>
      </c>
      <c r="S164" s="4083">
        <v>17</v>
      </c>
      <c r="T164" s="4083">
        <v>18</v>
      </c>
      <c r="U164" s="4083">
        <v>19</v>
      </c>
      <c r="V164" s="4083">
        <v>20</v>
      </c>
      <c r="W164" s="4083">
        <v>21</v>
      </c>
      <c r="X164" s="4082">
        <v>22</v>
      </c>
      <c r="Y164" s="4082">
        <v>23</v>
      </c>
      <c r="Z164" s="4082">
        <v>24</v>
      </c>
      <c r="AA164" s="4082">
        <v>25</v>
      </c>
      <c r="AB164" s="4083">
        <v>26</v>
      </c>
      <c r="AC164" s="4083">
        <v>27</v>
      </c>
      <c r="AD164" s="4082">
        <v>28</v>
      </c>
      <c r="AE164" s="4082">
        <v>29</v>
      </c>
      <c r="AF164" s="4082">
        <v>30</v>
      </c>
      <c r="AG164" s="4084"/>
      <c r="AH164" s="67"/>
      <c r="AI164" s="67"/>
    </row>
    <row r="165" spans="1:35" ht="18" customHeight="1" x14ac:dyDescent="0.2">
      <c r="A165" s="4382">
        <v>1</v>
      </c>
      <c r="B165" s="4383" t="s">
        <v>265</v>
      </c>
      <c r="C165" s="4133">
        <v>79</v>
      </c>
      <c r="D165" s="4133">
        <v>79</v>
      </c>
      <c r="E165" s="4131">
        <v>79</v>
      </c>
      <c r="F165" s="4131">
        <v>79</v>
      </c>
      <c r="G165" s="4132"/>
      <c r="H165" s="4133"/>
      <c r="I165" s="4132">
        <v>89</v>
      </c>
      <c r="J165" s="4132">
        <v>89</v>
      </c>
      <c r="K165" s="4133">
        <v>89</v>
      </c>
      <c r="L165" s="4132">
        <v>89</v>
      </c>
      <c r="M165" s="4384">
        <v>89</v>
      </c>
      <c r="N165" s="4133">
        <v>89</v>
      </c>
      <c r="O165" s="4133"/>
      <c r="P165" s="4133">
        <v>99</v>
      </c>
      <c r="Q165" s="4133">
        <v>99</v>
      </c>
      <c r="R165" s="4133">
        <v>99</v>
      </c>
      <c r="S165" s="4131"/>
      <c r="T165" s="4131" t="s">
        <v>50</v>
      </c>
      <c r="U165" s="4133"/>
      <c r="V165" s="4133"/>
      <c r="W165" s="4133"/>
      <c r="X165" s="4385" t="s">
        <v>77</v>
      </c>
      <c r="Y165" s="4385" t="s">
        <v>77</v>
      </c>
      <c r="Z165" s="4133" t="s">
        <v>77</v>
      </c>
      <c r="AA165" s="4132" t="s">
        <v>77</v>
      </c>
      <c r="AB165" s="4133"/>
      <c r="AC165" s="4133"/>
      <c r="AD165" s="4965">
        <v>69</v>
      </c>
      <c r="AE165" s="4133">
        <v>69</v>
      </c>
      <c r="AF165" s="4132">
        <v>69</v>
      </c>
      <c r="AG165" s="4185"/>
      <c r="AH165" s="280"/>
      <c r="AI165" s="280"/>
    </row>
    <row r="166" spans="1:35" ht="18" customHeight="1" x14ac:dyDescent="0.2">
      <c r="A166" s="4386">
        <v>2</v>
      </c>
      <c r="B166" s="4387" t="s">
        <v>266</v>
      </c>
      <c r="C166" s="4388">
        <v>89</v>
      </c>
      <c r="D166" s="4389">
        <v>89</v>
      </c>
      <c r="E166" s="4388">
        <v>89</v>
      </c>
      <c r="F166" s="4388">
        <v>89</v>
      </c>
      <c r="G166" s="4388" t="s">
        <v>268</v>
      </c>
      <c r="H166" s="4117"/>
      <c r="I166" s="4102">
        <v>99</v>
      </c>
      <c r="J166" s="4390">
        <v>99</v>
      </c>
      <c r="K166" s="4117">
        <v>99</v>
      </c>
      <c r="L166" s="4106">
        <v>99</v>
      </c>
      <c r="M166" s="4106" t="s">
        <v>50</v>
      </c>
      <c r="N166" s="4117"/>
      <c r="O166" s="4117"/>
      <c r="P166" s="4391" t="s">
        <v>77</v>
      </c>
      <c r="Q166" s="4117" t="s">
        <v>77</v>
      </c>
      <c r="R166" s="4102" t="s">
        <v>77</v>
      </c>
      <c r="S166" s="4117"/>
      <c r="T166" s="4106"/>
      <c r="U166" s="4117"/>
      <c r="V166" s="4117"/>
      <c r="W166" s="4117"/>
      <c r="X166" s="4117">
        <v>69</v>
      </c>
      <c r="Y166" s="4117">
        <v>69</v>
      </c>
      <c r="Z166" s="4210">
        <v>69</v>
      </c>
      <c r="AA166" s="4210">
        <v>69</v>
      </c>
      <c r="AB166" s="4102"/>
      <c r="AC166" s="4116"/>
      <c r="AD166" s="4116">
        <v>79</v>
      </c>
      <c r="AE166" s="4116">
        <v>79</v>
      </c>
      <c r="AF166" s="4116">
        <v>79</v>
      </c>
      <c r="AG166" s="4230"/>
      <c r="AH166" s="280"/>
      <c r="AI166" s="280"/>
    </row>
    <row r="167" spans="1:35" ht="18" customHeight="1" x14ac:dyDescent="0.2">
      <c r="A167" s="4386">
        <v>3</v>
      </c>
      <c r="B167" s="4387" t="s">
        <v>267</v>
      </c>
      <c r="C167" s="4392">
        <v>99</v>
      </c>
      <c r="D167" s="4106">
        <v>99</v>
      </c>
      <c r="E167" s="4100">
        <v>99</v>
      </c>
      <c r="F167" s="4392" t="s">
        <v>50</v>
      </c>
      <c r="G167" s="4102"/>
      <c r="H167" s="4392"/>
      <c r="I167" s="4102" t="s">
        <v>77</v>
      </c>
      <c r="J167" s="4392" t="s">
        <v>77</v>
      </c>
      <c r="K167" s="4392" t="s">
        <v>77</v>
      </c>
      <c r="L167" s="4392" t="s">
        <v>77</v>
      </c>
      <c r="M167" s="4392" t="s">
        <v>77</v>
      </c>
      <c r="N167" s="4117"/>
      <c r="O167" s="4116"/>
      <c r="P167" s="4112">
        <v>69</v>
      </c>
      <c r="Q167" s="4112">
        <v>69</v>
      </c>
      <c r="R167" s="4112">
        <v>69</v>
      </c>
      <c r="S167" s="4116"/>
      <c r="T167" s="4116"/>
      <c r="U167" s="4116"/>
      <c r="V167" s="4114"/>
      <c r="W167" s="4114"/>
      <c r="X167" s="4393">
        <v>79</v>
      </c>
      <c r="Y167" s="4393">
        <v>79</v>
      </c>
      <c r="Z167" s="4100">
        <v>79</v>
      </c>
      <c r="AA167" s="4100">
        <v>79</v>
      </c>
      <c r="AB167" s="4392"/>
      <c r="AC167" s="4392"/>
      <c r="AD167" s="4112">
        <v>89</v>
      </c>
      <c r="AE167" s="4112">
        <v>89</v>
      </c>
      <c r="AF167" s="4112">
        <v>89</v>
      </c>
      <c r="AG167" s="4394"/>
      <c r="AH167" s="280"/>
      <c r="AI167" s="280"/>
    </row>
    <row r="168" spans="1:35" ht="18" customHeight="1" x14ac:dyDescent="0.2">
      <c r="A168" s="4386">
        <v>4</v>
      </c>
      <c r="B168" s="4387" t="s">
        <v>269</v>
      </c>
      <c r="C168" s="4106" t="s">
        <v>77</v>
      </c>
      <c r="D168" s="4106" t="s">
        <v>77</v>
      </c>
      <c r="E168" s="4395" t="s">
        <v>152</v>
      </c>
      <c r="F168" s="4106" t="s">
        <v>152</v>
      </c>
      <c r="G168" s="289">
        <v>89</v>
      </c>
      <c r="H168" s="4106"/>
      <c r="I168" s="4102">
        <v>69</v>
      </c>
      <c r="J168" s="4106">
        <v>69</v>
      </c>
      <c r="K168" s="4106">
        <v>69</v>
      </c>
      <c r="L168" s="4106">
        <v>69</v>
      </c>
      <c r="M168" s="4106">
        <v>69</v>
      </c>
      <c r="N168" s="4117"/>
      <c r="O168" s="4106"/>
      <c r="P168" s="4106">
        <v>79</v>
      </c>
      <c r="Q168" s="4296">
        <v>79</v>
      </c>
      <c r="R168" s="4296">
        <v>79</v>
      </c>
      <c r="S168" s="4106"/>
      <c r="T168" s="4106"/>
      <c r="U168" s="4106"/>
      <c r="V168" s="4106"/>
      <c r="W168" s="4106"/>
      <c r="X168" s="4112">
        <v>89</v>
      </c>
      <c r="Y168" s="4112">
        <v>89</v>
      </c>
      <c r="Z168" s="4112">
        <v>89</v>
      </c>
      <c r="AA168" s="4112">
        <v>89</v>
      </c>
      <c r="AB168" s="4112">
        <v>89</v>
      </c>
      <c r="AC168" s="4106"/>
      <c r="AD168" s="4106">
        <v>99</v>
      </c>
      <c r="AE168" s="4106">
        <v>99</v>
      </c>
      <c r="AF168" s="4296">
        <v>99</v>
      </c>
      <c r="AG168" s="4230"/>
      <c r="AH168" s="280"/>
      <c r="AI168" s="280"/>
    </row>
    <row r="169" spans="1:35" ht="18" customHeight="1" thickBot="1" x14ac:dyDescent="0.25">
      <c r="A169" s="4396">
        <v>5</v>
      </c>
      <c r="B169" s="4199" t="s">
        <v>270</v>
      </c>
      <c r="C169" s="4298">
        <v>69</v>
      </c>
      <c r="D169" s="4298">
        <v>69</v>
      </c>
      <c r="E169" s="4140">
        <v>69</v>
      </c>
      <c r="F169" s="4191">
        <v>69</v>
      </c>
      <c r="G169" s="4191"/>
      <c r="H169" s="4189"/>
      <c r="I169" s="4189">
        <v>79</v>
      </c>
      <c r="J169" s="4189">
        <v>79</v>
      </c>
      <c r="K169" s="4189">
        <v>79</v>
      </c>
      <c r="L169" s="4140">
        <v>79</v>
      </c>
      <c r="M169" s="4140">
        <v>79</v>
      </c>
      <c r="N169" s="4189"/>
      <c r="O169" s="4298"/>
      <c r="P169" s="4298">
        <v>89</v>
      </c>
      <c r="Q169" s="4298">
        <v>89</v>
      </c>
      <c r="R169" s="4298">
        <v>89</v>
      </c>
      <c r="S169" s="4140"/>
      <c r="T169" s="4144"/>
      <c r="U169" s="4298">
        <v>89</v>
      </c>
      <c r="V169" s="4298"/>
      <c r="W169" s="4298"/>
      <c r="X169" s="4298">
        <v>99</v>
      </c>
      <c r="Y169" s="4397">
        <v>99</v>
      </c>
      <c r="Z169" s="4397">
        <v>99</v>
      </c>
      <c r="AA169" s="4191" t="s">
        <v>50</v>
      </c>
      <c r="AB169" s="4298"/>
      <c r="AC169" s="4140"/>
      <c r="AD169" s="4140" t="s">
        <v>77</v>
      </c>
      <c r="AE169" s="4140" t="s">
        <v>77</v>
      </c>
      <c r="AF169" s="4140" t="s">
        <v>77</v>
      </c>
      <c r="AG169" s="4398"/>
      <c r="AH169" s="208"/>
      <c r="AI169" s="280"/>
    </row>
    <row r="170" spans="1:35" ht="18" customHeight="1" x14ac:dyDescent="0.2">
      <c r="A170" s="129"/>
      <c r="B170" s="141"/>
      <c r="C170" s="142"/>
      <c r="D170" s="142"/>
      <c r="E170" s="142"/>
      <c r="F170" s="128"/>
      <c r="G170" s="140"/>
      <c r="H170" s="140"/>
      <c r="I170" s="140"/>
      <c r="J170" s="140"/>
      <c r="K170" s="140"/>
      <c r="L170" s="128"/>
      <c r="M170" s="128"/>
      <c r="N170" s="142"/>
      <c r="O170" s="142"/>
      <c r="P170" s="142"/>
      <c r="Q170" s="142"/>
      <c r="R170" s="142"/>
      <c r="S170" s="128"/>
      <c r="T170" s="143"/>
      <c r="U170" s="142"/>
      <c r="V170" s="142"/>
      <c r="W170" s="142"/>
      <c r="X170" s="142"/>
      <c r="Y170" s="142"/>
      <c r="Z170" s="144"/>
      <c r="AA170" s="144"/>
      <c r="AB170" s="142"/>
      <c r="AC170" s="142"/>
      <c r="AD170" s="142"/>
      <c r="AE170" s="142"/>
      <c r="AF170" s="142"/>
      <c r="AG170" s="144"/>
      <c r="AH170" s="208"/>
      <c r="AI170" s="280"/>
    </row>
    <row r="171" spans="1:35" ht="18" customHeight="1" x14ac:dyDescent="0.2">
      <c r="A171" s="69"/>
      <c r="B171" s="70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208"/>
      <c r="AI171" s="280"/>
    </row>
    <row r="172" spans="1:35" ht="18" customHeight="1" thickBot="1" x14ac:dyDescent="0.25">
      <c r="A172" s="107" t="s">
        <v>271</v>
      </c>
      <c r="B172" s="108"/>
      <c r="C172" s="108"/>
      <c r="D172" s="109"/>
      <c r="E172" s="109"/>
      <c r="F172" s="109"/>
      <c r="G172" s="65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208"/>
      <c r="AI172" s="280"/>
    </row>
    <row r="173" spans="1:35" ht="18" customHeight="1" x14ac:dyDescent="0.2">
      <c r="A173" s="107"/>
      <c r="B173" s="4333" t="s">
        <v>255</v>
      </c>
      <c r="C173" s="4358"/>
      <c r="D173" s="4359" t="s">
        <v>17</v>
      </c>
      <c r="E173" s="4360"/>
      <c r="F173" s="4361"/>
      <c r="G173" s="4358"/>
      <c r="H173" s="4359" t="s">
        <v>18</v>
      </c>
      <c r="I173" s="4360"/>
      <c r="J173" s="4361"/>
      <c r="K173" s="4358"/>
      <c r="L173" s="4359" t="s">
        <v>19</v>
      </c>
      <c r="M173" s="4360"/>
      <c r="N173" s="4361"/>
      <c r="O173" s="4358"/>
      <c r="P173" s="4359" t="s">
        <v>20</v>
      </c>
      <c r="Q173" s="4360"/>
      <c r="R173" s="4361"/>
      <c r="S173" s="4358"/>
      <c r="T173" s="4359" t="s">
        <v>21</v>
      </c>
      <c r="U173" s="4360"/>
      <c r="V173" s="4361"/>
      <c r="W173" s="4358"/>
      <c r="X173" s="4359" t="s">
        <v>22</v>
      </c>
      <c r="Y173" s="4360"/>
      <c r="Z173" s="4361"/>
      <c r="AA173" s="4358"/>
      <c r="AB173" s="4359" t="s">
        <v>23</v>
      </c>
      <c r="AC173" s="4360"/>
      <c r="AD173" s="4360"/>
      <c r="AE173" s="4362" t="s">
        <v>126</v>
      </c>
      <c r="AF173" s="4360"/>
      <c r="AG173" s="4360"/>
      <c r="AH173" s="108"/>
      <c r="AI173" s="108"/>
    </row>
    <row r="174" spans="1:35" ht="18" customHeight="1" x14ac:dyDescent="0.2">
      <c r="A174" s="107"/>
      <c r="B174" s="4363" t="s">
        <v>272</v>
      </c>
      <c r="C174" s="4222" t="s">
        <v>273</v>
      </c>
      <c r="D174" s="4365"/>
      <c r="E174" s="4365"/>
      <c r="F174" s="4366"/>
      <c r="G174" s="4222" t="s">
        <v>273</v>
      </c>
      <c r="H174" s="4365"/>
      <c r="I174" s="4365"/>
      <c r="J174" s="4366"/>
      <c r="K174" s="4222" t="s">
        <v>273</v>
      </c>
      <c r="L174" s="4365"/>
      <c r="M174" s="4365"/>
      <c r="N174" s="4366"/>
      <c r="O174" s="4222" t="s">
        <v>274</v>
      </c>
      <c r="P174" s="4365"/>
      <c r="Q174" s="4365"/>
      <c r="R174" s="4366"/>
      <c r="S174" s="4222" t="s">
        <v>275</v>
      </c>
      <c r="T174" s="4365"/>
      <c r="U174" s="4365"/>
      <c r="V174" s="4366"/>
      <c r="W174" s="4222" t="s">
        <v>276</v>
      </c>
      <c r="X174" s="4367"/>
      <c r="Y174" s="4367"/>
      <c r="Z174" s="4368"/>
      <c r="AA174" s="4222" t="s">
        <v>276</v>
      </c>
      <c r="AB174" s="4365"/>
      <c r="AC174" s="4365"/>
      <c r="AD174" s="4223"/>
      <c r="AE174" s="4369">
        <v>68</v>
      </c>
      <c r="AF174" s="948"/>
      <c r="AG174" s="948"/>
      <c r="AH174" s="110"/>
      <c r="AI174" s="111"/>
    </row>
    <row r="175" spans="1:35" ht="18" customHeight="1" x14ac:dyDescent="0.2">
      <c r="A175" s="107"/>
      <c r="B175" s="4363"/>
      <c r="C175" s="4222" t="s">
        <v>244</v>
      </c>
      <c r="D175" s="4365"/>
      <c r="E175" s="4365"/>
      <c r="F175" s="4366"/>
      <c r="G175" s="4222" t="s">
        <v>244</v>
      </c>
      <c r="H175" s="4365"/>
      <c r="I175" s="4365"/>
      <c r="J175" s="4366"/>
      <c r="K175" s="4222" t="s">
        <v>244</v>
      </c>
      <c r="L175" s="4365"/>
      <c r="M175" s="4365"/>
      <c r="N175" s="4366"/>
      <c r="O175" s="4222" t="s">
        <v>244</v>
      </c>
      <c r="P175" s="4365"/>
      <c r="Q175" s="4365"/>
      <c r="R175" s="4366"/>
      <c r="S175" s="4222" t="s">
        <v>244</v>
      </c>
      <c r="T175" s="4365"/>
      <c r="U175" s="4365"/>
      <c r="V175" s="4366"/>
      <c r="W175" s="4222" t="s">
        <v>244</v>
      </c>
      <c r="X175" s="4365"/>
      <c r="Y175" s="4365"/>
      <c r="Z175" s="4366"/>
      <c r="AA175" s="4365" t="s">
        <v>244</v>
      </c>
      <c r="AB175" s="4365"/>
      <c r="AC175" s="4365"/>
      <c r="AD175" s="4223"/>
      <c r="AE175" s="4369">
        <v>0</v>
      </c>
      <c r="AF175" s="948"/>
      <c r="AG175" s="948"/>
      <c r="AH175" s="67"/>
      <c r="AI175" s="67"/>
    </row>
    <row r="176" spans="1:35" ht="18" customHeight="1" x14ac:dyDescent="0.2">
      <c r="A176" s="107"/>
      <c r="B176" s="4363" t="s">
        <v>277</v>
      </c>
      <c r="C176" s="4222" t="s">
        <v>274</v>
      </c>
      <c r="D176" s="4365"/>
      <c r="E176" s="4365"/>
      <c r="F176" s="4366"/>
      <c r="G176" s="4222" t="s">
        <v>274</v>
      </c>
      <c r="H176" s="4365"/>
      <c r="I176" s="4365"/>
      <c r="J176" s="4366"/>
      <c r="K176" s="4222" t="s">
        <v>274</v>
      </c>
      <c r="L176" s="4365"/>
      <c r="M176" s="4365"/>
      <c r="N176" s="4366"/>
      <c r="O176" s="4222" t="s">
        <v>273</v>
      </c>
      <c r="P176" s="4365"/>
      <c r="Q176" s="4365"/>
      <c r="R176" s="4366"/>
      <c r="S176" s="4222" t="s">
        <v>273</v>
      </c>
      <c r="T176" s="4365"/>
      <c r="U176" s="4365"/>
      <c r="V176" s="4366"/>
      <c r="W176" s="4222" t="s">
        <v>275</v>
      </c>
      <c r="X176" s="4367"/>
      <c r="Y176" s="4367"/>
      <c r="Z176" s="4368"/>
      <c r="AA176" s="4222" t="s">
        <v>275</v>
      </c>
      <c r="AB176" s="4365"/>
      <c r="AC176" s="4365"/>
      <c r="AD176" s="4223"/>
      <c r="AE176" s="4369">
        <v>68</v>
      </c>
      <c r="AF176" s="4365"/>
      <c r="AG176" s="4365" t="s">
        <v>0</v>
      </c>
      <c r="AH176" s="67"/>
      <c r="AI176" s="67"/>
    </row>
    <row r="177" spans="1:35" ht="18" customHeight="1" x14ac:dyDescent="0.2">
      <c r="A177" s="107"/>
      <c r="B177" s="4363"/>
      <c r="C177" s="4222" t="s">
        <v>244</v>
      </c>
      <c r="D177" s="4365"/>
      <c r="E177" s="4365"/>
      <c r="F177" s="4366"/>
      <c r="G177" s="4222" t="s">
        <v>244</v>
      </c>
      <c r="H177" s="4365"/>
      <c r="I177" s="4365"/>
      <c r="J177" s="4366"/>
      <c r="K177" s="4222" t="s">
        <v>244</v>
      </c>
      <c r="L177" s="4365"/>
      <c r="M177" s="4365"/>
      <c r="N177" s="4366"/>
      <c r="O177" s="4222" t="s">
        <v>244</v>
      </c>
      <c r="P177" s="4365"/>
      <c r="Q177" s="4365"/>
      <c r="R177" s="4366"/>
      <c r="S177" s="4222" t="s">
        <v>244</v>
      </c>
      <c r="T177" s="4365"/>
      <c r="U177" s="4365"/>
      <c r="V177" s="4366"/>
      <c r="W177" s="4222" t="s">
        <v>244</v>
      </c>
      <c r="X177" s="4365"/>
      <c r="Y177" s="4365"/>
      <c r="Z177" s="4366"/>
      <c r="AA177" s="4365" t="s">
        <v>244</v>
      </c>
      <c r="AB177" s="4365"/>
      <c r="AC177" s="4365"/>
      <c r="AD177" s="4223"/>
      <c r="AE177" s="4369">
        <v>0</v>
      </c>
      <c r="AF177" s="4365"/>
      <c r="AG177" s="4365"/>
      <c r="AH177" s="67"/>
      <c r="AI177" s="67"/>
    </row>
    <row r="178" spans="1:35" ht="18" customHeight="1" x14ac:dyDescent="0.2">
      <c r="A178" s="107"/>
      <c r="B178" s="4363" t="s">
        <v>278</v>
      </c>
      <c r="C178" s="4222" t="s">
        <v>273</v>
      </c>
      <c r="D178" s="4365"/>
      <c r="E178" s="4365"/>
      <c r="F178" s="4366"/>
      <c r="G178" s="4222" t="s">
        <v>273</v>
      </c>
      <c r="H178" s="4365"/>
      <c r="I178" s="4365"/>
      <c r="J178" s="4366"/>
      <c r="K178" s="4222" t="s">
        <v>273</v>
      </c>
      <c r="L178" s="4365"/>
      <c r="M178" s="4365"/>
      <c r="N178" s="4366"/>
      <c r="O178" s="4222" t="s">
        <v>273</v>
      </c>
      <c r="P178" s="4365"/>
      <c r="Q178" s="4365"/>
      <c r="R178" s="4366"/>
      <c r="S178" s="4222" t="s">
        <v>273</v>
      </c>
      <c r="T178" s="4365"/>
      <c r="U178" s="4365"/>
      <c r="V178" s="4366"/>
      <c r="W178" s="4222" t="s">
        <v>279</v>
      </c>
      <c r="X178" s="4371"/>
      <c r="Y178" s="4371"/>
      <c r="Z178" s="4301"/>
      <c r="AA178" s="4222" t="s">
        <v>279</v>
      </c>
      <c r="AB178" s="4371"/>
      <c r="AC178" s="4371"/>
      <c r="AD178" s="4303"/>
      <c r="AE178" s="4369">
        <v>68</v>
      </c>
      <c r="AF178" s="4365"/>
      <c r="AG178" s="4365"/>
      <c r="AH178" s="67"/>
      <c r="AI178" s="67"/>
    </row>
    <row r="179" spans="1:35" ht="18" customHeight="1" thickBot="1" x14ac:dyDescent="0.25">
      <c r="A179" s="107"/>
      <c r="B179" s="4363"/>
      <c r="C179" s="4399" t="s">
        <v>244</v>
      </c>
      <c r="D179" s="4400"/>
      <c r="E179" s="4400"/>
      <c r="F179" s="4401"/>
      <c r="G179" s="4399" t="s">
        <v>244</v>
      </c>
      <c r="H179" s="4400"/>
      <c r="I179" s="4400"/>
      <c r="J179" s="4401"/>
      <c r="K179" s="4399" t="s">
        <v>244</v>
      </c>
      <c r="L179" s="4400"/>
      <c r="M179" s="4400"/>
      <c r="N179" s="4401"/>
      <c r="O179" s="4399" t="s">
        <v>244</v>
      </c>
      <c r="P179" s="4400"/>
      <c r="Q179" s="4400"/>
      <c r="R179" s="4401"/>
      <c r="S179" s="4399" t="s">
        <v>244</v>
      </c>
      <c r="T179" s="4400"/>
      <c r="U179" s="4400"/>
      <c r="V179" s="4402"/>
      <c r="W179" s="4399" t="s">
        <v>244</v>
      </c>
      <c r="X179" s="4402"/>
      <c r="Y179" s="4400"/>
      <c r="Z179" s="4401"/>
      <c r="AA179" s="4399" t="s">
        <v>244</v>
      </c>
      <c r="AB179" s="4402"/>
      <c r="AC179" s="4400"/>
      <c r="AD179" s="4401"/>
      <c r="AE179" s="4403" t="s">
        <v>280</v>
      </c>
      <c r="AF179" s="4400"/>
      <c r="AG179" s="4400"/>
      <c r="AH179" s="67"/>
      <c r="AI179" s="67"/>
    </row>
    <row r="180" spans="1:35" ht="18" customHeight="1" thickBot="1" x14ac:dyDescent="0.25">
      <c r="A180" s="68"/>
      <c r="B180" s="107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67"/>
      <c r="AI180" s="67"/>
    </row>
    <row r="181" spans="1:35" ht="18" customHeight="1" thickBot="1" x14ac:dyDescent="0.25">
      <c r="A181" s="4353"/>
      <c r="B181" s="4179" t="s">
        <v>44</v>
      </c>
      <c r="C181" s="4082">
        <v>1</v>
      </c>
      <c r="D181" s="4082">
        <v>2</v>
      </c>
      <c r="E181" s="4082">
        <v>3</v>
      </c>
      <c r="F181" s="4082">
        <v>4</v>
      </c>
      <c r="G181" s="4083">
        <v>5</v>
      </c>
      <c r="H181" s="4083">
        <v>6</v>
      </c>
      <c r="I181" s="4082">
        <v>7</v>
      </c>
      <c r="J181" s="4082">
        <v>8</v>
      </c>
      <c r="K181" s="4082">
        <v>9</v>
      </c>
      <c r="L181" s="4082">
        <v>10</v>
      </c>
      <c r="M181" s="4082">
        <v>11</v>
      </c>
      <c r="N181" s="4083">
        <v>12</v>
      </c>
      <c r="O181" s="4083">
        <v>13</v>
      </c>
      <c r="P181" s="4082">
        <v>14</v>
      </c>
      <c r="Q181" s="4082">
        <v>15</v>
      </c>
      <c r="R181" s="4082">
        <v>16</v>
      </c>
      <c r="S181" s="4083">
        <v>17</v>
      </c>
      <c r="T181" s="4083">
        <v>18</v>
      </c>
      <c r="U181" s="4083">
        <v>19</v>
      </c>
      <c r="V181" s="4083">
        <v>20</v>
      </c>
      <c r="W181" s="4083">
        <v>21</v>
      </c>
      <c r="X181" s="4082">
        <v>22</v>
      </c>
      <c r="Y181" s="4082">
        <v>23</v>
      </c>
      <c r="Z181" s="4082">
        <v>24</v>
      </c>
      <c r="AA181" s="4082">
        <v>25</v>
      </c>
      <c r="AB181" s="4083">
        <v>26</v>
      </c>
      <c r="AC181" s="4083">
        <v>27</v>
      </c>
      <c r="AD181" s="4082">
        <v>28</v>
      </c>
      <c r="AE181" s="4082">
        <v>29</v>
      </c>
      <c r="AF181" s="4082">
        <v>30</v>
      </c>
      <c r="AG181" s="4084"/>
      <c r="AH181" s="67"/>
      <c r="AI181" s="67"/>
    </row>
    <row r="182" spans="1:35" ht="18" customHeight="1" x14ac:dyDescent="0.2">
      <c r="A182" s="4404">
        <v>1</v>
      </c>
      <c r="B182" s="4228" t="s">
        <v>391</v>
      </c>
      <c r="C182" s="4269" t="s">
        <v>50</v>
      </c>
      <c r="D182" s="4269" t="s">
        <v>50</v>
      </c>
      <c r="E182" s="4269" t="s">
        <v>50</v>
      </c>
      <c r="F182" s="4405" t="s">
        <v>50</v>
      </c>
      <c r="G182" s="4269"/>
      <c r="H182" s="4269"/>
      <c r="I182" s="4243">
        <v>21</v>
      </c>
      <c r="J182" s="4243">
        <v>21</v>
      </c>
      <c r="K182" s="4243">
        <v>21</v>
      </c>
      <c r="L182" s="4243">
        <v>21</v>
      </c>
      <c r="M182" s="4243">
        <v>21</v>
      </c>
      <c r="N182" s="4243">
        <v>21</v>
      </c>
      <c r="O182" s="4286">
        <v>21</v>
      </c>
      <c r="P182" s="4269" t="s">
        <v>50</v>
      </c>
      <c r="Q182" s="4269" t="s">
        <v>50</v>
      </c>
      <c r="R182" s="4269" t="s">
        <v>50</v>
      </c>
      <c r="S182" s="4269" t="s">
        <v>50</v>
      </c>
      <c r="U182" s="4269" t="s">
        <v>50</v>
      </c>
      <c r="V182" s="4269"/>
      <c r="W182" s="4406">
        <v>22</v>
      </c>
      <c r="X182" s="4406">
        <v>22</v>
      </c>
      <c r="Y182" s="4406">
        <v>22</v>
      </c>
      <c r="Z182" s="4406">
        <v>22</v>
      </c>
      <c r="AA182" s="4406">
        <v>22</v>
      </c>
      <c r="AB182" s="4406">
        <v>22</v>
      </c>
      <c r="AC182" s="4406">
        <v>22</v>
      </c>
      <c r="AD182" s="4243" t="s">
        <v>50</v>
      </c>
      <c r="AE182" s="4243" t="s">
        <v>50</v>
      </c>
      <c r="AF182" s="4243" t="s">
        <v>50</v>
      </c>
      <c r="AG182" s="4407"/>
      <c r="AH182" s="67"/>
      <c r="AI182" s="67"/>
    </row>
    <row r="183" spans="1:35" ht="18" customHeight="1" thickBot="1" x14ac:dyDescent="0.25">
      <c r="A183" s="4408">
        <v>2</v>
      </c>
      <c r="B183" s="4228" t="s">
        <v>452</v>
      </c>
      <c r="C183" s="4269" t="s">
        <v>50</v>
      </c>
      <c r="D183" s="4269" t="s">
        <v>50</v>
      </c>
      <c r="E183" s="4269" t="s">
        <v>50</v>
      </c>
      <c r="F183" s="4269" t="s">
        <v>50</v>
      </c>
      <c r="G183" s="4269"/>
      <c r="H183" s="4269"/>
      <c r="I183" s="4406">
        <v>22</v>
      </c>
      <c r="J183" s="4406">
        <v>22</v>
      </c>
      <c r="K183" s="4406">
        <v>22</v>
      </c>
      <c r="L183" s="4406">
        <v>22</v>
      </c>
      <c r="M183" s="4406">
        <v>22</v>
      </c>
      <c r="N183" s="4409">
        <v>22</v>
      </c>
      <c r="O183" s="4409">
        <v>22</v>
      </c>
      <c r="P183" s="4269" t="s">
        <v>50</v>
      </c>
      <c r="Q183" s="4269" t="s">
        <v>50</v>
      </c>
      <c r="R183" s="4269" t="s">
        <v>50</v>
      </c>
      <c r="S183" s="4269" t="s">
        <v>50</v>
      </c>
      <c r="T183" s="4269" t="s">
        <v>50</v>
      </c>
      <c r="U183" s="4269"/>
      <c r="V183" s="4269"/>
      <c r="W183" s="4244">
        <v>23</v>
      </c>
      <c r="X183" s="4244">
        <v>23</v>
      </c>
      <c r="Y183" s="4410">
        <v>23</v>
      </c>
      <c r="Z183" s="4410">
        <v>23</v>
      </c>
      <c r="AA183" s="4244">
        <v>23</v>
      </c>
      <c r="AB183" s="4406">
        <v>23</v>
      </c>
      <c r="AC183" s="4406">
        <v>23</v>
      </c>
      <c r="AD183" s="4406" t="s">
        <v>50</v>
      </c>
      <c r="AE183" s="4406" t="s">
        <v>50</v>
      </c>
      <c r="AF183" s="4406" t="s">
        <v>50</v>
      </c>
      <c r="AG183" s="4411"/>
    </row>
    <row r="184" spans="1:35" ht="18" customHeight="1" x14ac:dyDescent="0.2">
      <c r="A184" s="4408">
        <v>3</v>
      </c>
      <c r="B184" s="4228" t="s">
        <v>479</v>
      </c>
      <c r="C184" s="4269" t="s">
        <v>50</v>
      </c>
      <c r="D184" s="4269" t="s">
        <v>50</v>
      </c>
      <c r="E184" s="4269" t="s">
        <v>50</v>
      </c>
      <c r="F184" s="4269" t="s">
        <v>50</v>
      </c>
      <c r="G184" s="4269"/>
      <c r="H184" s="4269"/>
      <c r="I184" s="4244">
        <v>23</v>
      </c>
      <c r="J184" s="4244">
        <v>23</v>
      </c>
      <c r="K184" s="4410">
        <v>23</v>
      </c>
      <c r="L184" s="4410">
        <v>23</v>
      </c>
      <c r="M184" s="4244">
        <v>23</v>
      </c>
      <c r="N184" s="4406">
        <v>23</v>
      </c>
      <c r="O184" s="4406">
        <v>23</v>
      </c>
      <c r="P184" s="4269" t="s">
        <v>50</v>
      </c>
      <c r="Q184" s="4269" t="s">
        <v>50</v>
      </c>
      <c r="R184" s="4269" t="s">
        <v>50</v>
      </c>
      <c r="S184" s="4269" t="s">
        <v>50</v>
      </c>
      <c r="T184" s="4269" t="s">
        <v>50</v>
      </c>
      <c r="U184" s="4269"/>
      <c r="V184" s="4269"/>
      <c r="W184" s="4243">
        <v>21</v>
      </c>
      <c r="X184" s="4243">
        <v>21</v>
      </c>
      <c r="Y184" s="4412">
        <v>21</v>
      </c>
      <c r="Z184" s="4412">
        <v>21</v>
      </c>
      <c r="AA184" s="4412">
        <v>21</v>
      </c>
      <c r="AB184" s="4243">
        <v>21</v>
      </c>
      <c r="AC184" s="4286">
        <v>21</v>
      </c>
      <c r="AD184" s="4244" t="s">
        <v>50</v>
      </c>
      <c r="AE184" s="4244" t="s">
        <v>50</v>
      </c>
      <c r="AF184" s="4244" t="s">
        <v>50</v>
      </c>
      <c r="AG184" s="4411"/>
      <c r="AH184" s="123"/>
      <c r="AI184" s="123"/>
    </row>
    <row r="185" spans="1:35" ht="18" customHeight="1" x14ac:dyDescent="0.2">
      <c r="A185" s="4408">
        <v>4</v>
      </c>
      <c r="B185" s="371" t="s">
        <v>281</v>
      </c>
      <c r="C185" s="4244">
        <v>23</v>
      </c>
      <c r="D185" s="4244">
        <v>23</v>
      </c>
      <c r="E185" s="4244">
        <v>23</v>
      </c>
      <c r="F185" s="4244">
        <v>23</v>
      </c>
      <c r="G185" s="4244">
        <v>23</v>
      </c>
      <c r="H185" s="4244">
        <v>23</v>
      </c>
      <c r="I185" s="4269" t="s">
        <v>50</v>
      </c>
      <c r="J185" s="4269" t="s">
        <v>50</v>
      </c>
      <c r="K185" s="4269" t="s">
        <v>50</v>
      </c>
      <c r="L185" s="4269" t="s">
        <v>50</v>
      </c>
      <c r="M185" s="4269" t="s">
        <v>50</v>
      </c>
      <c r="N185" s="4413"/>
      <c r="O185" s="4405"/>
      <c r="P185" s="4244">
        <v>21</v>
      </c>
      <c r="Q185" s="4244">
        <v>21</v>
      </c>
      <c r="R185" s="4244">
        <v>21</v>
      </c>
      <c r="S185" s="4244">
        <v>21</v>
      </c>
      <c r="T185" s="4244">
        <v>21</v>
      </c>
      <c r="U185" s="4244">
        <v>21</v>
      </c>
      <c r="V185" s="4244">
        <v>21</v>
      </c>
      <c r="W185" s="4245" t="s">
        <v>50</v>
      </c>
      <c r="X185" s="4244" t="s">
        <v>50</v>
      </c>
      <c r="Y185" s="4244" t="s">
        <v>50</v>
      </c>
      <c r="Z185" s="4245" t="s">
        <v>50</v>
      </c>
      <c r="AA185" s="4244" t="s">
        <v>50</v>
      </c>
      <c r="AB185" s="4244"/>
      <c r="AC185" s="4244"/>
      <c r="AD185" s="4245" t="s">
        <v>401</v>
      </c>
      <c r="AE185" s="4244">
        <v>22</v>
      </c>
      <c r="AF185" s="4244">
        <v>22</v>
      </c>
      <c r="AG185" s="4273"/>
      <c r="AH185" s="208"/>
      <c r="AI185" s="123"/>
    </row>
    <row r="186" spans="1:35" ht="18" customHeight="1" x14ac:dyDescent="0.2">
      <c r="A186" s="4408">
        <v>5</v>
      </c>
      <c r="B186" s="4322" t="s">
        <v>282</v>
      </c>
      <c r="C186" s="4414">
        <v>21</v>
      </c>
      <c r="D186" s="4415">
        <v>21</v>
      </c>
      <c r="E186" s="4415">
        <v>21</v>
      </c>
      <c r="F186" s="4416">
        <v>21</v>
      </c>
      <c r="G186" s="4416">
        <v>21</v>
      </c>
      <c r="H186" s="4416">
        <v>21</v>
      </c>
      <c r="I186" s="4415" t="s">
        <v>50</v>
      </c>
      <c r="J186" s="4415" t="s">
        <v>50</v>
      </c>
      <c r="K186" s="4269" t="s">
        <v>50</v>
      </c>
      <c r="L186" s="4269" t="s">
        <v>50</v>
      </c>
      <c r="M186" s="4269" t="s">
        <v>50</v>
      </c>
      <c r="N186" s="4269"/>
      <c r="O186" s="4269"/>
      <c r="P186" s="4244">
        <v>22</v>
      </c>
      <c r="Q186" s="4244">
        <v>22</v>
      </c>
      <c r="R186" s="4244">
        <v>22</v>
      </c>
      <c r="S186" s="4244">
        <v>22</v>
      </c>
      <c r="T186" s="4244">
        <v>22</v>
      </c>
      <c r="U186" s="4244">
        <v>22</v>
      </c>
      <c r="V186" s="4406">
        <v>22</v>
      </c>
      <c r="W186" s="4245" t="s">
        <v>50</v>
      </c>
      <c r="X186" s="4244" t="s">
        <v>50</v>
      </c>
      <c r="Y186" s="4244" t="s">
        <v>50</v>
      </c>
      <c r="Z186" s="4405" t="s">
        <v>50</v>
      </c>
      <c r="AA186" s="4417" t="s">
        <v>50</v>
      </c>
      <c r="AB186" s="4244"/>
      <c r="AC186" s="4244"/>
      <c r="AD186" s="4406">
        <v>23</v>
      </c>
      <c r="AE186" s="4406">
        <v>23</v>
      </c>
      <c r="AF186" s="4244">
        <v>23</v>
      </c>
      <c r="AG186" s="4273"/>
      <c r="AH186" s="208"/>
      <c r="AI186" s="123"/>
    </row>
    <row r="187" spans="1:35" ht="18" customHeight="1" thickBot="1" x14ac:dyDescent="0.25">
      <c r="A187" s="4418">
        <v>6</v>
      </c>
      <c r="B187" s="4229" t="s">
        <v>194</v>
      </c>
      <c r="C187" s="4279">
        <v>22</v>
      </c>
      <c r="D187" s="4279">
        <v>22</v>
      </c>
      <c r="E187" s="4279">
        <v>22</v>
      </c>
      <c r="F187" s="4279">
        <v>22</v>
      </c>
      <c r="G187" s="4279">
        <v>22</v>
      </c>
      <c r="H187" s="4419">
        <v>22</v>
      </c>
      <c r="I187" s="4269" t="s">
        <v>50</v>
      </c>
      <c r="J187" s="4269" t="s">
        <v>50</v>
      </c>
      <c r="K187" s="4269" t="s">
        <v>50</v>
      </c>
      <c r="L187" s="4269" t="s">
        <v>50</v>
      </c>
      <c r="M187" s="4269" t="s">
        <v>50</v>
      </c>
      <c r="N187" s="4269"/>
      <c r="O187" s="4269"/>
      <c r="P187" s="4277">
        <v>23</v>
      </c>
      <c r="Q187" s="4277">
        <v>23</v>
      </c>
      <c r="R187" s="4277">
        <v>23</v>
      </c>
      <c r="S187" s="4277">
        <v>23</v>
      </c>
      <c r="T187" s="4277">
        <v>23</v>
      </c>
      <c r="U187" s="4420">
        <v>23</v>
      </c>
      <c r="V187" s="4420">
        <v>23</v>
      </c>
      <c r="W187" s="4245" t="s">
        <v>50</v>
      </c>
      <c r="X187" s="4244" t="s">
        <v>50</v>
      </c>
      <c r="Y187" s="4244" t="s">
        <v>50</v>
      </c>
      <c r="Z187" s="4245" t="s">
        <v>50</v>
      </c>
      <c r="AA187" s="4244" t="s">
        <v>50</v>
      </c>
      <c r="AB187" s="4244"/>
      <c r="AC187" s="4244"/>
      <c r="AD187" s="4421" t="s">
        <v>110</v>
      </c>
      <c r="AE187" s="4277">
        <v>21</v>
      </c>
      <c r="AF187" s="4277">
        <v>21</v>
      </c>
      <c r="AG187" s="4422"/>
      <c r="AH187" s="208"/>
      <c r="AI187" s="123"/>
    </row>
    <row r="188" spans="1:35" ht="18" customHeight="1" x14ac:dyDescent="0.2">
      <c r="A188" s="129"/>
      <c r="B188" s="127"/>
      <c r="C188" s="128"/>
      <c r="D188" s="128"/>
      <c r="E188" s="140"/>
      <c r="F188" s="128"/>
      <c r="G188" s="128"/>
      <c r="H188" s="145"/>
      <c r="I188" s="145"/>
      <c r="J188" s="145"/>
      <c r="K188" s="145"/>
      <c r="L188" s="145"/>
      <c r="M188" s="145"/>
      <c r="N188" s="125"/>
      <c r="O188" s="125"/>
      <c r="P188" s="140"/>
      <c r="Q188" s="128"/>
      <c r="R188" s="128"/>
      <c r="S188" s="140"/>
      <c r="T188" s="128"/>
      <c r="U188" s="128"/>
      <c r="V188" s="128"/>
      <c r="W188" s="128"/>
      <c r="X188" s="128"/>
      <c r="Y188" s="128"/>
      <c r="Z188" s="128"/>
      <c r="AA188" s="128"/>
      <c r="AB188" s="125"/>
      <c r="AC188" s="125"/>
      <c r="AD188" s="140"/>
      <c r="AE188" s="128"/>
      <c r="AF188" s="128"/>
      <c r="AG188" s="140"/>
      <c r="AH188" s="208"/>
      <c r="AI188" s="123"/>
    </row>
    <row r="189" spans="1:35" ht="18" customHeight="1" x14ac:dyDescent="0.2">
      <c r="A189" s="69"/>
      <c r="B189" s="70"/>
      <c r="C189" s="120"/>
      <c r="D189" s="120"/>
      <c r="E189" s="106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106"/>
      <c r="Q189" s="120"/>
      <c r="R189" s="120"/>
      <c r="S189" s="106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1"/>
      <c r="AD189" s="121"/>
      <c r="AE189" s="121"/>
      <c r="AF189" s="120"/>
      <c r="AG189" s="106"/>
      <c r="AH189" s="123"/>
      <c r="AI189" s="123"/>
    </row>
    <row r="190" spans="1:35" ht="18" customHeight="1" thickBot="1" x14ac:dyDescent="0.25">
      <c r="A190" s="103" t="s">
        <v>284</v>
      </c>
      <c r="D190" s="48"/>
      <c r="E190" s="48"/>
      <c r="F190" s="48"/>
      <c r="G190" s="65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110"/>
      <c r="AI190" s="111"/>
    </row>
    <row r="191" spans="1:35" ht="18" customHeight="1" x14ac:dyDescent="0.2">
      <c r="A191" s="1"/>
      <c r="B191" s="4333" t="s">
        <v>255</v>
      </c>
      <c r="C191" s="4334"/>
      <c r="D191" s="4359" t="s">
        <v>17</v>
      </c>
      <c r="E191" s="4154"/>
      <c r="F191" s="4338"/>
      <c r="G191" s="4334"/>
      <c r="H191" s="4359" t="s">
        <v>18</v>
      </c>
      <c r="I191" s="4154"/>
      <c r="J191" s="4338"/>
      <c r="K191" s="4334"/>
      <c r="L191" s="4359" t="s">
        <v>19</v>
      </c>
      <c r="M191" s="4154"/>
      <c r="N191" s="4338"/>
      <c r="O191" s="4334"/>
      <c r="P191" s="4359" t="s">
        <v>20</v>
      </c>
      <c r="Q191" s="4154"/>
      <c r="R191" s="4338"/>
      <c r="S191" s="4334"/>
      <c r="T191" s="4359" t="s">
        <v>21</v>
      </c>
      <c r="U191" s="4154"/>
      <c r="V191" s="4338"/>
      <c r="W191" s="4334"/>
      <c r="X191" s="4359" t="s">
        <v>22</v>
      </c>
      <c r="Y191" s="4154"/>
      <c r="Z191" s="4338"/>
      <c r="AA191" s="4334"/>
      <c r="AB191" s="4359" t="s">
        <v>23</v>
      </c>
      <c r="AC191" s="4154"/>
      <c r="AD191" s="4154"/>
      <c r="AE191" s="4362" t="s">
        <v>126</v>
      </c>
      <c r="AF191" s="4154"/>
      <c r="AG191" s="4154"/>
      <c r="AH191" s="132"/>
      <c r="AI191" s="116"/>
    </row>
    <row r="192" spans="1:35" ht="18" customHeight="1" x14ac:dyDescent="0.2">
      <c r="A192" s="1"/>
      <c r="B192" s="4363" t="s">
        <v>235</v>
      </c>
      <c r="C192" s="4222" t="s">
        <v>256</v>
      </c>
      <c r="D192" s="4054"/>
      <c r="E192" s="4054"/>
      <c r="F192" s="4366"/>
      <c r="G192" s="4222" t="s">
        <v>256</v>
      </c>
      <c r="H192" s="4054"/>
      <c r="I192" s="4054"/>
      <c r="J192" s="4366"/>
      <c r="K192" s="4222" t="s">
        <v>256</v>
      </c>
      <c r="L192" s="4054"/>
      <c r="M192" s="4054"/>
      <c r="N192" s="4366"/>
      <c r="O192" s="4222" t="s">
        <v>285</v>
      </c>
      <c r="P192" s="4054"/>
      <c r="Q192" s="4054"/>
      <c r="R192" s="4366"/>
      <c r="S192" s="4222" t="s">
        <v>244</v>
      </c>
      <c r="T192" s="4054"/>
      <c r="U192" s="4054"/>
      <c r="V192" s="4366"/>
      <c r="W192" s="4423"/>
      <c r="X192" s="4424"/>
      <c r="Y192" s="4424"/>
      <c r="Z192" s="4368"/>
      <c r="AA192" s="4364"/>
      <c r="AB192" s="4054"/>
      <c r="AC192" s="4054"/>
      <c r="AD192" s="4223"/>
      <c r="AE192" s="4369">
        <v>27</v>
      </c>
      <c r="AF192" s="4054"/>
      <c r="AG192" s="4054"/>
      <c r="AH192" s="132"/>
      <c r="AI192" s="116"/>
    </row>
    <row r="193" spans="1:35" ht="18" customHeight="1" x14ac:dyDescent="0.2">
      <c r="A193" s="1"/>
      <c r="B193" s="4363" t="s">
        <v>236</v>
      </c>
      <c r="C193" s="4222" t="s">
        <v>286</v>
      </c>
      <c r="D193" s="4054"/>
      <c r="E193" s="4054"/>
      <c r="F193" s="4366"/>
      <c r="G193" s="4222" t="s">
        <v>286</v>
      </c>
      <c r="H193" s="4054"/>
      <c r="I193" s="4054"/>
      <c r="J193" s="4366"/>
      <c r="K193" s="4222" t="s">
        <v>286</v>
      </c>
      <c r="L193" s="4054"/>
      <c r="M193" s="4054"/>
      <c r="N193" s="4366"/>
      <c r="O193" s="4222" t="s">
        <v>286</v>
      </c>
      <c r="P193" s="4054"/>
      <c r="Q193" s="4054"/>
      <c r="R193" s="4366"/>
      <c r="S193" s="4222" t="s">
        <v>256</v>
      </c>
      <c r="T193" s="4054"/>
      <c r="U193" s="4054"/>
      <c r="V193" s="4366"/>
      <c r="W193" s="4222"/>
      <c r="X193" s="4054"/>
      <c r="Y193" s="4054"/>
      <c r="Z193" s="4366"/>
      <c r="AA193" s="4054"/>
      <c r="AB193" s="4054"/>
      <c r="AC193" s="4054"/>
      <c r="AD193" s="4223"/>
      <c r="AE193" s="4369">
        <v>39</v>
      </c>
      <c r="AF193" s="4054"/>
      <c r="AG193" s="4054"/>
      <c r="AH193" s="132"/>
      <c r="AI193" s="116"/>
    </row>
    <row r="194" spans="1:35" ht="18" customHeight="1" x14ac:dyDescent="0.2">
      <c r="A194" s="1"/>
      <c r="B194" s="4363" t="s">
        <v>243</v>
      </c>
      <c r="C194" s="4222" t="s">
        <v>286</v>
      </c>
      <c r="D194" s="4054"/>
      <c r="E194" s="4054"/>
      <c r="F194" s="4366"/>
      <c r="G194" s="4222" t="s">
        <v>286</v>
      </c>
      <c r="H194" s="4054"/>
      <c r="I194" s="4054"/>
      <c r="J194" s="4366"/>
      <c r="K194" s="4222" t="s">
        <v>286</v>
      </c>
      <c r="L194" s="4054"/>
      <c r="M194" s="4054"/>
      <c r="N194" s="4366"/>
      <c r="O194" s="4222" t="s">
        <v>286</v>
      </c>
      <c r="P194" s="4054"/>
      <c r="Q194" s="4054"/>
      <c r="R194" s="4366"/>
      <c r="S194" s="4222" t="s">
        <v>286</v>
      </c>
      <c r="T194" s="4054"/>
      <c r="U194" s="4054"/>
      <c r="V194" s="4366"/>
      <c r="W194" s="4302" t="s">
        <v>260</v>
      </c>
      <c r="X194" s="4157"/>
      <c r="Y194" s="4157"/>
      <c r="Z194" s="4301"/>
      <c r="AA194" s="4370"/>
      <c r="AB194" s="4157"/>
      <c r="AC194" s="4157"/>
      <c r="AD194" s="4303"/>
      <c r="AE194" s="4369">
        <v>45</v>
      </c>
      <c r="AF194" s="4054"/>
      <c r="AG194" s="4054"/>
      <c r="AH194" s="132"/>
      <c r="AI194" s="116"/>
    </row>
    <row r="195" spans="1:35" ht="18" customHeight="1" thickBot="1" x14ac:dyDescent="0.25">
      <c r="A195" s="1"/>
      <c r="B195" s="147" t="s">
        <v>245</v>
      </c>
      <c r="C195" s="4399"/>
      <c r="D195" s="4170"/>
      <c r="E195" s="4170"/>
      <c r="F195" s="4401"/>
      <c r="G195" s="4399"/>
      <c r="H195" s="4170"/>
      <c r="I195" s="4170"/>
      <c r="J195" s="4401"/>
      <c r="K195" s="4399"/>
      <c r="L195" s="4170"/>
      <c r="M195" s="4170"/>
      <c r="N195" s="4401"/>
      <c r="O195" s="4399"/>
      <c r="P195" s="4170"/>
      <c r="Q195" s="4170"/>
      <c r="R195" s="4401"/>
      <c r="S195" s="4399"/>
      <c r="T195" s="4170"/>
      <c r="U195" s="4170"/>
      <c r="V195" s="4402"/>
      <c r="W195" s="4399"/>
      <c r="X195" s="4402"/>
      <c r="Y195" s="4170"/>
      <c r="Z195" s="4401"/>
      <c r="AA195" s="4399"/>
      <c r="AB195" s="4402"/>
      <c r="AC195" s="4170"/>
      <c r="AD195" s="4401"/>
      <c r="AE195" s="4425"/>
      <c r="AF195" s="4170"/>
      <c r="AG195" s="4170"/>
      <c r="AH195" s="132"/>
      <c r="AI195" s="116"/>
    </row>
    <row r="196" spans="1:35" ht="18" customHeight="1" thickBot="1" x14ac:dyDescent="0.25">
      <c r="A196" s="68"/>
      <c r="B196" s="1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124"/>
      <c r="AI196" s="67"/>
    </row>
    <row r="197" spans="1:35" ht="18" customHeight="1" thickBot="1" x14ac:dyDescent="0.25">
      <c r="A197" s="4353"/>
      <c r="B197" s="4179" t="s">
        <v>44</v>
      </c>
      <c r="C197" s="4082">
        <v>1</v>
      </c>
      <c r="D197" s="4082">
        <v>2</v>
      </c>
      <c r="E197" s="4082">
        <v>3</v>
      </c>
      <c r="F197" s="4082">
        <v>4</v>
      </c>
      <c r="G197" s="4083">
        <v>5</v>
      </c>
      <c r="H197" s="4083">
        <v>6</v>
      </c>
      <c r="I197" s="4082">
        <v>7</v>
      </c>
      <c r="J197" s="4082">
        <v>8</v>
      </c>
      <c r="K197" s="4082">
        <v>9</v>
      </c>
      <c r="L197" s="4082">
        <v>10</v>
      </c>
      <c r="M197" s="4082">
        <v>11</v>
      </c>
      <c r="N197" s="4083">
        <v>12</v>
      </c>
      <c r="O197" s="4083">
        <v>13</v>
      </c>
      <c r="P197" s="4082">
        <v>14</v>
      </c>
      <c r="Q197" s="4082">
        <v>15</v>
      </c>
      <c r="R197" s="4082">
        <v>16</v>
      </c>
      <c r="S197" s="4083">
        <v>17</v>
      </c>
      <c r="T197" s="4426">
        <v>18</v>
      </c>
      <c r="U197" s="4426">
        <v>19</v>
      </c>
      <c r="V197" s="4426">
        <v>20</v>
      </c>
      <c r="W197" s="4426">
        <v>21</v>
      </c>
      <c r="X197" s="4427">
        <v>22</v>
      </c>
      <c r="Y197" s="4427">
        <v>23</v>
      </c>
      <c r="Z197" s="4427">
        <v>24</v>
      </c>
      <c r="AA197" s="4082">
        <v>25</v>
      </c>
      <c r="AB197" s="4083">
        <v>26</v>
      </c>
      <c r="AC197" s="4083">
        <v>27</v>
      </c>
      <c r="AD197" s="4082">
        <v>28</v>
      </c>
      <c r="AE197" s="4082">
        <v>29</v>
      </c>
      <c r="AF197" s="4082">
        <v>30</v>
      </c>
      <c r="AG197" s="4084"/>
      <c r="AH197" s="67"/>
      <c r="AI197" s="67"/>
    </row>
    <row r="198" spans="1:35" ht="18" customHeight="1" x14ac:dyDescent="0.2">
      <c r="A198" s="4382">
        <v>1</v>
      </c>
      <c r="B198" s="4428" t="s">
        <v>462</v>
      </c>
      <c r="C198" s="4131" t="s">
        <v>46</v>
      </c>
      <c r="D198" s="4131" t="s">
        <v>46</v>
      </c>
      <c r="E198" s="4131" t="s">
        <v>46</v>
      </c>
      <c r="F198" s="4132" t="s">
        <v>46</v>
      </c>
      <c r="G198" s="4106" t="s">
        <v>290</v>
      </c>
      <c r="H198" s="4132"/>
      <c r="I198" s="4132" t="s">
        <v>46</v>
      </c>
      <c r="J198" s="4132" t="s">
        <v>46</v>
      </c>
      <c r="K198" s="4131" t="s">
        <v>46</v>
      </c>
      <c r="L198" s="4131" t="s">
        <v>46</v>
      </c>
      <c r="M198" s="4131" t="s">
        <v>46</v>
      </c>
      <c r="N198" s="4131"/>
      <c r="O198" s="4131"/>
      <c r="P198" s="4088" t="s">
        <v>46</v>
      </c>
      <c r="Q198" s="4131" t="s">
        <v>46</v>
      </c>
      <c r="R198" s="4131" t="s">
        <v>46</v>
      </c>
      <c r="S198" s="4131"/>
      <c r="T198" s="4131"/>
      <c r="U198" s="4106"/>
      <c r="V198" s="4131"/>
      <c r="W198" s="4131"/>
      <c r="X198" s="4131" t="s">
        <v>46</v>
      </c>
      <c r="Y198" s="4131" t="s">
        <v>46</v>
      </c>
      <c r="Z198" s="4131" t="s">
        <v>46</v>
      </c>
      <c r="AA198" s="4132" t="s">
        <v>46</v>
      </c>
      <c r="AB198" s="4106" t="s">
        <v>290</v>
      </c>
      <c r="AC198" s="4132"/>
      <c r="AD198" s="4132" t="s">
        <v>46</v>
      </c>
      <c r="AE198" s="4132" t="s">
        <v>46</v>
      </c>
      <c r="AF198" s="4131" t="s">
        <v>46</v>
      </c>
      <c r="AG198" s="4090"/>
      <c r="AH198" s="67"/>
      <c r="AI198" s="67"/>
    </row>
    <row r="199" spans="1:35" ht="18" customHeight="1" x14ac:dyDescent="0.2">
      <c r="A199" s="4386">
        <v>2</v>
      </c>
      <c r="B199" s="4429" t="s">
        <v>287</v>
      </c>
      <c r="C199" s="4106" t="s">
        <v>288</v>
      </c>
      <c r="D199" s="4106" t="s">
        <v>288</v>
      </c>
      <c r="E199" s="4106" t="s">
        <v>288</v>
      </c>
      <c r="F199" s="4116" t="s">
        <v>50</v>
      </c>
      <c r="G199" s="4106"/>
      <c r="H199" s="4106"/>
      <c r="I199" s="4106" t="s">
        <v>289</v>
      </c>
      <c r="J199" s="4106" t="s">
        <v>289</v>
      </c>
      <c r="K199" s="4106" t="s">
        <v>289</v>
      </c>
      <c r="L199" s="4106" t="s">
        <v>289</v>
      </c>
      <c r="M199" s="4106" t="s">
        <v>289</v>
      </c>
      <c r="N199" s="4106"/>
      <c r="O199" s="4106"/>
      <c r="P199" s="4430" t="s">
        <v>290</v>
      </c>
      <c r="Q199" s="4430" t="s">
        <v>290</v>
      </c>
      <c r="R199" s="4430" t="s">
        <v>290</v>
      </c>
      <c r="S199" s="4106"/>
      <c r="T199" s="4106"/>
      <c r="U199" s="4106"/>
      <c r="V199" s="4106"/>
      <c r="W199" s="4106"/>
      <c r="X199" s="4106" t="s">
        <v>288</v>
      </c>
      <c r="Y199" s="4106" t="s">
        <v>288</v>
      </c>
      <c r="Z199" s="4106" t="s">
        <v>288</v>
      </c>
      <c r="AA199" s="4116" t="s">
        <v>50</v>
      </c>
      <c r="AB199" s="4106"/>
      <c r="AC199" s="4106"/>
      <c r="AD199" s="4106" t="s">
        <v>289</v>
      </c>
      <c r="AE199" s="4106" t="s">
        <v>289</v>
      </c>
      <c r="AF199" s="4106" t="s">
        <v>289</v>
      </c>
      <c r="AG199" s="4109"/>
      <c r="AH199" s="67"/>
      <c r="AI199" s="67"/>
    </row>
    <row r="200" spans="1:35" ht="18" customHeight="1" x14ac:dyDescent="0.2">
      <c r="A200" s="4386">
        <v>3</v>
      </c>
      <c r="B200" s="4431" t="s">
        <v>516</v>
      </c>
      <c r="C200" s="4106" t="s">
        <v>289</v>
      </c>
      <c r="D200" s="4106" t="s">
        <v>289</v>
      </c>
      <c r="E200" s="4106" t="s">
        <v>289</v>
      </c>
      <c r="F200" s="4106" t="s">
        <v>289</v>
      </c>
      <c r="G200" s="4106"/>
      <c r="H200" s="4106"/>
      <c r="I200" s="4106" t="s">
        <v>290</v>
      </c>
      <c r="J200" s="4106" t="s">
        <v>290</v>
      </c>
      <c r="K200" s="4106" t="s">
        <v>290</v>
      </c>
      <c r="L200" s="4106" t="s">
        <v>290</v>
      </c>
      <c r="M200" s="4106" t="s">
        <v>290</v>
      </c>
      <c r="N200" s="4106" t="s">
        <v>290</v>
      </c>
      <c r="O200" s="4106"/>
      <c r="P200" s="4106" t="s">
        <v>288</v>
      </c>
      <c r="Q200" s="4106" t="s">
        <v>288</v>
      </c>
      <c r="R200" s="4106" t="s">
        <v>288</v>
      </c>
      <c r="S200" s="4106"/>
      <c r="T200" s="4106" t="s">
        <v>50</v>
      </c>
      <c r="U200" s="4106"/>
      <c r="V200" s="4106"/>
      <c r="W200" s="4106"/>
      <c r="X200" s="4106" t="s">
        <v>289</v>
      </c>
      <c r="Y200" s="4106" t="s">
        <v>289</v>
      </c>
      <c r="Z200" s="4106" t="s">
        <v>289</v>
      </c>
      <c r="AA200" s="4106" t="s">
        <v>289</v>
      </c>
      <c r="AB200" s="4106"/>
      <c r="AC200" s="4106"/>
      <c r="AD200" s="4106" t="s">
        <v>290</v>
      </c>
      <c r="AE200" s="4106" t="s">
        <v>290</v>
      </c>
      <c r="AF200" s="4106" t="s">
        <v>290</v>
      </c>
      <c r="AG200" s="4109"/>
      <c r="AH200" s="67"/>
      <c r="AI200" s="67"/>
    </row>
    <row r="201" spans="1:35" ht="18" customHeight="1" x14ac:dyDescent="0.2">
      <c r="A201" s="4386">
        <v>4</v>
      </c>
      <c r="B201" s="4431" t="s">
        <v>517</v>
      </c>
      <c r="C201" s="4094"/>
      <c r="D201" s="4106"/>
      <c r="E201" s="4106"/>
      <c r="F201" s="4106"/>
      <c r="G201" s="4106"/>
      <c r="H201" s="4106"/>
      <c r="I201" s="4106"/>
      <c r="J201" s="4106"/>
      <c r="K201" s="4106"/>
      <c r="L201" s="4106"/>
      <c r="M201" s="4106"/>
      <c r="N201" s="4106"/>
      <c r="O201" s="4106"/>
      <c r="P201" s="4106"/>
      <c r="Q201" s="4106"/>
      <c r="R201" s="4106"/>
      <c r="S201" s="4106"/>
      <c r="T201" s="4106"/>
      <c r="U201" s="4106" t="s">
        <v>290</v>
      </c>
      <c r="V201" s="4106"/>
      <c r="W201" s="4094"/>
      <c r="X201" s="4094"/>
      <c r="Y201" s="4106"/>
      <c r="Z201" s="4106"/>
      <c r="AA201" s="4106"/>
      <c r="AB201" s="4106"/>
      <c r="AC201" s="4106"/>
      <c r="AD201" s="4106"/>
      <c r="AE201" s="4106"/>
      <c r="AF201" s="4106"/>
      <c r="AG201" s="4432"/>
      <c r="AH201" s="123"/>
      <c r="AI201" s="123"/>
    </row>
    <row r="202" spans="1:35" ht="18" customHeight="1" x14ac:dyDescent="0.2">
      <c r="A202" s="4386">
        <v>5</v>
      </c>
      <c r="B202" s="4431" t="s">
        <v>292</v>
      </c>
      <c r="C202" s="4106"/>
      <c r="D202" s="4106"/>
      <c r="E202" s="4106"/>
      <c r="F202" s="4106"/>
      <c r="G202" s="4106"/>
      <c r="H202" s="4106"/>
      <c r="I202" s="4106"/>
      <c r="J202" s="4106"/>
      <c r="K202" s="4106"/>
      <c r="L202" s="4106"/>
      <c r="M202" s="4106"/>
      <c r="N202" s="4106"/>
      <c r="O202" s="4106"/>
      <c r="P202" s="4106"/>
      <c r="Q202" s="4106"/>
      <c r="R202" s="4106"/>
      <c r="S202" s="4106"/>
      <c r="T202" s="4106"/>
      <c r="U202" s="4106"/>
      <c r="V202" s="4094"/>
      <c r="W202" s="4106"/>
      <c r="X202" s="4106"/>
      <c r="Y202" s="4106"/>
      <c r="Z202" s="4106"/>
      <c r="AA202" s="4106"/>
      <c r="AB202" s="4106"/>
      <c r="AC202" s="4106"/>
      <c r="AD202" s="4106"/>
      <c r="AE202" s="4106"/>
      <c r="AF202" s="4106"/>
      <c r="AG202" s="4109"/>
      <c r="AH202" s="124"/>
      <c r="AI202" s="124"/>
    </row>
    <row r="203" spans="1:35" ht="18" customHeight="1" x14ac:dyDescent="0.2">
      <c r="A203" s="4386">
        <v>6</v>
      </c>
      <c r="B203" s="4091" t="s">
        <v>293</v>
      </c>
      <c r="C203" s="4106" t="s">
        <v>46</v>
      </c>
      <c r="D203" s="4117" t="s">
        <v>46</v>
      </c>
      <c r="E203" s="4106" t="s">
        <v>46</v>
      </c>
      <c r="F203" s="4094" t="s">
        <v>46</v>
      </c>
      <c r="G203" s="4094"/>
      <c r="H203" s="4094"/>
      <c r="I203" s="4094" t="s">
        <v>46</v>
      </c>
      <c r="J203" s="4106" t="s">
        <v>46</v>
      </c>
      <c r="K203" s="4106" t="s">
        <v>46</v>
      </c>
      <c r="L203" s="4102" t="s">
        <v>46</v>
      </c>
      <c r="M203" s="4106" t="s">
        <v>46</v>
      </c>
      <c r="N203" s="4106"/>
      <c r="O203" s="4106"/>
      <c r="P203" s="4106" t="s">
        <v>46</v>
      </c>
      <c r="Q203" s="4102" t="s">
        <v>46</v>
      </c>
      <c r="R203" s="4106" t="s">
        <v>46</v>
      </c>
      <c r="S203" s="4106"/>
      <c r="T203" s="4106"/>
      <c r="U203" s="4106"/>
      <c r="V203" s="4106"/>
      <c r="W203" s="4106"/>
      <c r="X203" s="4106" t="s">
        <v>46</v>
      </c>
      <c r="Y203" s="4117" t="s">
        <v>46</v>
      </c>
      <c r="Z203" s="4106" t="s">
        <v>46</v>
      </c>
      <c r="AA203" s="4094" t="s">
        <v>46</v>
      </c>
      <c r="AB203" s="4094"/>
      <c r="AC203" s="4094"/>
      <c r="AD203" s="4094" t="s">
        <v>46</v>
      </c>
      <c r="AE203" s="4106" t="s">
        <v>46</v>
      </c>
      <c r="AF203" s="4106" t="s">
        <v>46</v>
      </c>
      <c r="AG203" s="4230"/>
      <c r="AH203" s="124"/>
      <c r="AI203" s="124"/>
    </row>
    <row r="204" spans="1:35" ht="18" customHeight="1" thickBot="1" x14ac:dyDescent="0.25">
      <c r="A204" s="4396"/>
      <c r="B204" s="4093"/>
      <c r="C204" s="4140"/>
      <c r="D204" s="4140"/>
      <c r="E204" s="4140"/>
      <c r="F204" s="4140"/>
      <c r="G204" s="4140"/>
      <c r="H204" s="4140"/>
      <c r="I204" s="4140"/>
      <c r="J204" s="4140"/>
      <c r="K204" s="4140"/>
      <c r="L204" s="4140"/>
      <c r="M204" s="4140"/>
      <c r="N204" s="4140"/>
      <c r="O204" s="4140"/>
      <c r="P204" s="4140"/>
      <c r="Q204" s="4140"/>
      <c r="R204" s="4140"/>
      <c r="S204" s="4140"/>
      <c r="T204" s="4140"/>
      <c r="U204" s="4140"/>
      <c r="V204" s="4140"/>
      <c r="W204" s="4140"/>
      <c r="X204" s="4140"/>
      <c r="Y204" s="4140"/>
      <c r="Z204" s="4140"/>
      <c r="AA204" s="4140"/>
      <c r="AB204" s="4140"/>
      <c r="AC204" s="4140"/>
      <c r="AD204" s="4140"/>
      <c r="AE204" s="4140"/>
      <c r="AF204" s="4140"/>
      <c r="AG204" s="4146"/>
      <c r="AH204" s="124"/>
      <c r="AI204" s="124"/>
    </row>
    <row r="205" spans="1:35" ht="18" customHeight="1" x14ac:dyDescent="0.2">
      <c r="A205" s="129"/>
      <c r="B205" s="127"/>
      <c r="C205" s="128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28"/>
      <c r="AH205" s="124"/>
      <c r="AI205" s="124"/>
    </row>
    <row r="206" spans="1:35" ht="18" customHeight="1" x14ac:dyDescent="0.2">
      <c r="A206" s="129"/>
      <c r="B206" s="127"/>
      <c r="C206" s="128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28"/>
      <c r="AH206" s="124"/>
      <c r="AI206" s="124"/>
    </row>
    <row r="207" spans="1:35" ht="18" customHeight="1" thickBot="1" x14ac:dyDescent="0.25">
      <c r="A207" s="97" t="s">
        <v>294</v>
      </c>
      <c r="B207" s="48"/>
      <c r="C207" s="66"/>
      <c r="D207" s="48"/>
      <c r="E207" s="48"/>
      <c r="F207" s="66"/>
      <c r="G207" s="48"/>
      <c r="H207" s="48"/>
      <c r="I207" s="66"/>
      <c r="J207" s="66"/>
      <c r="K207" s="48"/>
      <c r="L207" s="66"/>
      <c r="M207" s="48"/>
      <c r="N207" s="48"/>
      <c r="O207" s="66"/>
      <c r="P207" s="48"/>
      <c r="Q207" s="66"/>
      <c r="R207" s="66"/>
      <c r="S207" s="48"/>
      <c r="T207" s="48"/>
      <c r="U207" s="66"/>
      <c r="V207" s="48"/>
      <c r="W207" s="66"/>
      <c r="X207" s="66"/>
      <c r="Y207" s="48"/>
      <c r="Z207" s="48"/>
      <c r="AA207" s="48"/>
      <c r="AB207" s="48"/>
      <c r="AC207" s="48"/>
      <c r="AD207" s="48"/>
      <c r="AE207" s="66"/>
      <c r="AF207" s="48"/>
      <c r="AG207" s="48"/>
      <c r="AH207" s="124"/>
      <c r="AI207" s="124"/>
    </row>
    <row r="208" spans="1:35" ht="18" customHeight="1" x14ac:dyDescent="0.2">
      <c r="A208" s="69"/>
      <c r="B208" s="4433" t="s">
        <v>295</v>
      </c>
      <c r="C208" s="4434"/>
      <c r="D208" s="224" t="s">
        <v>17</v>
      </c>
      <c r="E208" s="225"/>
      <c r="F208" s="4435"/>
      <c r="G208" s="4436"/>
      <c r="H208" s="224" t="s">
        <v>18</v>
      </c>
      <c r="I208" s="225"/>
      <c r="J208" s="4435"/>
      <c r="K208" s="4436"/>
      <c r="L208" s="224" t="s">
        <v>19</v>
      </c>
      <c r="M208" s="225"/>
      <c r="N208" s="4435"/>
      <c r="O208" s="4436"/>
      <c r="P208" s="224" t="s">
        <v>20</v>
      </c>
      <c r="Q208" s="225"/>
      <c r="R208" s="4435"/>
      <c r="S208" s="4436"/>
      <c r="T208" s="224" t="s">
        <v>21</v>
      </c>
      <c r="U208" s="225"/>
      <c r="V208" s="4435"/>
      <c r="W208" s="4436"/>
      <c r="X208" s="224" t="s">
        <v>22</v>
      </c>
      <c r="Y208" s="225"/>
      <c r="Z208" s="4435"/>
      <c r="AA208" s="4436"/>
      <c r="AB208" s="224" t="s">
        <v>23</v>
      </c>
      <c r="AC208" s="225"/>
      <c r="AD208" s="225"/>
      <c r="AE208" s="4437" t="s">
        <v>126</v>
      </c>
      <c r="AF208" s="225"/>
      <c r="AG208" s="225"/>
      <c r="AH208" s="124"/>
      <c r="AI208" s="124"/>
    </row>
    <row r="209" spans="1:37" ht="18" customHeight="1" x14ac:dyDescent="0.2">
      <c r="A209" s="69"/>
      <c r="B209" s="4438" t="s">
        <v>296</v>
      </c>
      <c r="C209" s="4439" t="s">
        <v>297</v>
      </c>
      <c r="D209" s="4440" t="s">
        <v>298</v>
      </c>
      <c r="E209" s="4441"/>
      <c r="F209" s="4442"/>
      <c r="G209" s="4443"/>
      <c r="H209" s="4444" t="s">
        <v>298</v>
      </c>
      <c r="I209" s="4445"/>
      <c r="J209" s="4442"/>
      <c r="K209" s="4443"/>
      <c r="L209" s="4444" t="s">
        <v>298</v>
      </c>
      <c r="M209" s="4445"/>
      <c r="N209" s="4442"/>
      <c r="O209" s="4443"/>
      <c r="P209" s="4444" t="s">
        <v>299</v>
      </c>
      <c r="Q209" s="4445"/>
      <c r="R209" s="4442"/>
      <c r="S209" s="4443"/>
      <c r="T209" s="4444" t="s">
        <v>300</v>
      </c>
      <c r="U209" s="4445"/>
      <c r="V209" s="4442"/>
      <c r="W209" s="4446"/>
      <c r="X209" s="4447"/>
      <c r="Y209" s="4447"/>
      <c r="Z209" s="4448"/>
      <c r="AA209" s="4446"/>
      <c r="AB209" s="4447"/>
      <c r="AC209" s="4447"/>
      <c r="AD209" s="4447"/>
      <c r="AE209" s="4446"/>
      <c r="AF209" s="4447"/>
      <c r="AG209" s="4447"/>
      <c r="AH209" s="124"/>
      <c r="AI209" s="124"/>
    </row>
    <row r="210" spans="1:37" ht="18" customHeight="1" x14ac:dyDescent="0.2">
      <c r="A210" s="69"/>
      <c r="B210" s="4438" t="s">
        <v>301</v>
      </c>
      <c r="C210" s="4439" t="s">
        <v>174</v>
      </c>
      <c r="D210" s="4440" t="s">
        <v>298</v>
      </c>
      <c r="E210" s="4441"/>
      <c r="F210" s="4442"/>
      <c r="G210" s="4443"/>
      <c r="H210" s="4444" t="s">
        <v>298</v>
      </c>
      <c r="I210" s="4445"/>
      <c r="J210" s="4442"/>
      <c r="K210" s="4443"/>
      <c r="L210" s="4444" t="s">
        <v>302</v>
      </c>
      <c r="M210" s="4445"/>
      <c r="N210" s="4442"/>
      <c r="O210" s="4443"/>
      <c r="P210" s="4444" t="s">
        <v>303</v>
      </c>
      <c r="Q210" s="4445"/>
      <c r="R210" s="4442"/>
      <c r="S210" s="4443"/>
      <c r="T210" s="4444" t="s">
        <v>304</v>
      </c>
      <c r="U210" s="4445"/>
      <c r="V210" s="4442"/>
      <c r="W210" s="4446"/>
      <c r="X210" s="4447"/>
      <c r="Y210" s="4447"/>
      <c r="Z210" s="4448"/>
      <c r="AA210" s="4446"/>
      <c r="AB210" s="4447"/>
      <c r="AC210" s="4447"/>
      <c r="AD210" s="4447"/>
      <c r="AE210" s="4446"/>
      <c r="AF210" s="4447"/>
      <c r="AG210" s="4447"/>
      <c r="AH210" s="124"/>
      <c r="AI210" s="124"/>
    </row>
    <row r="211" spans="1:37" ht="18" customHeight="1" x14ac:dyDescent="0.2">
      <c r="A211" s="69"/>
      <c r="B211" s="4438" t="s">
        <v>305</v>
      </c>
      <c r="C211" s="4439" t="s">
        <v>154</v>
      </c>
      <c r="D211" s="4440" t="s">
        <v>306</v>
      </c>
      <c r="E211" s="4441"/>
      <c r="F211" s="4442"/>
      <c r="G211" s="4443"/>
      <c r="H211" s="4440" t="s">
        <v>306</v>
      </c>
      <c r="I211" s="4445"/>
      <c r="J211" s="4442"/>
      <c r="K211" s="4443"/>
      <c r="L211" s="4440" t="s">
        <v>306</v>
      </c>
      <c r="M211" s="4445"/>
      <c r="N211" s="4442"/>
      <c r="O211" s="4443"/>
      <c r="P211" s="4444" t="s">
        <v>307</v>
      </c>
      <c r="Q211" s="4445"/>
      <c r="R211" s="4442"/>
      <c r="S211" s="4443"/>
      <c r="T211" s="4444" t="s">
        <v>304</v>
      </c>
      <c r="U211" s="4445"/>
      <c r="V211" s="4442"/>
      <c r="W211" s="4446"/>
      <c r="X211" s="4447"/>
      <c r="Y211" s="4447"/>
      <c r="Z211" s="4448"/>
      <c r="AA211" s="4446"/>
      <c r="AB211" s="4447"/>
      <c r="AC211" s="4447"/>
      <c r="AD211" s="4447"/>
      <c r="AE211" s="4446"/>
      <c r="AF211" s="4447"/>
      <c r="AG211" s="4447"/>
      <c r="AH211" s="124"/>
      <c r="AI211" s="124"/>
      <c r="AJ211" s="123"/>
    </row>
    <row r="212" spans="1:37" ht="18" customHeight="1" x14ac:dyDescent="0.2">
      <c r="A212" s="69"/>
      <c r="B212" s="4438" t="s">
        <v>308</v>
      </c>
      <c r="C212" s="4439" t="s">
        <v>309</v>
      </c>
      <c r="D212" s="4440" t="s">
        <v>310</v>
      </c>
      <c r="E212" s="4441"/>
      <c r="F212" s="4442"/>
      <c r="G212" s="4443"/>
      <c r="H212" s="4444" t="s">
        <v>298</v>
      </c>
      <c r="I212" s="4445"/>
      <c r="J212" s="4442"/>
      <c r="K212" s="4443"/>
      <c r="L212" s="4444" t="s">
        <v>298</v>
      </c>
      <c r="M212" s="4445"/>
      <c r="N212" s="4442"/>
      <c r="O212" s="4443"/>
      <c r="P212" s="4444" t="s">
        <v>311</v>
      </c>
      <c r="Q212" s="4445"/>
      <c r="R212" s="4442"/>
      <c r="S212" s="4443"/>
      <c r="T212" s="4444" t="s">
        <v>312</v>
      </c>
      <c r="U212" s="4445"/>
      <c r="V212" s="4442"/>
      <c r="W212" s="4446"/>
      <c r="X212" s="4447"/>
      <c r="Y212" s="4447"/>
      <c r="Z212" s="4448"/>
      <c r="AA212" s="4446"/>
      <c r="AB212" s="4447"/>
      <c r="AC212" s="4447"/>
      <c r="AD212" s="4447"/>
      <c r="AE212" s="4446"/>
      <c r="AF212" s="4447"/>
      <c r="AG212" s="4447"/>
      <c r="AH212" s="123"/>
      <c r="AI212" s="123"/>
      <c r="AJ212" s="123"/>
    </row>
    <row r="213" spans="1:37" ht="18" customHeight="1" x14ac:dyDescent="0.2">
      <c r="A213" s="69"/>
      <c r="B213" s="3950" t="s">
        <v>313</v>
      </c>
      <c r="C213" s="4439" t="s">
        <v>160</v>
      </c>
      <c r="D213" s="4440" t="s">
        <v>314</v>
      </c>
      <c r="E213" s="4441"/>
      <c r="F213" s="4449"/>
      <c r="G213" s="4450"/>
      <c r="H213" s="4440" t="s">
        <v>314</v>
      </c>
      <c r="I213" s="4451"/>
      <c r="J213" s="4449"/>
      <c r="K213" s="4450"/>
      <c r="L213" s="4440" t="s">
        <v>314</v>
      </c>
      <c r="M213" s="4451"/>
      <c r="N213" s="4449"/>
      <c r="O213" s="4450"/>
      <c r="P213" s="4444" t="s">
        <v>315</v>
      </c>
      <c r="Q213" s="4451"/>
      <c r="R213" s="4449"/>
      <c r="S213" s="4450"/>
      <c r="T213" s="4444" t="s">
        <v>304</v>
      </c>
      <c r="U213" s="4451"/>
      <c r="V213" s="4306"/>
      <c r="W213" s="4452"/>
      <c r="X213" s="4453"/>
      <c r="Y213" s="4453"/>
      <c r="Z213" s="1008"/>
      <c r="AA213" s="4452"/>
      <c r="AB213" s="4453"/>
      <c r="AC213" s="4453"/>
      <c r="AD213" s="4453"/>
      <c r="AE213" s="4452"/>
      <c r="AF213" s="4453"/>
      <c r="AG213" s="4453"/>
      <c r="AH213" s="124"/>
      <c r="AI213" s="124"/>
      <c r="AJ213" s="123"/>
    </row>
    <row r="214" spans="1:37" ht="18" customHeight="1" x14ac:dyDescent="0.2">
      <c r="A214" s="69"/>
      <c r="B214" s="4438" t="s">
        <v>316</v>
      </c>
      <c r="C214" s="4439" t="s">
        <v>168</v>
      </c>
      <c r="D214" s="4440" t="s">
        <v>317</v>
      </c>
      <c r="E214" s="4441"/>
      <c r="F214" s="4442"/>
      <c r="G214" s="4443"/>
      <c r="H214" s="4440" t="s">
        <v>317</v>
      </c>
      <c r="I214" s="4445"/>
      <c r="J214" s="4442"/>
      <c r="K214" s="4443"/>
      <c r="L214" s="4440" t="s">
        <v>317</v>
      </c>
      <c r="M214" s="4445"/>
      <c r="N214" s="4442"/>
      <c r="O214" s="4443"/>
      <c r="P214" s="4444" t="s">
        <v>318</v>
      </c>
      <c r="Q214" s="4445"/>
      <c r="R214" s="4442"/>
      <c r="S214" s="4443"/>
      <c r="T214" s="4444" t="s">
        <v>304</v>
      </c>
      <c r="U214" s="4445"/>
      <c r="V214" s="4442"/>
      <c r="W214" s="4446"/>
      <c r="X214" s="4447"/>
      <c r="Y214" s="4447"/>
      <c r="Z214" s="4072"/>
      <c r="AA214" s="4446"/>
      <c r="AB214" s="4447"/>
      <c r="AC214" s="4447"/>
      <c r="AD214" s="4447"/>
      <c r="AE214" s="4446"/>
      <c r="AF214" s="4447"/>
      <c r="AG214" s="4447"/>
      <c r="AH214" s="124"/>
      <c r="AI214" s="124"/>
      <c r="AJ214" s="123"/>
    </row>
    <row r="215" spans="1:37" ht="18" customHeight="1" x14ac:dyDescent="0.2">
      <c r="A215" s="69"/>
      <c r="B215" s="4438" t="s">
        <v>321</v>
      </c>
      <c r="C215" s="4439" t="s">
        <v>322</v>
      </c>
      <c r="D215" s="4440" t="s">
        <v>320</v>
      </c>
      <c r="E215" s="4441"/>
      <c r="F215" s="4442"/>
      <c r="G215" s="4443"/>
      <c r="H215" s="4444" t="s">
        <v>320</v>
      </c>
      <c r="I215" s="4445"/>
      <c r="J215" s="4442"/>
      <c r="K215" s="4443"/>
      <c r="L215" s="4444" t="s">
        <v>320</v>
      </c>
      <c r="M215" s="4445"/>
      <c r="N215" s="4445"/>
      <c r="O215" s="4443"/>
      <c r="P215" s="4444" t="s">
        <v>320</v>
      </c>
      <c r="Q215" s="4445"/>
      <c r="R215" s="4445"/>
      <c r="S215" s="4443"/>
      <c r="T215" s="4444" t="s">
        <v>304</v>
      </c>
      <c r="U215" s="4445"/>
      <c r="V215" s="4442"/>
      <c r="W215" s="3936"/>
      <c r="X215" s="4447"/>
      <c r="Y215" s="4447"/>
      <c r="Z215" s="4448"/>
      <c r="AA215" s="4454"/>
      <c r="AB215" s="4455"/>
      <c r="AC215" s="4455"/>
      <c r="AD215" s="4455"/>
      <c r="AE215" s="4456"/>
      <c r="AF215" s="4455"/>
      <c r="AG215" s="4455"/>
      <c r="AH215" s="124"/>
      <c r="AI215" s="124"/>
      <c r="AJ215" s="123"/>
    </row>
    <row r="216" spans="1:37" ht="18" customHeight="1" x14ac:dyDescent="0.2">
      <c r="A216" s="69"/>
      <c r="B216" s="3936" t="s">
        <v>465</v>
      </c>
      <c r="C216" s="4439" t="s">
        <v>451</v>
      </c>
      <c r="D216" s="4440" t="s">
        <v>577</v>
      </c>
      <c r="E216" s="4441"/>
      <c r="F216" s="4442"/>
      <c r="G216" s="4443"/>
      <c r="H216" s="4444" t="s">
        <v>577</v>
      </c>
      <c r="I216" s="4445"/>
      <c r="J216" s="4442"/>
      <c r="K216" s="4443"/>
      <c r="L216" s="4444" t="s">
        <v>577</v>
      </c>
      <c r="M216" s="4445"/>
      <c r="N216" s="4445"/>
      <c r="O216" s="4443"/>
      <c r="P216" s="4444" t="s">
        <v>578</v>
      </c>
      <c r="Q216" s="4445"/>
      <c r="R216" s="4445"/>
      <c r="S216" s="4443"/>
      <c r="T216" s="4444" t="s">
        <v>579</v>
      </c>
      <c r="U216" s="4445"/>
      <c r="V216" s="4442"/>
      <c r="W216" s="4438"/>
      <c r="X216" s="4457"/>
      <c r="Y216" s="4457"/>
      <c r="Z216" s="4457"/>
      <c r="AA216" s="4458"/>
      <c r="AB216" s="4457"/>
      <c r="AC216" s="4457"/>
      <c r="AD216" s="4457"/>
      <c r="AE216" s="4458"/>
      <c r="AF216" s="4457"/>
      <c r="AG216" s="4459"/>
      <c r="AH216" s="124"/>
      <c r="AI216" s="124"/>
      <c r="AJ216" s="123"/>
    </row>
    <row r="217" spans="1:37" ht="18" customHeight="1" thickBot="1" x14ac:dyDescent="0.25">
      <c r="A217" s="69"/>
      <c r="B217" t="s">
        <v>323</v>
      </c>
      <c r="C217" s="122"/>
      <c r="F217" s="122"/>
      <c r="I217" s="122"/>
      <c r="J217" s="122"/>
      <c r="L217" s="122"/>
      <c r="O217" s="122"/>
      <c r="Q217" s="122"/>
      <c r="R217" s="122"/>
      <c r="U217" s="122"/>
      <c r="W217" s="122"/>
      <c r="X217" s="122"/>
      <c r="AE217" s="122"/>
      <c r="AH217" s="124"/>
      <c r="AI217" s="124"/>
      <c r="AJ217" s="123"/>
    </row>
    <row r="218" spans="1:37" ht="18" customHeight="1" x14ac:dyDescent="0.2">
      <c r="A218" s="69"/>
      <c r="B218" s="4433" t="s">
        <v>295</v>
      </c>
      <c r="C218" s="4460"/>
      <c r="D218" s="224" t="s">
        <v>17</v>
      </c>
      <c r="E218" s="225"/>
      <c r="F218" s="4435"/>
      <c r="G218" s="4436"/>
      <c r="H218" s="224" t="s">
        <v>18</v>
      </c>
      <c r="I218" s="225"/>
      <c r="J218" s="4435"/>
      <c r="K218" s="4436"/>
      <c r="L218" s="224" t="s">
        <v>19</v>
      </c>
      <c r="M218" s="225"/>
      <c r="N218" s="4435"/>
      <c r="O218" s="4436"/>
      <c r="P218" s="224" t="s">
        <v>20</v>
      </c>
      <c r="Q218" s="225"/>
      <c r="R218" s="4435"/>
      <c r="S218" s="4436"/>
      <c r="T218" s="224" t="s">
        <v>21</v>
      </c>
      <c r="U218" s="225"/>
      <c r="V218" s="4435"/>
      <c r="W218" s="4436"/>
      <c r="X218" s="224" t="s">
        <v>22</v>
      </c>
      <c r="Y218" s="225"/>
      <c r="Z218" s="4435"/>
      <c r="AA218" s="4436"/>
      <c r="AB218" s="224" t="s">
        <v>23</v>
      </c>
      <c r="AC218" s="225"/>
      <c r="AD218" s="225"/>
      <c r="AE218" s="4437" t="s">
        <v>126</v>
      </c>
      <c r="AF218" s="225"/>
      <c r="AG218" s="225"/>
      <c r="AH218" s="124"/>
      <c r="AI218" s="124"/>
      <c r="AJ218" s="123"/>
    </row>
    <row r="219" spans="1:37" ht="18" customHeight="1" x14ac:dyDescent="0.2">
      <c r="A219" s="69"/>
      <c r="B219" s="3936" t="s">
        <v>296</v>
      </c>
      <c r="C219" s="4439" t="s">
        <v>297</v>
      </c>
      <c r="D219" s="4440" t="s">
        <v>324</v>
      </c>
      <c r="E219" s="4441"/>
      <c r="F219" s="4442"/>
      <c r="G219" s="4443"/>
      <c r="H219" s="4440" t="s">
        <v>324</v>
      </c>
      <c r="I219" s="4445"/>
      <c r="J219" s="4442"/>
      <c r="K219" s="4443"/>
      <c r="L219" s="4440" t="s">
        <v>324</v>
      </c>
      <c r="M219" s="4445"/>
      <c r="N219" s="4442"/>
      <c r="O219" s="4443"/>
      <c r="P219" s="4444" t="s">
        <v>325</v>
      </c>
      <c r="Q219" s="4445"/>
      <c r="R219" s="4442"/>
      <c r="S219" s="4443"/>
      <c r="T219" s="4444" t="s">
        <v>326</v>
      </c>
      <c r="U219" s="4445"/>
      <c r="V219" s="4442"/>
      <c r="W219" s="4458"/>
      <c r="X219" s="4072"/>
      <c r="Y219" s="4072"/>
      <c r="Z219" s="4306"/>
      <c r="AA219" s="4458"/>
      <c r="AB219" s="4072"/>
      <c r="AC219" s="4072"/>
      <c r="AD219" s="4072"/>
      <c r="AE219" s="4458"/>
      <c r="AF219" s="4072"/>
      <c r="AG219" s="4072"/>
      <c r="AH219" s="124"/>
      <c r="AI219" s="124"/>
      <c r="AJ219" s="123"/>
    </row>
    <row r="220" spans="1:37" ht="18" customHeight="1" x14ac:dyDescent="0.2">
      <c r="A220" s="69"/>
      <c r="B220" s="4438" t="s">
        <v>301</v>
      </c>
      <c r="C220" s="4439" t="s">
        <v>174</v>
      </c>
      <c r="D220" s="4440" t="s">
        <v>324</v>
      </c>
      <c r="E220" s="4441"/>
      <c r="F220" s="4442"/>
      <c r="G220" s="4443"/>
      <c r="H220" s="4440" t="s">
        <v>324</v>
      </c>
      <c r="I220" s="4445"/>
      <c r="J220" s="4442"/>
      <c r="K220" s="4443"/>
      <c r="L220" s="4444" t="s">
        <v>302</v>
      </c>
      <c r="M220" s="4445"/>
      <c r="N220" s="4442"/>
      <c r="O220" s="4443"/>
      <c r="P220" s="4444" t="s">
        <v>327</v>
      </c>
      <c r="Q220" s="4445"/>
      <c r="R220" s="4442"/>
      <c r="S220" s="4443"/>
      <c r="T220" s="4444" t="s">
        <v>328</v>
      </c>
      <c r="U220" s="4445"/>
      <c r="V220" s="4442"/>
      <c r="W220" s="4458"/>
      <c r="X220" s="4072"/>
      <c r="Y220" s="4072"/>
      <c r="Z220" s="4306"/>
      <c r="AA220" s="4458"/>
      <c r="AB220" s="4072"/>
      <c r="AC220" s="4072"/>
      <c r="AD220" s="4072"/>
      <c r="AE220" s="4458"/>
      <c r="AF220" s="4072"/>
      <c r="AG220" s="4072"/>
      <c r="AH220" s="117"/>
      <c r="AI220" s="210"/>
    </row>
    <row r="221" spans="1:37" ht="18" customHeight="1" x14ac:dyDescent="0.2">
      <c r="A221" s="69"/>
      <c r="B221" s="4438" t="s">
        <v>305</v>
      </c>
      <c r="C221" s="4439" t="s">
        <v>154</v>
      </c>
      <c r="D221" s="4440" t="s">
        <v>324</v>
      </c>
      <c r="E221" s="4441"/>
      <c r="F221" s="4442"/>
      <c r="G221" s="4443"/>
      <c r="H221" s="4440" t="s">
        <v>324</v>
      </c>
      <c r="I221" s="4445"/>
      <c r="J221" s="4442"/>
      <c r="K221" s="4443"/>
      <c r="L221" s="4440" t="s">
        <v>324</v>
      </c>
      <c r="M221" s="4445"/>
      <c r="N221" s="4442"/>
      <c r="O221" s="4443"/>
      <c r="P221" s="4444" t="s">
        <v>329</v>
      </c>
      <c r="Q221" s="4445"/>
      <c r="R221" s="4442"/>
      <c r="S221" s="4443"/>
      <c r="T221" s="4444" t="s">
        <v>328</v>
      </c>
      <c r="U221" s="4445"/>
      <c r="V221" s="4442"/>
      <c r="W221" s="4458"/>
      <c r="X221" s="4072"/>
      <c r="Y221" s="4072"/>
      <c r="Z221" s="4306"/>
      <c r="AA221" s="4458"/>
      <c r="AB221" s="4072"/>
      <c r="AC221" s="4072"/>
      <c r="AD221" s="4072"/>
      <c r="AE221" s="4458"/>
      <c r="AF221" s="4072"/>
      <c r="AG221" s="4072"/>
      <c r="AH221" s="116"/>
      <c r="AI221" s="116"/>
    </row>
    <row r="222" spans="1:37" ht="18" customHeight="1" x14ac:dyDescent="0.2">
      <c r="A222" s="69"/>
      <c r="B222" s="4438" t="s">
        <v>308</v>
      </c>
      <c r="C222" s="4439" t="s">
        <v>309</v>
      </c>
      <c r="D222" s="4440" t="s">
        <v>330</v>
      </c>
      <c r="E222" s="4441"/>
      <c r="F222" s="4442"/>
      <c r="G222" s="4443"/>
      <c r="H222" s="4440" t="s">
        <v>330</v>
      </c>
      <c r="I222" s="4445"/>
      <c r="J222" s="4442"/>
      <c r="K222" s="4443"/>
      <c r="L222" s="4440" t="s">
        <v>314</v>
      </c>
      <c r="M222" s="4445"/>
      <c r="N222" s="4442"/>
      <c r="O222" s="4443"/>
      <c r="P222" s="4444" t="s">
        <v>331</v>
      </c>
      <c r="Q222" s="4445"/>
      <c r="R222" s="4442"/>
      <c r="S222" s="4443"/>
      <c r="T222" s="4444" t="s">
        <v>326</v>
      </c>
      <c r="U222" s="4445"/>
      <c r="V222" s="4442"/>
      <c r="W222" s="4458"/>
      <c r="X222" s="4072"/>
      <c r="Y222" s="4072"/>
      <c r="Z222" s="4306"/>
      <c r="AA222" s="4458"/>
      <c r="AB222" s="4072"/>
      <c r="AC222" s="4072"/>
      <c r="AD222" s="4072"/>
      <c r="AE222" s="4458"/>
      <c r="AF222" s="4072"/>
      <c r="AG222" s="4072"/>
      <c r="AH222" s="116"/>
      <c r="AI222" s="116"/>
    </row>
    <row r="223" spans="1:37" ht="18" customHeight="1" x14ac:dyDescent="0.2">
      <c r="A223" s="69"/>
      <c r="B223" s="3950" t="s">
        <v>313</v>
      </c>
      <c r="C223" s="4439" t="s">
        <v>160</v>
      </c>
      <c r="D223" s="4440" t="s">
        <v>324</v>
      </c>
      <c r="E223" s="4441"/>
      <c r="F223" s="4442"/>
      <c r="G223" s="4443"/>
      <c r="H223" s="4440" t="s">
        <v>324</v>
      </c>
      <c r="I223" s="4445"/>
      <c r="J223" s="4442"/>
      <c r="K223" s="4443"/>
      <c r="L223" s="4440" t="s">
        <v>324</v>
      </c>
      <c r="M223" s="4445"/>
      <c r="N223" s="4442"/>
      <c r="O223" s="4443"/>
      <c r="P223" s="4444" t="s">
        <v>329</v>
      </c>
      <c r="Q223" s="4445"/>
      <c r="R223" s="4442"/>
      <c r="S223" s="4443"/>
      <c r="T223" s="4444" t="s">
        <v>328</v>
      </c>
      <c r="U223" s="4445"/>
      <c r="V223" s="4442"/>
      <c r="W223" s="4452"/>
      <c r="X223" s="1638"/>
      <c r="Y223" s="1638"/>
      <c r="Z223" s="1008"/>
      <c r="AA223" s="4452"/>
      <c r="AB223" s="1638"/>
      <c r="AC223" s="1638"/>
      <c r="AD223" s="1638"/>
      <c r="AE223" s="4452"/>
      <c r="AF223" s="1638"/>
      <c r="AG223" s="1638"/>
      <c r="AH223" s="116"/>
      <c r="AI223" s="116"/>
      <c r="AK223" t="s">
        <v>0</v>
      </c>
    </row>
    <row r="224" spans="1:37" ht="18" customHeight="1" x14ac:dyDescent="0.2">
      <c r="A224" s="69"/>
      <c r="B224" s="3936" t="s">
        <v>316</v>
      </c>
      <c r="C224" s="4439" t="s">
        <v>168</v>
      </c>
      <c r="D224" s="4440" t="s">
        <v>324</v>
      </c>
      <c r="E224" s="4441"/>
      <c r="F224" s="4442"/>
      <c r="G224" s="4443"/>
      <c r="H224" s="4440" t="s">
        <v>324</v>
      </c>
      <c r="I224" s="4445"/>
      <c r="J224" s="4442"/>
      <c r="K224" s="4443"/>
      <c r="L224" s="4440" t="s">
        <v>324</v>
      </c>
      <c r="M224" s="4445"/>
      <c r="N224" s="4442"/>
      <c r="O224" s="4443"/>
      <c r="P224" s="4444" t="s">
        <v>325</v>
      </c>
      <c r="Q224" s="4445"/>
      <c r="R224" s="4442"/>
      <c r="S224" s="4443"/>
      <c r="T224" s="4444" t="s">
        <v>326</v>
      </c>
      <c r="U224" s="4445"/>
      <c r="V224" s="4442"/>
      <c r="W224" s="4458"/>
      <c r="X224" s="4072"/>
      <c r="Y224" s="4072"/>
      <c r="Z224" s="4072"/>
      <c r="AA224" s="4458"/>
      <c r="AB224" s="4072"/>
      <c r="AC224" s="4072"/>
      <c r="AD224" s="4072"/>
      <c r="AE224" s="4458"/>
      <c r="AF224" s="4072"/>
      <c r="AG224" s="4072"/>
      <c r="AH224" s="116"/>
      <c r="AI224" s="116"/>
    </row>
    <row r="225" spans="1:35" ht="18" customHeight="1" x14ac:dyDescent="0.2">
      <c r="A225" s="69"/>
      <c r="B225" s="3936" t="s">
        <v>321</v>
      </c>
      <c r="C225" s="4439" t="s">
        <v>322</v>
      </c>
      <c r="D225" s="4440" t="s">
        <v>320</v>
      </c>
      <c r="E225" s="4441"/>
      <c r="F225" s="4442"/>
      <c r="G225" s="4443"/>
      <c r="H225" s="4444" t="s">
        <v>320</v>
      </c>
      <c r="I225" s="4445"/>
      <c r="J225" s="4442"/>
      <c r="K225" s="4443"/>
      <c r="L225" s="4444" t="s">
        <v>320</v>
      </c>
      <c r="M225" s="4445"/>
      <c r="N225" s="4445"/>
      <c r="O225" s="4443"/>
      <c r="P225" s="4444" t="s">
        <v>320</v>
      </c>
      <c r="Q225" s="4445"/>
      <c r="R225" s="4445"/>
      <c r="S225" s="4443"/>
      <c r="T225" s="4444" t="s">
        <v>304</v>
      </c>
      <c r="U225" s="4445"/>
      <c r="V225" s="4442"/>
      <c r="W225" s="3936"/>
      <c r="X225" s="4072"/>
      <c r="Y225" s="4072"/>
      <c r="Z225" s="4306"/>
      <c r="AA225" s="4461"/>
      <c r="AB225" s="4072"/>
      <c r="AC225" s="4072"/>
      <c r="AD225" s="4072"/>
      <c r="AE225" s="4458"/>
      <c r="AF225" s="4072"/>
      <c r="AG225" s="4072"/>
      <c r="AH225" s="116"/>
      <c r="AI225" s="116"/>
    </row>
    <row r="226" spans="1:35" ht="18" customHeight="1" thickBot="1" x14ac:dyDescent="0.25">
      <c r="A226" s="69"/>
      <c r="B226" s="3936" t="s">
        <v>465</v>
      </c>
      <c r="C226" s="4439" t="s">
        <v>451</v>
      </c>
      <c r="D226" s="4440" t="s">
        <v>577</v>
      </c>
      <c r="E226" s="4441"/>
      <c r="F226" s="4442"/>
      <c r="G226" s="4443"/>
      <c r="H226" s="4444" t="s">
        <v>577</v>
      </c>
      <c r="I226" s="4445"/>
      <c r="J226" s="4442"/>
      <c r="K226" s="4443"/>
      <c r="L226" s="4444" t="s">
        <v>577</v>
      </c>
      <c r="M226" s="4445"/>
      <c r="N226" s="4445"/>
      <c r="O226" s="4443"/>
      <c r="P226" s="4444" t="s">
        <v>578</v>
      </c>
      <c r="Q226" s="4445"/>
      <c r="R226" s="4445"/>
      <c r="S226" s="4443"/>
      <c r="T226" s="4444" t="s">
        <v>580</v>
      </c>
      <c r="U226" s="4445"/>
      <c r="V226" s="4442"/>
      <c r="W226" s="3936"/>
      <c r="X226" s="4072"/>
      <c r="Y226" s="4072"/>
      <c r="Z226" s="4306"/>
      <c r="AA226" s="4461"/>
      <c r="AB226" s="4072"/>
      <c r="AC226" s="4072"/>
      <c r="AD226" s="4072"/>
      <c r="AE226" s="4458"/>
      <c r="AF226" s="4072"/>
      <c r="AG226" s="4072"/>
      <c r="AH226" s="116"/>
      <c r="AI226" s="116"/>
    </row>
    <row r="227" spans="1:35" ht="18" customHeight="1" thickBot="1" x14ac:dyDescent="0.25">
      <c r="A227" s="96"/>
      <c r="B227" s="4462" t="s">
        <v>44</v>
      </c>
      <c r="C227" s="4082">
        <v>1</v>
      </c>
      <c r="D227" s="4082">
        <v>2</v>
      </c>
      <c r="E227" s="4082">
        <v>3</v>
      </c>
      <c r="F227" s="4082">
        <v>4</v>
      </c>
      <c r="G227" s="4083">
        <v>5</v>
      </c>
      <c r="H227" s="4083">
        <v>6</v>
      </c>
      <c r="I227" s="4082">
        <v>7</v>
      </c>
      <c r="J227" s="4082">
        <v>8</v>
      </c>
      <c r="K227" s="4082">
        <v>9</v>
      </c>
      <c r="L227" s="4082">
        <v>10</v>
      </c>
      <c r="M227" s="4082">
        <v>11</v>
      </c>
      <c r="N227" s="4083">
        <v>12</v>
      </c>
      <c r="O227" s="4083">
        <v>13</v>
      </c>
      <c r="P227" s="4082">
        <v>14</v>
      </c>
      <c r="Q227" s="4082">
        <v>15</v>
      </c>
      <c r="R227" s="4082">
        <v>16</v>
      </c>
      <c r="S227" s="4083">
        <v>17</v>
      </c>
      <c r="T227" s="4083">
        <v>18</v>
      </c>
      <c r="U227" s="4083">
        <v>19</v>
      </c>
      <c r="V227" s="4083">
        <v>20</v>
      </c>
      <c r="W227" s="4083">
        <v>21</v>
      </c>
      <c r="X227" s="4082">
        <v>22</v>
      </c>
      <c r="Y227" s="4082">
        <v>23</v>
      </c>
      <c r="Z227" s="4082">
        <v>24</v>
      </c>
      <c r="AA227" s="4082">
        <v>25</v>
      </c>
      <c r="AB227" s="4083">
        <v>26</v>
      </c>
      <c r="AC227" s="4083">
        <v>27</v>
      </c>
      <c r="AD227" s="4082">
        <v>28</v>
      </c>
      <c r="AE227" s="4082">
        <v>29</v>
      </c>
      <c r="AF227" s="4082">
        <v>30</v>
      </c>
      <c r="AG227" s="4084"/>
      <c r="AH227" s="67"/>
      <c r="AI227" s="67"/>
    </row>
    <row r="228" spans="1:35" ht="18" customHeight="1" x14ac:dyDescent="0.2">
      <c r="A228" s="69"/>
      <c r="B228" s="4228" t="s">
        <v>453</v>
      </c>
      <c r="C228" s="4245" t="s">
        <v>297</v>
      </c>
      <c r="D228" s="4245" t="s">
        <v>297</v>
      </c>
      <c r="E228" s="4245" t="s">
        <v>297</v>
      </c>
      <c r="F228" s="4245" t="s">
        <v>297</v>
      </c>
      <c r="G228" s="4245"/>
      <c r="H228" s="4245"/>
      <c r="I228" s="4245" t="s">
        <v>297</v>
      </c>
      <c r="J228" s="4245" t="s">
        <v>297</v>
      </c>
      <c r="K228" s="4245" t="s">
        <v>297</v>
      </c>
      <c r="L228" s="4245" t="s">
        <v>297</v>
      </c>
      <c r="M228" s="4463" t="s">
        <v>297</v>
      </c>
      <c r="N228" s="4245"/>
      <c r="O228" s="4245"/>
      <c r="P228" s="4463" t="s">
        <v>297</v>
      </c>
      <c r="Q228" s="4245" t="s">
        <v>297</v>
      </c>
      <c r="R228" s="4245" t="s">
        <v>297</v>
      </c>
      <c r="S228" s="4245"/>
      <c r="T228" s="4245"/>
      <c r="U228" s="4245"/>
      <c r="V228" s="4245"/>
      <c r="W228" s="4245"/>
      <c r="X228" s="4245" t="s">
        <v>297</v>
      </c>
      <c r="Y228" s="4245" t="s">
        <v>297</v>
      </c>
      <c r="Z228" s="4245" t="s">
        <v>297</v>
      </c>
      <c r="AA228" s="4245" t="s">
        <v>297</v>
      </c>
      <c r="AB228" s="4245"/>
      <c r="AC228" s="4245"/>
      <c r="AD228" s="4245" t="s">
        <v>297</v>
      </c>
      <c r="AE228" s="4245" t="s">
        <v>297</v>
      </c>
      <c r="AF228" s="4245" t="s">
        <v>297</v>
      </c>
      <c r="AG228" s="4273"/>
      <c r="AH228" s="73"/>
    </row>
    <row r="229" spans="1:35" ht="18" customHeight="1" x14ac:dyDescent="0.2">
      <c r="A229" s="69"/>
      <c r="B229" s="4464" t="s">
        <v>581</v>
      </c>
      <c r="C229" s="4465" t="s">
        <v>174</v>
      </c>
      <c r="D229" s="4465" t="s">
        <v>174</v>
      </c>
      <c r="E229" s="4465" t="s">
        <v>174</v>
      </c>
      <c r="F229" s="4465" t="s">
        <v>174</v>
      </c>
      <c r="G229" s="4465"/>
      <c r="H229" s="4465"/>
      <c r="I229" s="4465" t="s">
        <v>174</v>
      </c>
      <c r="J229" s="4465" t="s">
        <v>174</v>
      </c>
      <c r="K229" s="4465" t="s">
        <v>174</v>
      </c>
      <c r="L229" s="4465" t="s">
        <v>174</v>
      </c>
      <c r="M229" s="4465" t="s">
        <v>174</v>
      </c>
      <c r="N229" s="4245"/>
      <c r="O229" s="4245"/>
      <c r="P229" s="4245" t="s">
        <v>174</v>
      </c>
      <c r="Q229" s="4245" t="s">
        <v>174</v>
      </c>
      <c r="R229" s="4465" t="s">
        <v>174</v>
      </c>
      <c r="S229" s="4245"/>
      <c r="T229" s="4245"/>
      <c r="U229" s="4245"/>
      <c r="V229" s="4245"/>
      <c r="W229" s="4245"/>
      <c r="X229" s="4466" t="s">
        <v>174</v>
      </c>
      <c r="Y229" s="4466" t="s">
        <v>174</v>
      </c>
      <c r="Z229" s="4466" t="s">
        <v>174</v>
      </c>
      <c r="AA229" s="4324" t="s">
        <v>174</v>
      </c>
      <c r="AB229" s="4466"/>
      <c r="AC229" s="4466"/>
      <c r="AD229" s="4466" t="s">
        <v>174</v>
      </c>
      <c r="AE229" s="4463" t="s">
        <v>174</v>
      </c>
      <c r="AF229" s="4466" t="s">
        <v>174</v>
      </c>
      <c r="AG229" s="4467"/>
    </row>
    <row r="230" spans="1:35" ht="18" customHeight="1" x14ac:dyDescent="0.2">
      <c r="A230" s="69"/>
      <c r="B230" s="4468" t="s">
        <v>334</v>
      </c>
      <c r="C230" s="4269" t="s">
        <v>154</v>
      </c>
      <c r="D230" s="4245" t="s">
        <v>154</v>
      </c>
      <c r="E230" s="4245" t="s">
        <v>154</v>
      </c>
      <c r="F230" s="4245" t="s">
        <v>154</v>
      </c>
      <c r="G230" s="4245"/>
      <c r="H230" s="4245"/>
      <c r="I230" s="4245" t="s">
        <v>154</v>
      </c>
      <c r="J230" s="4269" t="s">
        <v>154</v>
      </c>
      <c r="K230" s="4245" t="s">
        <v>154</v>
      </c>
      <c r="L230" s="4245" t="s">
        <v>154</v>
      </c>
      <c r="M230" s="4245" t="s">
        <v>154</v>
      </c>
      <c r="N230" s="4245"/>
      <c r="O230" s="4245"/>
      <c r="P230" s="4463" t="s">
        <v>154</v>
      </c>
      <c r="Q230" s="4269" t="s">
        <v>154</v>
      </c>
      <c r="R230" s="4245" t="s">
        <v>154</v>
      </c>
      <c r="S230" s="4245"/>
      <c r="T230" s="4245"/>
      <c r="U230" s="4245"/>
      <c r="V230" s="4245"/>
      <c r="W230" s="4245"/>
      <c r="X230" s="4269" t="s">
        <v>154</v>
      </c>
      <c r="Y230" s="4245" t="s">
        <v>154</v>
      </c>
      <c r="Z230" s="4245" t="s">
        <v>154</v>
      </c>
      <c r="AA230" s="4245" t="s">
        <v>154</v>
      </c>
      <c r="AB230" s="4245"/>
      <c r="AC230" s="4245"/>
      <c r="AD230" s="4245" t="s">
        <v>154</v>
      </c>
      <c r="AE230" s="4269" t="s">
        <v>154</v>
      </c>
      <c r="AF230" s="4245" t="s">
        <v>154</v>
      </c>
      <c r="AG230" s="4273"/>
    </row>
    <row r="231" spans="1:35" ht="18" customHeight="1" x14ac:dyDescent="0.2">
      <c r="A231" s="69"/>
      <c r="B231" s="4464" t="s">
        <v>582</v>
      </c>
      <c r="C231" s="4245" t="s">
        <v>309</v>
      </c>
      <c r="D231" s="4245" t="s">
        <v>309</v>
      </c>
      <c r="E231" s="4245" t="s">
        <v>309</v>
      </c>
      <c r="F231" s="4245" t="s">
        <v>309</v>
      </c>
      <c r="G231" s="4245"/>
      <c r="H231" s="4245"/>
      <c r="I231" s="4245" t="s">
        <v>309</v>
      </c>
      <c r="J231" s="4245" t="s">
        <v>309</v>
      </c>
      <c r="K231" s="4245" t="s">
        <v>309</v>
      </c>
      <c r="L231" s="4245" t="s">
        <v>309</v>
      </c>
      <c r="M231" s="4463" t="s">
        <v>309</v>
      </c>
      <c r="N231" s="4245"/>
      <c r="O231" s="4245"/>
      <c r="P231" s="4245" t="s">
        <v>309</v>
      </c>
      <c r="Q231" s="4245" t="s">
        <v>309</v>
      </c>
      <c r="R231" s="4245" t="s">
        <v>309</v>
      </c>
      <c r="S231" s="4245"/>
      <c r="T231" s="4245"/>
      <c r="U231" s="4245"/>
      <c r="V231" s="4245"/>
      <c r="W231" s="4245"/>
      <c r="X231" s="4245" t="s">
        <v>309</v>
      </c>
      <c r="Y231" s="4465" t="s">
        <v>309</v>
      </c>
      <c r="Z231" s="4465" t="s">
        <v>309</v>
      </c>
      <c r="AA231" s="4465" t="s">
        <v>309</v>
      </c>
      <c r="AB231" s="4245"/>
      <c r="AC231" s="4245"/>
      <c r="AD231" s="4964" t="s">
        <v>1073</v>
      </c>
      <c r="AE231" s="4245" t="s">
        <v>309</v>
      </c>
      <c r="AF231" s="4245" t="s">
        <v>309</v>
      </c>
      <c r="AG231" s="4273"/>
      <c r="AH231" s="127"/>
      <c r="AI231" s="123"/>
    </row>
    <row r="232" spans="1:35" ht="18" customHeight="1" x14ac:dyDescent="0.2">
      <c r="A232" s="69"/>
      <c r="B232" s="4074" t="s">
        <v>166</v>
      </c>
      <c r="C232" s="4245" t="s">
        <v>160</v>
      </c>
      <c r="D232" s="4245" t="s">
        <v>160</v>
      </c>
      <c r="E232" s="4245" t="s">
        <v>160</v>
      </c>
      <c r="F232" s="4463" t="s">
        <v>160</v>
      </c>
      <c r="G232" s="4245"/>
      <c r="H232" s="4245"/>
      <c r="I232" s="4245" t="s">
        <v>160</v>
      </c>
      <c r="J232" s="4245" t="s">
        <v>160</v>
      </c>
      <c r="K232" s="4245" t="s">
        <v>160</v>
      </c>
      <c r="L232" s="4245" t="s">
        <v>160</v>
      </c>
      <c r="M232" s="4245" t="s">
        <v>160</v>
      </c>
      <c r="N232" s="4469"/>
      <c r="O232" s="4245"/>
      <c r="P232" s="4245" t="s">
        <v>160</v>
      </c>
      <c r="Q232" s="4245" t="s">
        <v>160</v>
      </c>
      <c r="R232" s="4245" t="s">
        <v>160</v>
      </c>
      <c r="S232" s="4245"/>
      <c r="T232" s="4245"/>
      <c r="U232" s="4245"/>
      <c r="V232" s="4245"/>
      <c r="W232" s="4245"/>
      <c r="X232" s="4463" t="s">
        <v>160</v>
      </c>
      <c r="Y232" s="4463" t="s">
        <v>160</v>
      </c>
      <c r="Z232" s="4463" t="s">
        <v>160</v>
      </c>
      <c r="AA232" s="4463" t="s">
        <v>160</v>
      </c>
      <c r="AB232" s="4463"/>
      <c r="AC232" s="4463"/>
      <c r="AD232" s="3960" t="s">
        <v>160</v>
      </c>
      <c r="AE232" s="3960" t="s">
        <v>160</v>
      </c>
      <c r="AF232" s="4245" t="s">
        <v>160</v>
      </c>
      <c r="AG232" s="4470"/>
      <c r="AH232" s="127"/>
      <c r="AI232" s="123"/>
    </row>
    <row r="233" spans="1:35" ht="18" customHeight="1" x14ac:dyDescent="0.2">
      <c r="A233" s="69"/>
      <c r="B233" s="4237" t="s">
        <v>167</v>
      </c>
      <c r="C233" s="4245" t="s">
        <v>168</v>
      </c>
      <c r="D233" s="4245" t="s">
        <v>168</v>
      </c>
      <c r="E233" s="4245" t="s">
        <v>168</v>
      </c>
      <c r="F233" s="4245" t="s">
        <v>168</v>
      </c>
      <c r="G233" s="4469"/>
      <c r="H233" s="4245"/>
      <c r="I233" s="4245" t="s">
        <v>168</v>
      </c>
      <c r="J233" s="4245" t="s">
        <v>168</v>
      </c>
      <c r="K233" s="4245" t="s">
        <v>168</v>
      </c>
      <c r="L233" s="4245" t="s">
        <v>168</v>
      </c>
      <c r="M233" s="4245" t="s">
        <v>168</v>
      </c>
      <c r="N233" s="4245"/>
      <c r="O233" s="4245"/>
      <c r="P233" s="4245" t="s">
        <v>168</v>
      </c>
      <c r="Q233" s="4245" t="s">
        <v>168</v>
      </c>
      <c r="R233" s="4245" t="s">
        <v>168</v>
      </c>
      <c r="S233" s="4245"/>
      <c r="T233" s="4245"/>
      <c r="U233" s="4245"/>
      <c r="V233" s="4245"/>
      <c r="W233" s="4245"/>
      <c r="X233" s="4465" t="s">
        <v>168</v>
      </c>
      <c r="Y233" s="4465" t="s">
        <v>583</v>
      </c>
      <c r="Z233" s="3960" t="s">
        <v>168</v>
      </c>
      <c r="AA233" s="3960" t="s">
        <v>168</v>
      </c>
      <c r="AB233" s="4245"/>
      <c r="AC233" s="4245"/>
      <c r="AD233" s="4245" t="s">
        <v>168</v>
      </c>
      <c r="AE233" s="4245" t="s">
        <v>168</v>
      </c>
      <c r="AF233" s="4245" t="s">
        <v>168</v>
      </c>
      <c r="AG233" s="4273"/>
      <c r="AH233" s="208"/>
      <c r="AI233" s="123"/>
    </row>
    <row r="234" spans="1:35" ht="18" customHeight="1" x14ac:dyDescent="0.2">
      <c r="A234" s="69"/>
      <c r="B234" s="4235" t="s">
        <v>337</v>
      </c>
      <c r="C234" s="4245" t="s">
        <v>322</v>
      </c>
      <c r="D234" s="4245" t="s">
        <v>322</v>
      </c>
      <c r="E234" s="4245" t="s">
        <v>322</v>
      </c>
      <c r="F234" s="4245" t="s">
        <v>322</v>
      </c>
      <c r="G234" s="4245"/>
      <c r="H234" s="4245"/>
      <c r="I234" s="4245" t="s">
        <v>322</v>
      </c>
      <c r="J234" s="4245" t="s">
        <v>322</v>
      </c>
      <c r="K234" s="4245" t="s">
        <v>322</v>
      </c>
      <c r="L234" s="4245" t="s">
        <v>322</v>
      </c>
      <c r="M234" s="4245" t="s">
        <v>322</v>
      </c>
      <c r="N234" s="4245"/>
      <c r="O234" s="4245"/>
      <c r="P234" s="4245" t="s">
        <v>322</v>
      </c>
      <c r="Q234" s="4245" t="s">
        <v>322</v>
      </c>
      <c r="R234" s="4471" t="s">
        <v>322</v>
      </c>
      <c r="S234" s="4245"/>
      <c r="T234" s="4245"/>
      <c r="U234" s="4245"/>
      <c r="V234" s="4245"/>
      <c r="W234" s="4245"/>
      <c r="X234" s="4471" t="s">
        <v>322</v>
      </c>
      <c r="Y234" s="4245" t="s">
        <v>322</v>
      </c>
      <c r="Z234" s="4245" t="s">
        <v>322</v>
      </c>
      <c r="AA234" s="4245" t="s">
        <v>322</v>
      </c>
      <c r="AB234" s="4245"/>
      <c r="AC234" s="4245"/>
      <c r="AD234" s="4245" t="s">
        <v>322</v>
      </c>
      <c r="AE234" s="4245" t="s">
        <v>322</v>
      </c>
      <c r="AF234" s="4245" t="s">
        <v>322</v>
      </c>
      <c r="AG234" s="4273"/>
      <c r="AH234" s="208"/>
      <c r="AI234" s="123"/>
    </row>
    <row r="235" spans="1:35" ht="18" customHeight="1" x14ac:dyDescent="0.2">
      <c r="A235" s="96"/>
      <c r="B235" s="4235" t="s">
        <v>426</v>
      </c>
      <c r="C235" s="4463" t="s">
        <v>451</v>
      </c>
      <c r="D235" s="4463" t="s">
        <v>451</v>
      </c>
      <c r="E235" s="4463" t="s">
        <v>451</v>
      </c>
      <c r="F235" s="4463" t="s">
        <v>451</v>
      </c>
      <c r="G235" s="4463"/>
      <c r="H235" s="4463"/>
      <c r="I235" s="4463" t="s">
        <v>451</v>
      </c>
      <c r="J235" s="4463" t="s">
        <v>451</v>
      </c>
      <c r="K235" s="4463" t="s">
        <v>451</v>
      </c>
      <c r="L235" s="4463" t="s">
        <v>451</v>
      </c>
      <c r="M235" s="4463" t="s">
        <v>451</v>
      </c>
      <c r="N235" s="4463"/>
      <c r="O235" s="4463"/>
      <c r="P235" s="4415" t="s">
        <v>451</v>
      </c>
      <c r="Q235" s="4415" t="s">
        <v>451</v>
      </c>
      <c r="R235" s="4415" t="s">
        <v>451</v>
      </c>
      <c r="S235" s="4245"/>
      <c r="T235" s="4245"/>
      <c r="U235" s="4245"/>
      <c r="V235" s="4245"/>
      <c r="W235" s="4245"/>
      <c r="X235" s="4245" t="s">
        <v>451</v>
      </c>
      <c r="Y235" s="4245" t="s">
        <v>451</v>
      </c>
      <c r="Z235" s="4245" t="s">
        <v>451</v>
      </c>
      <c r="AA235" s="4245" t="s">
        <v>451</v>
      </c>
      <c r="AB235" s="4245"/>
      <c r="AC235" s="4245"/>
      <c r="AD235" s="4245" t="s">
        <v>451</v>
      </c>
      <c r="AE235" s="4245" t="s">
        <v>451</v>
      </c>
      <c r="AF235" s="4245" t="s">
        <v>451</v>
      </c>
      <c r="AG235" s="4245"/>
      <c r="AH235" s="208"/>
      <c r="AI235" s="123"/>
    </row>
    <row r="236" spans="1:35" ht="18" customHeight="1" x14ac:dyDescent="0.2"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27"/>
      <c r="AI236" s="123"/>
    </row>
    <row r="237" spans="1:35" ht="18" customHeight="1" thickBot="1" x14ac:dyDescent="0.25">
      <c r="A237" s="1" t="s">
        <v>339</v>
      </c>
      <c r="B237" s="37"/>
      <c r="AH237" s="208"/>
      <c r="AI237" s="123"/>
    </row>
    <row r="238" spans="1:35" ht="18" customHeight="1" x14ac:dyDescent="0.2">
      <c r="A238" s="1"/>
      <c r="B238" s="4472" t="s">
        <v>340</v>
      </c>
      <c r="C238" s="4473" t="s">
        <v>17</v>
      </c>
      <c r="D238" s="4474"/>
      <c r="E238" s="4474"/>
      <c r="F238" s="4474"/>
      <c r="G238" s="4473" t="s">
        <v>18</v>
      </c>
      <c r="H238" s="4474"/>
      <c r="I238" s="4474"/>
      <c r="J238" s="4474"/>
      <c r="K238" s="4473" t="s">
        <v>19</v>
      </c>
      <c r="L238" s="4474"/>
      <c r="M238" s="4474"/>
      <c r="N238" s="4474"/>
      <c r="O238" s="4473" t="s">
        <v>20</v>
      </c>
      <c r="P238" s="4474"/>
      <c r="Q238" s="4474"/>
      <c r="R238" s="4474"/>
      <c r="S238" s="4473" t="s">
        <v>21</v>
      </c>
      <c r="T238" s="4474"/>
      <c r="U238" s="4474"/>
      <c r="V238" s="4474"/>
      <c r="W238" s="4473" t="s">
        <v>22</v>
      </c>
      <c r="X238" s="4154"/>
      <c r="Y238" s="4474"/>
      <c r="Z238" s="4475"/>
      <c r="AA238" s="4473" t="s">
        <v>23</v>
      </c>
      <c r="AB238" s="4154"/>
      <c r="AC238" s="4474"/>
      <c r="AD238" s="4475"/>
      <c r="AE238" s="4476" t="s">
        <v>126</v>
      </c>
      <c r="AF238" s="4474"/>
      <c r="AG238" s="4474"/>
      <c r="AH238" s="46"/>
    </row>
    <row r="239" spans="1:35" ht="18" customHeight="1" x14ac:dyDescent="0.2">
      <c r="A239" s="1"/>
      <c r="B239" s="4477">
        <v>3701</v>
      </c>
      <c r="C239" s="70" t="s">
        <v>341</v>
      </c>
      <c r="D239" s="70"/>
      <c r="E239" s="70"/>
      <c r="F239" s="70"/>
      <c r="G239" s="374" t="s">
        <v>342</v>
      </c>
      <c r="H239" s="70"/>
      <c r="I239" s="70"/>
      <c r="J239" s="70"/>
      <c r="K239" s="374" t="s">
        <v>342</v>
      </c>
      <c r="L239" s="70"/>
      <c r="M239" s="70"/>
      <c r="N239" s="70"/>
      <c r="O239" s="374" t="s">
        <v>342</v>
      </c>
      <c r="P239" s="70"/>
      <c r="Q239" s="70"/>
      <c r="R239" s="70"/>
      <c r="S239" s="374" t="s">
        <v>343</v>
      </c>
      <c r="T239" s="70"/>
      <c r="U239" s="70"/>
      <c r="V239" s="70"/>
      <c r="W239" s="4304"/>
      <c r="X239" s="4478"/>
      <c r="Y239" s="4167"/>
      <c r="Z239" s="4479"/>
      <c r="AA239" s="4304"/>
      <c r="AB239" s="4478"/>
      <c r="AC239" s="4167"/>
      <c r="AD239" s="4479"/>
      <c r="AE239" s="4364"/>
      <c r="AF239" s="4167"/>
      <c r="AG239" s="4167"/>
      <c r="AH239" s="46"/>
    </row>
    <row r="240" spans="1:35" ht="18" customHeight="1" x14ac:dyDescent="0.2">
      <c r="B240" s="4472">
        <v>3700</v>
      </c>
      <c r="C240" s="4167" t="s">
        <v>249</v>
      </c>
      <c r="D240" s="4167"/>
      <c r="E240" s="4167"/>
      <c r="F240" s="4167"/>
      <c r="G240" s="4480" t="s">
        <v>249</v>
      </c>
      <c r="H240" s="4167"/>
      <c r="I240" s="4167"/>
      <c r="J240" s="4167"/>
      <c r="K240" s="4480" t="s">
        <v>249</v>
      </c>
      <c r="L240" s="4167"/>
      <c r="M240" s="4167"/>
      <c r="N240" s="4167"/>
      <c r="O240" s="4480" t="s">
        <v>249</v>
      </c>
      <c r="P240" s="4167"/>
      <c r="Q240" s="4167"/>
      <c r="R240" s="4167"/>
      <c r="S240" s="4480" t="s">
        <v>250</v>
      </c>
      <c r="T240" s="4167"/>
      <c r="U240" s="4167"/>
      <c r="V240" s="4167"/>
      <c r="W240" s="4304"/>
      <c r="X240" s="4167"/>
      <c r="Y240" s="4167"/>
      <c r="Z240" s="4366"/>
      <c r="AA240" s="4364"/>
      <c r="AB240" s="4167"/>
      <c r="AC240" s="4167"/>
      <c r="AD240" s="4223"/>
      <c r="AE240" s="4481"/>
      <c r="AF240" s="4167"/>
      <c r="AG240" s="4167"/>
      <c r="AH240" s="110"/>
      <c r="AI240" s="111"/>
    </row>
    <row r="241" spans="1:35" ht="18" customHeight="1" x14ac:dyDescent="0.2">
      <c r="A241" s="1"/>
      <c r="B241" s="4472">
        <v>8514</v>
      </c>
      <c r="C241" s="4167" t="s">
        <v>342</v>
      </c>
      <c r="D241" s="4167"/>
      <c r="E241" s="4167"/>
      <c r="F241" s="4167"/>
      <c r="G241" s="4480" t="s">
        <v>342</v>
      </c>
      <c r="H241" s="4167"/>
      <c r="I241" s="4167"/>
      <c r="J241" s="4167"/>
      <c r="K241" s="4480" t="s">
        <v>342</v>
      </c>
      <c r="L241" s="4167"/>
      <c r="M241" s="4167"/>
      <c r="N241" s="4167"/>
      <c r="O241" s="4480" t="s">
        <v>342</v>
      </c>
      <c r="P241" s="4167"/>
      <c r="Q241" s="4167"/>
      <c r="R241" s="4167"/>
      <c r="S241" s="4480" t="s">
        <v>344</v>
      </c>
      <c r="T241" s="4167"/>
      <c r="U241" s="4167"/>
      <c r="V241" s="4167"/>
      <c r="W241" s="4304"/>
      <c r="X241" s="4167"/>
      <c r="Y241" s="4167"/>
      <c r="Z241" s="4366"/>
      <c r="AA241" s="4222"/>
      <c r="AB241" s="4167"/>
      <c r="AC241" s="4167"/>
      <c r="AD241" s="4223"/>
      <c r="AE241" s="4222"/>
      <c r="AF241" s="4167"/>
      <c r="AG241" s="4167"/>
      <c r="AH241" s="110"/>
      <c r="AI241" s="111"/>
    </row>
    <row r="242" spans="1:35" ht="18" customHeight="1" x14ac:dyDescent="0.2">
      <c r="A242" s="1"/>
      <c r="B242" s="4472">
        <v>8500</v>
      </c>
      <c r="C242" s="875" t="s">
        <v>345</v>
      </c>
      <c r="D242" s="875"/>
      <c r="E242" s="875"/>
      <c r="F242" s="875"/>
      <c r="G242" s="1022" t="s">
        <v>345</v>
      </c>
      <c r="H242" s="875"/>
      <c r="I242" s="875"/>
      <c r="J242" s="875"/>
      <c r="K242" s="1022" t="s">
        <v>345</v>
      </c>
      <c r="L242" s="875"/>
      <c r="M242" s="875"/>
      <c r="N242" s="875"/>
      <c r="O242" s="1022" t="s">
        <v>345</v>
      </c>
      <c r="P242" s="875"/>
      <c r="Q242" s="875"/>
      <c r="R242" s="875"/>
      <c r="S242" s="1022" t="s">
        <v>346</v>
      </c>
      <c r="T242" s="875"/>
      <c r="U242" s="875"/>
      <c r="V242" s="875"/>
      <c r="W242" s="4304"/>
      <c r="X242" s="875"/>
      <c r="Y242" s="875"/>
      <c r="Z242" s="1023"/>
      <c r="AA242" s="1024"/>
      <c r="AB242" s="875"/>
      <c r="AC242" s="875"/>
      <c r="AD242" s="1023"/>
      <c r="AE242" s="1024"/>
      <c r="AF242" s="875"/>
      <c r="AG242" s="875"/>
      <c r="AH242" s="110"/>
      <c r="AI242" s="111"/>
    </row>
    <row r="243" spans="1:35" ht="18" customHeight="1" x14ac:dyDescent="0.2">
      <c r="A243" s="1"/>
      <c r="B243" s="4472">
        <v>8514</v>
      </c>
      <c r="C243" s="1027" t="s">
        <v>342</v>
      </c>
      <c r="D243" s="1027"/>
      <c r="E243" s="1027"/>
      <c r="F243" s="1027"/>
      <c r="G243" s="1028" t="s">
        <v>342</v>
      </c>
      <c r="H243" s="1027"/>
      <c r="I243" s="1027"/>
      <c r="J243" s="1027"/>
      <c r="K243" s="1028" t="s">
        <v>342</v>
      </c>
      <c r="L243" s="1027"/>
      <c r="M243" s="1027"/>
      <c r="N243" s="1027"/>
      <c r="O243" s="1028" t="s">
        <v>342</v>
      </c>
      <c r="P243" s="1027"/>
      <c r="Q243" s="1027"/>
      <c r="R243" s="1027"/>
      <c r="S243" s="1028" t="s">
        <v>344</v>
      </c>
      <c r="T243" s="1027"/>
      <c r="U243" s="1027"/>
      <c r="V243" s="1027"/>
      <c r="W243" s="4482"/>
      <c r="X243" s="1030"/>
      <c r="Y243" s="875"/>
      <c r="Z243" s="1031"/>
      <c r="AA243" s="1032"/>
      <c r="AB243" s="1030"/>
      <c r="AC243" s="875"/>
      <c r="AD243" s="875"/>
      <c r="AE243" s="1033"/>
      <c r="AF243" s="875"/>
      <c r="AG243" s="875"/>
      <c r="AH243" s="115"/>
      <c r="AI243" s="116"/>
    </row>
    <row r="244" spans="1:35" ht="18" customHeight="1" thickBot="1" x14ac:dyDescent="0.25">
      <c r="A244" s="1"/>
      <c r="B244" s="4483" t="s">
        <v>347</v>
      </c>
      <c r="C244" s="4174" t="s">
        <v>10</v>
      </c>
      <c r="D244" s="4174"/>
      <c r="E244" s="4174"/>
      <c r="F244" s="4174"/>
      <c r="G244" s="4484" t="s">
        <v>10</v>
      </c>
      <c r="H244" s="4174"/>
      <c r="I244" s="4174"/>
      <c r="J244" s="4174"/>
      <c r="K244" s="4485" t="s">
        <v>10</v>
      </c>
      <c r="L244" s="4174"/>
      <c r="M244" s="4174"/>
      <c r="N244" s="4174"/>
      <c r="O244" s="4484" t="s">
        <v>10</v>
      </c>
      <c r="P244" s="4174"/>
      <c r="Q244" s="4174"/>
      <c r="R244" s="4174"/>
      <c r="S244" s="4484" t="s">
        <v>10</v>
      </c>
      <c r="T244" s="4174"/>
      <c r="U244" s="4174"/>
      <c r="V244" s="4174"/>
      <c r="W244" s="4485"/>
      <c r="X244" s="4174"/>
      <c r="Y244" s="4174"/>
      <c r="Z244" s="4401"/>
      <c r="AA244" s="4374"/>
      <c r="AB244" s="4174"/>
      <c r="AC244" s="4174"/>
      <c r="AD244" s="4402"/>
      <c r="AE244" s="4486"/>
      <c r="AF244" s="4174"/>
      <c r="AG244" s="4174"/>
      <c r="AH244" s="115"/>
      <c r="AI244" s="116"/>
    </row>
    <row r="245" spans="1:35" ht="18" customHeight="1" x14ac:dyDescent="0.2">
      <c r="A245" s="1"/>
      <c r="B245" s="5"/>
      <c r="C245" s="42"/>
      <c r="D245" s="70"/>
      <c r="E245" s="70"/>
      <c r="F245" s="46"/>
      <c r="G245" s="42"/>
      <c r="H245" s="70"/>
      <c r="I245" s="70"/>
      <c r="J245" s="46"/>
      <c r="K245" s="42"/>
      <c r="L245" s="70"/>
      <c r="M245" s="70"/>
      <c r="N245" s="46"/>
      <c r="O245" s="42"/>
      <c r="P245" s="70"/>
      <c r="Q245" s="70"/>
      <c r="R245" s="46"/>
      <c r="S245" s="42"/>
      <c r="T245" s="70"/>
      <c r="U245" s="70"/>
      <c r="V245" s="46"/>
      <c r="W245" s="46"/>
      <c r="Z245" s="46"/>
      <c r="AA245" s="46"/>
      <c r="AD245" s="46"/>
      <c r="AE245" s="46"/>
      <c r="AH245" s="115"/>
      <c r="AI245" s="116"/>
    </row>
    <row r="246" spans="1:35" ht="18" customHeight="1" thickBot="1" x14ac:dyDescent="0.25">
      <c r="A246" s="1" t="s">
        <v>348</v>
      </c>
      <c r="B246" s="5"/>
      <c r="C246" s="42"/>
      <c r="D246" s="70"/>
      <c r="E246" s="70"/>
      <c r="F246" s="46"/>
      <c r="G246" s="42"/>
      <c r="H246" s="70"/>
      <c r="I246" s="70"/>
      <c r="J246" s="46"/>
      <c r="K246" s="42"/>
      <c r="L246" s="70"/>
      <c r="M246" s="70"/>
      <c r="N246" s="46"/>
      <c r="O246" s="42"/>
      <c r="P246" s="70"/>
      <c r="Q246" s="70"/>
      <c r="R246" s="46"/>
      <c r="S246" s="42"/>
      <c r="T246" s="70"/>
      <c r="U246" s="70"/>
      <c r="V246" s="46"/>
      <c r="W246" s="46"/>
      <c r="Z246" s="46"/>
      <c r="AA246" s="46"/>
      <c r="AD246" s="46"/>
      <c r="AE246" s="46"/>
      <c r="AH246" s="115"/>
      <c r="AI246" s="116"/>
    </row>
    <row r="247" spans="1:35" ht="18" customHeight="1" thickBot="1" x14ac:dyDescent="0.25">
      <c r="A247" s="4353"/>
      <c r="B247" s="4179" t="s">
        <v>44</v>
      </c>
      <c r="C247" s="4082">
        <v>1</v>
      </c>
      <c r="D247" s="4082">
        <v>2</v>
      </c>
      <c r="E247" s="4082">
        <v>3</v>
      </c>
      <c r="F247" s="4082">
        <v>4</v>
      </c>
      <c r="G247" s="4083">
        <v>5</v>
      </c>
      <c r="H247" s="4083">
        <v>6</v>
      </c>
      <c r="I247" s="4082">
        <v>7</v>
      </c>
      <c r="J247" s="4082">
        <v>8</v>
      </c>
      <c r="K247" s="4082">
        <v>9</v>
      </c>
      <c r="L247" s="4082">
        <v>10</v>
      </c>
      <c r="M247" s="4082">
        <v>11</v>
      </c>
      <c r="N247" s="4083">
        <v>12</v>
      </c>
      <c r="O247" s="4083">
        <v>13</v>
      </c>
      <c r="P247" s="4082">
        <v>14</v>
      </c>
      <c r="Q247" s="4082">
        <v>15</v>
      </c>
      <c r="R247" s="4082">
        <v>16</v>
      </c>
      <c r="S247" s="4083">
        <v>17</v>
      </c>
      <c r="T247" s="4083">
        <v>18</v>
      </c>
      <c r="U247" s="4083">
        <v>19</v>
      </c>
      <c r="V247" s="4083">
        <v>20</v>
      </c>
      <c r="W247" s="4083">
        <v>21</v>
      </c>
      <c r="X247" s="4082">
        <v>22</v>
      </c>
      <c r="Y247" s="4082">
        <v>23</v>
      </c>
      <c r="Z247" s="4082">
        <v>24</v>
      </c>
      <c r="AA247" s="4082">
        <v>25</v>
      </c>
      <c r="AB247" s="4083">
        <v>26</v>
      </c>
      <c r="AC247" s="4083">
        <v>27</v>
      </c>
      <c r="AD247" s="4082">
        <v>28</v>
      </c>
      <c r="AE247" s="4082">
        <v>29</v>
      </c>
      <c r="AF247" s="4082">
        <v>30</v>
      </c>
      <c r="AG247" s="4084"/>
      <c r="AH247" s="115"/>
      <c r="AI247" s="116"/>
    </row>
    <row r="248" spans="1:35" ht="18" customHeight="1" x14ac:dyDescent="0.2">
      <c r="A248" s="4487"/>
      <c r="B248" s="4488" t="s">
        <v>349</v>
      </c>
      <c r="C248" s="4106" t="s">
        <v>46</v>
      </c>
      <c r="D248" s="4117" t="s">
        <v>46</v>
      </c>
      <c r="E248" s="4106" t="s">
        <v>46</v>
      </c>
      <c r="F248" s="4094" t="s">
        <v>46</v>
      </c>
      <c r="G248" s="4094"/>
      <c r="H248" s="4094"/>
      <c r="I248" s="4094" t="s">
        <v>46</v>
      </c>
      <c r="J248" s="4106" t="s">
        <v>46</v>
      </c>
      <c r="K248" s="4106" t="s">
        <v>46</v>
      </c>
      <c r="L248" s="4102" t="s">
        <v>46</v>
      </c>
      <c r="M248" s="4106" t="s">
        <v>46</v>
      </c>
      <c r="N248" s="4106"/>
      <c r="O248" s="4106"/>
      <c r="P248" s="4106" t="s">
        <v>46</v>
      </c>
      <c r="Q248" s="4102" t="s">
        <v>46</v>
      </c>
      <c r="R248" s="4106" t="s">
        <v>46</v>
      </c>
      <c r="S248" s="4106"/>
      <c r="T248" s="4106"/>
      <c r="U248" s="4106"/>
      <c r="V248" s="4106"/>
      <c r="W248" s="4106"/>
      <c r="X248" s="4106" t="s">
        <v>46</v>
      </c>
      <c r="Y248" s="4117" t="s">
        <v>46</v>
      </c>
      <c r="Z248" s="4106" t="s">
        <v>46</v>
      </c>
      <c r="AA248" s="4094" t="s">
        <v>46</v>
      </c>
      <c r="AB248" s="4094"/>
      <c r="AC248" s="4094"/>
      <c r="AD248" s="4094" t="s">
        <v>46</v>
      </c>
      <c r="AE248" s="4106" t="s">
        <v>46</v>
      </c>
      <c r="AF248" s="4106" t="s">
        <v>46</v>
      </c>
      <c r="AG248" s="4230"/>
      <c r="AH248" s="115"/>
      <c r="AI248" s="116"/>
    </row>
    <row r="249" spans="1:35" ht="18" customHeight="1" x14ac:dyDescent="0.2">
      <c r="A249" s="4489"/>
      <c r="B249" s="4490" t="s">
        <v>350</v>
      </c>
      <c r="C249" s="4491"/>
      <c r="D249" s="4491"/>
      <c r="E249" s="4491"/>
      <c r="F249" s="4491"/>
      <c r="G249" s="4244"/>
      <c r="H249" s="4244"/>
      <c r="I249" s="4244"/>
      <c r="J249" s="4491"/>
      <c r="K249" s="4491"/>
      <c r="L249" s="4491"/>
      <c r="M249" s="4491"/>
      <c r="N249" s="4244"/>
      <c r="O249" s="4244"/>
      <c r="P249" s="4244"/>
      <c r="Q249" s="4491"/>
      <c r="R249" s="4491"/>
      <c r="S249" s="4491"/>
      <c r="T249" s="4491"/>
      <c r="U249" s="4244"/>
      <c r="V249" s="4244"/>
      <c r="W249" s="4244"/>
      <c r="X249" s="4491"/>
      <c r="Y249" s="4491"/>
      <c r="Z249" s="4491"/>
      <c r="AA249" s="4491"/>
      <c r="AB249" s="4244"/>
      <c r="AC249" s="4244"/>
      <c r="AD249" s="4244"/>
      <c r="AE249" s="4491"/>
      <c r="AF249" s="4491"/>
      <c r="AG249" s="4492"/>
      <c r="AH249" s="115"/>
      <c r="AI249" s="116"/>
    </row>
    <row r="250" spans="1:35" ht="18" customHeight="1" x14ac:dyDescent="0.2">
      <c r="A250" s="4493">
        <v>8514</v>
      </c>
      <c r="B250" s="4494" t="s">
        <v>351</v>
      </c>
      <c r="C250" s="4106" t="s">
        <v>46</v>
      </c>
      <c r="D250" s="4117" t="s">
        <v>46</v>
      </c>
      <c r="E250" s="4106" t="s">
        <v>46</v>
      </c>
      <c r="F250" s="4094" t="s">
        <v>46</v>
      </c>
      <c r="G250" s="4094"/>
      <c r="H250" s="4094"/>
      <c r="I250" s="4094" t="s">
        <v>46</v>
      </c>
      <c r="J250" s="4106" t="s">
        <v>46</v>
      </c>
      <c r="K250" s="4106" t="s">
        <v>46</v>
      </c>
      <c r="L250" s="4102" t="s">
        <v>46</v>
      </c>
      <c r="M250" s="4106" t="s">
        <v>46</v>
      </c>
      <c r="N250" s="4106"/>
      <c r="O250" s="4106"/>
      <c r="P250" s="4106" t="s">
        <v>46</v>
      </c>
      <c r="Q250" s="4102" t="s">
        <v>46</v>
      </c>
      <c r="R250" s="4112" t="s">
        <v>46</v>
      </c>
      <c r="S250" s="4106"/>
      <c r="T250" s="4106"/>
      <c r="U250" s="4106"/>
      <c r="V250" s="4106"/>
      <c r="W250" s="4106"/>
      <c r="X250" s="4112" t="s">
        <v>46</v>
      </c>
      <c r="Y250" s="4112" t="s">
        <v>46</v>
      </c>
      <c r="Z250" s="4112" t="s">
        <v>46</v>
      </c>
      <c r="AA250" s="4112" t="s">
        <v>46</v>
      </c>
      <c r="AB250" s="4094"/>
      <c r="AC250" s="4094"/>
      <c r="AD250" s="4094" t="s">
        <v>46</v>
      </c>
      <c r="AE250" s="4106" t="s">
        <v>46</v>
      </c>
      <c r="AF250" s="4106" t="s">
        <v>46</v>
      </c>
      <c r="AG250" s="4230"/>
      <c r="AH250" s="115"/>
      <c r="AI250" s="116"/>
    </row>
    <row r="251" spans="1:35" ht="18" customHeight="1" x14ac:dyDescent="0.2">
      <c r="A251" s="4493">
        <v>3701</v>
      </c>
      <c r="B251" s="4495" t="s">
        <v>352</v>
      </c>
      <c r="C251" s="4491"/>
      <c r="D251" s="4491"/>
      <c r="E251" s="4491"/>
      <c r="F251" s="4491"/>
      <c r="G251" s="4244"/>
      <c r="H251" s="4244"/>
      <c r="I251" s="4244"/>
      <c r="J251" s="4491"/>
      <c r="K251" s="4491"/>
      <c r="L251" s="4491"/>
      <c r="M251" s="4491"/>
      <c r="N251" s="4244"/>
      <c r="O251" s="4244"/>
      <c r="P251" s="4244"/>
      <c r="Q251" s="4491"/>
      <c r="R251" s="4491"/>
      <c r="S251" s="4491"/>
      <c r="T251" s="4491"/>
      <c r="U251" s="4244"/>
      <c r="V251" s="4244"/>
      <c r="W251" s="4244"/>
      <c r="X251" s="4491"/>
      <c r="Y251" s="4491"/>
      <c r="Z251" s="4491"/>
      <c r="AA251" s="4491"/>
      <c r="AB251" s="4244"/>
      <c r="AC251" s="4244"/>
      <c r="AD251" s="4244"/>
      <c r="AE251" s="4491"/>
      <c r="AF251" s="4491"/>
      <c r="AG251" s="4492"/>
      <c r="AH251" s="115"/>
      <c r="AI251" s="116"/>
    </row>
    <row r="252" spans="1:35" ht="18" customHeight="1" x14ac:dyDescent="0.2">
      <c r="A252" s="4493">
        <v>3701</v>
      </c>
      <c r="B252" s="4468" t="s">
        <v>353</v>
      </c>
      <c r="C252" s="4106" t="s">
        <v>46</v>
      </c>
      <c r="D252" s="4117" t="s">
        <v>46</v>
      </c>
      <c r="E252" s="4104" t="s">
        <v>46</v>
      </c>
      <c r="F252" s="4104" t="s">
        <v>46</v>
      </c>
      <c r="G252" s="4094"/>
      <c r="H252" s="4094"/>
      <c r="I252" s="4094" t="s">
        <v>46</v>
      </c>
      <c r="J252" s="4106" t="s">
        <v>46</v>
      </c>
      <c r="K252" s="4106" t="s">
        <v>46</v>
      </c>
      <c r="L252" s="4102" t="s">
        <v>46</v>
      </c>
      <c r="M252" s="4106" t="s">
        <v>46</v>
      </c>
      <c r="N252" s="4106"/>
      <c r="O252" s="4106"/>
      <c r="P252" s="4106" t="s">
        <v>46</v>
      </c>
      <c r="Q252" s="4102" t="s">
        <v>46</v>
      </c>
      <c r="R252" s="4106" t="s">
        <v>46</v>
      </c>
      <c r="S252" s="4106"/>
      <c r="T252" s="4106"/>
      <c r="U252" s="4106"/>
      <c r="V252" s="4106"/>
      <c r="W252" s="4106"/>
      <c r="X252" s="4106" t="s">
        <v>46</v>
      </c>
      <c r="Y252" s="4117" t="s">
        <v>46</v>
      </c>
      <c r="Z252" s="4106" t="s">
        <v>46</v>
      </c>
      <c r="AA252" s="4094" t="s">
        <v>46</v>
      </c>
      <c r="AB252" s="4094"/>
      <c r="AC252" s="4094"/>
      <c r="AD252" s="4094" t="s">
        <v>46</v>
      </c>
      <c r="AE252" s="4106" t="s">
        <v>46</v>
      </c>
      <c r="AF252" s="4106" t="s">
        <v>46</v>
      </c>
      <c r="AG252" s="4230"/>
      <c r="AH252" s="115"/>
      <c r="AI252" s="116"/>
    </row>
    <row r="253" spans="1:35" ht="18" customHeight="1" x14ac:dyDescent="0.2">
      <c r="A253" s="4493">
        <v>3701</v>
      </c>
      <c r="B253" s="4468" t="s">
        <v>354</v>
      </c>
      <c r="C253" s="4106" t="s">
        <v>46</v>
      </c>
      <c r="D253" s="4117" t="s">
        <v>46</v>
      </c>
      <c r="E253" s="4106" t="s">
        <v>46</v>
      </c>
      <c r="F253" s="4094" t="s">
        <v>46</v>
      </c>
      <c r="G253" s="4094"/>
      <c r="H253" s="4094"/>
      <c r="I253" s="4094" t="s">
        <v>46</v>
      </c>
      <c r="J253" s="4106" t="s">
        <v>46</v>
      </c>
      <c r="K253" s="4106" t="s">
        <v>46</v>
      </c>
      <c r="L253" s="4102" t="s">
        <v>46</v>
      </c>
      <c r="M253" s="4106" t="s">
        <v>46</v>
      </c>
      <c r="N253" s="4106"/>
      <c r="O253" s="4106"/>
      <c r="P253" s="4112" t="s">
        <v>46</v>
      </c>
      <c r="Q253" s="4112" t="s">
        <v>46</v>
      </c>
      <c r="R253" s="4112" t="s">
        <v>46</v>
      </c>
      <c r="S253" s="4106"/>
      <c r="T253" s="4106"/>
      <c r="U253" s="4106"/>
      <c r="V253" s="4106"/>
      <c r="W253" s="4106"/>
      <c r="X253" s="4106" t="s">
        <v>46</v>
      </c>
      <c r="Y253" s="4117" t="s">
        <v>46</v>
      </c>
      <c r="Z253" s="4106" t="s">
        <v>46</v>
      </c>
      <c r="AA253" s="4094" t="s">
        <v>46</v>
      </c>
      <c r="AB253" s="4094"/>
      <c r="AC253" s="4094"/>
      <c r="AD253" s="4094" t="s">
        <v>46</v>
      </c>
      <c r="AE253" s="4106" t="s">
        <v>46</v>
      </c>
      <c r="AF253" s="4106" t="s">
        <v>46</v>
      </c>
      <c r="AG253" s="4230"/>
      <c r="AH253" s="115"/>
      <c r="AI253" s="116"/>
    </row>
    <row r="254" spans="1:35" ht="18" customHeight="1" x14ac:dyDescent="0.2">
      <c r="A254" s="4493">
        <v>3701</v>
      </c>
      <c r="B254" s="4468" t="s">
        <v>355</v>
      </c>
      <c r="C254" s="4106" t="s">
        <v>46</v>
      </c>
      <c r="D254" s="4117" t="s">
        <v>46</v>
      </c>
      <c r="E254" s="4106" t="s">
        <v>46</v>
      </c>
      <c r="F254" s="4094" t="s">
        <v>46</v>
      </c>
      <c r="G254" s="4094"/>
      <c r="H254" s="4094"/>
      <c r="I254" s="4094" t="s">
        <v>46</v>
      </c>
      <c r="J254" s="4106" t="s">
        <v>46</v>
      </c>
      <c r="K254" s="4106" t="s">
        <v>46</v>
      </c>
      <c r="L254" s="4102" t="s">
        <v>46</v>
      </c>
      <c r="M254" s="4099" t="s">
        <v>46</v>
      </c>
      <c r="N254" s="4099"/>
      <c r="O254" s="4099" t="s">
        <v>405</v>
      </c>
      <c r="P254" s="4106" t="s">
        <v>46</v>
      </c>
      <c r="Q254" s="4102" t="s">
        <v>46</v>
      </c>
      <c r="R254" s="4106" t="s">
        <v>46</v>
      </c>
      <c r="S254" s="4106"/>
      <c r="T254" s="4106"/>
      <c r="U254" s="4106"/>
      <c r="V254" s="4106"/>
      <c r="W254" s="4106"/>
      <c r="X254" s="4106" t="s">
        <v>46</v>
      </c>
      <c r="Y254" s="4117" t="s">
        <v>46</v>
      </c>
      <c r="Z254" s="4106" t="s">
        <v>46</v>
      </c>
      <c r="AA254" s="4094" t="s">
        <v>46</v>
      </c>
      <c r="AB254" s="4094"/>
      <c r="AC254" s="4094"/>
      <c r="AD254" s="4094" t="s">
        <v>46</v>
      </c>
      <c r="AE254" s="4106" t="s">
        <v>46</v>
      </c>
      <c r="AF254" s="4106" t="s">
        <v>46</v>
      </c>
      <c r="AG254" s="4230"/>
      <c r="AH254" s="115"/>
      <c r="AI254" s="116"/>
    </row>
    <row r="255" spans="1:35" ht="18" customHeight="1" x14ac:dyDescent="0.2">
      <c r="A255" s="4493">
        <v>3701</v>
      </c>
      <c r="B255" s="4495" t="s">
        <v>357</v>
      </c>
      <c r="C255" s="4491"/>
      <c r="D255" s="4491"/>
      <c r="E255" s="4491"/>
      <c r="F255" s="4491"/>
      <c r="G255" s="4244"/>
      <c r="H255" s="4244"/>
      <c r="I255" s="4244"/>
      <c r="J255" s="4491"/>
      <c r="K255" s="4491"/>
      <c r="L255" s="4491"/>
      <c r="M255" s="4491"/>
      <c r="N255" s="4244"/>
      <c r="O255" s="4244"/>
      <c r="P255" s="4244"/>
      <c r="Q255" s="4491"/>
      <c r="R255" s="4491"/>
      <c r="S255" s="4491"/>
      <c r="T255" s="4491"/>
      <c r="U255" s="4244"/>
      <c r="V255" s="4244"/>
      <c r="W255" s="4244"/>
      <c r="X255" s="4491"/>
      <c r="Y255" s="4491"/>
      <c r="Z255" s="4491"/>
      <c r="AA255" s="4491"/>
      <c r="AB255" s="4244"/>
      <c r="AC255" s="4244"/>
      <c r="AD255" s="4244"/>
      <c r="AE255" s="4491"/>
      <c r="AF255" s="4491"/>
      <c r="AG255" s="4492"/>
      <c r="AH255" s="115"/>
      <c r="AI255" s="116"/>
    </row>
    <row r="256" spans="1:35" ht="18" customHeight="1" x14ac:dyDescent="0.2">
      <c r="A256" s="4493">
        <v>3701</v>
      </c>
      <c r="B256" s="4468" t="s">
        <v>358</v>
      </c>
      <c r="C256" s="4106" t="s">
        <v>46</v>
      </c>
      <c r="D256" s="4117" t="s">
        <v>46</v>
      </c>
      <c r="E256" s="4106" t="s">
        <v>46</v>
      </c>
      <c r="F256" s="4094" t="s">
        <v>46</v>
      </c>
      <c r="G256" s="4094"/>
      <c r="H256" s="4094"/>
      <c r="I256" s="4094" t="s">
        <v>46</v>
      </c>
      <c r="J256" s="4106" t="s">
        <v>46</v>
      </c>
      <c r="K256" s="4106" t="s">
        <v>46</v>
      </c>
      <c r="L256" s="4102" t="s">
        <v>46</v>
      </c>
      <c r="M256" s="4106" t="s">
        <v>46</v>
      </c>
      <c r="N256" s="4106"/>
      <c r="O256" s="4106"/>
      <c r="P256" s="4104" t="s">
        <v>46</v>
      </c>
      <c r="Q256" s="4104" t="s">
        <v>46</v>
      </c>
      <c r="R256" s="4104" t="s">
        <v>46</v>
      </c>
      <c r="S256" s="4106"/>
      <c r="T256" s="4106"/>
      <c r="U256" s="4106"/>
      <c r="V256" s="4106"/>
      <c r="W256" s="4106"/>
      <c r="X256" s="4106" t="s">
        <v>46</v>
      </c>
      <c r="Y256" s="4117" t="s">
        <v>46</v>
      </c>
      <c r="Z256" s="4106" t="s">
        <v>46</v>
      </c>
      <c r="AA256" s="4094" t="s">
        <v>46</v>
      </c>
      <c r="AB256" s="4094"/>
      <c r="AC256" s="4094"/>
      <c r="AD256" s="4094" t="s">
        <v>46</v>
      </c>
      <c r="AE256" s="4106" t="s">
        <v>46</v>
      </c>
      <c r="AF256" s="4106" t="s">
        <v>46</v>
      </c>
      <c r="AG256" s="4230"/>
      <c r="AH256" s="115"/>
      <c r="AI256" s="116"/>
    </row>
    <row r="257" spans="1:35" ht="18" customHeight="1" x14ac:dyDescent="0.2">
      <c r="A257" s="4493">
        <v>3701</v>
      </c>
      <c r="B257" s="4468" t="s">
        <v>541</v>
      </c>
      <c r="C257" s="4106" t="s">
        <v>46</v>
      </c>
      <c r="D257" s="4117" t="s">
        <v>46</v>
      </c>
      <c r="E257" s="4106" t="s">
        <v>46</v>
      </c>
      <c r="F257" s="4094" t="s">
        <v>46</v>
      </c>
      <c r="G257" s="4094"/>
      <c r="H257" s="4094"/>
      <c r="I257" s="4094" t="s">
        <v>46</v>
      </c>
      <c r="J257" s="4106" t="s">
        <v>46</v>
      </c>
      <c r="K257" s="4106" t="s">
        <v>46</v>
      </c>
      <c r="L257" s="4102" t="s">
        <v>46</v>
      </c>
      <c r="M257" s="4106" t="s">
        <v>46</v>
      </c>
      <c r="N257" s="4106"/>
      <c r="O257" s="4106"/>
      <c r="P257" s="4106" t="s">
        <v>46</v>
      </c>
      <c r="Q257" s="4102" t="s">
        <v>46</v>
      </c>
      <c r="R257" s="4106" t="s">
        <v>46</v>
      </c>
      <c r="S257" s="4106"/>
      <c r="T257" s="4106"/>
      <c r="U257" s="4106"/>
      <c r="V257" s="4106"/>
      <c r="W257" s="4106"/>
      <c r="X257" s="4106" t="s">
        <v>46</v>
      </c>
      <c r="Y257" s="4117" t="s">
        <v>46</v>
      </c>
      <c r="Z257" s="4106" t="s">
        <v>46</v>
      </c>
      <c r="AA257" s="4112" t="s">
        <v>46</v>
      </c>
      <c r="AB257" s="4094"/>
      <c r="AC257" s="4094"/>
      <c r="AD257" s="4094" t="s">
        <v>46</v>
      </c>
      <c r="AE257" s="4106" t="s">
        <v>46</v>
      </c>
      <c r="AF257" s="4106" t="s">
        <v>46</v>
      </c>
      <c r="AG257" s="4230"/>
      <c r="AH257" s="115"/>
      <c r="AI257" s="116"/>
    </row>
    <row r="258" spans="1:35" ht="18" customHeight="1" x14ac:dyDescent="0.2">
      <c r="A258" s="4496">
        <v>3701</v>
      </c>
      <c r="B258" s="4468" t="s">
        <v>360</v>
      </c>
      <c r="C258" s="4106" t="s">
        <v>46</v>
      </c>
      <c r="D258" s="4117" t="s">
        <v>46</v>
      </c>
      <c r="E258" s="4106" t="s">
        <v>46</v>
      </c>
      <c r="F258" s="4094" t="s">
        <v>46</v>
      </c>
      <c r="G258" s="4094"/>
      <c r="H258" s="4094"/>
      <c r="I258" s="4094" t="s">
        <v>46</v>
      </c>
      <c r="J258" s="4106" t="s">
        <v>46</v>
      </c>
      <c r="K258" s="4106" t="s">
        <v>46</v>
      </c>
      <c r="L258" s="4102" t="s">
        <v>46</v>
      </c>
      <c r="M258" s="4106" t="s">
        <v>46</v>
      </c>
      <c r="N258" s="4106"/>
      <c r="O258" s="4106"/>
      <c r="P258" s="4106" t="s">
        <v>46</v>
      </c>
      <c r="Q258" s="4102" t="s">
        <v>46</v>
      </c>
      <c r="R258" s="4112" t="s">
        <v>46</v>
      </c>
      <c r="S258" s="4106"/>
      <c r="T258" s="4106"/>
      <c r="U258" s="4106"/>
      <c r="V258" s="4106"/>
      <c r="W258" s="4106"/>
      <c r="X258" s="4106" t="s">
        <v>46</v>
      </c>
      <c r="Y258" s="4117" t="s">
        <v>46</v>
      </c>
      <c r="Z258" s="4106" t="s">
        <v>46</v>
      </c>
      <c r="AA258" s="4094" t="s">
        <v>46</v>
      </c>
      <c r="AB258" s="4094"/>
      <c r="AC258" s="4094"/>
      <c r="AD258" s="4094" t="s">
        <v>46</v>
      </c>
      <c r="AE258" s="4106" t="s">
        <v>46</v>
      </c>
      <c r="AF258" s="4106" t="s">
        <v>46</v>
      </c>
      <c r="AG258" s="4230"/>
      <c r="AH258" s="115"/>
      <c r="AI258" s="116"/>
    </row>
    <row r="259" spans="1:35" ht="18" customHeight="1" x14ac:dyDescent="0.2">
      <c r="A259" s="4493">
        <v>3701</v>
      </c>
      <c r="B259" s="4468" t="s">
        <v>361</v>
      </c>
      <c r="C259" s="4106" t="s">
        <v>46</v>
      </c>
      <c r="D259" s="4117" t="s">
        <v>46</v>
      </c>
      <c r="E259" s="4106" t="s">
        <v>46</v>
      </c>
      <c r="F259" s="4094" t="s">
        <v>46</v>
      </c>
      <c r="G259" s="4094"/>
      <c r="H259" s="4094"/>
      <c r="I259" s="4094" t="s">
        <v>46</v>
      </c>
      <c r="J259" s="4106" t="s">
        <v>46</v>
      </c>
      <c r="K259" s="4106" t="s">
        <v>46</v>
      </c>
      <c r="L259" s="4102" t="s">
        <v>46</v>
      </c>
      <c r="M259" s="4106" t="s">
        <v>46</v>
      </c>
      <c r="N259" s="4106"/>
      <c r="O259" s="4106"/>
      <c r="P259" s="4106" t="s">
        <v>46</v>
      </c>
      <c r="Q259" s="4102" t="s">
        <v>46</v>
      </c>
      <c r="R259" s="4112" t="s">
        <v>46</v>
      </c>
      <c r="S259" s="4106"/>
      <c r="T259" s="4106"/>
      <c r="U259" s="4106"/>
      <c r="V259" s="4106"/>
      <c r="W259" s="4106"/>
      <c r="X259" s="4106" t="s">
        <v>46</v>
      </c>
      <c r="Y259" s="4117" t="s">
        <v>46</v>
      </c>
      <c r="Z259" s="4106" t="s">
        <v>46</v>
      </c>
      <c r="AA259" s="4094" t="s">
        <v>46</v>
      </c>
      <c r="AB259" s="4094"/>
      <c r="AC259" s="4094"/>
      <c r="AD259" s="4094" t="s">
        <v>46</v>
      </c>
      <c r="AE259" s="4106" t="s">
        <v>46</v>
      </c>
      <c r="AF259" s="4106" t="s">
        <v>46</v>
      </c>
      <c r="AG259" s="4230"/>
      <c r="AH259" s="115"/>
      <c r="AI259" s="116"/>
    </row>
    <row r="260" spans="1:35" ht="18" customHeight="1" x14ac:dyDescent="0.2">
      <c r="A260" s="4493">
        <v>3701</v>
      </c>
      <c r="B260" s="4468" t="s">
        <v>362</v>
      </c>
      <c r="C260" s="4099" t="s">
        <v>46</v>
      </c>
      <c r="D260" s="4099" t="s">
        <v>46</v>
      </c>
      <c r="E260" s="4099" t="s">
        <v>46</v>
      </c>
      <c r="F260" s="4099" t="s">
        <v>79</v>
      </c>
      <c r="G260" s="4094"/>
      <c r="H260" s="4094"/>
      <c r="I260" s="4094" t="s">
        <v>46</v>
      </c>
      <c r="J260" s="4106" t="s">
        <v>46</v>
      </c>
      <c r="K260" s="4106" t="s">
        <v>46</v>
      </c>
      <c r="L260" s="4102" t="s">
        <v>46</v>
      </c>
      <c r="M260" s="4106" t="s">
        <v>46</v>
      </c>
      <c r="N260" s="4106"/>
      <c r="O260" s="4106"/>
      <c r="P260" s="4106" t="s">
        <v>46</v>
      </c>
      <c r="Q260" s="4102" t="s">
        <v>46</v>
      </c>
      <c r="R260" s="4106" t="s">
        <v>46</v>
      </c>
      <c r="S260" s="4106"/>
      <c r="T260" s="4106"/>
      <c r="U260" s="4106"/>
      <c r="V260" s="4106"/>
      <c r="W260" s="4106"/>
      <c r="X260" s="4106" t="s">
        <v>46</v>
      </c>
      <c r="Y260" s="4117" t="s">
        <v>46</v>
      </c>
      <c r="Z260" s="4106" t="s">
        <v>46</v>
      </c>
      <c r="AA260" s="4094" t="s">
        <v>46</v>
      </c>
      <c r="AB260" s="4094"/>
      <c r="AC260" s="4094"/>
      <c r="AD260" s="4094" t="s">
        <v>46</v>
      </c>
      <c r="AE260" s="4106" t="s">
        <v>46</v>
      </c>
      <c r="AF260" s="4106" t="s">
        <v>46</v>
      </c>
      <c r="AG260" s="4230"/>
      <c r="AH260" s="112"/>
      <c r="AI260" s="67"/>
    </row>
    <row r="261" spans="1:35" ht="18" customHeight="1" x14ac:dyDescent="0.2">
      <c r="A261" s="4493"/>
      <c r="B261" s="4468" t="s">
        <v>363</v>
      </c>
      <c r="C261" s="4106" t="s">
        <v>46</v>
      </c>
      <c r="D261" s="4117" t="s">
        <v>46</v>
      </c>
      <c r="E261" s="4106" t="s">
        <v>46</v>
      </c>
      <c r="F261" s="4094" t="s">
        <v>46</v>
      </c>
      <c r="G261" s="4094"/>
      <c r="H261" s="4094"/>
      <c r="I261" s="4104" t="s">
        <v>46</v>
      </c>
      <c r="J261" s="4104" t="s">
        <v>46</v>
      </c>
      <c r="K261" s="4104" t="s">
        <v>46</v>
      </c>
      <c r="L261" s="4104" t="s">
        <v>46</v>
      </c>
      <c r="M261" s="4104" t="s">
        <v>46</v>
      </c>
      <c r="N261" s="4106"/>
      <c r="O261" s="4106"/>
      <c r="P261" s="4106" t="s">
        <v>46</v>
      </c>
      <c r="Q261" s="4102" t="s">
        <v>46</v>
      </c>
      <c r="R261" s="4106" t="s">
        <v>46</v>
      </c>
      <c r="S261" s="4106"/>
      <c r="T261" s="4106"/>
      <c r="U261" s="4106"/>
      <c r="V261" s="4106"/>
      <c r="W261" s="4106"/>
      <c r="X261" s="4106" t="s">
        <v>46</v>
      </c>
      <c r="Y261" s="4117" t="s">
        <v>46</v>
      </c>
      <c r="Z261" s="4106" t="s">
        <v>46</v>
      </c>
      <c r="AA261" s="4094" t="s">
        <v>46</v>
      </c>
      <c r="AB261" s="4094"/>
      <c r="AC261" s="4094"/>
      <c r="AD261" s="4094" t="s">
        <v>46</v>
      </c>
      <c r="AE261" s="4106" t="s">
        <v>46</v>
      </c>
      <c r="AF261" s="4106" t="s">
        <v>46</v>
      </c>
      <c r="AG261" s="4230"/>
      <c r="AH261" s="112"/>
      <c r="AI261" s="67"/>
    </row>
    <row r="262" spans="1:35" ht="18" customHeight="1" x14ac:dyDescent="0.2">
      <c r="A262" s="4493"/>
      <c r="B262" s="4468" t="s">
        <v>364</v>
      </c>
      <c r="C262" s="4106" t="s">
        <v>46</v>
      </c>
      <c r="D262" s="4117" t="s">
        <v>46</v>
      </c>
      <c r="E262" s="4106" t="s">
        <v>46</v>
      </c>
      <c r="F262" s="4094" t="s">
        <v>46</v>
      </c>
      <c r="G262" s="4094"/>
      <c r="H262" s="4094"/>
      <c r="I262" s="4094" t="s">
        <v>46</v>
      </c>
      <c r="J262" s="4106" t="s">
        <v>46</v>
      </c>
      <c r="K262" s="4106" t="s">
        <v>46</v>
      </c>
      <c r="L262" s="4102" t="s">
        <v>46</v>
      </c>
      <c r="M262" s="4106" t="s">
        <v>46</v>
      </c>
      <c r="N262" s="4106"/>
      <c r="O262" s="4106"/>
      <c r="P262" s="4106" t="s">
        <v>46</v>
      </c>
      <c r="Q262" s="4102" t="s">
        <v>46</v>
      </c>
      <c r="R262" s="4106" t="s">
        <v>46</v>
      </c>
      <c r="S262" s="4106"/>
      <c r="T262" s="4106"/>
      <c r="U262" s="4106"/>
      <c r="V262" s="4106"/>
      <c r="W262" s="4106"/>
      <c r="X262" s="4106" t="s">
        <v>46</v>
      </c>
      <c r="Y262" s="4117" t="s">
        <v>46</v>
      </c>
      <c r="Z262" s="4106" t="s">
        <v>46</v>
      </c>
      <c r="AA262" s="4094" t="s">
        <v>46</v>
      </c>
      <c r="AB262" s="4094"/>
      <c r="AC262" s="4094"/>
      <c r="AD262" s="4094" t="s">
        <v>46</v>
      </c>
      <c r="AE262" s="4106" t="s">
        <v>46</v>
      </c>
      <c r="AF262" s="4106" t="s">
        <v>46</v>
      </c>
      <c r="AG262" s="4230"/>
      <c r="AH262" s="112"/>
      <c r="AI262" s="67"/>
    </row>
    <row r="263" spans="1:35" ht="18" customHeight="1" x14ac:dyDescent="0.2">
      <c r="A263" s="4493"/>
      <c r="B263" s="4468" t="s">
        <v>365</v>
      </c>
      <c r="C263" s="4106" t="s">
        <v>46</v>
      </c>
      <c r="D263" s="4117" t="s">
        <v>46</v>
      </c>
      <c r="E263" s="4106" t="s">
        <v>46</v>
      </c>
      <c r="F263" s="4094" t="s">
        <v>46</v>
      </c>
      <c r="G263" s="4094"/>
      <c r="H263" s="4094"/>
      <c r="I263" s="4094" t="s">
        <v>46</v>
      </c>
      <c r="J263" s="4106" t="s">
        <v>46</v>
      </c>
      <c r="K263" s="4106" t="s">
        <v>46</v>
      </c>
      <c r="L263" s="4099" t="s">
        <v>46</v>
      </c>
      <c r="M263" s="4099" t="s">
        <v>46</v>
      </c>
      <c r="N263" s="4099"/>
      <c r="O263" s="4099" t="s">
        <v>405</v>
      </c>
      <c r="P263" s="3930" t="s">
        <v>46</v>
      </c>
      <c r="Q263" s="3930" t="s">
        <v>46</v>
      </c>
      <c r="R263" s="3930" t="s">
        <v>46</v>
      </c>
      <c r="S263" s="4106"/>
      <c r="T263" s="4106"/>
      <c r="U263" s="4106"/>
      <c r="V263" s="4106"/>
      <c r="W263" s="4106"/>
      <c r="X263" s="4104" t="s">
        <v>46</v>
      </c>
      <c r="Y263" s="4104" t="s">
        <v>46</v>
      </c>
      <c r="Z263" s="4104" t="s">
        <v>46</v>
      </c>
      <c r="AA263" s="4104" t="s">
        <v>46</v>
      </c>
      <c r="AB263" s="4094"/>
      <c r="AC263" s="4094"/>
      <c r="AD263" s="4104" t="s">
        <v>46</v>
      </c>
      <c r="AE263" s="4106" t="s">
        <v>46</v>
      </c>
      <c r="AF263" s="4106" t="s">
        <v>46</v>
      </c>
      <c r="AG263" s="4230"/>
      <c r="AH263" s="112"/>
      <c r="AI263" s="67"/>
    </row>
    <row r="264" spans="1:35" ht="18" customHeight="1" x14ac:dyDescent="0.2">
      <c r="A264" s="4493"/>
      <c r="B264" s="4495" t="s">
        <v>366</v>
      </c>
      <c r="C264" s="4491"/>
      <c r="D264" s="4491"/>
      <c r="E264" s="4491"/>
      <c r="F264" s="4491"/>
      <c r="G264" s="4244"/>
      <c r="H264" s="4244"/>
      <c r="I264" s="4244"/>
      <c r="J264" s="4491"/>
      <c r="K264" s="4491"/>
      <c r="L264" s="4491"/>
      <c r="M264" s="4491"/>
      <c r="N264" s="4244"/>
      <c r="O264" s="4244"/>
      <c r="P264" s="4244"/>
      <c r="Q264" s="4491"/>
      <c r="R264" s="4491"/>
      <c r="S264" s="4491"/>
      <c r="T264" s="4491"/>
      <c r="U264" s="4244"/>
      <c r="V264" s="4244"/>
      <c r="W264" s="4244"/>
      <c r="X264" s="4491"/>
      <c r="Y264" s="4491"/>
      <c r="Z264" s="4491"/>
      <c r="AA264" s="4491"/>
      <c r="AB264" s="4244"/>
      <c r="AC264" s="4244"/>
      <c r="AD264" s="4244"/>
      <c r="AE264" s="4491"/>
      <c r="AF264" s="4491"/>
      <c r="AG264" s="4492"/>
      <c r="AH264" s="112"/>
      <c r="AI264" s="67"/>
    </row>
    <row r="265" spans="1:35" ht="18" customHeight="1" x14ac:dyDescent="0.2">
      <c r="A265" s="4493"/>
      <c r="B265" s="4468" t="s">
        <v>367</v>
      </c>
      <c r="C265" s="4106" t="s">
        <v>46</v>
      </c>
      <c r="D265" s="4117" t="s">
        <v>46</v>
      </c>
      <c r="E265" s="4106" t="s">
        <v>46</v>
      </c>
      <c r="F265" s="4094" t="s">
        <v>46</v>
      </c>
      <c r="G265" s="4094"/>
      <c r="H265" s="4094"/>
      <c r="I265" s="4094" t="s">
        <v>46</v>
      </c>
      <c r="J265" s="4106" t="s">
        <v>46</v>
      </c>
      <c r="K265" s="4106" t="s">
        <v>46</v>
      </c>
      <c r="L265" s="4102" t="s">
        <v>46</v>
      </c>
      <c r="M265" s="4106" t="s">
        <v>46</v>
      </c>
      <c r="N265" s="4106"/>
      <c r="O265" s="4106"/>
      <c r="P265" s="4393" t="s">
        <v>46</v>
      </c>
      <c r="Q265" s="4112" t="s">
        <v>46</v>
      </c>
      <c r="R265" s="4393" t="s">
        <v>46</v>
      </c>
      <c r="S265" s="4106"/>
      <c r="T265" s="4106"/>
      <c r="U265" s="4106"/>
      <c r="V265" s="4106"/>
      <c r="W265" s="4106"/>
      <c r="X265" s="4106" t="s">
        <v>46</v>
      </c>
      <c r="Y265" s="4497" t="s">
        <v>46</v>
      </c>
      <c r="Z265" s="4106" t="s">
        <v>46</v>
      </c>
      <c r="AA265" s="4094" t="s">
        <v>46</v>
      </c>
      <c r="AB265" s="4094"/>
      <c r="AC265" s="4094"/>
      <c r="AD265" s="4094" t="s">
        <v>46</v>
      </c>
      <c r="AE265" s="4106" t="s">
        <v>46</v>
      </c>
      <c r="AF265" s="4106" t="s">
        <v>46</v>
      </c>
      <c r="AG265" s="4230"/>
      <c r="AH265" s="112"/>
      <c r="AI265" s="67"/>
    </row>
    <row r="266" spans="1:35" ht="18" customHeight="1" x14ac:dyDescent="0.2">
      <c r="A266" s="4493"/>
      <c r="B266" s="4468" t="s">
        <v>368</v>
      </c>
      <c r="C266" s="4106" t="s">
        <v>46</v>
      </c>
      <c r="D266" s="4117" t="s">
        <v>46</v>
      </c>
      <c r="E266" s="4106" t="s">
        <v>46</v>
      </c>
      <c r="F266" s="4094" t="s">
        <v>46</v>
      </c>
      <c r="G266" s="4094"/>
      <c r="H266" s="4094"/>
      <c r="I266" s="4094" t="s">
        <v>46</v>
      </c>
      <c r="J266" s="4106" t="s">
        <v>46</v>
      </c>
      <c r="K266" s="4106" t="s">
        <v>46</v>
      </c>
      <c r="L266" s="4102" t="s">
        <v>46</v>
      </c>
      <c r="M266" s="4106" t="s">
        <v>46</v>
      </c>
      <c r="N266" s="4106"/>
      <c r="O266" s="4106"/>
      <c r="P266" s="4106" t="s">
        <v>46</v>
      </c>
      <c r="Q266" s="4102" t="s">
        <v>46</v>
      </c>
      <c r="R266" s="4106" t="s">
        <v>46</v>
      </c>
      <c r="S266" s="4106"/>
      <c r="T266" s="4106"/>
      <c r="U266" s="4106"/>
      <c r="V266" s="4106"/>
      <c r="W266" s="4106"/>
      <c r="X266" s="4106" t="s">
        <v>46</v>
      </c>
      <c r="Y266" s="4117" t="s">
        <v>46</v>
      </c>
      <c r="Z266" s="4106" t="s">
        <v>46</v>
      </c>
      <c r="AA266" s="4094" t="s">
        <v>46</v>
      </c>
      <c r="AB266" s="4094"/>
      <c r="AC266" s="4094"/>
      <c r="AD266" s="4094" t="s">
        <v>46</v>
      </c>
      <c r="AE266" s="4106" t="s">
        <v>46</v>
      </c>
      <c r="AF266" s="4106" t="s">
        <v>46</v>
      </c>
      <c r="AG266" s="4230"/>
      <c r="AH266" s="112"/>
      <c r="AI266" s="67"/>
    </row>
    <row r="267" spans="1:35" ht="18" customHeight="1" x14ac:dyDescent="0.2">
      <c r="A267" s="4493"/>
      <c r="B267" s="4468"/>
      <c r="C267" s="4106" t="s">
        <v>46</v>
      </c>
      <c r="D267" s="4117" t="s">
        <v>46</v>
      </c>
      <c r="E267" s="4106" t="s">
        <v>46</v>
      </c>
      <c r="F267" s="4094" t="s">
        <v>46</v>
      </c>
      <c r="G267" s="4094"/>
      <c r="H267" s="4094"/>
      <c r="I267" s="4094" t="s">
        <v>46</v>
      </c>
      <c r="J267" s="4106" t="s">
        <v>46</v>
      </c>
      <c r="K267" s="4106" t="s">
        <v>46</v>
      </c>
      <c r="L267" s="4102" t="s">
        <v>46</v>
      </c>
      <c r="M267" s="4106" t="s">
        <v>46</v>
      </c>
      <c r="N267" s="4106"/>
      <c r="O267" s="4106"/>
      <c r="P267" s="4106" t="s">
        <v>46</v>
      </c>
      <c r="Q267" s="4102" t="s">
        <v>46</v>
      </c>
      <c r="R267" s="4106" t="s">
        <v>46</v>
      </c>
      <c r="S267" s="4106"/>
      <c r="T267" s="4106"/>
      <c r="U267" s="4106"/>
      <c r="V267" s="4106"/>
      <c r="W267" s="4106"/>
      <c r="X267" s="4106" t="s">
        <v>46</v>
      </c>
      <c r="Y267" s="4117" t="s">
        <v>46</v>
      </c>
      <c r="Z267" s="4106" t="s">
        <v>46</v>
      </c>
      <c r="AA267" s="4094" t="s">
        <v>46</v>
      </c>
      <c r="AB267" s="4094"/>
      <c r="AC267" s="4094"/>
      <c r="AD267" s="4094" t="s">
        <v>46</v>
      </c>
      <c r="AE267" s="4106" t="s">
        <v>46</v>
      </c>
      <c r="AF267" s="4106" t="s">
        <v>46</v>
      </c>
      <c r="AG267" s="4230"/>
      <c r="AH267" s="112"/>
      <c r="AI267" s="67"/>
    </row>
    <row r="268" spans="1:35" ht="18" customHeight="1" x14ac:dyDescent="0.2">
      <c r="A268" s="4493"/>
      <c r="B268" s="4468" t="s">
        <v>369</v>
      </c>
      <c r="C268" s="4099" t="s">
        <v>46</v>
      </c>
      <c r="D268" s="4099" t="s">
        <v>46</v>
      </c>
      <c r="E268" s="4099" t="s">
        <v>46</v>
      </c>
      <c r="F268" s="4099" t="s">
        <v>46</v>
      </c>
      <c r="G268" s="4099"/>
      <c r="H268" s="4099"/>
      <c r="I268" s="4099" t="s">
        <v>46</v>
      </c>
      <c r="J268" s="4099" t="s">
        <v>46</v>
      </c>
      <c r="K268" s="4099" t="s">
        <v>46</v>
      </c>
      <c r="L268" s="4099" t="s">
        <v>46</v>
      </c>
      <c r="M268" s="4099" t="s">
        <v>46</v>
      </c>
      <c r="N268" s="4099"/>
      <c r="O268" s="4099"/>
      <c r="P268" s="4099" t="s">
        <v>46</v>
      </c>
      <c r="Q268" s="4099" t="s">
        <v>46</v>
      </c>
      <c r="R268" s="4099" t="s">
        <v>46</v>
      </c>
      <c r="S268" s="4099"/>
      <c r="T268" s="4099"/>
      <c r="U268" s="4099"/>
      <c r="V268" s="4099"/>
      <c r="W268" s="4099"/>
      <c r="X268" s="4099" t="s">
        <v>46</v>
      </c>
      <c r="Y268" s="4099" t="s">
        <v>46</v>
      </c>
      <c r="Z268" s="4099" t="s">
        <v>46</v>
      </c>
      <c r="AA268" s="4099" t="s">
        <v>46</v>
      </c>
      <c r="AB268" s="4099"/>
      <c r="AC268" s="4099"/>
      <c r="AD268" s="4099" t="s">
        <v>46</v>
      </c>
      <c r="AE268" s="4099" t="s">
        <v>46</v>
      </c>
      <c r="AF268" s="4099" t="s">
        <v>46</v>
      </c>
      <c r="AG268" s="4498"/>
      <c r="AH268" s="67"/>
      <c r="AI268" s="67"/>
    </row>
    <row r="269" spans="1:35" ht="18" customHeight="1" x14ac:dyDescent="0.2">
      <c r="A269" s="3960"/>
      <c r="B269" s="4499"/>
      <c r="C269" s="4244"/>
      <c r="D269" s="4244"/>
      <c r="E269" s="4244"/>
      <c r="F269" s="4244"/>
      <c r="G269" s="4244"/>
      <c r="H269" s="4244"/>
      <c r="I269" s="4244"/>
      <c r="J269" s="4244"/>
      <c r="K269" s="4244"/>
      <c r="L269" s="4244"/>
      <c r="M269" s="4244"/>
      <c r="N269" s="4244"/>
      <c r="O269" s="4244"/>
      <c r="P269" s="4244"/>
      <c r="Q269" s="4244"/>
      <c r="R269" s="4244"/>
      <c r="S269" s="4244"/>
      <c r="T269" s="4244"/>
      <c r="U269" s="4244"/>
      <c r="V269" s="4244"/>
      <c r="W269" s="4244"/>
      <c r="X269" s="4244"/>
      <c r="Y269" s="4244"/>
      <c r="Z269" s="4244"/>
      <c r="AA269" s="4244"/>
      <c r="AB269" s="4244"/>
      <c r="AC269" s="4244"/>
      <c r="AD269" s="4244"/>
      <c r="AE269" s="4244"/>
      <c r="AF269" s="4244"/>
      <c r="AG269" s="4492"/>
    </row>
    <row r="270" spans="1:35" ht="18" customHeight="1" x14ac:dyDescent="0.2">
      <c r="A270" s="3960"/>
      <c r="B270" s="4468"/>
      <c r="C270" s="4244"/>
      <c r="D270" s="4244"/>
      <c r="E270" s="4244"/>
      <c r="F270" s="4244"/>
      <c r="G270" s="4244"/>
      <c r="H270" s="4244"/>
      <c r="I270" s="4244"/>
      <c r="J270" s="4244"/>
      <c r="K270" s="4244"/>
      <c r="L270" s="4244"/>
      <c r="M270" s="4244"/>
      <c r="N270" s="4269"/>
      <c r="O270" s="4269"/>
      <c r="P270" s="4269"/>
      <c r="Q270" s="4406"/>
      <c r="R270" s="4269"/>
      <c r="S270" s="4244"/>
      <c r="T270" s="4244"/>
      <c r="U270" s="4269"/>
      <c r="V270" s="4269"/>
      <c r="W270" s="4269"/>
      <c r="X270" s="4244"/>
      <c r="Y270" s="4269"/>
      <c r="Z270" s="4244"/>
      <c r="AA270" s="4244"/>
      <c r="AB270" s="4244"/>
      <c r="AC270" s="4244"/>
      <c r="AD270" s="4244"/>
      <c r="AE270" s="4244"/>
      <c r="AF270" s="4269"/>
      <c r="AG270" s="4500"/>
    </row>
    <row r="271" spans="1:35" ht="18" customHeight="1" x14ac:dyDescent="0.2">
      <c r="A271" s="3960"/>
      <c r="B271" s="3960"/>
      <c r="C271" s="4244"/>
      <c r="D271" s="4244"/>
      <c r="E271" s="4244"/>
      <c r="F271" s="4244"/>
      <c r="G271" s="4244"/>
      <c r="H271" s="4244"/>
      <c r="I271" s="4244"/>
      <c r="J271" s="4244"/>
      <c r="K271" s="4244"/>
      <c r="L271" s="4244"/>
      <c r="M271" s="4244"/>
      <c r="N271" s="4244"/>
      <c r="O271" s="4244"/>
      <c r="P271" s="4244"/>
      <c r="Q271" s="4244"/>
      <c r="R271" s="4244"/>
      <c r="S271" s="4244"/>
      <c r="T271" s="4244"/>
      <c r="U271" s="4244"/>
      <c r="V271" s="4244"/>
      <c r="W271" s="4244"/>
      <c r="X271" s="4244"/>
      <c r="Y271" s="4244"/>
      <c r="Z271" s="4244"/>
      <c r="AA271" s="4244"/>
      <c r="AB271" s="4244"/>
      <c r="AC271" s="4244"/>
      <c r="AD271" s="4244"/>
      <c r="AE271" s="4244"/>
      <c r="AF271" s="4244"/>
      <c r="AG271" s="4492"/>
    </row>
    <row r="272" spans="1:35" ht="18" customHeight="1" x14ac:dyDescent="0.2">
      <c r="A272" s="3960"/>
      <c r="B272" s="3960"/>
      <c r="C272" s="4244"/>
      <c r="D272" s="4244"/>
      <c r="E272" s="4244"/>
      <c r="F272" s="4244"/>
      <c r="G272" s="4244"/>
      <c r="H272" s="4501"/>
      <c r="I272" s="4244"/>
      <c r="J272" s="4244"/>
      <c r="K272" s="4244"/>
      <c r="L272" s="4244"/>
      <c r="M272" s="4244"/>
      <c r="N272" s="4244"/>
      <c r="O272" s="4244"/>
      <c r="P272" s="4244"/>
      <c r="Q272" s="4244"/>
      <c r="R272" s="4244"/>
      <c r="S272" s="4244"/>
      <c r="T272" s="4244"/>
      <c r="U272" s="4244"/>
      <c r="V272" s="4244"/>
      <c r="W272" s="4244"/>
      <c r="X272" s="4244"/>
      <c r="Y272" s="4244"/>
      <c r="Z272" s="4244"/>
      <c r="AA272" s="4244"/>
      <c r="AB272" s="4244"/>
      <c r="AC272" s="4244"/>
      <c r="AD272" s="4244"/>
      <c r="AE272" s="4244"/>
      <c r="AF272" s="4244"/>
      <c r="AG272" s="4502"/>
    </row>
    <row r="273" spans="1:36" ht="18" customHeight="1" x14ac:dyDescent="0.2">
      <c r="A273" s="4493"/>
      <c r="B273" s="4503"/>
      <c r="C273" s="4244"/>
      <c r="D273" s="4244"/>
      <c r="E273" s="4244"/>
      <c r="F273" s="4244"/>
      <c r="G273" s="4244"/>
      <c r="H273" s="4244"/>
      <c r="I273" s="4244"/>
      <c r="J273" s="4244"/>
      <c r="K273" s="4244"/>
      <c r="L273" s="4244"/>
      <c r="M273" s="4244"/>
      <c r="N273" s="4244"/>
      <c r="O273" s="4244"/>
      <c r="P273" s="4244"/>
      <c r="Q273" s="4244"/>
      <c r="R273" s="4244"/>
      <c r="S273" s="4244"/>
      <c r="T273" s="4244"/>
      <c r="U273" s="4244"/>
      <c r="V273" s="4244"/>
      <c r="W273" s="4244"/>
      <c r="X273" s="4244"/>
      <c r="Y273" s="4244"/>
      <c r="Z273" s="4244"/>
      <c r="AA273" s="4244"/>
      <c r="AB273" s="4244"/>
      <c r="AC273" s="4244"/>
      <c r="AD273" s="4244"/>
      <c r="AE273" s="4244"/>
      <c r="AF273" s="4244"/>
      <c r="AG273" s="4502"/>
      <c r="AH273" s="123"/>
      <c r="AI273" s="123"/>
      <c r="AJ273" s="123"/>
    </row>
    <row r="274" spans="1:36" ht="18" customHeight="1" x14ac:dyDescent="0.2">
      <c r="A274" s="4493"/>
      <c r="B274" s="4504"/>
      <c r="C274" s="4244"/>
      <c r="D274" s="4244"/>
      <c r="E274" s="4244"/>
      <c r="F274" s="4244"/>
      <c r="G274" s="4244"/>
      <c r="H274" s="4244"/>
      <c r="I274" s="4244"/>
      <c r="J274" s="4244"/>
      <c r="K274" s="4244"/>
      <c r="L274" s="4244"/>
      <c r="M274" s="4244"/>
      <c r="N274" s="4244"/>
      <c r="O274" s="4244"/>
      <c r="P274" s="4244"/>
      <c r="Q274" s="4244"/>
      <c r="R274" s="4244"/>
      <c r="S274" s="4244"/>
      <c r="T274" s="4244"/>
      <c r="U274" s="4244"/>
      <c r="V274" s="4244"/>
      <c r="W274" s="4244"/>
      <c r="X274" s="4244"/>
      <c r="Y274" s="4244"/>
      <c r="Z274" s="4244"/>
      <c r="AA274" s="4244"/>
      <c r="AB274" s="4244"/>
      <c r="AC274" s="4244"/>
      <c r="AD274" s="4244"/>
      <c r="AE274" s="4244"/>
      <c r="AF274" s="4244"/>
      <c r="AG274" s="4502"/>
      <c r="AH274" s="123"/>
      <c r="AI274" s="123"/>
      <c r="AJ274" s="123"/>
    </row>
    <row r="275" spans="1:36" ht="18" customHeight="1" x14ac:dyDescent="0.2">
      <c r="A275" s="68"/>
      <c r="B275" s="74"/>
      <c r="C275" s="66"/>
      <c r="D275" s="66"/>
      <c r="E275" s="66"/>
      <c r="F275" s="66"/>
      <c r="G275" s="66"/>
      <c r="H275" s="66"/>
      <c r="I275" s="66"/>
      <c r="J275" s="66"/>
      <c r="L275" s="66"/>
      <c r="M275" s="66"/>
      <c r="N275" s="66"/>
      <c r="O275" s="66"/>
      <c r="P275" s="48"/>
      <c r="Q275" s="48"/>
      <c r="R275" s="48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123"/>
      <c r="AI275" s="123"/>
      <c r="AJ275" s="123"/>
    </row>
    <row r="276" spans="1:36" ht="18" customHeight="1" x14ac:dyDescent="0.2">
      <c r="AH276" s="123"/>
      <c r="AI276" s="123"/>
      <c r="AJ276" s="123"/>
    </row>
    <row r="277" spans="1:36" ht="18" customHeight="1" x14ac:dyDescent="0.2">
      <c r="AH277" s="123"/>
      <c r="AI277" s="123"/>
      <c r="AJ277" s="123"/>
    </row>
    <row r="278" spans="1:36" ht="18" customHeight="1" x14ac:dyDescent="0.2">
      <c r="AH278" s="123"/>
      <c r="AI278" s="123"/>
      <c r="AJ278" s="123"/>
    </row>
    <row r="279" spans="1:36" ht="18" customHeight="1" thickBot="1" x14ac:dyDescent="0.25">
      <c r="A279" s="103" t="s">
        <v>370</v>
      </c>
      <c r="AH279" s="110"/>
      <c r="AI279" s="210"/>
      <c r="AJ279" s="123"/>
    </row>
    <row r="280" spans="1:36" ht="18" customHeight="1" x14ac:dyDescent="0.2">
      <c r="B280" s="4505" t="s">
        <v>340</v>
      </c>
      <c r="C280" s="4334"/>
      <c r="D280" s="4359" t="s">
        <v>17</v>
      </c>
      <c r="E280" s="4154"/>
      <c r="F280" s="4338"/>
      <c r="G280" s="4334"/>
      <c r="H280" s="4359" t="s">
        <v>18</v>
      </c>
      <c r="I280" s="4154"/>
      <c r="J280" s="4338"/>
      <c r="K280" s="4334"/>
      <c r="L280" s="4359" t="s">
        <v>19</v>
      </c>
      <c r="M280" s="4154"/>
      <c r="N280" s="4338"/>
      <c r="O280" s="4334"/>
      <c r="P280" s="4359" t="s">
        <v>20</v>
      </c>
      <c r="Q280" s="4154"/>
      <c r="R280" s="4338"/>
      <c r="S280" s="4334"/>
      <c r="T280" s="4359" t="s">
        <v>21</v>
      </c>
      <c r="U280" s="4154"/>
      <c r="V280" s="4338"/>
      <c r="W280" s="4334"/>
      <c r="X280" s="4359" t="s">
        <v>22</v>
      </c>
      <c r="Y280" s="4154"/>
      <c r="Z280" s="4338"/>
      <c r="AA280" s="4334"/>
      <c r="AB280" s="4359" t="s">
        <v>23</v>
      </c>
      <c r="AC280" s="4154"/>
      <c r="AD280" s="4154"/>
      <c r="AE280" s="4362"/>
      <c r="AF280" s="4154"/>
      <c r="AG280" s="4154"/>
      <c r="AH280" s="115"/>
      <c r="AI280" s="132"/>
      <c r="AJ280" s="123"/>
    </row>
    <row r="281" spans="1:36" ht="18" customHeight="1" x14ac:dyDescent="0.2">
      <c r="B281" s="4506" t="s">
        <v>235</v>
      </c>
      <c r="C281" s="1059" t="s">
        <v>371</v>
      </c>
      <c r="D281" s="1030"/>
      <c r="E281" s="1060"/>
      <c r="F281" s="1061"/>
      <c r="G281" s="1059" t="s">
        <v>371</v>
      </c>
      <c r="H281" s="1030"/>
      <c r="I281" s="1060"/>
      <c r="J281" s="1061"/>
      <c r="K281" s="1059" t="s">
        <v>371</v>
      </c>
      <c r="L281" s="1030"/>
      <c r="M281" s="1060"/>
      <c r="N281" s="1061"/>
      <c r="O281" s="1059" t="s">
        <v>371</v>
      </c>
      <c r="P281" s="1062"/>
      <c r="Q281" s="1060"/>
      <c r="R281" s="1061"/>
      <c r="S281" s="1063" t="s">
        <v>372</v>
      </c>
      <c r="T281" s="1030"/>
      <c r="U281" s="1060"/>
      <c r="V281" s="1061"/>
      <c r="W281" s="1032"/>
      <c r="X281" s="1030"/>
      <c r="Y281" s="875"/>
      <c r="Z281" s="1031"/>
      <c r="AA281" s="1032"/>
      <c r="AB281" s="1030"/>
      <c r="AC281" s="875"/>
      <c r="AD281" s="875"/>
      <c r="AE281" s="1033"/>
      <c r="AF281" s="875"/>
      <c r="AG281" s="467"/>
      <c r="AH281" s="115"/>
      <c r="AI281" s="132"/>
      <c r="AJ281" s="123"/>
    </row>
    <row r="282" spans="1:36" ht="18" customHeight="1" x14ac:dyDescent="0.2">
      <c r="A282" s="70"/>
      <c r="B282" s="4506" t="s">
        <v>236</v>
      </c>
      <c r="C282" s="1059" t="s">
        <v>552</v>
      </c>
      <c r="D282" s="1030"/>
      <c r="E282" s="1060"/>
      <c r="F282" s="1061"/>
      <c r="G282" s="1059" t="s">
        <v>552</v>
      </c>
      <c r="H282" s="1030"/>
      <c r="I282" s="1060"/>
      <c r="J282" s="1061"/>
      <c r="K282" s="1059" t="s">
        <v>552</v>
      </c>
      <c r="L282" s="1030"/>
      <c r="M282" s="1060"/>
      <c r="N282" s="1061"/>
      <c r="O282" s="1059" t="s">
        <v>552</v>
      </c>
      <c r="P282" s="1030"/>
      <c r="Q282" s="1060"/>
      <c r="R282" s="1061"/>
      <c r="S282" s="1059" t="s">
        <v>553</v>
      </c>
      <c r="T282" s="1030"/>
      <c r="U282" s="1060"/>
      <c r="V282" s="1061"/>
      <c r="W282" s="1032"/>
      <c r="X282" s="1030"/>
      <c r="Y282" s="875"/>
      <c r="Z282" s="1031"/>
      <c r="AA282" s="1032"/>
      <c r="AB282" s="1030"/>
      <c r="AC282" s="875"/>
      <c r="AD282" s="875"/>
      <c r="AE282" s="1033"/>
      <c r="AF282" s="875"/>
      <c r="AG282" s="467"/>
      <c r="AH282" s="115"/>
      <c r="AI282" s="132"/>
      <c r="AJ282" s="123"/>
    </row>
    <row r="283" spans="1:36" ht="18" customHeight="1" thickBot="1" x14ac:dyDescent="0.25">
      <c r="B283" s="4507" t="s">
        <v>554</v>
      </c>
      <c r="C283" s="4423" t="s">
        <v>552</v>
      </c>
      <c r="D283" s="4508"/>
      <c r="E283" s="1060"/>
      <c r="F283" s="1061"/>
      <c r="G283" s="4423" t="s">
        <v>552</v>
      </c>
      <c r="H283" s="4508"/>
      <c r="I283" s="1060"/>
      <c r="J283" s="1061"/>
      <c r="K283" s="4423" t="s">
        <v>552</v>
      </c>
      <c r="L283" s="4508"/>
      <c r="M283" s="1060"/>
      <c r="N283" s="1061"/>
      <c r="O283" s="4423" t="s">
        <v>552</v>
      </c>
      <c r="P283" s="4508"/>
      <c r="Q283" s="1060"/>
      <c r="R283" s="1061"/>
      <c r="S283" s="4423" t="s">
        <v>553</v>
      </c>
      <c r="T283" s="1030"/>
      <c r="U283" s="1060"/>
      <c r="V283" s="1061"/>
      <c r="W283" s="1032"/>
      <c r="X283" s="1030"/>
      <c r="Y283" s="875"/>
      <c r="Z283" s="1031"/>
      <c r="AA283" s="1032"/>
      <c r="AB283" s="1030"/>
      <c r="AC283" s="875"/>
      <c r="AD283" s="875"/>
      <c r="AE283" s="1033"/>
      <c r="AF283" s="875"/>
      <c r="AG283" s="467"/>
      <c r="AH283" s="115"/>
      <c r="AI283" s="132"/>
      <c r="AJ283" s="123"/>
    </row>
    <row r="284" spans="1:36" ht="18" customHeight="1" x14ac:dyDescent="0.2">
      <c r="B284" s="37"/>
      <c r="C284" s="42"/>
      <c r="D284" s="5"/>
      <c r="G284" s="42"/>
      <c r="H284" s="5"/>
      <c r="K284" s="42"/>
      <c r="L284" s="5"/>
      <c r="O284" s="42"/>
      <c r="P284" s="5"/>
      <c r="S284" s="42"/>
      <c r="T284" s="42"/>
      <c r="X284" s="42"/>
      <c r="AB284" s="42"/>
      <c r="AE284" s="42"/>
      <c r="AH284" s="113"/>
      <c r="AI284" s="279"/>
      <c r="AJ284" s="123"/>
    </row>
    <row r="285" spans="1:36" ht="18" customHeight="1" thickBot="1" x14ac:dyDescent="0.25">
      <c r="A285" s="1068" t="s">
        <v>374</v>
      </c>
      <c r="AH285" s="115"/>
      <c r="AI285" s="132"/>
      <c r="AJ285" s="123"/>
    </row>
    <row r="286" spans="1:36" ht="18" customHeight="1" thickBot="1" x14ac:dyDescent="0.25">
      <c r="A286" s="4353"/>
      <c r="B286" s="4179" t="s">
        <v>44</v>
      </c>
      <c r="C286" s="4082">
        <v>1</v>
      </c>
      <c r="D286" s="4082">
        <v>2</v>
      </c>
      <c r="E286" s="4082">
        <v>3</v>
      </c>
      <c r="F286" s="4082">
        <v>4</v>
      </c>
      <c r="G286" s="4083">
        <v>5</v>
      </c>
      <c r="H286" s="4083">
        <v>6</v>
      </c>
      <c r="I286" s="4082">
        <v>7</v>
      </c>
      <c r="J286" s="4082">
        <v>8</v>
      </c>
      <c r="K286" s="4082">
        <v>9</v>
      </c>
      <c r="L286" s="4082">
        <v>10</v>
      </c>
      <c r="M286" s="4082">
        <v>11</v>
      </c>
      <c r="N286" s="4083">
        <v>12</v>
      </c>
      <c r="O286" s="4083">
        <v>13</v>
      </c>
      <c r="P286" s="4082">
        <v>14</v>
      </c>
      <c r="Q286" s="4082">
        <v>15</v>
      </c>
      <c r="R286" s="4082">
        <v>16</v>
      </c>
      <c r="S286" s="4083">
        <v>17</v>
      </c>
      <c r="T286" s="4083">
        <v>18</v>
      </c>
      <c r="U286" s="4083">
        <v>19</v>
      </c>
      <c r="V286" s="4083">
        <v>20</v>
      </c>
      <c r="W286" s="4083">
        <v>21</v>
      </c>
      <c r="X286" s="4082">
        <v>22</v>
      </c>
      <c r="Y286" s="4082">
        <v>23</v>
      </c>
      <c r="Z286" s="4082">
        <v>24</v>
      </c>
      <c r="AA286" s="4082">
        <v>25</v>
      </c>
      <c r="AB286" s="4083">
        <v>26</v>
      </c>
      <c r="AC286" s="4083">
        <v>27</v>
      </c>
      <c r="AD286" s="4082">
        <v>28</v>
      </c>
      <c r="AE286" s="4082">
        <v>29</v>
      </c>
      <c r="AF286" s="4082">
        <v>30</v>
      </c>
      <c r="AG286" s="4084"/>
      <c r="AH286" s="115"/>
      <c r="AI286" s="132"/>
      <c r="AJ286" s="123"/>
    </row>
    <row r="287" spans="1:36" ht="18" customHeight="1" x14ac:dyDescent="0.2">
      <c r="A287" s="4509">
        <v>3702</v>
      </c>
      <c r="B287" s="4510" t="s">
        <v>375</v>
      </c>
      <c r="C287" s="4131" t="s">
        <v>46</v>
      </c>
      <c r="D287" s="4131" t="s">
        <v>46</v>
      </c>
      <c r="E287" s="4131" t="s">
        <v>46</v>
      </c>
      <c r="F287" s="4131" t="s">
        <v>46</v>
      </c>
      <c r="G287" s="4131"/>
      <c r="H287" s="4131"/>
      <c r="I287" s="4089" t="s">
        <v>46</v>
      </c>
      <c r="J287" s="4089" t="s">
        <v>46</v>
      </c>
      <c r="K287" s="4089" t="s">
        <v>46</v>
      </c>
      <c r="L287" s="4089" t="s">
        <v>46</v>
      </c>
      <c r="M287" s="4089" t="s">
        <v>46</v>
      </c>
      <c r="N287" s="4131"/>
      <c r="O287" s="4131"/>
      <c r="P287" s="4089" t="s">
        <v>46</v>
      </c>
      <c r="Q287" s="4089" t="s">
        <v>46</v>
      </c>
      <c r="R287" s="4089" t="s">
        <v>46</v>
      </c>
      <c r="S287" s="4089"/>
      <c r="T287" s="4089"/>
      <c r="U287" s="4131"/>
      <c r="V287" s="4131"/>
      <c r="W287" s="4089"/>
      <c r="X287" s="4089" t="s">
        <v>46</v>
      </c>
      <c r="Y287" s="4089" t="s">
        <v>46</v>
      </c>
      <c r="Z287" s="4089" t="s">
        <v>46</v>
      </c>
      <c r="AA287" s="4089" t="s">
        <v>46</v>
      </c>
      <c r="AB287" s="4131"/>
      <c r="AC287" s="4131"/>
      <c r="AD287" s="4089" t="s">
        <v>46</v>
      </c>
      <c r="AE287" s="4089" t="s">
        <v>46</v>
      </c>
      <c r="AF287" s="4089" t="s">
        <v>46</v>
      </c>
      <c r="AG287" s="4090"/>
      <c r="AH287" s="115"/>
      <c r="AI287" s="132"/>
      <c r="AJ287" s="123"/>
    </row>
    <row r="288" spans="1:36" ht="18" customHeight="1" x14ac:dyDescent="0.2">
      <c r="A288" s="4110"/>
      <c r="B288" s="4066"/>
      <c r="C288" s="4106" t="s">
        <v>46</v>
      </c>
      <c r="D288" s="4106" t="s">
        <v>46</v>
      </c>
      <c r="E288" s="4106" t="s">
        <v>46</v>
      </c>
      <c r="F288" s="4106" t="s">
        <v>46</v>
      </c>
      <c r="G288" s="4106"/>
      <c r="H288" s="4106"/>
      <c r="I288" s="4106" t="s">
        <v>46</v>
      </c>
      <c r="J288" s="4106" t="s">
        <v>46</v>
      </c>
      <c r="K288" s="4106" t="s">
        <v>46</v>
      </c>
      <c r="L288" s="4106" t="s">
        <v>46</v>
      </c>
      <c r="M288" s="4106" t="s">
        <v>46</v>
      </c>
      <c r="N288" s="4106"/>
      <c r="O288" s="4106"/>
      <c r="P288" s="4106" t="s">
        <v>46</v>
      </c>
      <c r="Q288" s="4106" t="s">
        <v>46</v>
      </c>
      <c r="R288" s="4106" t="s">
        <v>46</v>
      </c>
      <c r="S288" s="4106"/>
      <c r="T288" s="4106"/>
      <c r="U288" s="4106"/>
      <c r="V288" s="4106"/>
      <c r="W288" s="4106"/>
      <c r="X288" s="4106" t="s">
        <v>46</v>
      </c>
      <c r="Y288" s="4106" t="s">
        <v>46</v>
      </c>
      <c r="Z288" s="4106" t="s">
        <v>46</v>
      </c>
      <c r="AA288" s="4106" t="s">
        <v>46</v>
      </c>
      <c r="AB288" s="4106"/>
      <c r="AC288" s="4106"/>
      <c r="AD288" s="4106" t="s">
        <v>46</v>
      </c>
      <c r="AE288" s="4106" t="s">
        <v>46</v>
      </c>
      <c r="AF288" s="4106" t="s">
        <v>46</v>
      </c>
      <c r="AG288" s="4109"/>
      <c r="AH288" s="123"/>
      <c r="AI288" s="123"/>
      <c r="AJ288" s="123"/>
    </row>
    <row r="289" spans="1:36" ht="18" customHeight="1" x14ac:dyDescent="0.2">
      <c r="A289" s="4511"/>
      <c r="B289" s="4512"/>
      <c r="C289" s="4106" t="s">
        <v>46</v>
      </c>
      <c r="D289" s="4106" t="s">
        <v>46</v>
      </c>
      <c r="E289" s="4106" t="s">
        <v>46</v>
      </c>
      <c r="F289" s="4106" t="s">
        <v>46</v>
      </c>
      <c r="G289" s="4106"/>
      <c r="H289" s="4106"/>
      <c r="I289" s="4106" t="s">
        <v>46</v>
      </c>
      <c r="J289" s="4106" t="s">
        <v>46</v>
      </c>
      <c r="K289" s="4106" t="s">
        <v>46</v>
      </c>
      <c r="L289" s="4106" t="s">
        <v>46</v>
      </c>
      <c r="M289" s="4106" t="s">
        <v>46</v>
      </c>
      <c r="N289" s="4106"/>
      <c r="O289" s="4106"/>
      <c r="P289" s="4106" t="s">
        <v>46</v>
      </c>
      <c r="Q289" s="4106" t="s">
        <v>46</v>
      </c>
      <c r="R289" s="4106" t="s">
        <v>46</v>
      </c>
      <c r="S289" s="4106"/>
      <c r="T289" s="4106"/>
      <c r="U289" s="4106"/>
      <c r="V289" s="4106"/>
      <c r="W289" s="4106"/>
      <c r="X289" s="4106" t="s">
        <v>46</v>
      </c>
      <c r="Y289" s="4106" t="s">
        <v>46</v>
      </c>
      <c r="Z289" s="4106" t="s">
        <v>46</v>
      </c>
      <c r="AA289" s="4106" t="s">
        <v>46</v>
      </c>
      <c r="AB289" s="4106"/>
      <c r="AC289" s="4106"/>
      <c r="AD289" s="4106" t="s">
        <v>46</v>
      </c>
      <c r="AE289" s="4106" t="s">
        <v>46</v>
      </c>
      <c r="AF289" s="4106" t="s">
        <v>46</v>
      </c>
      <c r="AG289" s="4109"/>
      <c r="AH289" s="123"/>
      <c r="AI289" s="123"/>
      <c r="AJ289" s="123"/>
    </row>
    <row r="290" spans="1:36" ht="18" customHeight="1" x14ac:dyDescent="0.2">
      <c r="A290" s="4513"/>
      <c r="B290" s="4514"/>
      <c r="C290" s="4106"/>
      <c r="D290" s="4106"/>
      <c r="E290" s="4106"/>
      <c r="F290" s="4106"/>
      <c r="G290" s="4106"/>
      <c r="H290" s="4106"/>
      <c r="I290" s="4106"/>
      <c r="J290" s="4106"/>
      <c r="K290" s="4106"/>
      <c r="L290" s="4106"/>
      <c r="M290" s="4106"/>
      <c r="N290" s="4106"/>
      <c r="O290" s="4106"/>
      <c r="P290" s="4106"/>
      <c r="Q290" s="4106"/>
      <c r="R290" s="4106"/>
      <c r="S290" s="4106"/>
      <c r="T290" s="4106"/>
      <c r="U290" s="4106"/>
      <c r="V290" s="4106"/>
      <c r="W290" s="4106"/>
      <c r="X290" s="4106"/>
      <c r="Y290" s="4106"/>
      <c r="Z290" s="4106"/>
      <c r="AA290" s="4106"/>
      <c r="AB290" s="4106"/>
      <c r="AC290" s="4106"/>
      <c r="AD290" s="4106"/>
      <c r="AE290" s="4106"/>
      <c r="AF290" s="4106"/>
      <c r="AG290" s="4109"/>
      <c r="AH290" s="123"/>
      <c r="AI290" s="123"/>
      <c r="AJ290" s="123"/>
    </row>
    <row r="291" spans="1:36" ht="18" customHeight="1" x14ac:dyDescent="0.2">
      <c r="A291" s="4515"/>
      <c r="B291" s="4516" t="s">
        <v>376</v>
      </c>
      <c r="C291" s="4013"/>
      <c r="D291" s="4013"/>
      <c r="E291" s="4013"/>
      <c r="F291" s="4013"/>
      <c r="G291" s="4013"/>
      <c r="H291" s="4013"/>
      <c r="I291" s="4013"/>
      <c r="J291" s="4013"/>
      <c r="K291" s="4013"/>
      <c r="L291" s="4013"/>
      <c r="M291" s="4013"/>
      <c r="N291" s="4013"/>
      <c r="O291" s="4013"/>
      <c r="P291" s="4013"/>
      <c r="Q291" s="4013"/>
      <c r="R291" s="4013"/>
      <c r="S291" s="4013"/>
      <c r="T291" s="4013"/>
      <c r="U291" s="4013"/>
      <c r="V291" s="4013"/>
      <c r="W291" s="4013"/>
      <c r="X291" s="4013"/>
      <c r="Y291" s="4013"/>
      <c r="Z291" s="4013"/>
      <c r="AA291" s="4013"/>
      <c r="AB291" s="4013"/>
      <c r="AC291" s="4013"/>
      <c r="AD291" s="4013"/>
      <c r="AE291" s="4013"/>
      <c r="AF291" s="4013"/>
      <c r="AG291" s="4096"/>
      <c r="AH291" s="123"/>
      <c r="AI291" s="123"/>
      <c r="AJ291" s="123"/>
    </row>
    <row r="292" spans="1:36" ht="18" customHeight="1" x14ac:dyDescent="0.2">
      <c r="A292" s="4511">
        <v>3702</v>
      </c>
      <c r="B292" s="4091" t="s">
        <v>377</v>
      </c>
      <c r="C292" s="4117" t="s">
        <v>380</v>
      </c>
      <c r="D292" s="4117" t="s">
        <v>380</v>
      </c>
      <c r="E292" s="4117" t="s">
        <v>380</v>
      </c>
      <c r="F292" s="4117" t="s">
        <v>380</v>
      </c>
      <c r="G292" s="4117"/>
      <c r="H292" s="4116"/>
      <c r="I292" s="4116" t="s">
        <v>378</v>
      </c>
      <c r="J292" s="4117" t="s">
        <v>378</v>
      </c>
      <c r="K292" s="4117" t="s">
        <v>378</v>
      </c>
      <c r="L292" s="4117" t="s">
        <v>378</v>
      </c>
      <c r="M292" s="3930" t="s">
        <v>378</v>
      </c>
      <c r="N292" s="4117"/>
      <c r="O292" s="4116"/>
      <c r="P292" s="4116" t="s">
        <v>382</v>
      </c>
      <c r="Q292" s="4117" t="s">
        <v>382</v>
      </c>
      <c r="R292" s="4116" t="s">
        <v>382</v>
      </c>
      <c r="S292" s="4117"/>
      <c r="T292" s="4117"/>
      <c r="U292" s="4117"/>
      <c r="V292" s="4116"/>
      <c r="W292" s="4116"/>
      <c r="X292" s="4112" t="s">
        <v>380</v>
      </c>
      <c r="Y292" s="4112" t="s">
        <v>380</v>
      </c>
      <c r="Z292" s="4112" t="s">
        <v>380</v>
      </c>
      <c r="AA292" s="4112" t="s">
        <v>380</v>
      </c>
      <c r="AB292" s="4112"/>
      <c r="AC292" s="4112"/>
      <c r="AD292" s="4112" t="s">
        <v>378</v>
      </c>
      <c r="AE292" s="4117" t="s">
        <v>378</v>
      </c>
      <c r="AF292" s="4117" t="s">
        <v>378</v>
      </c>
      <c r="AG292" s="4230"/>
      <c r="AH292" s="123"/>
      <c r="AI292" s="123"/>
      <c r="AJ292" s="123"/>
    </row>
    <row r="293" spans="1:36" ht="18" customHeight="1" x14ac:dyDescent="0.2">
      <c r="A293" s="4511"/>
      <c r="B293" s="4091" t="s">
        <v>379</v>
      </c>
      <c r="C293" s="4117" t="s">
        <v>382</v>
      </c>
      <c r="D293" s="4117" t="s">
        <v>382</v>
      </c>
      <c r="E293" s="4117" t="s">
        <v>382</v>
      </c>
      <c r="F293" s="4117" t="s">
        <v>382</v>
      </c>
      <c r="G293" s="4117"/>
      <c r="H293" s="4117"/>
      <c r="I293" s="4117" t="s">
        <v>380</v>
      </c>
      <c r="J293" s="4117" t="s">
        <v>380</v>
      </c>
      <c r="K293" s="4117" t="s">
        <v>380</v>
      </c>
      <c r="L293" s="4117" t="s">
        <v>380</v>
      </c>
      <c r="M293" s="4117" t="s">
        <v>380</v>
      </c>
      <c r="N293" s="4117"/>
      <c r="O293" s="4117"/>
      <c r="P293" s="4117" t="s">
        <v>378</v>
      </c>
      <c r="Q293" s="4117" t="s">
        <v>378</v>
      </c>
      <c r="R293" s="4117" t="s">
        <v>378</v>
      </c>
      <c r="S293" s="4117"/>
      <c r="T293" s="4117"/>
      <c r="U293" s="4117"/>
      <c r="V293" s="4117"/>
      <c r="W293" s="4117"/>
      <c r="X293" s="4117" t="s">
        <v>382</v>
      </c>
      <c r="Y293" s="4117" t="s">
        <v>382</v>
      </c>
      <c r="Z293" s="4117" t="s">
        <v>382</v>
      </c>
      <c r="AA293" s="4117" t="s">
        <v>382</v>
      </c>
      <c r="AB293" s="4117"/>
      <c r="AC293" s="4117"/>
      <c r="AD293" s="4210" t="s">
        <v>380</v>
      </c>
      <c r="AE293" s="4210" t="s">
        <v>380</v>
      </c>
      <c r="AF293" s="4210" t="s">
        <v>380</v>
      </c>
      <c r="AG293" s="4517"/>
      <c r="AH293" s="208"/>
      <c r="AI293" s="123"/>
      <c r="AJ293" s="123"/>
    </row>
    <row r="294" spans="1:36" ht="18" customHeight="1" thickBot="1" x14ac:dyDescent="0.25">
      <c r="A294" s="4518"/>
      <c r="B294" s="4093" t="s">
        <v>381</v>
      </c>
      <c r="C294" s="4519" t="s">
        <v>378</v>
      </c>
      <c r="D294" s="4519" t="s">
        <v>378</v>
      </c>
      <c r="E294" s="4519" t="s">
        <v>378</v>
      </c>
      <c r="F294" s="4519" t="s">
        <v>468</v>
      </c>
      <c r="G294" s="4189"/>
      <c r="H294" s="4191"/>
      <c r="I294" s="4191" t="s">
        <v>382</v>
      </c>
      <c r="J294" s="4205" t="s">
        <v>415</v>
      </c>
      <c r="K294" s="4189" t="s">
        <v>382</v>
      </c>
      <c r="L294" s="4189" t="s">
        <v>382</v>
      </c>
      <c r="M294" s="4142" t="s">
        <v>382</v>
      </c>
      <c r="N294" s="4189"/>
      <c r="O294" s="4191"/>
      <c r="P294" s="4117" t="s">
        <v>380</v>
      </c>
      <c r="Q294" s="4117" t="s">
        <v>380</v>
      </c>
      <c r="R294" s="4112" t="s">
        <v>380</v>
      </c>
      <c r="S294" s="4189"/>
      <c r="T294" s="4189"/>
      <c r="U294" s="4189"/>
      <c r="V294" s="4191"/>
      <c r="W294" s="4191"/>
      <c r="X294" s="4189" t="s">
        <v>378</v>
      </c>
      <c r="Y294" s="4207" t="s">
        <v>378</v>
      </c>
      <c r="Z294" s="4207" t="s">
        <v>378</v>
      </c>
      <c r="AA294" s="4142" t="s">
        <v>378</v>
      </c>
      <c r="AB294" s="4189"/>
      <c r="AC294" s="4191"/>
      <c r="AD294" s="4191" t="s">
        <v>382</v>
      </c>
      <c r="AE294" s="4189" t="s">
        <v>382</v>
      </c>
      <c r="AF294" s="4189" t="s">
        <v>382</v>
      </c>
      <c r="AG294" s="4219"/>
      <c r="AH294" s="208"/>
      <c r="AI294" s="123"/>
      <c r="AJ294" s="123"/>
    </row>
    <row r="295" spans="1:36" ht="18" customHeight="1" x14ac:dyDescent="0.2">
      <c r="AH295" s="208"/>
      <c r="AI295" s="123"/>
      <c r="AJ295" s="123"/>
    </row>
    <row r="296" spans="1:36" ht="18" customHeight="1" x14ac:dyDescent="0.2">
      <c r="AH296" s="208"/>
      <c r="AI296" s="123"/>
      <c r="AJ296" s="123"/>
    </row>
    <row r="297" spans="1:36" ht="18" customHeight="1" thickBot="1" x14ac:dyDescent="0.25">
      <c r="A297" s="103" t="s">
        <v>383</v>
      </c>
      <c r="AH297" s="209"/>
      <c r="AI297" s="210"/>
      <c r="AJ297" s="123"/>
    </row>
    <row r="298" spans="1:36" ht="18" customHeight="1" x14ac:dyDescent="0.2">
      <c r="A298" s="1"/>
      <c r="B298" s="4505" t="s">
        <v>340</v>
      </c>
      <c r="C298" s="4334"/>
      <c r="D298" s="4359" t="s">
        <v>17</v>
      </c>
      <c r="E298" s="4154"/>
      <c r="F298" s="4338"/>
      <c r="G298" s="4334"/>
      <c r="H298" s="4359" t="s">
        <v>18</v>
      </c>
      <c r="I298" s="4154"/>
      <c r="J298" s="4338"/>
      <c r="K298" s="4334"/>
      <c r="L298" s="4359" t="s">
        <v>19</v>
      </c>
      <c r="M298" s="4154"/>
      <c r="N298" s="4338"/>
      <c r="O298" s="4334"/>
      <c r="P298" s="4359" t="s">
        <v>20</v>
      </c>
      <c r="Q298" s="4154"/>
      <c r="R298" s="4338"/>
      <c r="S298" s="4334"/>
      <c r="T298" s="4359" t="s">
        <v>21</v>
      </c>
      <c r="U298" s="4154"/>
      <c r="V298" s="4338"/>
      <c r="W298" s="4334"/>
      <c r="X298" s="4359" t="s">
        <v>22</v>
      </c>
      <c r="Y298" s="4154"/>
      <c r="Z298" s="4338"/>
      <c r="AA298" s="4334"/>
      <c r="AB298" s="4359" t="s">
        <v>23</v>
      </c>
      <c r="AC298" s="4154"/>
      <c r="AD298" s="4154"/>
      <c r="AE298" s="4362" t="s">
        <v>126</v>
      </c>
      <c r="AF298" s="4154"/>
      <c r="AG298" s="4154"/>
      <c r="AH298" s="211"/>
      <c r="AI298" s="212"/>
      <c r="AJ298" s="123"/>
    </row>
    <row r="299" spans="1:36" ht="18" customHeight="1" x14ac:dyDescent="0.2">
      <c r="A299" s="1"/>
      <c r="B299" s="452"/>
      <c r="C299" s="457"/>
      <c r="D299" s="1030"/>
      <c r="E299" s="467"/>
      <c r="F299" s="1077"/>
      <c r="G299" s="457"/>
      <c r="H299" s="1030"/>
      <c r="I299" s="467"/>
      <c r="J299" s="1077"/>
      <c r="K299" s="457"/>
      <c r="L299" s="1030"/>
      <c r="M299" s="467"/>
      <c r="N299" s="1077"/>
      <c r="O299" s="457"/>
      <c r="P299" s="1030"/>
      <c r="Q299" s="467"/>
      <c r="R299" s="1077"/>
      <c r="S299" s="457"/>
      <c r="T299" s="1030"/>
      <c r="U299" s="467"/>
      <c r="V299" s="1077"/>
      <c r="W299" s="457"/>
      <c r="X299" s="1030"/>
      <c r="Y299" s="467"/>
      <c r="Z299" s="1077"/>
      <c r="AA299" s="457"/>
      <c r="AB299" s="1030"/>
      <c r="AC299" s="467"/>
      <c r="AD299" s="467"/>
      <c r="AE299" s="1033"/>
      <c r="AF299" s="467"/>
      <c r="AG299" s="467"/>
      <c r="AH299" s="211"/>
      <c r="AI299" s="212"/>
      <c r="AJ299" s="123"/>
    </row>
    <row r="300" spans="1:36" ht="18" customHeight="1" x14ac:dyDescent="0.2">
      <c r="A300" s="70"/>
      <c r="B300" s="4506"/>
      <c r="C300" s="4222"/>
      <c r="D300" s="4054"/>
      <c r="E300" s="4054"/>
      <c r="F300" s="4366"/>
      <c r="G300" s="4222"/>
      <c r="H300" s="4054"/>
      <c r="I300" s="4054"/>
      <c r="J300" s="4366"/>
      <c r="K300" s="4222"/>
      <c r="L300" s="4054"/>
      <c r="M300" s="4054"/>
      <c r="N300" s="4366"/>
      <c r="O300" s="4222"/>
      <c r="P300" s="4054"/>
      <c r="Q300" s="4054"/>
      <c r="R300" s="4366"/>
      <c r="S300" s="4222"/>
      <c r="T300" s="4054"/>
      <c r="U300" s="4054"/>
      <c r="V300" s="4366"/>
      <c r="W300" s="4222"/>
      <c r="X300" s="4054"/>
      <c r="Y300" s="4054"/>
      <c r="Z300" s="4366"/>
      <c r="AA300" s="4364"/>
      <c r="AB300" s="4054"/>
      <c r="AC300" s="4054"/>
      <c r="AD300" s="4223"/>
      <c r="AE300" s="4520"/>
      <c r="AF300" s="4054"/>
      <c r="AG300" s="4054"/>
      <c r="AH300" s="211"/>
      <c r="AI300" s="212"/>
      <c r="AJ300" s="123"/>
    </row>
    <row r="301" spans="1:36" ht="18" customHeight="1" thickBot="1" x14ac:dyDescent="0.25">
      <c r="A301" s="1"/>
      <c r="B301" s="4373"/>
      <c r="C301" s="4374"/>
      <c r="D301" s="4170"/>
      <c r="E301" s="4170"/>
      <c r="F301" s="4401"/>
      <c r="G301" s="4374"/>
      <c r="H301" s="4170"/>
      <c r="I301" s="4170"/>
      <c r="J301" s="4401"/>
      <c r="K301" s="4374"/>
      <c r="L301" s="4170"/>
      <c r="M301" s="4170"/>
      <c r="N301" s="4401"/>
      <c r="O301" s="4374"/>
      <c r="P301" s="4170"/>
      <c r="Q301" s="4170"/>
      <c r="R301" s="4401"/>
      <c r="S301" s="4374"/>
      <c r="T301" s="4170"/>
      <c r="U301" s="4170"/>
      <c r="V301" s="4401"/>
      <c r="W301" s="4399"/>
      <c r="X301" s="4170"/>
      <c r="Y301" s="4170"/>
      <c r="Z301" s="4401"/>
      <c r="AA301" s="4399"/>
      <c r="AB301" s="4170"/>
      <c r="AC301" s="4170"/>
      <c r="AD301" s="4402"/>
      <c r="AE301" s="4399"/>
      <c r="AF301" s="4170"/>
      <c r="AG301" s="4170"/>
      <c r="AH301" s="211"/>
      <c r="AI301" s="212"/>
      <c r="AJ301" s="123"/>
    </row>
    <row r="302" spans="1:36" ht="18" customHeight="1" x14ac:dyDescent="0.2">
      <c r="A302" s="1"/>
      <c r="B302" s="5"/>
      <c r="C302" s="42"/>
      <c r="F302" s="46"/>
      <c r="G302" s="42"/>
      <c r="J302" s="46"/>
      <c r="K302" s="42"/>
      <c r="N302" s="46"/>
      <c r="O302" s="42"/>
      <c r="R302" s="46"/>
      <c r="S302" s="42"/>
      <c r="V302" s="46"/>
      <c r="W302" s="46"/>
      <c r="Z302" s="46"/>
      <c r="AA302" s="46"/>
      <c r="AD302" s="46"/>
      <c r="AE302" s="46"/>
      <c r="AH302" s="211"/>
      <c r="AI302" s="212"/>
      <c r="AJ302" s="123"/>
    </row>
    <row r="303" spans="1:36" ht="18" customHeight="1" thickBot="1" x14ac:dyDescent="0.25">
      <c r="A303" s="103" t="s">
        <v>384</v>
      </c>
      <c r="B303" s="5"/>
      <c r="C303" s="42"/>
      <c r="F303" s="46"/>
      <c r="G303" s="42"/>
      <c r="J303" s="46"/>
      <c r="K303" s="42"/>
      <c r="N303" s="46"/>
      <c r="O303" s="42"/>
      <c r="R303" s="46"/>
      <c r="S303" s="42"/>
      <c r="V303" s="46"/>
      <c r="W303" s="46"/>
      <c r="Z303" s="46"/>
      <c r="AA303" s="46"/>
      <c r="AD303" s="46"/>
      <c r="AE303" s="46"/>
      <c r="AH303" s="211"/>
      <c r="AI303" s="212"/>
      <c r="AJ303" s="123"/>
    </row>
    <row r="304" spans="1:36" ht="18" customHeight="1" thickBot="1" x14ac:dyDescent="0.25">
      <c r="A304" s="4353" t="s">
        <v>43</v>
      </c>
      <c r="B304" s="4179" t="s">
        <v>44</v>
      </c>
      <c r="C304" s="4082">
        <v>1</v>
      </c>
      <c r="D304" s="4082">
        <v>2</v>
      </c>
      <c r="E304" s="4082">
        <v>3</v>
      </c>
      <c r="F304" s="4082">
        <v>4</v>
      </c>
      <c r="G304" s="4083">
        <v>5</v>
      </c>
      <c r="H304" s="4083">
        <v>6</v>
      </c>
      <c r="I304" s="4082">
        <v>7</v>
      </c>
      <c r="J304" s="4082">
        <v>8</v>
      </c>
      <c r="K304" s="4082">
        <v>9</v>
      </c>
      <c r="L304" s="4082">
        <v>10</v>
      </c>
      <c r="M304" s="4082">
        <v>11</v>
      </c>
      <c r="N304" s="4083">
        <v>12</v>
      </c>
      <c r="O304" s="4083">
        <v>13</v>
      </c>
      <c r="P304" s="4082">
        <v>14</v>
      </c>
      <c r="Q304" s="4082">
        <v>15</v>
      </c>
      <c r="R304" s="4082">
        <v>16</v>
      </c>
      <c r="S304" s="4083">
        <v>17</v>
      </c>
      <c r="T304" s="4083">
        <v>18</v>
      </c>
      <c r="U304" s="4083">
        <v>19</v>
      </c>
      <c r="V304" s="4083">
        <v>20</v>
      </c>
      <c r="W304" s="4083">
        <v>21</v>
      </c>
      <c r="X304" s="4082">
        <v>22</v>
      </c>
      <c r="Y304" s="4082">
        <v>23</v>
      </c>
      <c r="Z304" s="4082">
        <v>24</v>
      </c>
      <c r="AA304" s="4082">
        <v>25</v>
      </c>
      <c r="AB304" s="4083">
        <v>26</v>
      </c>
      <c r="AC304" s="4083">
        <v>27</v>
      </c>
      <c r="AD304" s="4082">
        <v>28</v>
      </c>
      <c r="AE304" s="4082">
        <v>29</v>
      </c>
      <c r="AF304" s="4082">
        <v>30</v>
      </c>
      <c r="AG304" s="4084"/>
      <c r="AH304" s="211"/>
      <c r="AI304" s="212"/>
      <c r="AJ304" s="123"/>
    </row>
    <row r="305" spans="1:36" ht="18" customHeight="1" x14ac:dyDescent="0.2">
      <c r="A305" s="4521"/>
      <c r="B305" s="4282"/>
      <c r="C305" s="4106" t="s">
        <v>46</v>
      </c>
      <c r="D305" s="4106" t="s">
        <v>46</v>
      </c>
      <c r="E305" s="4106" t="s">
        <v>46</v>
      </c>
      <c r="F305" s="4106" t="s">
        <v>46</v>
      </c>
      <c r="G305" s="4106"/>
      <c r="H305" s="4106"/>
      <c r="I305" s="4106" t="s">
        <v>46</v>
      </c>
      <c r="J305" s="4106" t="s">
        <v>46</v>
      </c>
      <c r="K305" s="4106" t="s">
        <v>46</v>
      </c>
      <c r="L305" s="4106" t="s">
        <v>46</v>
      </c>
      <c r="M305" s="4106" t="s">
        <v>46</v>
      </c>
      <c r="N305" s="4106"/>
      <c r="O305" s="4106"/>
      <c r="P305" s="4106" t="s">
        <v>46</v>
      </c>
      <c r="Q305" s="4106" t="s">
        <v>46</v>
      </c>
      <c r="R305" s="4106" t="s">
        <v>46</v>
      </c>
      <c r="S305" s="4106"/>
      <c r="T305" s="4106"/>
      <c r="U305" s="4106"/>
      <c r="V305" s="4106"/>
      <c r="W305" s="4106"/>
      <c r="X305" s="4106" t="s">
        <v>46</v>
      </c>
      <c r="Y305" s="4106" t="s">
        <v>46</v>
      </c>
      <c r="Z305" s="4106" t="s">
        <v>46</v>
      </c>
      <c r="AA305" s="4106" t="s">
        <v>46</v>
      </c>
      <c r="AB305" s="4106"/>
      <c r="AC305" s="4106"/>
      <c r="AD305" s="4106" t="s">
        <v>46</v>
      </c>
      <c r="AE305" s="4106" t="s">
        <v>46</v>
      </c>
      <c r="AF305" s="4106" t="s">
        <v>46</v>
      </c>
      <c r="AG305" s="4109"/>
      <c r="AH305" s="211"/>
      <c r="AI305" s="212"/>
      <c r="AJ305" s="123"/>
    </row>
    <row r="306" spans="1:36" ht="18" customHeight="1" x14ac:dyDescent="0.2">
      <c r="A306" s="4522"/>
      <c r="B306" s="4228" t="s">
        <v>385</v>
      </c>
      <c r="C306" s="4106" t="s">
        <v>46</v>
      </c>
      <c r="D306" s="4106" t="s">
        <v>46</v>
      </c>
      <c r="E306" s="4106" t="s">
        <v>46</v>
      </c>
      <c r="F306" s="4106" t="s">
        <v>46</v>
      </c>
      <c r="G306" s="4106"/>
      <c r="H306" s="4106"/>
      <c r="I306" s="4106" t="s">
        <v>46</v>
      </c>
      <c r="J306" s="4106" t="s">
        <v>46</v>
      </c>
      <c r="K306" s="4106" t="s">
        <v>46</v>
      </c>
      <c r="L306" s="4106" t="s">
        <v>46</v>
      </c>
      <c r="M306" s="4106" t="s">
        <v>46</v>
      </c>
      <c r="N306" s="4106"/>
      <c r="O306" s="4106"/>
      <c r="P306" s="4106" t="s">
        <v>46</v>
      </c>
      <c r="Q306" s="4106" t="s">
        <v>46</v>
      </c>
      <c r="R306" s="4106" t="s">
        <v>46</v>
      </c>
      <c r="S306" s="4106"/>
      <c r="T306" s="4106"/>
      <c r="U306" s="4106"/>
      <c r="V306" s="4106"/>
      <c r="W306" s="4106"/>
      <c r="X306" s="4106" t="s">
        <v>46</v>
      </c>
      <c r="Y306" s="4106" t="s">
        <v>46</v>
      </c>
      <c r="Z306" s="4106" t="s">
        <v>46</v>
      </c>
      <c r="AA306" s="4106" t="s">
        <v>46</v>
      </c>
      <c r="AB306" s="4106"/>
      <c r="AC306" s="4106"/>
      <c r="AD306" s="4106" t="s">
        <v>46</v>
      </c>
      <c r="AE306" s="4106" t="s">
        <v>46</v>
      </c>
      <c r="AF306" s="4106" t="s">
        <v>46</v>
      </c>
      <c r="AG306" s="4109"/>
      <c r="AH306" s="211"/>
      <c r="AI306" s="212"/>
      <c r="AJ306" s="123"/>
    </row>
    <row r="307" spans="1:36" ht="18" customHeight="1" x14ac:dyDescent="0.2">
      <c r="A307" s="4493"/>
      <c r="B307" s="4228" t="s">
        <v>386</v>
      </c>
      <c r="C307" s="4106" t="s">
        <v>46</v>
      </c>
      <c r="D307" s="4106" t="s">
        <v>46</v>
      </c>
      <c r="E307" s="4106" t="s">
        <v>46</v>
      </c>
      <c r="F307" s="4106" t="s">
        <v>46</v>
      </c>
      <c r="G307" s="4106"/>
      <c r="H307" s="4106"/>
      <c r="I307" s="4106" t="s">
        <v>46</v>
      </c>
      <c r="J307" s="4106" t="s">
        <v>46</v>
      </c>
      <c r="K307" s="4106" t="s">
        <v>46</v>
      </c>
      <c r="L307" s="4106" t="s">
        <v>46</v>
      </c>
      <c r="M307" s="4106" t="s">
        <v>46</v>
      </c>
      <c r="N307" s="4106"/>
      <c r="O307" s="4106"/>
      <c r="P307" s="4106" t="s">
        <v>46</v>
      </c>
      <c r="Q307" s="4106" t="s">
        <v>46</v>
      </c>
      <c r="R307" s="4106" t="s">
        <v>46</v>
      </c>
      <c r="S307" s="4106"/>
      <c r="T307" s="4106"/>
      <c r="U307" s="4106"/>
      <c r="V307" s="4106"/>
      <c r="W307" s="4106"/>
      <c r="X307" s="4106" t="s">
        <v>46</v>
      </c>
      <c r="Y307" s="4106" t="s">
        <v>46</v>
      </c>
      <c r="Z307" s="4106" t="s">
        <v>46</v>
      </c>
      <c r="AA307" s="4106" t="s">
        <v>46</v>
      </c>
      <c r="AB307" s="4106"/>
      <c r="AC307" s="4106"/>
      <c r="AD307" s="4106" t="s">
        <v>46</v>
      </c>
      <c r="AE307" s="4106" t="s">
        <v>46</v>
      </c>
      <c r="AF307" s="4106" t="s">
        <v>46</v>
      </c>
      <c r="AG307" s="4109"/>
      <c r="AH307" s="211"/>
      <c r="AI307" s="212"/>
      <c r="AJ307" s="123"/>
    </row>
    <row r="308" spans="1:36" ht="18" customHeight="1" x14ac:dyDescent="0.2">
      <c r="A308" s="4493"/>
      <c r="B308" s="4228" t="s">
        <v>387</v>
      </c>
      <c r="C308" s="4106" t="s">
        <v>46</v>
      </c>
      <c r="D308" s="4106" t="s">
        <v>46</v>
      </c>
      <c r="E308" s="4106" t="s">
        <v>46</v>
      </c>
      <c r="F308" s="4106" t="s">
        <v>46</v>
      </c>
      <c r="G308" s="4106"/>
      <c r="H308" s="4106"/>
      <c r="I308" s="4106" t="s">
        <v>46</v>
      </c>
      <c r="J308" s="4106" t="s">
        <v>46</v>
      </c>
      <c r="K308" s="4106" t="s">
        <v>46</v>
      </c>
      <c r="L308" s="4106" t="s">
        <v>46</v>
      </c>
      <c r="M308" s="4106" t="s">
        <v>46</v>
      </c>
      <c r="N308" s="4106"/>
      <c r="O308" s="4106"/>
      <c r="P308" s="4106" t="s">
        <v>46</v>
      </c>
      <c r="Q308" s="4106" t="s">
        <v>46</v>
      </c>
      <c r="R308" s="4106" t="s">
        <v>46</v>
      </c>
      <c r="S308" s="4106"/>
      <c r="T308" s="4106"/>
      <c r="U308" s="4106"/>
      <c r="V308" s="4106"/>
      <c r="W308" s="4106"/>
      <c r="X308" s="4106" t="s">
        <v>46</v>
      </c>
      <c r="Y308" s="4106" t="s">
        <v>46</v>
      </c>
      <c r="Z308" s="4106" t="s">
        <v>46</v>
      </c>
      <c r="AA308" s="4106" t="s">
        <v>46</v>
      </c>
      <c r="AB308" s="4106"/>
      <c r="AC308" s="4106"/>
      <c r="AD308" s="4106" t="s">
        <v>46</v>
      </c>
      <c r="AE308" s="4106" t="s">
        <v>46</v>
      </c>
      <c r="AF308" s="4106" t="s">
        <v>46</v>
      </c>
      <c r="AG308" s="4109"/>
      <c r="AH308" s="211"/>
      <c r="AI308" s="212"/>
      <c r="AJ308" s="123"/>
    </row>
    <row r="309" spans="1:36" ht="18" customHeight="1" x14ac:dyDescent="0.2">
      <c r="A309" s="4493"/>
      <c r="B309" s="4228" t="s">
        <v>388</v>
      </c>
      <c r="C309" s="4106" t="s">
        <v>46</v>
      </c>
      <c r="D309" s="4106" t="s">
        <v>46</v>
      </c>
      <c r="E309" s="4106" t="s">
        <v>46</v>
      </c>
      <c r="F309" s="4106" t="s">
        <v>46</v>
      </c>
      <c r="G309" s="4106"/>
      <c r="H309" s="4106"/>
      <c r="I309" s="4106" t="s">
        <v>46</v>
      </c>
      <c r="J309" s="4106" t="s">
        <v>46</v>
      </c>
      <c r="K309" s="4106" t="s">
        <v>46</v>
      </c>
      <c r="L309" s="4106" t="s">
        <v>46</v>
      </c>
      <c r="M309" s="4106" t="s">
        <v>46</v>
      </c>
      <c r="N309" s="4106"/>
      <c r="O309" s="4106"/>
      <c r="P309" s="4106" t="s">
        <v>46</v>
      </c>
      <c r="Q309" s="4106" t="s">
        <v>46</v>
      </c>
      <c r="R309" s="4106" t="s">
        <v>46</v>
      </c>
      <c r="S309" s="4106"/>
      <c r="T309" s="4106"/>
      <c r="U309" s="4106"/>
      <c r="V309" s="4106"/>
      <c r="W309" s="4106"/>
      <c r="X309" s="4106" t="s">
        <v>46</v>
      </c>
      <c r="Y309" s="4106" t="s">
        <v>46</v>
      </c>
      <c r="Z309" s="4106" t="s">
        <v>46</v>
      </c>
      <c r="AA309" s="4106" t="s">
        <v>46</v>
      </c>
      <c r="AB309" s="4106"/>
      <c r="AC309" s="4106"/>
      <c r="AD309" s="4106" t="s">
        <v>46</v>
      </c>
      <c r="AE309" s="4106" t="s">
        <v>46</v>
      </c>
      <c r="AF309" s="4106" t="s">
        <v>46</v>
      </c>
      <c r="AG309" s="4109"/>
      <c r="AH309" s="211"/>
      <c r="AI309" s="212"/>
      <c r="AJ309" s="123"/>
    </row>
    <row r="310" spans="1:36" ht="18" customHeight="1" x14ac:dyDescent="0.2">
      <c r="A310" s="4493"/>
      <c r="B310" s="4228" t="s">
        <v>389</v>
      </c>
      <c r="C310" s="4106" t="s">
        <v>46</v>
      </c>
      <c r="D310" s="4106" t="s">
        <v>46</v>
      </c>
      <c r="E310" s="4106" t="s">
        <v>46</v>
      </c>
      <c r="F310" s="4106" t="s">
        <v>46</v>
      </c>
      <c r="G310" s="4106"/>
      <c r="H310" s="4106"/>
      <c r="I310" s="4106" t="s">
        <v>46</v>
      </c>
      <c r="J310" s="4106" t="s">
        <v>46</v>
      </c>
      <c r="K310" s="4106" t="s">
        <v>46</v>
      </c>
      <c r="L310" s="4106" t="s">
        <v>46</v>
      </c>
      <c r="M310" s="4106" t="s">
        <v>46</v>
      </c>
      <c r="N310" s="4106"/>
      <c r="O310" s="4106"/>
      <c r="P310" s="4106" t="s">
        <v>46</v>
      </c>
      <c r="Q310" s="4106" t="s">
        <v>46</v>
      </c>
      <c r="R310" s="4106" t="s">
        <v>46</v>
      </c>
      <c r="S310" s="4106"/>
      <c r="T310" s="4106"/>
      <c r="U310" s="4106"/>
      <c r="V310" s="4106"/>
      <c r="W310" s="4106"/>
      <c r="X310" s="4106" t="s">
        <v>46</v>
      </c>
      <c r="Y310" s="4106" t="s">
        <v>46</v>
      </c>
      <c r="Z310" s="4106" t="s">
        <v>46</v>
      </c>
      <c r="AA310" s="4106" t="s">
        <v>46</v>
      </c>
      <c r="AB310" s="4106"/>
      <c r="AC310" s="4106"/>
      <c r="AD310" s="4106" t="s">
        <v>46</v>
      </c>
      <c r="AE310" s="4106" t="s">
        <v>46</v>
      </c>
      <c r="AF310" s="4106" t="s">
        <v>46</v>
      </c>
      <c r="AG310" s="4109"/>
      <c r="AH310" s="211"/>
      <c r="AI310" s="213"/>
      <c r="AJ310" s="123"/>
    </row>
    <row r="311" spans="1:36" ht="17.25" customHeight="1" x14ac:dyDescent="0.2">
      <c r="A311" s="4493"/>
      <c r="B311" s="4228" t="s">
        <v>390</v>
      </c>
      <c r="C311" s="4106" t="s">
        <v>46</v>
      </c>
      <c r="D311" s="4106" t="s">
        <v>46</v>
      </c>
      <c r="E311" s="4106" t="s">
        <v>46</v>
      </c>
      <c r="F311" s="4106" t="s">
        <v>46</v>
      </c>
      <c r="G311" s="4106"/>
      <c r="H311" s="4106"/>
      <c r="I311" s="4106" t="s">
        <v>46</v>
      </c>
      <c r="J311" s="4106" t="s">
        <v>46</v>
      </c>
      <c r="K311" s="4106" t="s">
        <v>46</v>
      </c>
      <c r="L311" s="4106" t="s">
        <v>46</v>
      </c>
      <c r="M311" s="4106" t="s">
        <v>46</v>
      </c>
      <c r="N311" s="4106"/>
      <c r="O311" s="4106"/>
      <c r="P311" s="4106" t="s">
        <v>46</v>
      </c>
      <c r="Q311" s="4106" t="s">
        <v>46</v>
      </c>
      <c r="R311" s="4106" t="s">
        <v>46</v>
      </c>
      <c r="S311" s="4106"/>
      <c r="T311" s="4106"/>
      <c r="U311" s="4106"/>
      <c r="V311" s="4106"/>
      <c r="W311" s="4106"/>
      <c r="X311" s="4106" t="s">
        <v>46</v>
      </c>
      <c r="Y311" s="4106" t="s">
        <v>46</v>
      </c>
      <c r="Z311" s="4106" t="s">
        <v>46</v>
      </c>
      <c r="AA311" s="4106" t="s">
        <v>46</v>
      </c>
      <c r="AB311" s="4106"/>
      <c r="AC311" s="4106"/>
      <c r="AD311" s="4106" t="s">
        <v>46</v>
      </c>
      <c r="AE311" s="4106" t="s">
        <v>46</v>
      </c>
      <c r="AF311" s="4106" t="s">
        <v>46</v>
      </c>
      <c r="AG311" s="4109"/>
      <c r="AH311" s="211"/>
      <c r="AI311" s="213"/>
      <c r="AJ311" s="123"/>
    </row>
    <row r="312" spans="1:36" ht="18" customHeight="1" x14ac:dyDescent="0.2">
      <c r="A312" s="4493"/>
      <c r="B312" s="4228" t="s">
        <v>391</v>
      </c>
      <c r="C312" s="4106" t="s">
        <v>46</v>
      </c>
      <c r="D312" s="4106" t="s">
        <v>46</v>
      </c>
      <c r="E312" s="4106" t="s">
        <v>46</v>
      </c>
      <c r="F312" s="4106" t="s">
        <v>46</v>
      </c>
      <c r="G312" s="4106"/>
      <c r="H312" s="4106"/>
      <c r="I312" s="4106" t="s">
        <v>46</v>
      </c>
      <c r="J312" s="4106" t="s">
        <v>46</v>
      </c>
      <c r="K312" s="4106" t="s">
        <v>46</v>
      </c>
      <c r="L312" s="4106" t="s">
        <v>46</v>
      </c>
      <c r="M312" s="4106" t="s">
        <v>46</v>
      </c>
      <c r="N312" s="4106"/>
      <c r="O312" s="4106"/>
      <c r="P312" s="4106" t="s">
        <v>46</v>
      </c>
      <c r="Q312" s="4106" t="s">
        <v>46</v>
      </c>
      <c r="R312" s="4106" t="s">
        <v>46</v>
      </c>
      <c r="S312" s="4106"/>
      <c r="T312" s="4106"/>
      <c r="U312" s="4106"/>
      <c r="V312" s="4106"/>
      <c r="W312" s="4106"/>
      <c r="X312" s="4106" t="s">
        <v>46</v>
      </c>
      <c r="Y312" s="4106" t="s">
        <v>46</v>
      </c>
      <c r="Z312" s="4106" t="s">
        <v>46</v>
      </c>
      <c r="AA312" s="4106" t="s">
        <v>46</v>
      </c>
      <c r="AB312" s="4106"/>
      <c r="AC312" s="4106"/>
      <c r="AD312" s="4106" t="s">
        <v>46</v>
      </c>
      <c r="AE312" s="4106" t="s">
        <v>46</v>
      </c>
      <c r="AF312" s="4106" t="s">
        <v>46</v>
      </c>
      <c r="AG312" s="4109"/>
      <c r="AH312" s="123"/>
      <c r="AI312" s="123"/>
      <c r="AJ312" s="123"/>
    </row>
    <row r="313" spans="1:36" ht="17.25" customHeight="1" x14ac:dyDescent="0.2">
      <c r="A313" s="4493"/>
      <c r="B313" s="4228" t="s">
        <v>392</v>
      </c>
      <c r="C313" s="4106" t="s">
        <v>46</v>
      </c>
      <c r="D313" s="4106" t="s">
        <v>46</v>
      </c>
      <c r="E313" s="4106" t="s">
        <v>46</v>
      </c>
      <c r="F313" s="4106" t="s">
        <v>46</v>
      </c>
      <c r="G313" s="4106"/>
      <c r="H313" s="4106"/>
      <c r="I313" s="4106" t="s">
        <v>46</v>
      </c>
      <c r="J313" s="4106" t="s">
        <v>46</v>
      </c>
      <c r="K313" s="4106" t="s">
        <v>46</v>
      </c>
      <c r="L313" s="4106" t="s">
        <v>46</v>
      </c>
      <c r="M313" s="4106" t="s">
        <v>46</v>
      </c>
      <c r="N313" s="4106"/>
      <c r="O313" s="4106"/>
      <c r="P313" s="4106" t="s">
        <v>46</v>
      </c>
      <c r="Q313" s="4106" t="s">
        <v>46</v>
      </c>
      <c r="R313" s="4106" t="s">
        <v>46</v>
      </c>
      <c r="S313" s="4106"/>
      <c r="T313" s="4106"/>
      <c r="U313" s="4106"/>
      <c r="V313" s="4106"/>
      <c r="W313" s="4106"/>
      <c r="X313" s="4106" t="s">
        <v>46</v>
      </c>
      <c r="Y313" s="4106" t="s">
        <v>46</v>
      </c>
      <c r="Z313" s="4106" t="s">
        <v>46</v>
      </c>
      <c r="AA313" s="4106" t="s">
        <v>46</v>
      </c>
      <c r="AB313" s="4106"/>
      <c r="AC313" s="4106"/>
      <c r="AD313" s="4106" t="s">
        <v>46</v>
      </c>
      <c r="AE313" s="4106" t="s">
        <v>46</v>
      </c>
      <c r="AF313" s="4106" t="s">
        <v>46</v>
      </c>
      <c r="AG313" s="4109"/>
      <c r="AH313" s="123"/>
      <c r="AI313" s="123"/>
      <c r="AJ313" s="123"/>
    </row>
    <row r="314" spans="1:36" ht="17.25" customHeight="1" x14ac:dyDescent="0.2">
      <c r="A314" s="4493"/>
      <c r="B314" s="4228" t="s">
        <v>393</v>
      </c>
      <c r="C314" s="4106" t="s">
        <v>46</v>
      </c>
      <c r="D314" s="4106" t="s">
        <v>46</v>
      </c>
      <c r="E314" s="4106" t="s">
        <v>46</v>
      </c>
      <c r="F314" s="4106" t="s">
        <v>46</v>
      </c>
      <c r="G314" s="4106"/>
      <c r="H314" s="4106"/>
      <c r="I314" s="4106" t="s">
        <v>46</v>
      </c>
      <c r="J314" s="4106" t="s">
        <v>46</v>
      </c>
      <c r="K314" s="4106" t="s">
        <v>46</v>
      </c>
      <c r="L314" s="4106" t="s">
        <v>46</v>
      </c>
      <c r="M314" s="4106" t="s">
        <v>46</v>
      </c>
      <c r="N314" s="4106"/>
      <c r="O314" s="4106"/>
      <c r="P314" s="4106" t="s">
        <v>46</v>
      </c>
      <c r="Q314" s="4106" t="s">
        <v>46</v>
      </c>
      <c r="R314" s="4106" t="s">
        <v>46</v>
      </c>
      <c r="S314" s="4106"/>
      <c r="T314" s="4106"/>
      <c r="U314" s="4106"/>
      <c r="V314" s="4106"/>
      <c r="W314" s="4106"/>
      <c r="X314" s="4106" t="s">
        <v>46</v>
      </c>
      <c r="Y314" s="4106" t="s">
        <v>46</v>
      </c>
      <c r="Z314" s="4106" t="s">
        <v>46</v>
      </c>
      <c r="AA314" s="4106" t="s">
        <v>46</v>
      </c>
      <c r="AB314" s="4106"/>
      <c r="AC314" s="4106"/>
      <c r="AD314" s="4106" t="s">
        <v>46</v>
      </c>
      <c r="AE314" s="4106" t="s">
        <v>46</v>
      </c>
      <c r="AF314" s="4106" t="s">
        <v>46</v>
      </c>
      <c r="AG314" s="4109"/>
      <c r="AH314" s="123"/>
      <c r="AI314" s="123"/>
      <c r="AJ314" s="123"/>
    </row>
    <row r="315" spans="1:36" ht="17.25" customHeight="1" x14ac:dyDescent="0.2">
      <c r="A315" s="4523"/>
      <c r="B315" s="4275" t="s">
        <v>394</v>
      </c>
      <c r="C315" s="4106" t="s">
        <v>46</v>
      </c>
      <c r="D315" s="4106" t="s">
        <v>46</v>
      </c>
      <c r="E315" s="4106" t="s">
        <v>46</v>
      </c>
      <c r="F315" s="4106" t="s">
        <v>46</v>
      </c>
      <c r="G315" s="4106"/>
      <c r="H315" s="4106"/>
      <c r="I315" s="4106" t="s">
        <v>46</v>
      </c>
      <c r="J315" s="4106" t="s">
        <v>46</v>
      </c>
      <c r="K315" s="4106" t="s">
        <v>46</v>
      </c>
      <c r="L315" s="4106" t="s">
        <v>46</v>
      </c>
      <c r="M315" s="4106" t="s">
        <v>46</v>
      </c>
      <c r="N315" s="4106"/>
      <c r="O315" s="4106"/>
      <c r="P315" s="4106" t="s">
        <v>46</v>
      </c>
      <c r="Q315" s="4106" t="s">
        <v>46</v>
      </c>
      <c r="R315" s="4106" t="s">
        <v>46</v>
      </c>
      <c r="S315" s="4106"/>
      <c r="T315" s="4106"/>
      <c r="U315" s="4106"/>
      <c r="V315" s="4106"/>
      <c r="W315" s="4106"/>
      <c r="X315" s="4106" t="s">
        <v>46</v>
      </c>
      <c r="Y315" s="4106" t="s">
        <v>46</v>
      </c>
      <c r="Z315" s="4106" t="s">
        <v>46</v>
      </c>
      <c r="AA315" s="4106" t="s">
        <v>46</v>
      </c>
      <c r="AB315" s="4106"/>
      <c r="AC315" s="4106"/>
      <c r="AD315" s="4106" t="s">
        <v>46</v>
      </c>
      <c r="AE315" s="4106" t="s">
        <v>46</v>
      </c>
      <c r="AF315" s="4106" t="s">
        <v>46</v>
      </c>
      <c r="AG315" s="4109"/>
      <c r="AH315" s="123"/>
      <c r="AI315" s="123"/>
      <c r="AJ315" s="123"/>
    </row>
    <row r="316" spans="1:36" x14ac:dyDescent="0.2">
      <c r="A316" s="4493"/>
      <c r="B316" s="4228"/>
      <c r="C316" s="4244"/>
      <c r="D316" s="4021"/>
      <c r="E316" s="4244"/>
      <c r="F316" s="4244"/>
      <c r="G316" s="4244"/>
      <c r="H316" s="4244"/>
      <c r="I316" s="4244"/>
      <c r="J316" s="4244"/>
      <c r="K316" s="4244"/>
      <c r="L316" s="4244"/>
      <c r="M316" s="4244"/>
      <c r="N316" s="4244"/>
      <c r="O316" s="4244"/>
      <c r="P316" s="4244"/>
      <c r="Q316" s="4244"/>
      <c r="R316" s="4244"/>
      <c r="S316" s="4244"/>
      <c r="T316" s="4244"/>
      <c r="U316" s="4244"/>
      <c r="V316" s="4244"/>
      <c r="W316" s="4244"/>
      <c r="X316" s="4244"/>
      <c r="Y316" s="4244"/>
      <c r="Z316" s="4244"/>
      <c r="AA316" s="4244"/>
      <c r="AB316" s="4244"/>
      <c r="AC316" s="4244"/>
      <c r="AD316" s="4244"/>
      <c r="AE316" s="4244"/>
      <c r="AF316" s="4244"/>
      <c r="AG316" s="4273"/>
    </row>
    <row r="317" spans="1:36" x14ac:dyDescent="0.2">
      <c r="A317" s="372"/>
      <c r="B317" s="1085"/>
      <c r="C317" s="712"/>
      <c r="D317" s="712"/>
      <c r="E317" s="712"/>
      <c r="F317" s="712"/>
      <c r="G317" s="712"/>
      <c r="H317" s="712"/>
      <c r="I317" s="712"/>
      <c r="J317" s="712"/>
      <c r="K317" s="712"/>
      <c r="L317" s="712"/>
      <c r="M317" s="712"/>
      <c r="N317" s="711"/>
      <c r="O317" s="711"/>
      <c r="P317" s="712"/>
      <c r="Q317" s="712"/>
      <c r="R317" s="712"/>
      <c r="S317" s="712"/>
      <c r="T317" s="712"/>
      <c r="U317" s="712"/>
      <c r="V317" s="712"/>
      <c r="W317" s="712"/>
      <c r="X317" s="712"/>
      <c r="Y317" s="712"/>
      <c r="Z317" s="712"/>
      <c r="AA317" s="712"/>
      <c r="AB317" s="711"/>
      <c r="AC317" s="711"/>
      <c r="AD317" s="712"/>
      <c r="AE317" s="712"/>
      <c r="AF317" s="712"/>
      <c r="AG317" s="1086"/>
    </row>
    <row r="318" spans="1:36" ht="12.75" thickBot="1" x14ac:dyDescent="0.25">
      <c r="A318" s="4524"/>
      <c r="B318" s="4525"/>
      <c r="C318" s="4526"/>
      <c r="D318" s="4527"/>
      <c r="E318" s="4527"/>
      <c r="F318" s="4527"/>
      <c r="G318" s="4527"/>
      <c r="H318" s="4527"/>
      <c r="I318" s="4527"/>
      <c r="J318" s="4527"/>
      <c r="K318" s="4527"/>
      <c r="L318" s="4527"/>
      <c r="M318" s="4527"/>
      <c r="N318" s="4528"/>
      <c r="O318" s="4528"/>
      <c r="P318" s="4527"/>
      <c r="Q318" s="4527"/>
      <c r="R318" s="4527"/>
      <c r="S318" s="4527"/>
      <c r="T318" s="4527"/>
      <c r="U318" s="4527"/>
      <c r="V318" s="4527"/>
      <c r="W318" s="4527"/>
      <c r="X318" s="4527"/>
      <c r="Y318" s="4527"/>
      <c r="Z318" s="4527"/>
      <c r="AA318" s="4527"/>
      <c r="AB318" s="4528"/>
      <c r="AC318" s="4528"/>
      <c r="AD318" s="4527"/>
      <c r="AE318" s="4527"/>
      <c r="AF318" s="4527"/>
      <c r="AG318" s="4529"/>
    </row>
  </sheetData>
  <mergeCells count="1">
    <mergeCell ref="T38:Z38"/>
  </mergeCells>
  <phoneticPr fontId="9" type="noConversion"/>
  <pageMargins left="0.7" right="0.7" top="0.75" bottom="0.75" header="0.3" footer="0.3"/>
  <pageSetup paperSize="9" fitToHeight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29"/>
  <dimension ref="B2:F37"/>
  <sheetViews>
    <sheetView workbookViewId="0">
      <selection activeCell="A17" sqref="A17"/>
    </sheetView>
  </sheetViews>
  <sheetFormatPr defaultRowHeight="12" x14ac:dyDescent="0.2"/>
  <cols>
    <col min="2" max="2" width="33.42578125" customWidth="1"/>
    <col min="3" max="7" width="34.140625" customWidth="1"/>
  </cols>
  <sheetData>
    <row r="2" spans="2:6" ht="24" x14ac:dyDescent="0.2">
      <c r="B2" s="238" t="s">
        <v>584</v>
      </c>
    </row>
    <row r="3" spans="2:6" ht="31.5" customHeight="1" x14ac:dyDescent="0.2">
      <c r="B3" s="4530" t="s">
        <v>585</v>
      </c>
      <c r="C3" s="4530" t="s">
        <v>586</v>
      </c>
      <c r="D3" s="4530" t="s">
        <v>587</v>
      </c>
      <c r="E3" s="4530" t="s">
        <v>588</v>
      </c>
      <c r="F3" s="4530" t="s">
        <v>589</v>
      </c>
    </row>
    <row r="4" spans="2:6" x14ac:dyDescent="0.2">
      <c r="B4" s="4531" t="s">
        <v>590</v>
      </c>
      <c r="C4" s="4532">
        <v>403</v>
      </c>
      <c r="D4" s="4532">
        <v>374.4</v>
      </c>
      <c r="E4" s="4533">
        <v>403</v>
      </c>
      <c r="F4" s="4533">
        <v>356</v>
      </c>
    </row>
    <row r="5" spans="2:6" x14ac:dyDescent="0.2">
      <c r="B5" s="4531" t="s">
        <v>591</v>
      </c>
      <c r="C5" s="4532">
        <v>434.18333333333334</v>
      </c>
      <c r="D5" s="4532">
        <v>405.58333333333331</v>
      </c>
      <c r="E5" s="4532">
        <v>434.18333333333334</v>
      </c>
      <c r="F5" s="4532">
        <v>387.18333333333334</v>
      </c>
    </row>
    <row r="6" spans="2:6" x14ac:dyDescent="0.2">
      <c r="B6" s="4531" t="s">
        <v>592</v>
      </c>
      <c r="C6" s="4532">
        <v>505.65072765072762</v>
      </c>
      <c r="D6" s="4532">
        <v>487.18586278586275</v>
      </c>
      <c r="E6" s="4532">
        <v>532.93762993762994</v>
      </c>
      <c r="F6" s="4532">
        <v>458.65072765072762</v>
      </c>
    </row>
    <row r="7" spans="2:6" x14ac:dyDescent="0.2">
      <c r="B7" s="4531" t="s">
        <v>593</v>
      </c>
      <c r="C7" s="4532">
        <v>639.48478863478863</v>
      </c>
      <c r="D7" s="4532">
        <v>599.97172557172553</v>
      </c>
      <c r="E7" s="4532">
        <v>662.87525987525987</v>
      </c>
      <c r="F7" s="4532">
        <v>581.57172557172555</v>
      </c>
    </row>
    <row r="8" spans="2:6" x14ac:dyDescent="0.2">
      <c r="B8" s="4531" t="s">
        <v>594</v>
      </c>
      <c r="C8" s="4532">
        <f>+C4+50</f>
        <v>453</v>
      </c>
      <c r="D8" s="4532">
        <f>+D4+50</f>
        <v>424.4</v>
      </c>
      <c r="E8" s="4532">
        <f t="shared" ref="E8" si="0">+E4+50</f>
        <v>453</v>
      </c>
      <c r="F8" s="4532">
        <f>+F4+50</f>
        <v>406</v>
      </c>
    </row>
    <row r="9" spans="2:6" x14ac:dyDescent="0.2">
      <c r="B9" s="4531" t="s">
        <v>595</v>
      </c>
      <c r="C9" s="4532">
        <f>+C6+50</f>
        <v>555.65072765072762</v>
      </c>
      <c r="D9" s="4532">
        <f>+D6+50</f>
        <v>537.18586278586281</v>
      </c>
      <c r="E9" s="4532">
        <f>+E6+50</f>
        <v>582.93762993762994</v>
      </c>
      <c r="F9" s="4532">
        <f>+F6+50</f>
        <v>508.65072765072762</v>
      </c>
    </row>
    <row r="10" spans="2:6" x14ac:dyDescent="0.2">
      <c r="B10" s="4531" t="s">
        <v>596</v>
      </c>
      <c r="C10" s="4532">
        <f>+C7+50</f>
        <v>689.48478863478863</v>
      </c>
      <c r="D10" s="4532">
        <f>+D7+50</f>
        <v>649.97172557172553</v>
      </c>
      <c r="E10" s="4532">
        <f t="shared" ref="E10" si="1">+E7+50</f>
        <v>712.87525987525987</v>
      </c>
      <c r="F10" s="4532">
        <f>+F7+50</f>
        <v>631.57172557172555</v>
      </c>
    </row>
    <row r="11" spans="2:6" x14ac:dyDescent="0.2">
      <c r="B11" s="70"/>
    </row>
    <row r="12" spans="2:6" ht="27" customHeight="1" x14ac:dyDescent="0.2">
      <c r="B12" s="4534" t="s">
        <v>597</v>
      </c>
      <c r="C12" s="4530" t="s">
        <v>598</v>
      </c>
    </row>
    <row r="13" spans="2:6" x14ac:dyDescent="0.2">
      <c r="B13" s="4531" t="s">
        <v>599</v>
      </c>
      <c r="C13" s="4535">
        <v>64260</v>
      </c>
    </row>
    <row r="14" spans="2:6" x14ac:dyDescent="0.2">
      <c r="B14" s="4531" t="s">
        <v>600</v>
      </c>
      <c r="C14" s="4535">
        <f>C13/2</f>
        <v>32130</v>
      </c>
    </row>
    <row r="15" spans="2:6" x14ac:dyDescent="0.2">
      <c r="B15" s="4531" t="s">
        <v>601</v>
      </c>
      <c r="C15" s="4535">
        <f>C13*0.25</f>
        <v>16065</v>
      </c>
    </row>
    <row r="16" spans="2:6" x14ac:dyDescent="0.2">
      <c r="B16" s="127"/>
      <c r="C16" s="239"/>
    </row>
    <row r="17" spans="2:4" ht="75.75" customHeight="1" x14ac:dyDescent="0.2">
      <c r="B17" s="4534" t="s">
        <v>602</v>
      </c>
      <c r="C17" s="4530" t="s">
        <v>598</v>
      </c>
    </row>
    <row r="18" spans="2:4" x14ac:dyDescent="0.2">
      <c r="B18" s="4531" t="s">
        <v>599</v>
      </c>
      <c r="C18" s="4535">
        <v>50073</v>
      </c>
    </row>
    <row r="19" spans="2:4" x14ac:dyDescent="0.2">
      <c r="B19" s="4531" t="s">
        <v>600</v>
      </c>
      <c r="C19" s="4535">
        <f>C18/2</f>
        <v>25036.5</v>
      </c>
    </row>
    <row r="20" spans="2:4" x14ac:dyDescent="0.2">
      <c r="B20" s="4531" t="s">
        <v>601</v>
      </c>
      <c r="C20" s="4535">
        <f>C18*0.25</f>
        <v>12518.25</v>
      </c>
    </row>
    <row r="21" spans="2:4" x14ac:dyDescent="0.2">
      <c r="B21" s="70"/>
    </row>
    <row r="22" spans="2:4" ht="15" x14ac:dyDescent="0.2">
      <c r="B22" s="4534" t="s">
        <v>603</v>
      </c>
      <c r="C22" s="4530" t="s">
        <v>598</v>
      </c>
    </row>
    <row r="23" spans="2:4" x14ac:dyDescent="0.2">
      <c r="B23" s="4531" t="s">
        <v>604</v>
      </c>
      <c r="C23" s="4532">
        <v>328</v>
      </c>
    </row>
    <row r="24" spans="2:4" x14ac:dyDescent="0.2">
      <c r="B24" s="4531" t="s">
        <v>605</v>
      </c>
      <c r="C24" s="4532">
        <v>112.75</v>
      </c>
    </row>
    <row r="25" spans="2:4" x14ac:dyDescent="0.2">
      <c r="B25" s="4531" t="s">
        <v>606</v>
      </c>
      <c r="C25" s="4532">
        <v>30.75</v>
      </c>
    </row>
    <row r="26" spans="2:4" x14ac:dyDescent="0.2">
      <c r="B26" s="4531" t="s">
        <v>607</v>
      </c>
      <c r="C26" s="4532">
        <v>31</v>
      </c>
    </row>
    <row r="27" spans="2:4" x14ac:dyDescent="0.2">
      <c r="B27" s="127"/>
      <c r="C27" s="123"/>
    </row>
    <row r="28" spans="2:4" x14ac:dyDescent="0.2">
      <c r="B28" s="127"/>
      <c r="C28" s="123"/>
    </row>
    <row r="29" spans="2:4" ht="27" customHeight="1" x14ac:dyDescent="0.2">
      <c r="B29" s="4534" t="s">
        <v>608</v>
      </c>
      <c r="C29" s="4530" t="s">
        <v>598</v>
      </c>
    </row>
    <row r="30" spans="2:4" x14ac:dyDescent="0.2">
      <c r="B30" s="4531" t="s">
        <v>609</v>
      </c>
      <c r="C30" s="4533">
        <v>450</v>
      </c>
      <c r="D30" s="240"/>
    </row>
    <row r="31" spans="2:4" x14ac:dyDescent="0.2">
      <c r="B31" s="4531" t="s">
        <v>610</v>
      </c>
      <c r="C31" s="4533">
        <v>700</v>
      </c>
    </row>
    <row r="32" spans="2:4" x14ac:dyDescent="0.2">
      <c r="B32" s="70"/>
    </row>
    <row r="33" spans="2:2" x14ac:dyDescent="0.2">
      <c r="B33" s="70"/>
    </row>
    <row r="34" spans="2:2" ht="36.75" customHeight="1" x14ac:dyDescent="0.2">
      <c r="B34" s="4534" t="s">
        <v>611</v>
      </c>
    </row>
    <row r="35" spans="2:2" ht="81.75" customHeight="1" x14ac:dyDescent="0.2">
      <c r="B35" s="4536" t="s">
        <v>612</v>
      </c>
    </row>
    <row r="36" spans="2:2" ht="81" customHeight="1" x14ac:dyDescent="0.2">
      <c r="B36" s="4536" t="s">
        <v>613</v>
      </c>
    </row>
    <row r="37" spans="2:2" ht="58.5" customHeight="1" x14ac:dyDescent="0.2">
      <c r="B37" s="4536" t="s">
        <v>614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28"/>
  <dimension ref="A1:F24"/>
  <sheetViews>
    <sheetView topLeftCell="A2" workbookViewId="0">
      <selection activeCell="G17" sqref="G17"/>
    </sheetView>
  </sheetViews>
  <sheetFormatPr defaultRowHeight="12" x14ac:dyDescent="0.2"/>
  <cols>
    <col min="1" max="1" width="49.28515625" customWidth="1"/>
    <col min="2" max="6" width="30.7109375" customWidth="1"/>
  </cols>
  <sheetData>
    <row r="1" spans="1:6" ht="77.25" customHeight="1" x14ac:dyDescent="0.4">
      <c r="A1" s="4537" t="s">
        <v>615</v>
      </c>
      <c r="B1" s="4538" t="s">
        <v>616</v>
      </c>
      <c r="C1" s="4539" t="s">
        <v>617</v>
      </c>
      <c r="D1" s="4540" t="s">
        <v>618</v>
      </c>
      <c r="E1" s="4540" t="s">
        <v>619</v>
      </c>
      <c r="F1" s="4541" t="s">
        <v>588</v>
      </c>
    </row>
    <row r="2" spans="1:6" ht="49.5" customHeight="1" x14ac:dyDescent="0.3">
      <c r="A2" s="4542" t="s">
        <v>620</v>
      </c>
      <c r="B2" s="4543"/>
      <c r="C2" s="4544" t="s">
        <v>621</v>
      </c>
      <c r="D2" s="4544" t="s">
        <v>621</v>
      </c>
      <c r="E2" s="4544" t="s">
        <v>622</v>
      </c>
      <c r="F2" s="4544" t="s">
        <v>623</v>
      </c>
    </row>
    <row r="3" spans="1:6" ht="51" customHeight="1" x14ac:dyDescent="0.3">
      <c r="A3" s="4545" t="s">
        <v>624</v>
      </c>
      <c r="B3" s="4544" t="s">
        <v>625</v>
      </c>
      <c r="C3" s="4546" t="s">
        <v>626</v>
      </c>
      <c r="D3" s="4544" t="s">
        <v>626</v>
      </c>
      <c r="E3" s="4544" t="s">
        <v>626</v>
      </c>
      <c r="F3" s="4544" t="s">
        <v>626</v>
      </c>
    </row>
    <row r="4" spans="1:6" ht="53.25" customHeight="1" x14ac:dyDescent="0.3">
      <c r="A4" s="4545" t="s">
        <v>627</v>
      </c>
      <c r="B4" s="4544" t="s">
        <v>628</v>
      </c>
      <c r="C4" s="4547" t="s">
        <v>629</v>
      </c>
      <c r="D4" s="4546" t="s">
        <v>629</v>
      </c>
      <c r="E4" s="4546" t="s">
        <v>630</v>
      </c>
      <c r="F4" s="4546" t="s">
        <v>629</v>
      </c>
    </row>
    <row r="5" spans="1:6" ht="69" customHeight="1" x14ac:dyDescent="0.3">
      <c r="A5" s="4548" t="s">
        <v>631</v>
      </c>
      <c r="B5" s="4544"/>
      <c r="C5" s="4549"/>
      <c r="D5" s="214"/>
      <c r="E5" s="214"/>
      <c r="F5" s="214"/>
    </row>
    <row r="6" spans="1:6" ht="36.75" x14ac:dyDescent="0.3">
      <c r="A6" s="4545" t="s">
        <v>632</v>
      </c>
      <c r="B6" s="4544" t="s">
        <v>633</v>
      </c>
      <c r="C6" s="4550"/>
      <c r="D6" s="100"/>
    </row>
    <row r="7" spans="1:6" ht="36.75" x14ac:dyDescent="0.3">
      <c r="A7" s="4545" t="s">
        <v>634</v>
      </c>
      <c r="B7" s="4544" t="s">
        <v>625</v>
      </c>
      <c r="C7" s="118"/>
    </row>
    <row r="8" spans="1:6" ht="20.25" x14ac:dyDescent="0.3">
      <c r="A8" s="4551" t="s">
        <v>635</v>
      </c>
      <c r="B8" s="4552" t="s">
        <v>636</v>
      </c>
      <c r="C8" s="119"/>
    </row>
    <row r="9" spans="1:6" ht="20.25" x14ac:dyDescent="0.3">
      <c r="A9" s="4553" t="s">
        <v>637</v>
      </c>
      <c r="B9" s="4552" t="s">
        <v>638</v>
      </c>
      <c r="C9" s="119"/>
    </row>
    <row r="10" spans="1:6" ht="20.25" x14ac:dyDescent="0.3">
      <c r="A10" s="4551" t="s">
        <v>609</v>
      </c>
      <c r="B10" s="4552" t="s">
        <v>625</v>
      </c>
    </row>
    <row r="11" spans="1:6" ht="20.25" x14ac:dyDescent="0.3">
      <c r="A11" s="4545" t="s">
        <v>610</v>
      </c>
      <c r="B11" s="4544" t="s">
        <v>639</v>
      </c>
    </row>
    <row r="12" spans="1:6" ht="20.25" x14ac:dyDescent="0.3">
      <c r="A12" s="4554"/>
      <c r="B12" s="4544"/>
    </row>
    <row r="13" spans="1:6" ht="20.25" x14ac:dyDescent="0.3">
      <c r="A13" s="4555" t="s">
        <v>640</v>
      </c>
      <c r="B13" s="4556" t="s">
        <v>641</v>
      </c>
    </row>
    <row r="14" spans="1:6" ht="20.25" x14ac:dyDescent="0.3">
      <c r="A14" s="4557" t="s">
        <v>642</v>
      </c>
      <c r="B14" s="4558" t="s">
        <v>643</v>
      </c>
    </row>
    <row r="15" spans="1:6" ht="25.5" x14ac:dyDescent="0.3">
      <c r="A15" s="4557" t="s">
        <v>644</v>
      </c>
      <c r="B15" s="4558" t="s">
        <v>645</v>
      </c>
      <c r="C15" s="207"/>
    </row>
    <row r="16" spans="1:6" ht="36" x14ac:dyDescent="0.3">
      <c r="A16" s="4559" t="s">
        <v>646</v>
      </c>
      <c r="B16" s="4556" t="s">
        <v>641</v>
      </c>
      <c r="C16" s="4560" t="s">
        <v>647</v>
      </c>
      <c r="D16" s="207"/>
    </row>
    <row r="17" spans="1:4" ht="36" x14ac:dyDescent="0.3">
      <c r="A17" s="4561" t="s">
        <v>648</v>
      </c>
      <c r="B17" s="4562" t="s">
        <v>649</v>
      </c>
      <c r="C17" s="4560" t="s">
        <v>650</v>
      </c>
      <c r="D17" s="207"/>
    </row>
    <row r="18" spans="1:4" ht="36" x14ac:dyDescent="0.3">
      <c r="A18" s="4563" t="s">
        <v>651</v>
      </c>
      <c r="B18" s="4564" t="s">
        <v>652</v>
      </c>
      <c r="C18" s="4565" t="s">
        <v>653</v>
      </c>
      <c r="D18" s="207"/>
    </row>
    <row r="19" spans="1:4" ht="20.25" x14ac:dyDescent="0.3">
      <c r="A19" s="4566" t="s">
        <v>654</v>
      </c>
      <c r="B19" s="4567" t="s">
        <v>655</v>
      </c>
    </row>
    <row r="20" spans="1:4" ht="20.25" x14ac:dyDescent="0.3">
      <c r="A20" s="4568"/>
      <c r="B20" s="446"/>
    </row>
    <row r="21" spans="1:4" ht="20.25" x14ac:dyDescent="0.3">
      <c r="A21" s="4569" t="s">
        <v>604</v>
      </c>
      <c r="B21" s="4570">
        <v>320</v>
      </c>
    </row>
    <row r="22" spans="1:4" ht="20.25" x14ac:dyDescent="0.3">
      <c r="A22" s="4571" t="s">
        <v>605</v>
      </c>
      <c r="B22" s="4572">
        <v>110</v>
      </c>
    </row>
    <row r="23" spans="1:4" ht="20.25" x14ac:dyDescent="0.3">
      <c r="A23" s="4571" t="s">
        <v>606</v>
      </c>
      <c r="B23" s="447">
        <v>30</v>
      </c>
    </row>
    <row r="24" spans="1:4" ht="20.25" x14ac:dyDescent="0.3">
      <c r="A24" s="4571" t="s">
        <v>607</v>
      </c>
      <c r="B24" s="4573">
        <v>30</v>
      </c>
    </row>
  </sheetData>
  <sheetProtection algorithmName="SHA-512" hashValue="Qw0hVf5Yl2zNMj2NzLjY/Tjx+iPkyP81Tyle9m+h3cfwLuMy/dobDBnFVGpnG2F/EMDkeWd1/v2Oy3mqKHlkFw==" saltValue="motV3YZRplT9UWtkJGPF0A==" spinCount="100000" sheet="1" objects="1" scenarios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30"/>
  <dimension ref="A1:O80"/>
  <sheetViews>
    <sheetView topLeftCell="B1" workbookViewId="0">
      <selection activeCell="C29" sqref="C29"/>
    </sheetView>
  </sheetViews>
  <sheetFormatPr defaultRowHeight="12" x14ac:dyDescent="0.2"/>
  <cols>
    <col min="1" max="15" width="28.5703125" customWidth="1"/>
  </cols>
  <sheetData>
    <row r="1" spans="1:15" ht="20.25" x14ac:dyDescent="0.2">
      <c r="F1" s="75" t="s">
        <v>656</v>
      </c>
    </row>
    <row r="2" spans="1:15" ht="15.75" x14ac:dyDescent="0.2">
      <c r="A2" s="72" t="s">
        <v>657</v>
      </c>
      <c r="B2" s="91"/>
      <c r="C2" s="91"/>
      <c r="D2" s="91"/>
      <c r="E2" s="72" t="s">
        <v>658</v>
      </c>
      <c r="F2" s="91"/>
      <c r="G2" s="92"/>
      <c r="H2" s="91"/>
      <c r="I2" s="72" t="s">
        <v>659</v>
      </c>
      <c r="J2" s="91"/>
    </row>
    <row r="3" spans="1:15" ht="15.75" x14ac:dyDescent="0.2">
      <c r="A3" s="4574" t="s">
        <v>660</v>
      </c>
      <c r="B3" s="4574" t="s">
        <v>661</v>
      </c>
      <c r="C3" s="4574" t="s">
        <v>662</v>
      </c>
      <c r="D3" s="91"/>
      <c r="E3" s="4575" t="s">
        <v>660</v>
      </c>
      <c r="F3" s="4575" t="s">
        <v>661</v>
      </c>
      <c r="G3" s="4576" t="s">
        <v>662</v>
      </c>
      <c r="H3" s="91"/>
      <c r="I3" s="4575" t="s">
        <v>660</v>
      </c>
      <c r="J3" s="4575" t="s">
        <v>661</v>
      </c>
      <c r="K3" s="4577" t="s">
        <v>662</v>
      </c>
      <c r="N3" s="4578"/>
      <c r="O3" s="4579"/>
    </row>
    <row r="4" spans="1:15" ht="15.75" x14ac:dyDescent="0.2">
      <c r="A4" s="4578" t="s">
        <v>663</v>
      </c>
      <c r="B4" s="4580" t="s">
        <v>664</v>
      </c>
      <c r="C4" s="4581"/>
      <c r="D4" s="91"/>
      <c r="E4" s="138" t="s">
        <v>664</v>
      </c>
      <c r="F4" s="4582" t="s">
        <v>111</v>
      </c>
      <c r="G4" s="4581"/>
      <c r="H4" s="91"/>
      <c r="I4" s="138"/>
      <c r="J4" s="4579"/>
      <c r="K4" s="4583"/>
      <c r="N4" s="4584"/>
      <c r="O4" s="4585"/>
    </row>
    <row r="5" spans="1:15" ht="15.75" x14ac:dyDescent="0.2">
      <c r="A5" s="4584"/>
      <c r="B5" s="4580" t="s">
        <v>665</v>
      </c>
      <c r="C5" s="4581"/>
      <c r="D5" s="91"/>
      <c r="E5" s="4586"/>
      <c r="F5" s="4587" t="s">
        <v>114</v>
      </c>
      <c r="G5" s="4581"/>
      <c r="H5" s="91"/>
      <c r="I5" s="4586"/>
      <c r="J5" s="4579"/>
      <c r="K5" s="4588"/>
      <c r="N5" s="4584"/>
      <c r="O5" s="4585"/>
    </row>
    <row r="6" spans="1:15" ht="15.75" x14ac:dyDescent="0.2">
      <c r="A6" s="4584"/>
      <c r="B6" s="4580" t="s">
        <v>57</v>
      </c>
      <c r="C6" s="4581"/>
      <c r="D6" s="91"/>
      <c r="E6" s="4589"/>
      <c r="F6" s="4590" t="s">
        <v>666</v>
      </c>
      <c r="G6" s="449"/>
      <c r="H6" s="91"/>
      <c r="I6" s="4589"/>
      <c r="J6" s="4591"/>
      <c r="K6" s="4592"/>
      <c r="N6" s="4584"/>
      <c r="O6" s="4585"/>
    </row>
    <row r="7" spans="1:15" ht="15.75" x14ac:dyDescent="0.2">
      <c r="A7" s="4584"/>
      <c r="B7" s="4580" t="s">
        <v>555</v>
      </c>
      <c r="C7" s="4581" t="s">
        <v>667</v>
      </c>
      <c r="D7" s="91"/>
      <c r="E7" s="4586"/>
      <c r="F7" s="4593" t="s">
        <v>668</v>
      </c>
      <c r="G7" s="4594"/>
      <c r="H7" s="91"/>
      <c r="I7" s="138"/>
      <c r="J7" s="4595"/>
      <c r="K7" s="4583"/>
      <c r="N7" s="4578"/>
      <c r="O7" s="4596"/>
    </row>
    <row r="8" spans="1:15" ht="15.75" x14ac:dyDescent="0.2">
      <c r="A8" s="4584"/>
      <c r="B8" s="4580" t="s">
        <v>669</v>
      </c>
      <c r="C8" s="4581"/>
      <c r="D8" s="91"/>
      <c r="E8" s="4589"/>
      <c r="F8" s="4597"/>
      <c r="G8" s="4598"/>
      <c r="H8" s="91"/>
      <c r="I8" s="94"/>
      <c r="J8" s="4599"/>
      <c r="K8" s="450"/>
      <c r="N8" s="4578"/>
      <c r="O8" s="4600"/>
    </row>
    <row r="9" spans="1:15" ht="15.75" x14ac:dyDescent="0.2">
      <c r="A9" s="4584"/>
      <c r="B9" s="4580" t="s">
        <v>670</v>
      </c>
      <c r="C9" s="4581"/>
      <c r="D9" s="91"/>
      <c r="E9" s="4584"/>
      <c r="F9" s="4593"/>
      <c r="G9" s="4601"/>
      <c r="H9" s="91"/>
      <c r="I9" s="94"/>
      <c r="J9" s="4599"/>
      <c r="K9" s="450"/>
      <c r="N9" s="4584"/>
      <c r="O9" s="4585"/>
    </row>
    <row r="10" spans="1:15" ht="15.75" x14ac:dyDescent="0.2">
      <c r="A10" s="4584"/>
      <c r="B10" s="4580" t="s">
        <v>671</v>
      </c>
      <c r="C10" s="4581"/>
      <c r="D10" s="91"/>
      <c r="E10" s="101" t="s">
        <v>669</v>
      </c>
      <c r="F10" s="4602" t="s">
        <v>101</v>
      </c>
      <c r="G10" s="4581" t="s">
        <v>672</v>
      </c>
      <c r="H10" s="91"/>
      <c r="I10" s="4586"/>
      <c r="J10" s="4603"/>
      <c r="K10" s="4588"/>
      <c r="N10" s="4584"/>
      <c r="O10" s="4585"/>
    </row>
    <row r="11" spans="1:15" ht="15.75" x14ac:dyDescent="0.2">
      <c r="A11" s="4584"/>
      <c r="B11" s="4580" t="s">
        <v>673</v>
      </c>
      <c r="C11" s="4581"/>
      <c r="D11" s="91"/>
      <c r="E11" s="4586"/>
      <c r="F11" s="4593" t="s">
        <v>674</v>
      </c>
      <c r="G11" s="4581" t="s">
        <v>672</v>
      </c>
      <c r="H11" s="91"/>
      <c r="I11" s="4589"/>
      <c r="J11" s="4579"/>
      <c r="K11" s="4592"/>
      <c r="N11" s="4578"/>
      <c r="O11" s="4585"/>
    </row>
    <row r="12" spans="1:15" ht="15.75" x14ac:dyDescent="0.2">
      <c r="A12" s="4584"/>
      <c r="B12" s="4580" t="s">
        <v>675</v>
      </c>
      <c r="C12" s="4581"/>
      <c r="D12" s="91"/>
      <c r="E12" s="4589"/>
      <c r="F12" s="4597" t="s">
        <v>676</v>
      </c>
      <c r="G12" s="449" t="s">
        <v>672</v>
      </c>
      <c r="H12" s="91"/>
      <c r="I12" s="93"/>
      <c r="J12" s="4604"/>
      <c r="K12" s="4605"/>
      <c r="N12" s="4584"/>
      <c r="O12" s="4580"/>
    </row>
    <row r="13" spans="1:15" ht="15.75" x14ac:dyDescent="0.25">
      <c r="A13" s="4584"/>
      <c r="B13" s="4580" t="s">
        <v>677</v>
      </c>
      <c r="C13" s="4606"/>
      <c r="D13" s="91"/>
      <c r="E13" s="4586"/>
      <c r="F13" s="4607" t="s">
        <v>678</v>
      </c>
      <c r="G13" s="4594" t="s">
        <v>672</v>
      </c>
      <c r="H13" s="91"/>
      <c r="I13" s="139"/>
      <c r="J13" s="102"/>
      <c r="K13" s="4583"/>
      <c r="N13" s="4584"/>
      <c r="O13" s="4608"/>
    </row>
    <row r="14" spans="1:15" ht="15.75" x14ac:dyDescent="0.2">
      <c r="A14" s="91"/>
      <c r="B14" s="4580"/>
      <c r="C14" s="91"/>
      <c r="D14" s="91"/>
      <c r="E14" s="4589"/>
      <c r="F14" s="4593" t="s">
        <v>679</v>
      </c>
      <c r="G14" s="4598" t="s">
        <v>672</v>
      </c>
      <c r="H14" s="91"/>
      <c r="I14" s="4586"/>
      <c r="J14" s="4579"/>
      <c r="K14" s="4588"/>
      <c r="N14" s="4578"/>
      <c r="O14" s="4580"/>
    </row>
    <row r="15" spans="1:15" ht="15.75" x14ac:dyDescent="0.2">
      <c r="A15" s="91"/>
      <c r="B15" s="91"/>
      <c r="C15" s="91"/>
      <c r="D15" s="91"/>
      <c r="E15" s="4584"/>
      <c r="F15" s="4593"/>
      <c r="G15" s="4601"/>
      <c r="H15" s="91"/>
      <c r="I15" s="4586"/>
      <c r="J15" s="4591"/>
      <c r="K15" s="4588"/>
      <c r="N15" s="4578"/>
      <c r="O15" s="4579"/>
    </row>
    <row r="16" spans="1:15" ht="15.75" x14ac:dyDescent="0.2">
      <c r="A16" s="72" t="s">
        <v>680</v>
      </c>
      <c r="B16" s="91"/>
      <c r="C16" s="91"/>
      <c r="D16" s="91"/>
      <c r="E16" s="4578"/>
      <c r="F16" s="4579"/>
      <c r="G16" s="4581"/>
      <c r="H16" s="91"/>
      <c r="I16" s="4586"/>
      <c r="J16" s="4609"/>
      <c r="K16" s="4588"/>
      <c r="N16" s="4578"/>
      <c r="O16" s="4580"/>
    </row>
    <row r="17" spans="1:15" ht="15.75" x14ac:dyDescent="0.2">
      <c r="A17" s="4574" t="s">
        <v>660</v>
      </c>
      <c r="B17" s="4574" t="s">
        <v>661</v>
      </c>
      <c r="C17" s="4574" t="s">
        <v>662</v>
      </c>
      <c r="D17" s="91"/>
      <c r="E17" s="4578" t="s">
        <v>555</v>
      </c>
      <c r="F17" s="4610" t="s">
        <v>681</v>
      </c>
      <c r="G17" s="4611"/>
      <c r="H17" s="91"/>
      <c r="I17" s="93"/>
      <c r="J17" s="4612"/>
      <c r="K17" s="4605"/>
      <c r="N17" s="4578"/>
      <c r="O17" s="4585"/>
    </row>
    <row r="18" spans="1:15" ht="15.75" x14ac:dyDescent="0.2">
      <c r="A18" s="4578" t="s">
        <v>351</v>
      </c>
      <c r="B18" s="4580" t="s">
        <v>353</v>
      </c>
      <c r="C18" s="4581"/>
      <c r="D18" s="91"/>
      <c r="E18" s="4584"/>
      <c r="F18" s="4580" t="s">
        <v>682</v>
      </c>
      <c r="G18" s="4581"/>
      <c r="H18" s="91"/>
      <c r="I18" s="91"/>
      <c r="J18" s="91"/>
      <c r="N18" s="4578"/>
      <c r="O18" s="4585"/>
    </row>
    <row r="19" spans="1:15" ht="15.75" x14ac:dyDescent="0.2">
      <c r="A19" s="4584"/>
      <c r="B19" s="4580" t="s">
        <v>354</v>
      </c>
      <c r="C19" s="4581"/>
      <c r="D19" s="91"/>
      <c r="E19" s="4584"/>
      <c r="F19" s="4585" t="s">
        <v>683</v>
      </c>
      <c r="G19" s="4581"/>
      <c r="H19" s="91"/>
      <c r="I19" s="72"/>
      <c r="J19" s="91"/>
      <c r="N19" s="4584"/>
      <c r="O19" s="4593"/>
    </row>
    <row r="20" spans="1:15" ht="15.75" x14ac:dyDescent="0.2">
      <c r="A20" s="4584"/>
      <c r="B20" s="4580" t="s">
        <v>684</v>
      </c>
      <c r="C20" s="4581"/>
      <c r="D20" s="91"/>
      <c r="E20" s="4578"/>
      <c r="F20" s="4593" t="s">
        <v>685</v>
      </c>
      <c r="G20" s="4581"/>
      <c r="H20" s="91"/>
      <c r="I20" s="72"/>
      <c r="J20" s="91"/>
      <c r="N20" s="4584"/>
      <c r="O20" s="4585"/>
    </row>
    <row r="21" spans="1:15" ht="15.75" x14ac:dyDescent="0.25">
      <c r="A21" s="4584"/>
      <c r="B21" s="4608" t="s">
        <v>359</v>
      </c>
      <c r="C21" s="4581"/>
      <c r="D21" s="91"/>
      <c r="E21" s="4613"/>
      <c r="F21" s="4614" t="s">
        <v>686</v>
      </c>
      <c r="G21" s="4581"/>
      <c r="H21" s="91"/>
      <c r="I21" s="4575" t="s">
        <v>660</v>
      </c>
      <c r="J21" s="4575" t="s">
        <v>661</v>
      </c>
      <c r="K21" s="4577" t="s">
        <v>662</v>
      </c>
      <c r="N21" s="4581"/>
      <c r="O21" s="4593"/>
    </row>
    <row r="22" spans="1:15" ht="15.75" x14ac:dyDescent="0.25">
      <c r="A22" s="4584"/>
      <c r="B22" s="4608" t="s">
        <v>360</v>
      </c>
      <c r="C22" s="4581"/>
      <c r="D22" s="91"/>
      <c r="E22" s="4578"/>
      <c r="F22" s="4580"/>
      <c r="G22" s="4581"/>
      <c r="H22" s="91"/>
      <c r="I22" s="4578" t="s">
        <v>687</v>
      </c>
      <c r="J22" s="4579" t="s">
        <v>663</v>
      </c>
      <c r="K22" s="4615"/>
      <c r="N22" s="4580"/>
      <c r="O22" s="4585"/>
    </row>
    <row r="23" spans="1:15" ht="15.75" x14ac:dyDescent="0.25">
      <c r="A23" s="4584"/>
      <c r="B23" s="4608" t="s">
        <v>688</v>
      </c>
      <c r="C23" s="4581"/>
      <c r="D23" s="91"/>
      <c r="E23" s="101" t="s">
        <v>57</v>
      </c>
      <c r="F23" s="4580" t="s">
        <v>122</v>
      </c>
      <c r="G23" s="4581" t="s">
        <v>689</v>
      </c>
      <c r="H23" s="91"/>
      <c r="I23" s="4584"/>
      <c r="J23" s="4579" t="s">
        <v>351</v>
      </c>
      <c r="K23" s="4615"/>
      <c r="N23" s="4584"/>
      <c r="O23" s="4580"/>
    </row>
    <row r="24" spans="1:15" ht="15.75" x14ac:dyDescent="0.25">
      <c r="A24" s="4584"/>
      <c r="B24" s="4608" t="s">
        <v>690</v>
      </c>
      <c r="C24" s="4581"/>
      <c r="D24" s="91"/>
      <c r="E24" s="4584"/>
      <c r="F24" s="4608" t="s">
        <v>691</v>
      </c>
      <c r="G24" s="4581" t="s">
        <v>689</v>
      </c>
      <c r="H24" s="91"/>
      <c r="I24" s="4584"/>
      <c r="J24" s="4579"/>
      <c r="K24" s="4615"/>
      <c r="N24" s="4584"/>
      <c r="O24" s="4616"/>
    </row>
    <row r="25" spans="1:15" ht="15.75" x14ac:dyDescent="0.25">
      <c r="A25" s="4584"/>
      <c r="B25" s="4608" t="s">
        <v>692</v>
      </c>
      <c r="C25" s="4581"/>
      <c r="D25" s="91"/>
      <c r="E25" s="4578"/>
      <c r="F25" s="4580" t="s">
        <v>124</v>
      </c>
      <c r="G25" s="4581" t="s">
        <v>689</v>
      </c>
      <c r="H25" s="91"/>
      <c r="I25" s="4584"/>
      <c r="J25" s="4603"/>
      <c r="K25" s="4615"/>
      <c r="N25" s="4584"/>
      <c r="O25" s="4580"/>
    </row>
    <row r="26" spans="1:15" ht="15.75" x14ac:dyDescent="0.25">
      <c r="A26" s="4584"/>
      <c r="B26" s="4608" t="s">
        <v>693</v>
      </c>
      <c r="C26" s="4581"/>
      <c r="D26" s="91"/>
      <c r="E26" s="4584"/>
      <c r="F26" s="4580" t="s">
        <v>0</v>
      </c>
      <c r="G26" s="4581"/>
      <c r="H26" s="91"/>
      <c r="I26" s="4584"/>
      <c r="J26" s="4579"/>
      <c r="K26" s="4615"/>
      <c r="N26" s="4584"/>
      <c r="O26" s="4580"/>
    </row>
    <row r="27" spans="1:15" ht="15.75" x14ac:dyDescent="0.25">
      <c r="A27" s="4584"/>
      <c r="B27" s="4617" t="s">
        <v>367</v>
      </c>
      <c r="C27" s="4581"/>
      <c r="D27" s="91"/>
      <c r="E27" s="4584"/>
      <c r="F27" s="4608"/>
      <c r="G27" s="4581"/>
      <c r="H27" s="91"/>
      <c r="I27" s="4584"/>
      <c r="J27" s="4579"/>
      <c r="K27" s="4615"/>
      <c r="N27" s="4584"/>
      <c r="O27" s="4580"/>
    </row>
    <row r="28" spans="1:15" ht="15.75" x14ac:dyDescent="0.2">
      <c r="A28" s="4584"/>
      <c r="B28" s="4618" t="s">
        <v>694</v>
      </c>
      <c r="C28" s="4581"/>
      <c r="D28" s="91"/>
      <c r="E28" s="4619" t="s">
        <v>665</v>
      </c>
      <c r="F28" s="4580" t="s">
        <v>695</v>
      </c>
      <c r="G28" s="4581"/>
      <c r="H28" s="91"/>
      <c r="I28" s="4584"/>
      <c r="J28" s="4579"/>
      <c r="K28" s="4615"/>
      <c r="N28" s="4615"/>
      <c r="O28" s="4580"/>
    </row>
    <row r="29" spans="1:15" ht="15.75" x14ac:dyDescent="0.2">
      <c r="A29" s="4584"/>
      <c r="B29" s="4593" t="s">
        <v>696</v>
      </c>
      <c r="C29" s="4581"/>
      <c r="D29" s="91"/>
      <c r="E29" s="4578"/>
      <c r="F29" s="4585" t="s">
        <v>120</v>
      </c>
      <c r="G29" s="4581"/>
      <c r="H29" s="91"/>
      <c r="I29" s="4584"/>
      <c r="J29" s="4620" t="s">
        <v>697</v>
      </c>
      <c r="K29" s="4615"/>
      <c r="N29" s="4615"/>
      <c r="O29" s="4621"/>
    </row>
    <row r="30" spans="1:15" ht="15.75" x14ac:dyDescent="0.2">
      <c r="A30" s="4584"/>
      <c r="B30" s="4622" t="s">
        <v>698</v>
      </c>
      <c r="C30" s="4581"/>
      <c r="D30" s="91"/>
      <c r="E30" s="4578"/>
      <c r="F30" s="4585" t="s">
        <v>121</v>
      </c>
      <c r="G30" s="4581"/>
      <c r="H30" s="91"/>
      <c r="I30" s="4584"/>
      <c r="J30" s="4623" t="s">
        <v>678</v>
      </c>
      <c r="K30" s="4615"/>
      <c r="N30" s="4578"/>
      <c r="O30" s="4615"/>
    </row>
    <row r="31" spans="1:15" ht="15.75" x14ac:dyDescent="0.2">
      <c r="A31" s="4584"/>
      <c r="B31" s="4593" t="s">
        <v>699</v>
      </c>
      <c r="C31" s="4581"/>
      <c r="D31" s="91"/>
      <c r="E31" s="4578"/>
      <c r="F31" s="4580" t="s">
        <v>700</v>
      </c>
      <c r="G31" s="4581"/>
      <c r="H31" s="91"/>
      <c r="I31" s="4584"/>
      <c r="J31" s="4623" t="s">
        <v>700</v>
      </c>
      <c r="K31" s="4615"/>
      <c r="N31" s="4584"/>
      <c r="O31" s="4621"/>
    </row>
    <row r="32" spans="1:15" ht="15.75" x14ac:dyDescent="0.2">
      <c r="A32" s="4584"/>
      <c r="B32" s="4593" t="s">
        <v>701</v>
      </c>
      <c r="C32" s="4581"/>
      <c r="D32" s="91"/>
      <c r="E32" s="4578"/>
      <c r="F32" s="4624"/>
      <c r="G32" s="4581"/>
      <c r="H32" s="91"/>
      <c r="I32" s="4584"/>
      <c r="J32" s="4625" t="s">
        <v>702</v>
      </c>
      <c r="K32" s="4615"/>
      <c r="N32" s="4584"/>
      <c r="O32" s="4580"/>
    </row>
    <row r="33" spans="1:15" ht="15.75" x14ac:dyDescent="0.2">
      <c r="A33" s="4578"/>
      <c r="B33" s="4593"/>
      <c r="C33" s="4594"/>
      <c r="D33" s="91"/>
      <c r="E33" s="4619" t="s">
        <v>555</v>
      </c>
      <c r="F33" s="4593" t="s">
        <v>265</v>
      </c>
      <c r="G33" s="4581" t="s">
        <v>703</v>
      </c>
      <c r="H33" s="91"/>
      <c r="I33" s="4584"/>
      <c r="J33" s="4620" t="s">
        <v>686</v>
      </c>
      <c r="K33" s="4615"/>
      <c r="N33" s="4584"/>
      <c r="O33" s="4593"/>
    </row>
    <row r="34" spans="1:15" ht="15.75" x14ac:dyDescent="0.2">
      <c r="A34" s="4626"/>
      <c r="B34" s="4627"/>
      <c r="C34" s="4598"/>
      <c r="D34" s="91"/>
      <c r="E34" s="4584"/>
      <c r="F34" s="4585" t="s">
        <v>704</v>
      </c>
      <c r="G34" s="4581" t="s">
        <v>703</v>
      </c>
      <c r="H34" s="91"/>
      <c r="I34" s="4584"/>
      <c r="J34" s="4628" t="s">
        <v>705</v>
      </c>
      <c r="K34" s="4615"/>
      <c r="N34" s="4584"/>
      <c r="O34" s="4593"/>
    </row>
    <row r="35" spans="1:15" ht="15.75" x14ac:dyDescent="0.2">
      <c r="A35" s="72"/>
      <c r="B35" s="4579"/>
      <c r="C35" s="91"/>
      <c r="D35" s="91"/>
      <c r="E35" s="4581"/>
      <c r="F35" s="4593" t="s">
        <v>706</v>
      </c>
      <c r="G35" s="4581" t="s">
        <v>703</v>
      </c>
      <c r="H35" s="91"/>
      <c r="I35" s="4584"/>
      <c r="J35" s="4579"/>
      <c r="K35" s="4615"/>
      <c r="N35" s="4584"/>
      <c r="O35" s="4593"/>
    </row>
    <row r="36" spans="1:15" ht="15.75" x14ac:dyDescent="0.2">
      <c r="A36" s="4629"/>
      <c r="B36" s="451"/>
      <c r="C36" s="4629"/>
      <c r="D36" s="91"/>
      <c r="E36" s="4580"/>
      <c r="F36" s="4593" t="s">
        <v>270</v>
      </c>
      <c r="G36" s="4581" t="s">
        <v>703</v>
      </c>
      <c r="H36" s="91"/>
      <c r="I36" s="95"/>
      <c r="J36" s="91"/>
      <c r="N36" s="4615"/>
      <c r="O36" s="4593"/>
    </row>
    <row r="37" spans="1:15" ht="15.75" x14ac:dyDescent="0.25">
      <c r="A37" s="4578"/>
      <c r="B37" s="4579"/>
      <c r="C37" s="4581"/>
      <c r="D37" s="91"/>
      <c r="E37" s="4584"/>
      <c r="F37" s="4630" t="s">
        <v>707</v>
      </c>
      <c r="G37" s="4581" t="s">
        <v>703</v>
      </c>
      <c r="H37" s="91"/>
      <c r="I37" s="4631"/>
      <c r="J37" s="4632"/>
      <c r="K37" s="4615"/>
      <c r="N37" s="4615"/>
      <c r="O37" s="4580"/>
    </row>
    <row r="38" spans="1:15" ht="15.75" x14ac:dyDescent="0.2">
      <c r="A38" s="4584"/>
      <c r="B38" s="4579"/>
      <c r="C38" s="4581"/>
      <c r="D38" s="91"/>
      <c r="E38" s="4584"/>
      <c r="F38" s="4580" t="s">
        <v>251</v>
      </c>
      <c r="G38" s="4581" t="s">
        <v>703</v>
      </c>
      <c r="H38" s="91"/>
      <c r="I38" s="4633"/>
      <c r="J38" s="4634"/>
      <c r="K38" s="4615"/>
    </row>
    <row r="39" spans="1:15" ht="15.75" x14ac:dyDescent="0.2">
      <c r="A39" s="4584"/>
      <c r="B39" s="4579"/>
      <c r="C39" s="4581"/>
      <c r="D39" s="91"/>
      <c r="E39" s="4584"/>
      <c r="F39" s="4580"/>
      <c r="G39" s="4581"/>
      <c r="H39" s="91"/>
      <c r="I39" s="4633"/>
      <c r="J39" s="4634"/>
      <c r="K39" s="4615"/>
    </row>
    <row r="40" spans="1:15" ht="15.75" x14ac:dyDescent="0.2">
      <c r="A40" s="4584"/>
      <c r="B40" s="4584"/>
      <c r="C40" s="4581"/>
      <c r="D40" s="91"/>
      <c r="E40" s="4580" t="s">
        <v>708</v>
      </c>
      <c r="F40" s="4580" t="s">
        <v>709</v>
      </c>
      <c r="G40" s="4581" t="s">
        <v>710</v>
      </c>
      <c r="H40" s="91"/>
      <c r="I40" s="4633"/>
      <c r="J40" s="4635"/>
      <c r="K40" s="4615"/>
    </row>
    <row r="41" spans="1:15" ht="15.75" x14ac:dyDescent="0.2">
      <c r="A41" s="72"/>
      <c r="B41" s="91"/>
      <c r="C41" s="91"/>
      <c r="D41" s="91"/>
      <c r="E41" s="4584"/>
      <c r="F41" s="4580" t="s">
        <v>170</v>
      </c>
      <c r="G41" s="4581" t="s">
        <v>710</v>
      </c>
      <c r="H41" s="91"/>
      <c r="I41" s="4633"/>
      <c r="J41" s="4579"/>
      <c r="K41" s="4615"/>
    </row>
    <row r="42" spans="1:15" ht="15.75" x14ac:dyDescent="0.2">
      <c r="A42" s="5"/>
      <c r="B42" s="5"/>
      <c r="C42" s="5"/>
      <c r="E42" s="4615"/>
      <c r="F42" s="4616" t="s">
        <v>138</v>
      </c>
      <c r="G42" s="4581" t="s">
        <v>710</v>
      </c>
      <c r="I42" s="4636"/>
      <c r="J42" s="4637"/>
      <c r="K42" s="4615"/>
    </row>
    <row r="43" spans="1:15" ht="15.75" x14ac:dyDescent="0.2">
      <c r="A43" s="72"/>
      <c r="B43" s="98"/>
      <c r="E43" s="4615"/>
      <c r="F43" s="4614" t="s">
        <v>697</v>
      </c>
      <c r="G43" s="4581"/>
      <c r="I43" s="4615"/>
      <c r="J43" s="4579"/>
      <c r="K43" s="4615"/>
    </row>
    <row r="44" spans="1:15" ht="15.75" x14ac:dyDescent="0.2">
      <c r="B44" s="98"/>
      <c r="E44" s="4578"/>
      <c r="F44" s="4580" t="s">
        <v>711</v>
      </c>
      <c r="G44" s="4581" t="s">
        <v>710</v>
      </c>
      <c r="I44" s="4615"/>
      <c r="J44" s="4579"/>
      <c r="K44" s="4615"/>
    </row>
    <row r="45" spans="1:15" ht="15.75" x14ac:dyDescent="0.2">
      <c r="B45" s="98"/>
      <c r="E45" s="4615"/>
      <c r="F45" s="4580"/>
      <c r="G45" s="4581"/>
      <c r="I45" s="4615"/>
      <c r="J45" s="4635"/>
      <c r="K45" s="4615"/>
    </row>
    <row r="46" spans="1:15" ht="15.75" x14ac:dyDescent="0.2">
      <c r="B46" s="98"/>
      <c r="E46" s="4584"/>
      <c r="F46" s="4616"/>
      <c r="G46" s="4581"/>
      <c r="I46" s="4615"/>
      <c r="J46" s="4579"/>
      <c r="K46" s="4615"/>
    </row>
    <row r="47" spans="1:15" ht="15.75" x14ac:dyDescent="0.2">
      <c r="A47" s="72" t="s">
        <v>712</v>
      </c>
      <c r="B47" s="91"/>
      <c r="C47" s="91"/>
      <c r="E47" s="4584"/>
      <c r="F47" s="4585"/>
      <c r="G47" s="4581"/>
    </row>
    <row r="48" spans="1:15" ht="15.75" x14ac:dyDescent="0.25">
      <c r="A48" s="4574" t="s">
        <v>660</v>
      </c>
      <c r="B48" s="4574" t="s">
        <v>661</v>
      </c>
      <c r="C48" s="4574" t="s">
        <v>662</v>
      </c>
      <c r="E48" s="4584"/>
      <c r="F48" s="4638"/>
      <c r="G48" s="4581"/>
    </row>
    <row r="49" spans="1:7" ht="15.75" x14ac:dyDescent="0.25">
      <c r="A49" s="4578" t="s">
        <v>663</v>
      </c>
      <c r="B49" s="4580" t="s">
        <v>713</v>
      </c>
      <c r="C49" s="4581"/>
      <c r="E49" s="4584"/>
      <c r="F49" s="4638"/>
      <c r="G49" s="4581"/>
    </row>
    <row r="50" spans="1:7" ht="15.75" x14ac:dyDescent="0.25">
      <c r="A50" s="4584"/>
      <c r="B50" s="4580" t="s">
        <v>463</v>
      </c>
      <c r="C50" s="4581"/>
      <c r="E50" s="4615"/>
      <c r="F50" s="4608"/>
      <c r="G50" s="4639"/>
    </row>
    <row r="51" spans="1:7" ht="15.75" x14ac:dyDescent="0.25">
      <c r="A51" s="4584"/>
      <c r="B51" s="4640" t="s">
        <v>714</v>
      </c>
      <c r="C51" s="4581"/>
      <c r="E51" s="4615"/>
      <c r="F51" s="4608"/>
      <c r="G51" s="4639"/>
    </row>
    <row r="52" spans="1:7" ht="15.75" x14ac:dyDescent="0.2">
      <c r="A52" s="4584"/>
      <c r="B52" s="4641" t="s">
        <v>715</v>
      </c>
      <c r="C52" s="4581"/>
      <c r="E52" s="4615"/>
      <c r="F52" s="4580"/>
      <c r="G52" s="4639"/>
    </row>
    <row r="53" spans="1:7" ht="15.75" x14ac:dyDescent="0.2">
      <c r="B53" s="98"/>
      <c r="F53" s="4642"/>
    </row>
    <row r="54" spans="1:7" ht="15" x14ac:dyDescent="0.2">
      <c r="B54" s="98"/>
    </row>
    <row r="55" spans="1:7" ht="15" x14ac:dyDescent="0.2">
      <c r="B55" s="98"/>
    </row>
    <row r="56" spans="1:7" ht="15" x14ac:dyDescent="0.2">
      <c r="B56" s="98"/>
    </row>
    <row r="58" spans="1:7" ht="15.75" x14ac:dyDescent="0.2">
      <c r="A58" s="4578" t="s">
        <v>716</v>
      </c>
      <c r="B58" s="4643"/>
    </row>
    <row r="59" spans="1:7" ht="15.75" x14ac:dyDescent="0.2">
      <c r="A59" s="4578" t="s">
        <v>677</v>
      </c>
      <c r="B59" s="4643"/>
    </row>
    <row r="60" spans="1:7" ht="15.75" x14ac:dyDescent="0.2">
      <c r="A60" s="4615"/>
      <c r="B60" s="4644" t="s">
        <v>717</v>
      </c>
    </row>
    <row r="61" spans="1:7" ht="15.75" x14ac:dyDescent="0.2">
      <c r="A61" s="4615"/>
      <c r="B61" s="4644" t="s">
        <v>718</v>
      </c>
    </row>
    <row r="62" spans="1:7" ht="15.75" x14ac:dyDescent="0.2">
      <c r="A62" s="4615"/>
      <c r="B62" s="4644" t="s">
        <v>333</v>
      </c>
    </row>
    <row r="63" spans="1:7" ht="15.75" x14ac:dyDescent="0.2">
      <c r="A63" s="4615"/>
      <c r="B63" s="4644" t="s">
        <v>719</v>
      </c>
    </row>
    <row r="64" spans="1:7" ht="15.75" x14ac:dyDescent="0.2">
      <c r="A64" s="4615"/>
      <c r="B64" s="4644" t="s">
        <v>720</v>
      </c>
    </row>
    <row r="65" spans="1:2" ht="15.75" x14ac:dyDescent="0.2">
      <c r="A65" s="4615"/>
      <c r="B65" s="4644" t="s">
        <v>721</v>
      </c>
    </row>
    <row r="66" spans="1:2" ht="15.75" x14ac:dyDescent="0.2">
      <c r="A66" s="4615"/>
      <c r="B66" s="4644" t="s">
        <v>722</v>
      </c>
    </row>
    <row r="67" spans="1:2" ht="15.75" x14ac:dyDescent="0.2">
      <c r="A67" s="4615"/>
      <c r="B67" s="4593" t="s">
        <v>723</v>
      </c>
    </row>
    <row r="68" spans="1:2" ht="15.75" x14ac:dyDescent="0.2">
      <c r="A68" s="4615"/>
      <c r="B68" s="4600" t="s">
        <v>724</v>
      </c>
    </row>
    <row r="69" spans="1:2" ht="15.75" x14ac:dyDescent="0.2">
      <c r="A69" s="4615"/>
      <c r="B69" s="4645" t="s">
        <v>725</v>
      </c>
    </row>
    <row r="70" spans="1:2" ht="15.75" x14ac:dyDescent="0.2">
      <c r="A70" s="4615"/>
      <c r="B70" s="4644" t="s">
        <v>518</v>
      </c>
    </row>
    <row r="71" spans="1:2" ht="15.75" x14ac:dyDescent="0.2">
      <c r="A71" s="4615"/>
      <c r="B71" s="4644" t="s">
        <v>726</v>
      </c>
    </row>
    <row r="72" spans="1:2" ht="15.75" x14ac:dyDescent="0.2">
      <c r="A72" s="4615"/>
      <c r="B72" s="4641" t="s">
        <v>727</v>
      </c>
    </row>
    <row r="73" spans="1:2" ht="15.75" x14ac:dyDescent="0.2">
      <c r="A73" s="4615"/>
      <c r="B73" s="4646" t="s">
        <v>679</v>
      </c>
    </row>
    <row r="74" spans="1:2" ht="15.75" x14ac:dyDescent="0.2">
      <c r="A74" s="72" t="s">
        <v>271</v>
      </c>
      <c r="B74" s="72"/>
    </row>
    <row r="75" spans="1:2" ht="15.75" x14ac:dyDescent="0.2">
      <c r="A75" s="4584"/>
      <c r="B75" s="4644" t="s">
        <v>728</v>
      </c>
    </row>
    <row r="76" spans="1:2" ht="15.75" x14ac:dyDescent="0.2">
      <c r="A76" s="4584"/>
      <c r="B76" s="4644" t="s">
        <v>729</v>
      </c>
    </row>
    <row r="77" spans="1:2" ht="15.75" x14ac:dyDescent="0.2">
      <c r="A77" s="4584"/>
      <c r="B77" s="4644" t="s">
        <v>730</v>
      </c>
    </row>
    <row r="78" spans="1:2" ht="15.75" x14ac:dyDescent="0.2">
      <c r="A78" s="4584"/>
      <c r="B78" s="4644" t="s">
        <v>731</v>
      </c>
    </row>
    <row r="79" spans="1:2" ht="15.75" x14ac:dyDescent="0.2">
      <c r="A79" s="4584"/>
      <c r="B79" s="4585" t="s">
        <v>732</v>
      </c>
    </row>
    <row r="80" spans="1:2" ht="15.75" x14ac:dyDescent="0.2">
      <c r="A80" s="4615"/>
      <c r="B80" s="4585" t="s">
        <v>733</v>
      </c>
    </row>
  </sheetData>
  <sheetProtection algorithmName="SHA-512" hashValue="fc8s2z6MB3fkFDodPYfujYtnwLDqvmj/aNuM0XFcY64oZdPS3YsaY+Y+JfypifFHmm7UWxuQbcIKMVtHFpUGaA==" saltValue="MoCpDH2VV+KBt42tdlliWQ==" spinCount="100000" sheet="1" objects="1" scenarios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31"/>
  <dimension ref="A1:N159"/>
  <sheetViews>
    <sheetView topLeftCell="A47" workbookViewId="0">
      <selection activeCell="G63" sqref="G63"/>
    </sheetView>
  </sheetViews>
  <sheetFormatPr defaultRowHeight="12" x14ac:dyDescent="0.2"/>
  <cols>
    <col min="1" max="1" width="26.85546875" customWidth="1"/>
    <col min="2" max="10" width="11.28515625" customWidth="1"/>
    <col min="11" max="11" width="12.85546875" customWidth="1"/>
    <col min="12" max="12" width="12.28515625" customWidth="1"/>
  </cols>
  <sheetData>
    <row r="1" spans="1:10" ht="23.25" x14ac:dyDescent="0.2">
      <c r="A1" s="1" t="s">
        <v>734</v>
      </c>
      <c r="B1" s="1"/>
      <c r="D1" s="2"/>
      <c r="E1" s="2"/>
    </row>
    <row r="2" spans="1:10" ht="12.75" x14ac:dyDescent="0.2">
      <c r="A2" s="4647" t="s">
        <v>735</v>
      </c>
      <c r="B2" s="4648" t="s">
        <v>17</v>
      </c>
      <c r="C2" s="4649" t="s">
        <v>18</v>
      </c>
      <c r="D2" s="4649" t="s">
        <v>19</v>
      </c>
      <c r="E2" s="4649" t="s">
        <v>20</v>
      </c>
      <c r="F2" s="4649" t="s">
        <v>21</v>
      </c>
      <c r="G2" s="4649" t="s">
        <v>22</v>
      </c>
      <c r="H2" s="4650" t="s">
        <v>23</v>
      </c>
      <c r="I2" s="4651" t="s">
        <v>234</v>
      </c>
      <c r="J2" s="4652" t="s">
        <v>126</v>
      </c>
    </row>
    <row r="3" spans="1:10" ht="12.75" x14ac:dyDescent="0.2">
      <c r="A3" s="452"/>
      <c r="B3" s="453" t="s">
        <v>345</v>
      </c>
      <c r="C3" s="453" t="s">
        <v>345</v>
      </c>
      <c r="D3" s="453" t="s">
        <v>345</v>
      </c>
      <c r="E3" s="453" t="s">
        <v>345</v>
      </c>
      <c r="F3" s="454" t="s">
        <v>346</v>
      </c>
      <c r="G3" s="455"/>
      <c r="H3" s="456"/>
      <c r="I3" s="457"/>
      <c r="J3" s="458"/>
    </row>
    <row r="4" spans="1:10" x14ac:dyDescent="0.2">
      <c r="A4" s="147" t="s">
        <v>736</v>
      </c>
      <c r="B4" s="150">
        <v>7.75</v>
      </c>
      <c r="C4" s="150">
        <v>7.75</v>
      </c>
      <c r="D4" s="150">
        <v>7.75</v>
      </c>
      <c r="E4" s="150">
        <v>7.75</v>
      </c>
      <c r="F4" s="151">
        <v>6</v>
      </c>
      <c r="G4" s="152"/>
      <c r="H4" s="153"/>
      <c r="I4" s="154">
        <f>SUM(B4:H4)</f>
        <v>37</v>
      </c>
      <c r="J4" s="155"/>
    </row>
    <row r="6" spans="1:10" ht="23.25" x14ac:dyDescent="0.2">
      <c r="A6" s="1" t="s">
        <v>16</v>
      </c>
      <c r="B6" s="1"/>
      <c r="D6" s="2"/>
      <c r="E6" s="2"/>
    </row>
    <row r="7" spans="1:10" ht="12.75" x14ac:dyDescent="0.2">
      <c r="A7" s="4653" t="s">
        <v>737</v>
      </c>
      <c r="B7" s="4654" t="s">
        <v>17</v>
      </c>
      <c r="C7" s="4655" t="s">
        <v>18</v>
      </c>
      <c r="D7" s="4655" t="s">
        <v>19</v>
      </c>
      <c r="E7" s="4655" t="s">
        <v>20</v>
      </c>
      <c r="F7" s="4655" t="s">
        <v>21</v>
      </c>
      <c r="G7" s="4655" t="s">
        <v>22</v>
      </c>
      <c r="H7" s="4656" t="s">
        <v>23</v>
      </c>
      <c r="I7" s="4657" t="s">
        <v>234</v>
      </c>
      <c r="J7" s="4658" t="s">
        <v>126</v>
      </c>
    </row>
    <row r="8" spans="1:10" x14ac:dyDescent="0.2">
      <c r="A8" s="4659"/>
      <c r="B8" s="4660" t="s">
        <v>534</v>
      </c>
      <c r="C8" s="4660" t="s">
        <v>738</v>
      </c>
      <c r="D8" s="4661" t="s">
        <v>739</v>
      </c>
      <c r="E8" s="4661" t="s">
        <v>739</v>
      </c>
      <c r="F8" s="4661" t="s">
        <v>739</v>
      </c>
      <c r="G8" s="4661" t="s">
        <v>740</v>
      </c>
      <c r="H8" s="4661" t="s">
        <v>740</v>
      </c>
      <c r="I8" s="4651"/>
      <c r="J8" s="4662"/>
    </row>
    <row r="9" spans="1:10" x14ac:dyDescent="0.2">
      <c r="A9" s="4663" t="s">
        <v>741</v>
      </c>
      <c r="B9" s="4664">
        <v>7.4</v>
      </c>
      <c r="C9" s="150">
        <v>8</v>
      </c>
      <c r="D9" s="151">
        <v>8</v>
      </c>
      <c r="E9" s="151">
        <v>8</v>
      </c>
      <c r="F9" s="151">
        <v>8</v>
      </c>
      <c r="G9" s="151">
        <v>12</v>
      </c>
      <c r="H9" s="156">
        <v>12</v>
      </c>
      <c r="I9" s="157">
        <f>SUM(B9:H9)</f>
        <v>63.4</v>
      </c>
      <c r="J9" s="158"/>
    </row>
    <row r="10" spans="1:10" x14ac:dyDescent="0.2">
      <c r="A10" s="461"/>
      <c r="B10" s="453" t="s">
        <v>739</v>
      </c>
      <c r="C10" s="453" t="s">
        <v>739</v>
      </c>
      <c r="D10" s="4660" t="s">
        <v>534</v>
      </c>
      <c r="E10" s="4660" t="s">
        <v>534</v>
      </c>
      <c r="F10" s="4660" t="s">
        <v>534</v>
      </c>
      <c r="G10" s="454"/>
      <c r="H10" s="462"/>
      <c r="I10" s="457"/>
      <c r="J10" s="463"/>
    </row>
    <row r="11" spans="1:10" x14ac:dyDescent="0.2">
      <c r="A11" s="147" t="s">
        <v>742</v>
      </c>
      <c r="B11" s="150">
        <v>8</v>
      </c>
      <c r="C11" s="151">
        <v>8</v>
      </c>
      <c r="D11" s="4664">
        <v>7.4</v>
      </c>
      <c r="E11" s="4664">
        <v>7.4</v>
      </c>
      <c r="F11" s="4664">
        <v>7.4</v>
      </c>
      <c r="G11" s="151"/>
      <c r="H11" s="156"/>
      <c r="I11" s="157">
        <f>SUM(B11:H11)</f>
        <v>38.199999999999996</v>
      </c>
      <c r="J11" s="158"/>
    </row>
    <row r="12" spans="1:10" x14ac:dyDescent="0.2">
      <c r="A12" s="4665"/>
      <c r="B12" s="4660" t="s">
        <v>743</v>
      </c>
      <c r="C12" s="4660" t="s">
        <v>743</v>
      </c>
      <c r="D12" s="4660" t="s">
        <v>743</v>
      </c>
      <c r="E12" s="4660" t="s">
        <v>743</v>
      </c>
      <c r="F12" s="4660" t="s">
        <v>743</v>
      </c>
      <c r="G12" s="4661"/>
      <c r="H12" s="4666"/>
      <c r="I12" s="4651"/>
      <c r="J12" s="4662"/>
    </row>
    <row r="13" spans="1:10" x14ac:dyDescent="0.2">
      <c r="A13" s="147" t="s">
        <v>744</v>
      </c>
      <c r="B13" s="150">
        <v>8</v>
      </c>
      <c r="C13" s="151">
        <v>8</v>
      </c>
      <c r="D13" s="151">
        <v>8</v>
      </c>
      <c r="E13" s="151">
        <v>8</v>
      </c>
      <c r="F13" s="151">
        <v>8</v>
      </c>
      <c r="G13" s="151"/>
      <c r="H13" s="156"/>
      <c r="I13" s="157">
        <f>SUM(B13:H13)</f>
        <v>40</v>
      </c>
      <c r="J13" s="158"/>
    </row>
    <row r="14" spans="1:10" x14ac:dyDescent="0.2">
      <c r="A14" s="4665"/>
      <c r="B14" s="4660" t="s">
        <v>745</v>
      </c>
      <c r="C14" s="4660" t="s">
        <v>745</v>
      </c>
      <c r="D14" s="4660" t="s">
        <v>745</v>
      </c>
      <c r="E14" s="4660" t="s">
        <v>745</v>
      </c>
      <c r="F14" s="4667" t="s">
        <v>745</v>
      </c>
      <c r="G14" s="4668" t="s">
        <v>746</v>
      </c>
      <c r="H14" s="4669" t="s">
        <v>746</v>
      </c>
      <c r="I14" s="4651"/>
      <c r="J14" s="4583"/>
    </row>
    <row r="15" spans="1:10" x14ac:dyDescent="0.2">
      <c r="A15" s="4670" t="s">
        <v>663</v>
      </c>
      <c r="B15" s="4664">
        <v>8</v>
      </c>
      <c r="C15" s="4664">
        <v>8</v>
      </c>
      <c r="D15" s="4664">
        <v>8</v>
      </c>
      <c r="E15" s="4664">
        <v>8</v>
      </c>
      <c r="F15" s="4664">
        <v>8</v>
      </c>
      <c r="G15" s="4664">
        <v>12</v>
      </c>
      <c r="H15" s="4671">
        <v>12</v>
      </c>
      <c r="I15" s="157">
        <f>SUM(B15:H15)</f>
        <v>64</v>
      </c>
      <c r="J15" s="4605"/>
    </row>
    <row r="16" spans="1:10" x14ac:dyDescent="0.2">
      <c r="A16" s="4665"/>
      <c r="B16" s="4660" t="s">
        <v>534</v>
      </c>
      <c r="C16" s="4660" t="s">
        <v>534</v>
      </c>
      <c r="D16" s="4660" t="s">
        <v>534</v>
      </c>
      <c r="E16" s="4660" t="s">
        <v>534</v>
      </c>
      <c r="F16" s="4660" t="s">
        <v>534</v>
      </c>
      <c r="G16" s="4672"/>
      <c r="H16" s="4673"/>
      <c r="I16" s="4651"/>
      <c r="J16" s="4583"/>
    </row>
    <row r="17" spans="1:14" x14ac:dyDescent="0.2">
      <c r="A17" s="4670" t="s">
        <v>747</v>
      </c>
      <c r="B17" s="4664">
        <v>7.4</v>
      </c>
      <c r="C17" s="4664">
        <v>7.4</v>
      </c>
      <c r="D17" s="4664">
        <v>7.4</v>
      </c>
      <c r="E17" s="4664">
        <v>7.4</v>
      </c>
      <c r="F17" s="4664">
        <v>7.4</v>
      </c>
      <c r="G17" s="4674"/>
      <c r="H17" s="4675"/>
      <c r="I17" s="157">
        <f>SUM(B17:H17)</f>
        <v>37</v>
      </c>
      <c r="J17" s="4605"/>
    </row>
    <row r="18" spans="1:14" x14ac:dyDescent="0.2">
      <c r="A18" s="461"/>
      <c r="B18" s="453" t="s">
        <v>745</v>
      </c>
      <c r="C18" s="453" t="s">
        <v>745</v>
      </c>
      <c r="D18" s="453" t="s">
        <v>745</v>
      </c>
      <c r="E18" s="453" t="s">
        <v>745</v>
      </c>
      <c r="F18" s="453" t="s">
        <v>745</v>
      </c>
      <c r="G18" s="466"/>
      <c r="H18" s="467"/>
      <c r="I18" s="4660" t="s">
        <v>0</v>
      </c>
      <c r="J18" s="450"/>
    </row>
    <row r="19" spans="1:14" x14ac:dyDescent="0.2">
      <c r="A19" s="4670" t="s">
        <v>748</v>
      </c>
      <c r="B19" s="4664">
        <v>8</v>
      </c>
      <c r="C19" s="4664">
        <v>8</v>
      </c>
      <c r="D19" s="4664">
        <v>8</v>
      </c>
      <c r="E19" s="4664">
        <v>8</v>
      </c>
      <c r="F19" s="4664">
        <v>8</v>
      </c>
      <c r="G19" s="4674"/>
      <c r="H19" s="4676"/>
      <c r="I19" s="157">
        <f>SUM(B19:H19)</f>
        <v>40</v>
      </c>
      <c r="J19" s="4605"/>
    </row>
    <row r="20" spans="1:14" x14ac:dyDescent="0.2">
      <c r="A20" s="4677" t="s">
        <v>749</v>
      </c>
      <c r="B20" s="4677">
        <f t="shared" ref="B20:I20" si="0">SUM(B9,B11,B13,B15,B17,B19)</f>
        <v>46.8</v>
      </c>
      <c r="C20" s="4677">
        <f t="shared" si="0"/>
        <v>47.4</v>
      </c>
      <c r="D20" s="4677">
        <f t="shared" si="0"/>
        <v>46.8</v>
      </c>
      <c r="E20" s="4677">
        <f t="shared" si="0"/>
        <v>46.8</v>
      </c>
      <c r="F20" s="4677">
        <f t="shared" si="0"/>
        <v>46.8</v>
      </c>
      <c r="G20" s="4677">
        <f t="shared" si="0"/>
        <v>24</v>
      </c>
      <c r="H20" s="4677">
        <f t="shared" si="0"/>
        <v>24</v>
      </c>
      <c r="I20" s="4677">
        <f t="shared" si="0"/>
        <v>282.60000000000002</v>
      </c>
      <c r="J20" s="4678"/>
    </row>
    <row r="21" spans="1:14" ht="23.25" x14ac:dyDescent="0.2">
      <c r="D21" s="2"/>
      <c r="E21" s="2"/>
    </row>
    <row r="22" spans="1:14" ht="23.25" x14ac:dyDescent="0.2">
      <c r="A22" s="3" t="s">
        <v>750</v>
      </c>
      <c r="D22" s="2"/>
      <c r="E22" s="2"/>
    </row>
    <row r="23" spans="1:14" ht="12.75" x14ac:dyDescent="0.2">
      <c r="A23" s="4679" t="s">
        <v>751</v>
      </c>
      <c r="B23" s="4680" t="s">
        <v>17</v>
      </c>
      <c r="C23" s="4681" t="s">
        <v>18</v>
      </c>
      <c r="D23" s="4681" t="s">
        <v>19</v>
      </c>
      <c r="E23" s="4681" t="s">
        <v>20</v>
      </c>
      <c r="F23" s="4681" t="s">
        <v>21</v>
      </c>
      <c r="G23" s="4681" t="s">
        <v>22</v>
      </c>
      <c r="H23" s="4682" t="s">
        <v>23</v>
      </c>
      <c r="I23" s="4683" t="s">
        <v>234</v>
      </c>
      <c r="J23" s="4684" t="s">
        <v>126</v>
      </c>
    </row>
    <row r="24" spans="1:14" x14ac:dyDescent="0.2">
      <c r="A24" s="4665"/>
      <c r="B24" s="4660" t="s">
        <v>752</v>
      </c>
      <c r="C24" s="4660" t="s">
        <v>752</v>
      </c>
      <c r="D24" s="4660" t="s">
        <v>752</v>
      </c>
      <c r="E24" s="4660" t="s">
        <v>752</v>
      </c>
      <c r="F24" s="4661" t="s">
        <v>753</v>
      </c>
      <c r="G24" s="4661"/>
      <c r="H24" s="4666"/>
      <c r="I24" s="4651"/>
      <c r="J24" s="4685"/>
    </row>
    <row r="25" spans="1:14" x14ac:dyDescent="0.2">
      <c r="A25" s="147" t="s">
        <v>754</v>
      </c>
      <c r="B25" s="150">
        <v>7.75</v>
      </c>
      <c r="C25" s="150">
        <v>7.75</v>
      </c>
      <c r="D25" s="150">
        <v>7.75</v>
      </c>
      <c r="E25" s="150">
        <v>7.75</v>
      </c>
      <c r="F25" s="151">
        <v>6</v>
      </c>
      <c r="G25" s="151"/>
      <c r="H25" s="156"/>
      <c r="I25" s="157">
        <f>SUM(B25:H25)</f>
        <v>37</v>
      </c>
      <c r="J25" s="159"/>
    </row>
    <row r="26" spans="1:14" x14ac:dyDescent="0.2">
      <c r="A26" s="4665"/>
      <c r="B26" s="4660" t="s">
        <v>752</v>
      </c>
      <c r="C26" s="4660" t="s">
        <v>752</v>
      </c>
      <c r="D26" s="4660" t="s">
        <v>752</v>
      </c>
      <c r="E26" s="4660" t="s">
        <v>752</v>
      </c>
      <c r="F26" s="4661" t="s">
        <v>753</v>
      </c>
      <c r="G26" s="4661"/>
      <c r="H26" s="4666"/>
      <c r="I26" s="4651"/>
      <c r="J26" s="4685"/>
    </row>
    <row r="27" spans="1:14" x14ac:dyDescent="0.2">
      <c r="A27" s="147" t="s">
        <v>755</v>
      </c>
      <c r="B27" s="150">
        <v>7.75</v>
      </c>
      <c r="C27" s="150">
        <v>7.75</v>
      </c>
      <c r="D27" s="150">
        <v>7.75</v>
      </c>
      <c r="E27" s="150">
        <v>7.75</v>
      </c>
      <c r="F27" s="151">
        <v>6</v>
      </c>
      <c r="G27" s="151"/>
      <c r="H27" s="156"/>
      <c r="I27" s="157">
        <f>SUM(B27:H27)</f>
        <v>37</v>
      </c>
      <c r="J27" s="159"/>
      <c r="L27" s="4"/>
      <c r="M27" s="4"/>
      <c r="N27" s="4"/>
    </row>
    <row r="28" spans="1:14" x14ac:dyDescent="0.2">
      <c r="A28" s="4665"/>
      <c r="B28" s="4660" t="s">
        <v>752</v>
      </c>
      <c r="C28" s="4660" t="s">
        <v>752</v>
      </c>
      <c r="D28" s="4660" t="s">
        <v>752</v>
      </c>
      <c r="E28" s="4660" t="s">
        <v>752</v>
      </c>
      <c r="F28" s="4661" t="s">
        <v>753</v>
      </c>
      <c r="G28" s="4661"/>
      <c r="H28" s="4666"/>
      <c r="I28" s="4651"/>
      <c r="J28" s="4685"/>
    </row>
    <row r="29" spans="1:14" x14ac:dyDescent="0.2">
      <c r="A29" s="147" t="s">
        <v>673</v>
      </c>
      <c r="B29" s="150">
        <v>7.75</v>
      </c>
      <c r="C29" s="150">
        <v>7.75</v>
      </c>
      <c r="D29" s="150">
        <v>7.75</v>
      </c>
      <c r="E29" s="150">
        <v>7.75</v>
      </c>
      <c r="F29" s="151">
        <v>6</v>
      </c>
      <c r="G29" s="151"/>
      <c r="H29" s="156"/>
      <c r="I29" s="157">
        <f>SUM(B29:H29)</f>
        <v>37</v>
      </c>
      <c r="J29" s="159"/>
    </row>
    <row r="30" spans="1:14" x14ac:dyDescent="0.2">
      <c r="A30" s="4677" t="s">
        <v>749</v>
      </c>
      <c r="B30" s="4677">
        <f t="shared" ref="B30:I30" si="1">SUM(B25,B27,B29)</f>
        <v>23.25</v>
      </c>
      <c r="C30" s="4677">
        <f t="shared" si="1"/>
        <v>23.25</v>
      </c>
      <c r="D30" s="4677">
        <f t="shared" si="1"/>
        <v>23.25</v>
      </c>
      <c r="E30" s="4677">
        <f t="shared" si="1"/>
        <v>23.25</v>
      </c>
      <c r="F30" s="4677">
        <f t="shared" si="1"/>
        <v>18</v>
      </c>
      <c r="G30" s="4677">
        <f t="shared" si="1"/>
        <v>0</v>
      </c>
      <c r="H30" s="4677">
        <f t="shared" si="1"/>
        <v>0</v>
      </c>
      <c r="I30" s="4686">
        <f t="shared" si="1"/>
        <v>111</v>
      </c>
      <c r="J30" s="4687"/>
    </row>
    <row r="31" spans="1:14" x14ac:dyDescent="0.2">
      <c r="A31" s="5"/>
      <c r="B31" s="5"/>
      <c r="C31" s="5"/>
      <c r="D31" s="5"/>
      <c r="E31" s="5"/>
      <c r="F31" s="5"/>
      <c r="G31" s="5"/>
      <c r="H31" s="5"/>
      <c r="I31" s="5"/>
      <c r="J31" s="6"/>
    </row>
    <row r="32" spans="1:14" x14ac:dyDescent="0.2">
      <c r="A32" s="5"/>
      <c r="B32" s="5"/>
      <c r="C32" s="5"/>
      <c r="D32" s="5"/>
      <c r="E32" s="5"/>
      <c r="F32" s="5"/>
      <c r="G32" s="5"/>
      <c r="H32" s="5"/>
      <c r="I32" s="5"/>
      <c r="J32" s="6"/>
    </row>
    <row r="33" spans="1:14" ht="12.75" x14ac:dyDescent="0.2">
      <c r="A33" s="1" t="s">
        <v>756</v>
      </c>
      <c r="B33" s="5"/>
      <c r="C33" s="5"/>
      <c r="D33" s="5"/>
      <c r="E33" s="5"/>
      <c r="F33" s="5"/>
    </row>
    <row r="34" spans="1:14" ht="12.75" x14ac:dyDescent="0.2">
      <c r="A34" s="4647" t="s">
        <v>757</v>
      </c>
      <c r="B34" s="4648" t="s">
        <v>17</v>
      </c>
      <c r="C34" s="4649" t="s">
        <v>18</v>
      </c>
      <c r="D34" s="4649" t="s">
        <v>19</v>
      </c>
      <c r="E34" s="4649" t="s">
        <v>20</v>
      </c>
      <c r="F34" s="4649" t="s">
        <v>21</v>
      </c>
      <c r="G34" s="4649" t="s">
        <v>22</v>
      </c>
      <c r="H34" s="4650" t="s">
        <v>23</v>
      </c>
      <c r="I34" s="4651" t="s">
        <v>234</v>
      </c>
      <c r="J34" s="4652" t="s">
        <v>126</v>
      </c>
    </row>
    <row r="35" spans="1:14" x14ac:dyDescent="0.2">
      <c r="A35" s="468" t="s">
        <v>758</v>
      </c>
      <c r="B35" s="469" t="s">
        <v>759</v>
      </c>
      <c r="C35" s="469" t="s">
        <v>759</v>
      </c>
      <c r="D35" s="4688" t="s">
        <v>739</v>
      </c>
      <c r="E35" s="4688" t="s">
        <v>739</v>
      </c>
      <c r="F35" s="4688" t="s">
        <v>739</v>
      </c>
      <c r="G35" s="4689" t="s">
        <v>740</v>
      </c>
      <c r="H35" s="4690" t="s">
        <v>739</v>
      </c>
      <c r="I35" s="457"/>
      <c r="J35" s="463"/>
      <c r="L35" s="7" t="s">
        <v>760</v>
      </c>
      <c r="M35" s="7"/>
    </row>
    <row r="36" spans="1:14" ht="12.75" x14ac:dyDescent="0.2">
      <c r="A36" s="4691" t="s">
        <v>10</v>
      </c>
      <c r="B36" s="470">
        <v>7.75</v>
      </c>
      <c r="C36" s="470">
        <v>7.75</v>
      </c>
      <c r="D36" s="4692">
        <v>8</v>
      </c>
      <c r="E36" s="4692">
        <v>8</v>
      </c>
      <c r="F36" s="4692">
        <v>8</v>
      </c>
      <c r="G36" s="160">
        <v>12</v>
      </c>
      <c r="H36" s="161">
        <v>8</v>
      </c>
      <c r="I36" s="157">
        <f>SUM(B36:H36)</f>
        <v>59.5</v>
      </c>
      <c r="J36" s="471"/>
      <c r="L36" s="8" t="s">
        <v>761</v>
      </c>
      <c r="M36" s="8"/>
    </row>
    <row r="37" spans="1:14" x14ac:dyDescent="0.2">
      <c r="A37" s="4693"/>
      <c r="B37" s="4660" t="s">
        <v>738</v>
      </c>
      <c r="C37" s="4661" t="s">
        <v>753</v>
      </c>
      <c r="D37" s="4694" t="s">
        <v>762</v>
      </c>
      <c r="E37" s="4694" t="s">
        <v>762</v>
      </c>
      <c r="F37" s="4694" t="s">
        <v>762</v>
      </c>
      <c r="G37" s="4694" t="s">
        <v>763</v>
      </c>
      <c r="H37" s="4695" t="s">
        <v>762</v>
      </c>
      <c r="I37" s="4651"/>
      <c r="J37" s="4662"/>
      <c r="L37" s="9" t="s">
        <v>764</v>
      </c>
      <c r="M37" s="9"/>
    </row>
    <row r="38" spans="1:14" ht="12.75" x14ac:dyDescent="0.2">
      <c r="A38" s="4691" t="s">
        <v>10</v>
      </c>
      <c r="B38" s="150">
        <v>8</v>
      </c>
      <c r="C38" s="151">
        <v>6</v>
      </c>
      <c r="D38" s="162">
        <v>7</v>
      </c>
      <c r="E38" s="162">
        <v>7</v>
      </c>
      <c r="F38" s="162">
        <v>7</v>
      </c>
      <c r="G38" s="162">
        <v>11</v>
      </c>
      <c r="H38" s="163">
        <v>7</v>
      </c>
      <c r="I38" s="157">
        <f>SUM(B38:H38)</f>
        <v>53</v>
      </c>
      <c r="J38" s="158"/>
    </row>
    <row r="39" spans="1:14" x14ac:dyDescent="0.2">
      <c r="A39" s="4693"/>
      <c r="B39" s="4660" t="s">
        <v>534</v>
      </c>
      <c r="C39" s="4660" t="s">
        <v>534</v>
      </c>
      <c r="D39" s="4694" t="s">
        <v>762</v>
      </c>
      <c r="E39" s="4694" t="s">
        <v>762</v>
      </c>
      <c r="F39" s="4694" t="s">
        <v>762</v>
      </c>
      <c r="G39" s="4694" t="s">
        <v>763</v>
      </c>
      <c r="H39" s="4695" t="s">
        <v>762</v>
      </c>
      <c r="I39" s="4651"/>
      <c r="J39" s="4662"/>
      <c r="L39" s="10" t="s">
        <v>765</v>
      </c>
      <c r="M39" s="10" t="s">
        <v>766</v>
      </c>
    </row>
    <row r="40" spans="1:14" ht="12.75" x14ac:dyDescent="0.2">
      <c r="A40" s="4691" t="s">
        <v>10</v>
      </c>
      <c r="B40" s="4664">
        <v>7.4</v>
      </c>
      <c r="C40" s="4664">
        <v>7.4</v>
      </c>
      <c r="D40" s="162">
        <v>7</v>
      </c>
      <c r="E40" s="162">
        <v>7</v>
      </c>
      <c r="F40" s="162">
        <v>7</v>
      </c>
      <c r="G40" s="162">
        <v>11</v>
      </c>
      <c r="H40" s="163">
        <v>7</v>
      </c>
      <c r="I40" s="157">
        <f>SUM(B40:H40)</f>
        <v>53.8</v>
      </c>
      <c r="J40" s="158"/>
    </row>
    <row r="41" spans="1:14" x14ac:dyDescent="0.2">
      <c r="A41" s="4696" t="s">
        <v>767</v>
      </c>
      <c r="B41" s="4694" t="s">
        <v>762</v>
      </c>
      <c r="C41" s="4694" t="s">
        <v>762</v>
      </c>
      <c r="D41" s="4660" t="s">
        <v>534</v>
      </c>
      <c r="E41" s="4660" t="s">
        <v>534</v>
      </c>
      <c r="F41" s="4660" t="s">
        <v>534</v>
      </c>
      <c r="G41" s="4669"/>
      <c r="H41" s="4673"/>
      <c r="I41" s="4651"/>
      <c r="J41" s="4583"/>
    </row>
    <row r="42" spans="1:14" ht="12.75" x14ac:dyDescent="0.2">
      <c r="A42" s="4691" t="s">
        <v>10</v>
      </c>
      <c r="B42" s="162">
        <v>7</v>
      </c>
      <c r="C42" s="162">
        <v>7</v>
      </c>
      <c r="D42" s="4664">
        <v>7.4</v>
      </c>
      <c r="E42" s="4664">
        <v>7.4</v>
      </c>
      <c r="F42" s="4664">
        <v>7.4</v>
      </c>
      <c r="G42" s="4674"/>
      <c r="H42" s="4675"/>
      <c r="I42" s="157">
        <f>SUM(B42:H42)</f>
        <v>36.199999999999996</v>
      </c>
      <c r="J42" s="4605"/>
    </row>
    <row r="43" spans="1:14" x14ac:dyDescent="0.2">
      <c r="A43" s="4693"/>
      <c r="B43" s="4688" t="s">
        <v>739</v>
      </c>
      <c r="C43" s="4688" t="s">
        <v>739</v>
      </c>
      <c r="D43" s="4660" t="s">
        <v>534</v>
      </c>
      <c r="E43" s="4660" t="s">
        <v>534</v>
      </c>
      <c r="F43" s="4660" t="s">
        <v>534</v>
      </c>
      <c r="G43" s="4672"/>
      <c r="H43" s="4673"/>
      <c r="I43" s="4651"/>
      <c r="J43" s="4583"/>
    </row>
    <row r="44" spans="1:14" ht="12.75" x14ac:dyDescent="0.2">
      <c r="A44" s="164" t="s">
        <v>10</v>
      </c>
      <c r="B44" s="4692">
        <v>8</v>
      </c>
      <c r="C44" s="4692">
        <v>8</v>
      </c>
      <c r="D44" s="4664">
        <v>7.4</v>
      </c>
      <c r="E44" s="4664">
        <v>7.4</v>
      </c>
      <c r="F44" s="4664">
        <v>7.4</v>
      </c>
      <c r="G44" s="4674"/>
      <c r="H44" s="4675"/>
      <c r="I44" s="157">
        <f>SUM(B44:H44)</f>
        <v>38.199999999999996</v>
      </c>
      <c r="J44" s="4605"/>
      <c r="L44" s="11" t="s">
        <v>768</v>
      </c>
      <c r="M44" s="11"/>
      <c r="N44" s="11"/>
    </row>
    <row r="45" spans="1:14" x14ac:dyDescent="0.2">
      <c r="A45" s="472"/>
      <c r="B45" s="4694" t="s">
        <v>762</v>
      </c>
      <c r="C45" s="4694" t="s">
        <v>762</v>
      </c>
      <c r="D45" s="4660" t="s">
        <v>534</v>
      </c>
      <c r="E45" s="4660" t="s">
        <v>534</v>
      </c>
      <c r="F45" s="4660" t="s">
        <v>534</v>
      </c>
      <c r="G45" s="466"/>
      <c r="H45" s="467"/>
      <c r="I45" s="457"/>
      <c r="J45" s="450"/>
      <c r="L45" s="12" t="s">
        <v>769</v>
      </c>
      <c r="M45" s="12"/>
      <c r="N45" s="12"/>
    </row>
    <row r="46" spans="1:14" ht="12.75" x14ac:dyDescent="0.2">
      <c r="A46" s="164" t="s">
        <v>10</v>
      </c>
      <c r="B46" s="162">
        <v>7</v>
      </c>
      <c r="C46" s="162">
        <v>7</v>
      </c>
      <c r="D46" s="4664">
        <v>7.4</v>
      </c>
      <c r="E46" s="4664">
        <v>7.4</v>
      </c>
      <c r="F46" s="4664">
        <v>7.4</v>
      </c>
      <c r="G46" s="4674"/>
      <c r="H46" s="4676"/>
      <c r="I46" s="157">
        <f>SUM(B46:H46)</f>
        <v>36.199999999999996</v>
      </c>
      <c r="J46" s="4605"/>
      <c r="L46" s="13" t="s">
        <v>770</v>
      </c>
      <c r="M46" s="13"/>
      <c r="N46" s="13"/>
    </row>
    <row r="47" spans="1:14" x14ac:dyDescent="0.2">
      <c r="A47" s="4696" t="s">
        <v>771</v>
      </c>
      <c r="B47" s="4697" t="s">
        <v>738</v>
      </c>
      <c r="C47" s="4697" t="s">
        <v>738</v>
      </c>
      <c r="D47" s="4697" t="s">
        <v>738</v>
      </c>
      <c r="E47" s="4697" t="s">
        <v>738</v>
      </c>
      <c r="F47" s="4697" t="s">
        <v>753</v>
      </c>
      <c r="G47" s="4661"/>
      <c r="H47" s="4666"/>
      <c r="I47" s="4651"/>
      <c r="J47" s="4662"/>
      <c r="L47" s="14" t="s">
        <v>772</v>
      </c>
      <c r="M47" s="14"/>
      <c r="N47" s="14"/>
    </row>
    <row r="48" spans="1:14" ht="12.75" x14ac:dyDescent="0.2">
      <c r="A48" s="164" t="s">
        <v>10</v>
      </c>
      <c r="B48" s="165">
        <v>8</v>
      </c>
      <c r="C48" s="165">
        <v>8</v>
      </c>
      <c r="D48" s="165">
        <v>8</v>
      </c>
      <c r="E48" s="165">
        <v>8</v>
      </c>
      <c r="F48" s="165">
        <v>6</v>
      </c>
      <c r="G48" s="151"/>
      <c r="H48" s="156"/>
      <c r="I48" s="157">
        <f>SUM(B48:H48)</f>
        <v>38</v>
      </c>
      <c r="J48" s="158"/>
    </row>
    <row r="49" spans="1:10" x14ac:dyDescent="0.2">
      <c r="A49" s="4693"/>
      <c r="B49" s="4698" t="s">
        <v>738</v>
      </c>
      <c r="C49" s="4698" t="s">
        <v>738</v>
      </c>
      <c r="D49" s="4698" t="s">
        <v>738</v>
      </c>
      <c r="E49" s="4698" t="s">
        <v>738</v>
      </c>
      <c r="F49" s="4698" t="s">
        <v>753</v>
      </c>
      <c r="G49" s="4669"/>
      <c r="H49" s="4673"/>
      <c r="I49" s="4651"/>
      <c r="J49" s="4583"/>
    </row>
    <row r="50" spans="1:10" ht="12.75" x14ac:dyDescent="0.2">
      <c r="A50" s="4691" t="s">
        <v>10</v>
      </c>
      <c r="B50" s="4699">
        <v>8</v>
      </c>
      <c r="C50" s="4699">
        <v>8</v>
      </c>
      <c r="D50" s="4699">
        <v>8</v>
      </c>
      <c r="E50" s="4699">
        <v>8</v>
      </c>
      <c r="F50" s="4699">
        <v>6</v>
      </c>
      <c r="G50" s="4674"/>
      <c r="H50" s="4675"/>
      <c r="I50" s="157">
        <f>SUM(B50:H50)</f>
        <v>38</v>
      </c>
      <c r="J50" s="4605"/>
    </row>
    <row r="51" spans="1:10" x14ac:dyDescent="0.2">
      <c r="A51" s="4693"/>
      <c r="B51" s="4698" t="s">
        <v>738</v>
      </c>
      <c r="C51" s="4698" t="s">
        <v>738</v>
      </c>
      <c r="D51" s="4698" t="s">
        <v>738</v>
      </c>
      <c r="E51" s="4698" t="s">
        <v>738</v>
      </c>
      <c r="F51" s="4698" t="s">
        <v>753</v>
      </c>
      <c r="G51" s="4672"/>
      <c r="H51" s="4673"/>
      <c r="I51" s="4651"/>
      <c r="J51" s="4583"/>
    </row>
    <row r="52" spans="1:10" ht="12.75" x14ac:dyDescent="0.2">
      <c r="A52" s="4691" t="s">
        <v>10</v>
      </c>
      <c r="B52" s="4699">
        <v>8</v>
      </c>
      <c r="C52" s="4699">
        <v>8</v>
      </c>
      <c r="D52" s="4699">
        <v>8</v>
      </c>
      <c r="E52" s="4699">
        <v>8</v>
      </c>
      <c r="F52" s="4699">
        <v>6</v>
      </c>
      <c r="G52" s="4674"/>
      <c r="H52" s="4675"/>
      <c r="I52" s="157">
        <f>SUM(B52:H52)</f>
        <v>38</v>
      </c>
      <c r="J52" s="4605"/>
    </row>
    <row r="53" spans="1:10" ht="12.75" x14ac:dyDescent="0.2">
      <c r="A53" s="468" t="s">
        <v>773</v>
      </c>
      <c r="B53" s="473" t="s">
        <v>774</v>
      </c>
      <c r="C53" s="473" t="s">
        <v>774</v>
      </c>
      <c r="D53" s="473" t="s">
        <v>774</v>
      </c>
      <c r="E53" s="473" t="s">
        <v>774</v>
      </c>
      <c r="F53" s="473" t="s">
        <v>774</v>
      </c>
      <c r="G53" s="466" t="s">
        <v>746</v>
      </c>
      <c r="H53" s="4700" t="s">
        <v>774</v>
      </c>
      <c r="I53" s="457"/>
      <c r="J53" s="450"/>
    </row>
    <row r="54" spans="1:10" ht="12.75" x14ac:dyDescent="0.2">
      <c r="A54" s="4691" t="s">
        <v>10</v>
      </c>
      <c r="B54" s="4701">
        <v>7</v>
      </c>
      <c r="C54" s="4701">
        <v>7</v>
      </c>
      <c r="D54" s="4701">
        <v>7</v>
      </c>
      <c r="E54" s="4701">
        <v>7</v>
      </c>
      <c r="F54" s="4701">
        <v>7</v>
      </c>
      <c r="G54" s="4664">
        <v>12</v>
      </c>
      <c r="H54" s="4702">
        <v>7</v>
      </c>
      <c r="I54" s="157">
        <f>SUM(B54:H54)</f>
        <v>54</v>
      </c>
      <c r="J54" s="4605"/>
    </row>
    <row r="55" spans="1:10" x14ac:dyDescent="0.2">
      <c r="A55" s="4693"/>
      <c r="B55" s="4703" t="s">
        <v>745</v>
      </c>
      <c r="C55" s="4703" t="s">
        <v>745</v>
      </c>
      <c r="D55" s="4703" t="s">
        <v>745</v>
      </c>
      <c r="E55" s="4703" t="s">
        <v>745</v>
      </c>
      <c r="F55" s="4703" t="s">
        <v>745</v>
      </c>
      <c r="G55" s="4661" t="s">
        <v>775</v>
      </c>
      <c r="H55" s="4704" t="s">
        <v>745</v>
      </c>
      <c r="I55" s="4651"/>
      <c r="J55" s="4662"/>
    </row>
    <row r="56" spans="1:10" ht="12.75" x14ac:dyDescent="0.2">
      <c r="A56" s="15" t="s">
        <v>10</v>
      </c>
      <c r="B56" s="166">
        <v>8</v>
      </c>
      <c r="C56" s="166">
        <v>8</v>
      </c>
      <c r="D56" s="166">
        <v>8</v>
      </c>
      <c r="E56" s="166">
        <v>8</v>
      </c>
      <c r="F56" s="166">
        <v>8</v>
      </c>
      <c r="G56" s="151">
        <v>8</v>
      </c>
      <c r="H56" s="167">
        <v>8</v>
      </c>
      <c r="I56" s="157">
        <f>SUM(B56:H56)</f>
        <v>56</v>
      </c>
      <c r="J56" s="158"/>
    </row>
    <row r="57" spans="1:10" ht="12.75" x14ac:dyDescent="0.2">
      <c r="A57" s="4693"/>
      <c r="B57" s="473" t="s">
        <v>774</v>
      </c>
      <c r="C57" s="473" t="s">
        <v>774</v>
      </c>
      <c r="D57" s="473" t="s">
        <v>774</v>
      </c>
      <c r="E57" s="473" t="s">
        <v>774</v>
      </c>
      <c r="F57" s="473" t="s">
        <v>774</v>
      </c>
      <c r="G57" s="466" t="s">
        <v>746</v>
      </c>
      <c r="H57" s="4700" t="s">
        <v>774</v>
      </c>
      <c r="I57" s="4651"/>
      <c r="J57" s="4583"/>
    </row>
    <row r="58" spans="1:10" ht="12.75" x14ac:dyDescent="0.2">
      <c r="A58" s="4691" t="s">
        <v>10</v>
      </c>
      <c r="B58" s="4701">
        <v>7</v>
      </c>
      <c r="C58" s="4701">
        <v>7</v>
      </c>
      <c r="D58" s="4701">
        <v>7</v>
      </c>
      <c r="E58" s="4701">
        <v>7</v>
      </c>
      <c r="F58" s="4701">
        <v>7</v>
      </c>
      <c r="G58" s="4664">
        <v>12</v>
      </c>
      <c r="H58" s="4702">
        <v>7</v>
      </c>
      <c r="I58" s="157">
        <f>SUM(B58:H58)</f>
        <v>54</v>
      </c>
      <c r="J58" s="4605"/>
    </row>
    <row r="59" spans="1:10" x14ac:dyDescent="0.2">
      <c r="A59" s="4696" t="s">
        <v>776</v>
      </c>
      <c r="B59" s="4660" t="s">
        <v>534</v>
      </c>
      <c r="C59" s="4660" t="s">
        <v>534</v>
      </c>
      <c r="D59" s="4698" t="s">
        <v>738</v>
      </c>
      <c r="E59" s="4698" t="s">
        <v>738</v>
      </c>
      <c r="F59" s="4698" t="s">
        <v>753</v>
      </c>
      <c r="G59" s="4672"/>
      <c r="H59" s="4673"/>
      <c r="I59" s="4651"/>
      <c r="J59" s="4583"/>
    </row>
    <row r="60" spans="1:10" ht="12.75" x14ac:dyDescent="0.2">
      <c r="A60" s="164" t="s">
        <v>10</v>
      </c>
      <c r="B60" s="4664">
        <v>7.4</v>
      </c>
      <c r="C60" s="4664">
        <v>7.4</v>
      </c>
      <c r="D60" s="4699">
        <v>8</v>
      </c>
      <c r="E60" s="4699">
        <v>8</v>
      </c>
      <c r="F60" s="4699">
        <v>6</v>
      </c>
      <c r="G60" s="4674"/>
      <c r="H60" s="4675"/>
      <c r="I60" s="157">
        <f>SUM(B60:H60)</f>
        <v>36.799999999999997</v>
      </c>
      <c r="J60" s="4605"/>
    </row>
    <row r="61" spans="1:10" x14ac:dyDescent="0.2">
      <c r="A61" s="4693"/>
      <c r="B61" s="4660" t="s">
        <v>534</v>
      </c>
      <c r="C61" s="4660" t="s">
        <v>534</v>
      </c>
      <c r="D61" s="4705" t="s">
        <v>738</v>
      </c>
      <c r="E61" s="4705" t="s">
        <v>738</v>
      </c>
      <c r="F61" s="4705" t="s">
        <v>753</v>
      </c>
      <c r="G61" s="4672"/>
      <c r="H61" s="4673"/>
      <c r="I61" s="4651"/>
      <c r="J61" s="4583"/>
    </row>
    <row r="62" spans="1:10" ht="12.75" x14ac:dyDescent="0.2">
      <c r="A62" s="168" t="s">
        <v>10</v>
      </c>
      <c r="B62" s="4664">
        <v>7.4</v>
      </c>
      <c r="C62" s="4664">
        <v>7.4</v>
      </c>
      <c r="D62" s="4706">
        <v>8</v>
      </c>
      <c r="E62" s="4706">
        <v>8</v>
      </c>
      <c r="F62" s="4706">
        <v>6</v>
      </c>
      <c r="G62" s="4674"/>
      <c r="H62" s="4675"/>
      <c r="I62" s="157">
        <f>SUM(B62:H62)</f>
        <v>36.799999999999997</v>
      </c>
      <c r="J62" s="4605"/>
    </row>
    <row r="63" spans="1:10" x14ac:dyDescent="0.2">
      <c r="A63" s="472"/>
      <c r="B63" s="4660" t="s">
        <v>534</v>
      </c>
      <c r="C63" s="4660" t="s">
        <v>534</v>
      </c>
      <c r="D63" s="469" t="s">
        <v>759</v>
      </c>
      <c r="E63" s="469" t="s">
        <v>759</v>
      </c>
      <c r="F63" s="469" t="s">
        <v>759</v>
      </c>
      <c r="G63" s="466"/>
      <c r="H63" s="467"/>
      <c r="I63" s="457"/>
      <c r="J63" s="450"/>
    </row>
    <row r="64" spans="1:10" ht="12.75" x14ac:dyDescent="0.2">
      <c r="A64" s="4691" t="s">
        <v>10</v>
      </c>
      <c r="B64" s="4664">
        <v>7.4</v>
      </c>
      <c r="C64" s="4664">
        <v>7.4</v>
      </c>
      <c r="D64" s="169">
        <v>7.75</v>
      </c>
      <c r="E64" s="169">
        <v>7.75</v>
      </c>
      <c r="F64" s="169">
        <v>7.75</v>
      </c>
      <c r="G64" s="4674"/>
      <c r="H64" s="4676"/>
      <c r="I64" s="157">
        <f>SUM(B64:H64)</f>
        <v>38.049999999999997</v>
      </c>
      <c r="J64" s="4605"/>
    </row>
    <row r="65" spans="1:10" x14ac:dyDescent="0.2">
      <c r="A65" s="4677" t="s">
        <v>749</v>
      </c>
      <c r="B65" s="4677">
        <f t="shared" ref="B65:I65" si="2">SUM(B36,B38,B40,B42,B44,B46,B48,B50,B52,B54,B56,B58,B60,B62,B64)</f>
        <v>113.35000000000002</v>
      </c>
      <c r="C65" s="4677">
        <f t="shared" si="2"/>
        <v>111.35000000000002</v>
      </c>
      <c r="D65" s="4677">
        <f t="shared" si="2"/>
        <v>113.94999999999999</v>
      </c>
      <c r="E65" s="4677">
        <f t="shared" si="2"/>
        <v>113.94999999999999</v>
      </c>
      <c r="F65" s="4677">
        <f t="shared" si="2"/>
        <v>103.94999999999999</v>
      </c>
      <c r="G65" s="4677">
        <f t="shared" si="2"/>
        <v>66</v>
      </c>
      <c r="H65" s="4677">
        <f t="shared" si="2"/>
        <v>44</v>
      </c>
      <c r="I65" s="4686">
        <f t="shared" si="2"/>
        <v>666.54999999999984</v>
      </c>
      <c r="J65" s="4678"/>
    </row>
    <row r="66" spans="1:10" ht="12.75" x14ac:dyDescent="0.2">
      <c r="A66" s="1" t="s">
        <v>777</v>
      </c>
      <c r="B66" s="5"/>
      <c r="C66" s="5"/>
      <c r="D66" s="5"/>
      <c r="E66" s="5"/>
      <c r="F66" s="5"/>
    </row>
    <row r="67" spans="1:10" ht="12.75" x14ac:dyDescent="0.2">
      <c r="A67" s="4679" t="s">
        <v>778</v>
      </c>
      <c r="B67" s="4680" t="s">
        <v>17</v>
      </c>
      <c r="C67" s="4681" t="s">
        <v>18</v>
      </c>
      <c r="D67" s="4681" t="s">
        <v>19</v>
      </c>
      <c r="E67" s="4681" t="s">
        <v>20</v>
      </c>
      <c r="F67" s="4681" t="s">
        <v>21</v>
      </c>
      <c r="G67" s="4681" t="s">
        <v>22</v>
      </c>
      <c r="H67" s="4682" t="s">
        <v>23</v>
      </c>
      <c r="I67" s="4683" t="s">
        <v>234</v>
      </c>
      <c r="J67" s="4684" t="s">
        <v>126</v>
      </c>
    </row>
    <row r="68" spans="1:10" x14ac:dyDescent="0.2">
      <c r="A68" s="4665" t="s">
        <v>779</v>
      </c>
      <c r="B68" s="4707" t="s">
        <v>780</v>
      </c>
      <c r="C68" s="4707" t="s">
        <v>780</v>
      </c>
      <c r="D68" s="4707" t="s">
        <v>780</v>
      </c>
      <c r="E68" s="4707" t="s">
        <v>780</v>
      </c>
      <c r="F68" s="4707" t="s">
        <v>780</v>
      </c>
      <c r="G68" s="4649"/>
      <c r="H68" s="4708"/>
      <c r="I68" s="4707"/>
      <c r="J68" s="4662"/>
    </row>
    <row r="69" spans="1:10" ht="12.75" x14ac:dyDescent="0.2">
      <c r="A69" s="170"/>
      <c r="B69" s="150">
        <v>7</v>
      </c>
      <c r="C69" s="150">
        <v>7</v>
      </c>
      <c r="D69" s="150">
        <v>7</v>
      </c>
      <c r="E69" s="150">
        <v>7</v>
      </c>
      <c r="F69" s="151">
        <v>7</v>
      </c>
      <c r="G69" s="152"/>
      <c r="H69" s="153"/>
      <c r="I69" s="157">
        <f>SUM(B69:H69)</f>
        <v>35</v>
      </c>
      <c r="J69" s="158"/>
    </row>
    <row r="70" spans="1:10" x14ac:dyDescent="0.2">
      <c r="A70" s="461" t="s">
        <v>781</v>
      </c>
      <c r="B70" s="4709" t="s">
        <v>782</v>
      </c>
      <c r="C70" s="4709" t="s">
        <v>782</v>
      </c>
      <c r="D70" s="4709" t="s">
        <v>782</v>
      </c>
      <c r="E70" s="4709" t="s">
        <v>782</v>
      </c>
      <c r="F70" s="4709" t="s">
        <v>783</v>
      </c>
      <c r="G70" s="455"/>
      <c r="H70" s="456"/>
      <c r="I70" s="4710"/>
      <c r="J70" s="463"/>
    </row>
    <row r="71" spans="1:10" ht="12.75" x14ac:dyDescent="0.2">
      <c r="A71" s="16"/>
      <c r="B71" s="474">
        <v>7</v>
      </c>
      <c r="C71" s="474">
        <v>7</v>
      </c>
      <c r="D71" s="474">
        <v>7</v>
      </c>
      <c r="E71" s="474">
        <v>7</v>
      </c>
      <c r="F71" s="475">
        <v>6</v>
      </c>
      <c r="G71" s="392"/>
      <c r="H71" s="17"/>
      <c r="I71" s="157">
        <f>SUM(B71:H71)</f>
        <v>34</v>
      </c>
      <c r="J71" s="471"/>
    </row>
    <row r="72" spans="1:10" x14ac:dyDescent="0.2">
      <c r="A72" s="4665" t="s">
        <v>784</v>
      </c>
      <c r="B72" s="4707" t="s">
        <v>785</v>
      </c>
      <c r="C72" s="4707" t="s">
        <v>785</v>
      </c>
      <c r="D72" s="4707" t="s">
        <v>785</v>
      </c>
      <c r="E72" s="4707" t="s">
        <v>786</v>
      </c>
      <c r="F72" s="4707" t="s">
        <v>787</v>
      </c>
      <c r="G72" s="4707"/>
      <c r="H72" s="4707" t="s">
        <v>743</v>
      </c>
      <c r="I72" s="4707"/>
      <c r="J72" s="4662"/>
    </row>
    <row r="73" spans="1:10" x14ac:dyDescent="0.2">
      <c r="A73" s="147"/>
      <c r="B73" s="150">
        <v>6.5</v>
      </c>
      <c r="C73" s="150">
        <v>6.5</v>
      </c>
      <c r="D73" s="150">
        <v>6.5</v>
      </c>
      <c r="E73" s="151">
        <v>5.5</v>
      </c>
      <c r="F73" s="151">
        <v>7.25</v>
      </c>
      <c r="G73" s="151"/>
      <c r="H73" s="156">
        <v>8</v>
      </c>
      <c r="I73" s="157">
        <f>SUM(B73:H73)</f>
        <v>40.25</v>
      </c>
      <c r="J73" s="158"/>
    </row>
    <row r="74" spans="1:10" x14ac:dyDescent="0.2">
      <c r="A74" s="4677" t="s">
        <v>749</v>
      </c>
      <c r="B74" s="4677">
        <f t="shared" ref="B74:I74" si="3">SUM(B69,B71,B73)</f>
        <v>20.5</v>
      </c>
      <c r="C74" s="4677">
        <f t="shared" si="3"/>
        <v>20.5</v>
      </c>
      <c r="D74" s="4677">
        <f t="shared" si="3"/>
        <v>20.5</v>
      </c>
      <c r="E74" s="4677">
        <f t="shared" si="3"/>
        <v>19.5</v>
      </c>
      <c r="F74" s="4677">
        <f t="shared" si="3"/>
        <v>20.25</v>
      </c>
      <c r="G74" s="4677">
        <f t="shared" si="3"/>
        <v>0</v>
      </c>
      <c r="H74" s="4677">
        <f t="shared" si="3"/>
        <v>8</v>
      </c>
      <c r="I74" s="4686">
        <f t="shared" si="3"/>
        <v>109.25</v>
      </c>
      <c r="J74" s="4687"/>
    </row>
    <row r="75" spans="1:10" ht="12.75" x14ac:dyDescent="0.2">
      <c r="A75" s="1" t="s">
        <v>788</v>
      </c>
      <c r="B75" s="5"/>
      <c r="C75" s="5"/>
      <c r="D75" s="5"/>
      <c r="E75" s="5"/>
      <c r="F75" s="5"/>
    </row>
    <row r="76" spans="1:10" ht="12.75" x14ac:dyDescent="0.2">
      <c r="A76" s="4679" t="s">
        <v>789</v>
      </c>
      <c r="B76" s="4680" t="s">
        <v>17</v>
      </c>
      <c r="C76" s="4681" t="s">
        <v>18</v>
      </c>
      <c r="D76" s="4681" t="s">
        <v>19</v>
      </c>
      <c r="E76" s="4681" t="s">
        <v>20</v>
      </c>
      <c r="F76" s="4681" t="s">
        <v>21</v>
      </c>
      <c r="G76" s="4681" t="s">
        <v>22</v>
      </c>
      <c r="H76" s="4682" t="s">
        <v>23</v>
      </c>
      <c r="I76" s="4683" t="s">
        <v>234</v>
      </c>
      <c r="J76" s="4684" t="s">
        <v>126</v>
      </c>
    </row>
    <row r="77" spans="1:10" x14ac:dyDescent="0.2">
      <c r="A77" s="461" t="s">
        <v>790</v>
      </c>
      <c r="B77" s="4709" t="s">
        <v>791</v>
      </c>
      <c r="C77" s="4711" t="s">
        <v>791</v>
      </c>
      <c r="D77" s="4710" t="s">
        <v>791</v>
      </c>
      <c r="E77" s="4711" t="s">
        <v>791</v>
      </c>
      <c r="F77" s="4709" t="s">
        <v>792</v>
      </c>
      <c r="G77" s="455"/>
      <c r="H77" s="456"/>
      <c r="I77" s="4710"/>
      <c r="J77" s="463" t="s">
        <v>793</v>
      </c>
    </row>
    <row r="78" spans="1:10" ht="12.75" x14ac:dyDescent="0.2">
      <c r="A78" s="16"/>
      <c r="B78" s="474">
        <v>8</v>
      </c>
      <c r="C78" s="474">
        <v>8</v>
      </c>
      <c r="D78" s="474">
        <v>8</v>
      </c>
      <c r="E78" s="474">
        <v>8</v>
      </c>
      <c r="F78" s="475">
        <v>7</v>
      </c>
      <c r="G78" s="392"/>
      <c r="H78" s="17"/>
      <c r="I78" s="157">
        <f>SUM(B78:H78)</f>
        <v>39</v>
      </c>
      <c r="J78" s="471"/>
    </row>
    <row r="79" spans="1:10" x14ac:dyDescent="0.2">
      <c r="A79" s="4665" t="s">
        <v>794</v>
      </c>
      <c r="B79" s="4707" t="s">
        <v>795</v>
      </c>
      <c r="C79" s="4707" t="s">
        <v>795</v>
      </c>
      <c r="D79" s="4707" t="s">
        <v>795</v>
      </c>
      <c r="E79" s="4707" t="s">
        <v>795</v>
      </c>
      <c r="F79" s="4707" t="s">
        <v>796</v>
      </c>
      <c r="G79" s="4649"/>
      <c r="H79" s="4708"/>
      <c r="I79" s="4707"/>
      <c r="J79" s="4662"/>
    </row>
    <row r="80" spans="1:10" ht="12.75" x14ac:dyDescent="0.2">
      <c r="A80" s="16"/>
      <c r="B80" s="474">
        <v>6.5</v>
      </c>
      <c r="C80" s="474">
        <v>6.5</v>
      </c>
      <c r="D80" s="474">
        <v>6.5</v>
      </c>
      <c r="E80" s="474">
        <v>6.5</v>
      </c>
      <c r="F80" s="475">
        <v>7</v>
      </c>
      <c r="G80" s="392"/>
      <c r="H80" s="17"/>
      <c r="I80" s="157">
        <f>SUM(B80:H80)</f>
        <v>33</v>
      </c>
      <c r="J80" s="471"/>
    </row>
    <row r="81" spans="1:10" x14ac:dyDescent="0.2">
      <c r="A81" s="4665" t="s">
        <v>797</v>
      </c>
      <c r="B81" s="4660" t="s">
        <v>798</v>
      </c>
      <c r="C81" s="4707" t="s">
        <v>799</v>
      </c>
      <c r="D81" s="4707" t="s">
        <v>798</v>
      </c>
      <c r="E81" s="4707" t="s">
        <v>798</v>
      </c>
      <c r="F81" s="4707" t="s">
        <v>800</v>
      </c>
      <c r="G81" s="4707" t="s">
        <v>801</v>
      </c>
      <c r="H81" s="4661"/>
      <c r="I81" s="4707"/>
      <c r="J81" s="4662" t="s">
        <v>802</v>
      </c>
    </row>
    <row r="82" spans="1:10" x14ac:dyDescent="0.2">
      <c r="A82" s="147"/>
      <c r="B82" s="150">
        <v>7</v>
      </c>
      <c r="C82" s="151">
        <v>4</v>
      </c>
      <c r="D82" s="151">
        <v>7</v>
      </c>
      <c r="E82" s="151">
        <v>7</v>
      </c>
      <c r="F82" s="151">
        <v>6.25</v>
      </c>
      <c r="G82" s="151">
        <v>6.5</v>
      </c>
      <c r="H82" s="156"/>
      <c r="I82" s="157">
        <f>SUM(B82:H82)</f>
        <v>37.75</v>
      </c>
      <c r="J82" s="158"/>
    </row>
    <row r="83" spans="1:10" x14ac:dyDescent="0.2">
      <c r="A83" s="4712" t="s">
        <v>803</v>
      </c>
      <c r="B83" s="4713" t="s">
        <v>791</v>
      </c>
      <c r="C83" s="4714" t="s">
        <v>791</v>
      </c>
      <c r="D83" s="4710" t="s">
        <v>791</v>
      </c>
      <c r="E83" s="4711" t="s">
        <v>791</v>
      </c>
      <c r="F83" s="4711" t="s">
        <v>792</v>
      </c>
      <c r="G83" s="4669"/>
      <c r="H83" s="4673"/>
      <c r="I83" s="4707"/>
      <c r="J83" s="463" t="s">
        <v>793</v>
      </c>
    </row>
    <row r="84" spans="1:10" x14ac:dyDescent="0.2">
      <c r="A84" s="4670"/>
      <c r="B84" s="4664">
        <v>8</v>
      </c>
      <c r="C84" s="4664">
        <v>8</v>
      </c>
      <c r="D84" s="4664">
        <v>8</v>
      </c>
      <c r="E84" s="4664">
        <v>8</v>
      </c>
      <c r="F84" s="4664">
        <v>7</v>
      </c>
      <c r="G84" s="4674"/>
      <c r="H84" s="4675"/>
      <c r="I84" s="157">
        <f>SUM(B84:H84)</f>
        <v>39</v>
      </c>
      <c r="J84" s="4605"/>
    </row>
    <row r="85" spans="1:10" x14ac:dyDescent="0.2">
      <c r="A85" s="4712" t="s">
        <v>804</v>
      </c>
      <c r="B85" s="4710" t="s">
        <v>795</v>
      </c>
      <c r="C85" s="4711" t="s">
        <v>795</v>
      </c>
      <c r="D85" s="4711" t="s">
        <v>795</v>
      </c>
      <c r="E85" s="4713" t="s">
        <v>795</v>
      </c>
      <c r="F85" s="4711" t="s">
        <v>796</v>
      </c>
      <c r="G85" s="4672"/>
      <c r="H85" s="4673"/>
      <c r="I85" s="4707"/>
      <c r="J85" s="4583"/>
    </row>
    <row r="86" spans="1:10" x14ac:dyDescent="0.2">
      <c r="A86" s="4715"/>
      <c r="B86" s="4716">
        <v>6.5</v>
      </c>
      <c r="C86" s="4716">
        <v>6.5</v>
      </c>
      <c r="D86" s="4716">
        <v>6.5</v>
      </c>
      <c r="E86" s="4716">
        <v>6.5</v>
      </c>
      <c r="F86" s="4716">
        <v>7</v>
      </c>
      <c r="G86" s="4717"/>
      <c r="H86" s="4718"/>
      <c r="I86" s="157">
        <f>SUM(B86:H86)</f>
        <v>33</v>
      </c>
      <c r="J86" s="4719"/>
    </row>
    <row r="87" spans="1:10" x14ac:dyDescent="0.2">
      <c r="A87" s="4720" t="s">
        <v>805</v>
      </c>
      <c r="B87" s="4707" t="s">
        <v>780</v>
      </c>
      <c r="C87" s="4660" t="s">
        <v>780</v>
      </c>
      <c r="D87" s="4707" t="s">
        <v>780</v>
      </c>
      <c r="E87" s="4707" t="s">
        <v>780</v>
      </c>
      <c r="F87" s="4660" t="s">
        <v>534</v>
      </c>
      <c r="G87" s="4707"/>
      <c r="H87" s="4660" t="s">
        <v>743</v>
      </c>
      <c r="I87" s="4707"/>
      <c r="J87" s="4583"/>
    </row>
    <row r="88" spans="1:10" x14ac:dyDescent="0.2">
      <c r="A88" s="147"/>
      <c r="B88" s="150">
        <v>7</v>
      </c>
      <c r="C88" s="150">
        <v>7</v>
      </c>
      <c r="D88" s="150">
        <v>7</v>
      </c>
      <c r="E88" s="150">
        <v>7</v>
      </c>
      <c r="F88" s="4664">
        <v>7.4</v>
      </c>
      <c r="G88" s="171"/>
      <c r="H88" s="157">
        <v>8</v>
      </c>
      <c r="I88" s="157">
        <f>SUM(B88:H88)</f>
        <v>43.4</v>
      </c>
      <c r="J88" s="4605"/>
    </row>
    <row r="89" spans="1:10" x14ac:dyDescent="0.2">
      <c r="A89" s="4677" t="s">
        <v>749</v>
      </c>
      <c r="B89" s="4677">
        <f t="shared" ref="B89:I89" si="4">SUM(B78,B80,B82,B84,B86,B88)</f>
        <v>43</v>
      </c>
      <c r="C89" s="4677">
        <f t="shared" si="4"/>
        <v>40</v>
      </c>
      <c r="D89" s="4677">
        <f t="shared" si="4"/>
        <v>43</v>
      </c>
      <c r="E89" s="4677">
        <f t="shared" si="4"/>
        <v>43</v>
      </c>
      <c r="F89" s="4677">
        <f t="shared" si="4"/>
        <v>41.65</v>
      </c>
      <c r="G89" s="4677">
        <f t="shared" si="4"/>
        <v>6.5</v>
      </c>
      <c r="H89" s="4677">
        <f t="shared" si="4"/>
        <v>8</v>
      </c>
      <c r="I89" s="4686">
        <f t="shared" si="4"/>
        <v>225.15</v>
      </c>
      <c r="J89" s="4678"/>
    </row>
    <row r="90" spans="1:10" ht="12.75" x14ac:dyDescent="0.2">
      <c r="A90" s="1" t="s">
        <v>806</v>
      </c>
      <c r="B90" s="5"/>
      <c r="C90" s="5"/>
      <c r="D90" s="5"/>
      <c r="E90" s="5"/>
      <c r="F90" s="5"/>
    </row>
    <row r="91" spans="1:10" ht="12.75" x14ac:dyDescent="0.2">
      <c r="A91" s="4679" t="s">
        <v>807</v>
      </c>
      <c r="B91" s="4680" t="s">
        <v>17</v>
      </c>
      <c r="C91" s="4681" t="s">
        <v>18</v>
      </c>
      <c r="D91" s="4681" t="s">
        <v>19</v>
      </c>
      <c r="E91" s="4681" t="s">
        <v>20</v>
      </c>
      <c r="F91" s="4681" t="s">
        <v>21</v>
      </c>
      <c r="G91" s="4681" t="s">
        <v>22</v>
      </c>
      <c r="H91" s="4682" t="s">
        <v>23</v>
      </c>
      <c r="I91" s="4683" t="s">
        <v>234</v>
      </c>
      <c r="J91" s="4684" t="s">
        <v>126</v>
      </c>
    </row>
    <row r="92" spans="1:10" x14ac:dyDescent="0.2">
      <c r="A92" s="4665" t="s">
        <v>808</v>
      </c>
      <c r="B92" s="4707" t="s">
        <v>792</v>
      </c>
      <c r="C92" s="4707" t="s">
        <v>792</v>
      </c>
      <c r="D92" s="4707" t="s">
        <v>792</v>
      </c>
      <c r="E92" s="4707" t="s">
        <v>792</v>
      </c>
      <c r="F92" s="4707" t="s">
        <v>780</v>
      </c>
      <c r="G92" s="4649"/>
      <c r="H92" s="4708"/>
      <c r="I92" s="4707"/>
      <c r="J92" s="4662"/>
    </row>
    <row r="93" spans="1:10" ht="12.75" x14ac:dyDescent="0.2">
      <c r="A93" s="170"/>
      <c r="B93" s="150">
        <v>7.5</v>
      </c>
      <c r="C93" s="150">
        <v>7.5</v>
      </c>
      <c r="D93" s="150">
        <v>7.5</v>
      </c>
      <c r="E93" s="150">
        <v>7.5</v>
      </c>
      <c r="F93" s="151">
        <v>7</v>
      </c>
      <c r="G93" s="152"/>
      <c r="H93" s="153"/>
      <c r="I93" s="157">
        <f>SUM(B93:H93)</f>
        <v>37</v>
      </c>
      <c r="J93" s="158"/>
    </row>
    <row r="94" spans="1:10" x14ac:dyDescent="0.2">
      <c r="A94" s="4712" t="s">
        <v>809</v>
      </c>
      <c r="B94" s="4711" t="s">
        <v>810</v>
      </c>
      <c r="C94" s="4711" t="s">
        <v>810</v>
      </c>
      <c r="D94" s="4711" t="s">
        <v>810</v>
      </c>
      <c r="E94" s="4711" t="s">
        <v>810</v>
      </c>
      <c r="F94" s="4711" t="s">
        <v>783</v>
      </c>
      <c r="G94" s="455"/>
      <c r="H94" s="456"/>
      <c r="I94" s="4710"/>
      <c r="J94" s="463"/>
    </row>
    <row r="95" spans="1:10" ht="12.75" x14ac:dyDescent="0.2">
      <c r="A95" s="16"/>
      <c r="B95" s="474">
        <v>7.5</v>
      </c>
      <c r="C95" s="474">
        <v>7.5</v>
      </c>
      <c r="D95" s="474">
        <v>7.5</v>
      </c>
      <c r="E95" s="474">
        <v>7.5</v>
      </c>
      <c r="F95" s="475">
        <v>6</v>
      </c>
      <c r="G95" s="392"/>
      <c r="H95" s="17"/>
      <c r="I95" s="157">
        <f>SUM(B95:H95)</f>
        <v>36</v>
      </c>
      <c r="J95" s="471"/>
    </row>
    <row r="96" spans="1:10" x14ac:dyDescent="0.2">
      <c r="A96" s="4659" t="s">
        <v>811</v>
      </c>
      <c r="B96" s="4707" t="s">
        <v>812</v>
      </c>
      <c r="C96" s="4707" t="s">
        <v>812</v>
      </c>
      <c r="D96" s="4707" t="s">
        <v>812</v>
      </c>
      <c r="E96" s="4707" t="s">
        <v>812</v>
      </c>
      <c r="F96" s="4707" t="s">
        <v>813</v>
      </c>
      <c r="G96" s="4707"/>
      <c r="H96" s="4707"/>
      <c r="I96" s="4707"/>
      <c r="J96" s="4662"/>
    </row>
    <row r="97" spans="1:10" x14ac:dyDescent="0.2">
      <c r="A97" s="147"/>
      <c r="B97" s="150">
        <v>7.5</v>
      </c>
      <c r="C97" s="150">
        <v>7.5</v>
      </c>
      <c r="D97" s="150">
        <v>7.5</v>
      </c>
      <c r="E97" s="150">
        <v>7.5</v>
      </c>
      <c r="F97" s="151">
        <v>6</v>
      </c>
      <c r="G97" s="151"/>
      <c r="H97" s="156"/>
      <c r="I97" s="157">
        <f>SUM(B97:H97)</f>
        <v>36</v>
      </c>
      <c r="J97" s="158"/>
    </row>
    <row r="98" spans="1:10" x14ac:dyDescent="0.2">
      <c r="A98" s="4677" t="s">
        <v>749</v>
      </c>
      <c r="B98" s="4677">
        <f t="shared" ref="B98:I98" si="5">SUM(B93,B95,B97)</f>
        <v>22.5</v>
      </c>
      <c r="C98" s="4677">
        <f t="shared" si="5"/>
        <v>22.5</v>
      </c>
      <c r="D98" s="4677">
        <f t="shared" si="5"/>
        <v>22.5</v>
      </c>
      <c r="E98" s="4677">
        <f t="shared" si="5"/>
        <v>22.5</v>
      </c>
      <c r="F98" s="4677">
        <f t="shared" si="5"/>
        <v>19</v>
      </c>
      <c r="G98" s="4677">
        <f t="shared" si="5"/>
        <v>0</v>
      </c>
      <c r="H98" s="4677">
        <f t="shared" si="5"/>
        <v>0</v>
      </c>
      <c r="I98" s="4686">
        <f t="shared" si="5"/>
        <v>109</v>
      </c>
      <c r="J98" s="4687"/>
    </row>
    <row r="99" spans="1:10" ht="12.75" x14ac:dyDescent="0.2">
      <c r="A99" s="1" t="s">
        <v>814</v>
      </c>
      <c r="B99" s="5"/>
      <c r="C99" s="5"/>
      <c r="D99" s="5"/>
      <c r="E99" s="5"/>
      <c r="F99" s="5"/>
    </row>
    <row r="100" spans="1:10" ht="12.75" x14ac:dyDescent="0.2">
      <c r="A100" s="4653" t="s">
        <v>751</v>
      </c>
      <c r="B100" s="4654" t="s">
        <v>17</v>
      </c>
      <c r="C100" s="4655" t="s">
        <v>18</v>
      </c>
      <c r="D100" s="4655" t="s">
        <v>19</v>
      </c>
      <c r="E100" s="4655" t="s">
        <v>20</v>
      </c>
      <c r="F100" s="4655" t="s">
        <v>21</v>
      </c>
      <c r="G100" s="4655" t="s">
        <v>22</v>
      </c>
      <c r="H100" s="4656" t="s">
        <v>23</v>
      </c>
      <c r="I100" s="4657" t="s">
        <v>234</v>
      </c>
      <c r="J100" s="4658" t="s">
        <v>126</v>
      </c>
    </row>
    <row r="101" spans="1:10" ht="12.75" x14ac:dyDescent="0.2">
      <c r="A101" s="4647"/>
      <c r="B101" s="4660" t="s">
        <v>752</v>
      </c>
      <c r="C101" s="4660" t="s">
        <v>752</v>
      </c>
      <c r="D101" s="4660" t="s">
        <v>752</v>
      </c>
      <c r="E101" s="4660" t="s">
        <v>752</v>
      </c>
      <c r="F101" s="4660" t="s">
        <v>753</v>
      </c>
      <c r="G101" s="4649"/>
      <c r="H101" s="4708"/>
      <c r="I101" s="4651"/>
      <c r="J101" s="4652"/>
    </row>
    <row r="102" spans="1:10" x14ac:dyDescent="0.2">
      <c r="A102" s="147" t="s">
        <v>815</v>
      </c>
      <c r="B102" s="150">
        <v>7.75</v>
      </c>
      <c r="C102" s="150">
        <v>7.75</v>
      </c>
      <c r="D102" s="150">
        <v>7.75</v>
      </c>
      <c r="E102" s="150">
        <v>7.75</v>
      </c>
      <c r="F102" s="150">
        <v>6</v>
      </c>
      <c r="G102" s="152"/>
      <c r="H102" s="153"/>
      <c r="I102" s="154">
        <f>SUM(B102:H102)</f>
        <v>37</v>
      </c>
      <c r="J102" s="155"/>
    </row>
    <row r="104" spans="1:10" ht="12.75" x14ac:dyDescent="0.2">
      <c r="A104" s="1" t="s">
        <v>816</v>
      </c>
      <c r="B104" s="5"/>
      <c r="C104" s="5"/>
      <c r="D104" s="5"/>
      <c r="E104" s="5"/>
      <c r="F104" s="5"/>
    </row>
    <row r="105" spans="1:10" ht="12.75" x14ac:dyDescent="0.2">
      <c r="A105" s="4653" t="s">
        <v>817</v>
      </c>
      <c r="B105" s="4654" t="s">
        <v>17</v>
      </c>
      <c r="C105" s="4655" t="s">
        <v>18</v>
      </c>
      <c r="D105" s="4655" t="s">
        <v>19</v>
      </c>
      <c r="E105" s="4655" t="s">
        <v>20</v>
      </c>
      <c r="F105" s="4655" t="s">
        <v>21</v>
      </c>
      <c r="G105" s="4655" t="s">
        <v>22</v>
      </c>
      <c r="H105" s="4656" t="s">
        <v>23</v>
      </c>
      <c r="I105" s="4657" t="s">
        <v>234</v>
      </c>
      <c r="J105" s="4658" t="s">
        <v>126</v>
      </c>
    </row>
    <row r="106" spans="1:10" ht="12.75" x14ac:dyDescent="0.2">
      <c r="A106" s="4647"/>
      <c r="B106" s="4660" t="s">
        <v>818</v>
      </c>
      <c r="C106" s="4660" t="s">
        <v>818</v>
      </c>
      <c r="D106" s="4660" t="s">
        <v>743</v>
      </c>
      <c r="E106" s="4660" t="s">
        <v>743</v>
      </c>
      <c r="F106" s="4660" t="s">
        <v>250</v>
      </c>
      <c r="G106" s="4661"/>
      <c r="H106" s="4666"/>
      <c r="I106" s="4651"/>
      <c r="J106" s="4662"/>
    </row>
    <row r="107" spans="1:10" x14ac:dyDescent="0.2">
      <c r="A107" s="147" t="s">
        <v>819</v>
      </c>
      <c r="B107" s="150">
        <v>7.5</v>
      </c>
      <c r="C107" s="151">
        <v>7.5</v>
      </c>
      <c r="D107" s="151">
        <v>8</v>
      </c>
      <c r="E107" s="151">
        <v>8</v>
      </c>
      <c r="F107" s="151">
        <v>6</v>
      </c>
      <c r="G107" s="151"/>
      <c r="H107" s="156"/>
      <c r="I107" s="154">
        <f>SUM(B107:H107)</f>
        <v>37</v>
      </c>
      <c r="J107" s="158"/>
    </row>
    <row r="109" spans="1:10" ht="12.75" x14ac:dyDescent="0.2">
      <c r="A109" s="1" t="s">
        <v>820</v>
      </c>
      <c r="B109" s="5"/>
      <c r="C109" s="5"/>
      <c r="D109" s="5"/>
      <c r="E109" s="5"/>
      <c r="F109" s="5"/>
    </row>
    <row r="110" spans="1:10" ht="12.75" x14ac:dyDescent="0.2">
      <c r="A110" s="4653" t="s">
        <v>751</v>
      </c>
      <c r="B110" s="4654" t="s">
        <v>17</v>
      </c>
      <c r="C110" s="4655" t="s">
        <v>18</v>
      </c>
      <c r="D110" s="4655" t="s">
        <v>19</v>
      </c>
      <c r="E110" s="4655" t="s">
        <v>20</v>
      </c>
      <c r="F110" s="4655" t="s">
        <v>21</v>
      </c>
      <c r="G110" s="4655" t="s">
        <v>22</v>
      </c>
      <c r="H110" s="4656" t="s">
        <v>23</v>
      </c>
      <c r="I110" s="4657" t="s">
        <v>234</v>
      </c>
      <c r="J110" s="4658" t="s">
        <v>126</v>
      </c>
    </row>
    <row r="111" spans="1:10" x14ac:dyDescent="0.2">
      <c r="A111" s="4665"/>
      <c r="B111" s="4660" t="s">
        <v>752</v>
      </c>
      <c r="C111" s="4660" t="s">
        <v>752</v>
      </c>
      <c r="D111" s="4660" t="s">
        <v>752</v>
      </c>
      <c r="E111" s="4660" t="s">
        <v>752</v>
      </c>
      <c r="F111" s="4660" t="s">
        <v>753</v>
      </c>
      <c r="G111" s="4661"/>
      <c r="H111" s="4666"/>
      <c r="I111" s="4651"/>
      <c r="J111" s="4662"/>
    </row>
    <row r="112" spans="1:10" x14ac:dyDescent="0.2">
      <c r="A112" s="147" t="s">
        <v>821</v>
      </c>
      <c r="B112" s="150">
        <v>7.75</v>
      </c>
      <c r="C112" s="150">
        <v>7.75</v>
      </c>
      <c r="D112" s="150">
        <v>7.75</v>
      </c>
      <c r="E112" s="150">
        <v>7.75</v>
      </c>
      <c r="F112" s="150">
        <v>6</v>
      </c>
      <c r="G112" s="151"/>
      <c r="H112" s="156"/>
      <c r="I112" s="157">
        <f>SUM(B112:H112)</f>
        <v>37</v>
      </c>
      <c r="J112" s="158"/>
    </row>
    <row r="113" spans="1:10" x14ac:dyDescent="0.2">
      <c r="A113" s="4665"/>
      <c r="B113" s="4660" t="s">
        <v>752</v>
      </c>
      <c r="C113" s="4660" t="s">
        <v>752</v>
      </c>
      <c r="D113" s="4660" t="s">
        <v>752</v>
      </c>
      <c r="E113" s="4660" t="s">
        <v>752</v>
      </c>
      <c r="F113" s="4660" t="s">
        <v>753</v>
      </c>
      <c r="G113" s="4661"/>
      <c r="H113" s="4666"/>
      <c r="I113" s="4651"/>
      <c r="J113" s="4662"/>
    </row>
    <row r="114" spans="1:10" x14ac:dyDescent="0.2">
      <c r="A114" s="147" t="s">
        <v>822</v>
      </c>
      <c r="B114" s="150">
        <v>7.75</v>
      </c>
      <c r="C114" s="150">
        <v>7.75</v>
      </c>
      <c r="D114" s="150">
        <v>7.75</v>
      </c>
      <c r="E114" s="150">
        <v>7.75</v>
      </c>
      <c r="F114" s="150">
        <v>6</v>
      </c>
      <c r="G114" s="151"/>
      <c r="H114" s="156"/>
      <c r="I114" s="157">
        <f>SUM(B114:H114)</f>
        <v>37</v>
      </c>
      <c r="J114" s="158"/>
    </row>
    <row r="115" spans="1:10" x14ac:dyDescent="0.2">
      <c r="A115" s="4665"/>
      <c r="B115" s="4660" t="s">
        <v>752</v>
      </c>
      <c r="C115" s="4660" t="s">
        <v>752</v>
      </c>
      <c r="D115" s="4660" t="s">
        <v>752</v>
      </c>
      <c r="E115" s="4660" t="s">
        <v>752</v>
      </c>
      <c r="F115" s="4660" t="s">
        <v>753</v>
      </c>
      <c r="G115" s="4661"/>
      <c r="H115" s="4666"/>
      <c r="I115" s="4651"/>
      <c r="J115" s="4662"/>
    </row>
    <row r="116" spans="1:10" x14ac:dyDescent="0.2">
      <c r="A116" s="147" t="s">
        <v>823</v>
      </c>
      <c r="B116" s="150">
        <v>7.75</v>
      </c>
      <c r="C116" s="150">
        <v>7.75</v>
      </c>
      <c r="D116" s="150">
        <v>7.75</v>
      </c>
      <c r="E116" s="150">
        <v>7.75</v>
      </c>
      <c r="F116" s="150">
        <v>6</v>
      </c>
      <c r="G116" s="151"/>
      <c r="H116" s="156"/>
      <c r="I116" s="157">
        <f>SUM(B116:H116)</f>
        <v>37</v>
      </c>
      <c r="J116" s="158"/>
    </row>
    <row r="117" spans="1:10" x14ac:dyDescent="0.2">
      <c r="A117" s="4677" t="s">
        <v>749</v>
      </c>
      <c r="B117" s="4677">
        <f t="shared" ref="B117:I117" si="6">SUM(B112,B114,B116)</f>
        <v>23.25</v>
      </c>
      <c r="C117" s="4677">
        <f t="shared" si="6"/>
        <v>23.25</v>
      </c>
      <c r="D117" s="4677">
        <f t="shared" si="6"/>
        <v>23.25</v>
      </c>
      <c r="E117" s="4677">
        <f t="shared" si="6"/>
        <v>23.25</v>
      </c>
      <c r="F117" s="4677">
        <f t="shared" si="6"/>
        <v>18</v>
      </c>
      <c r="G117" s="4677">
        <f t="shared" si="6"/>
        <v>0</v>
      </c>
      <c r="H117" s="4677">
        <f t="shared" si="6"/>
        <v>0</v>
      </c>
      <c r="I117" s="4686">
        <f t="shared" si="6"/>
        <v>111</v>
      </c>
      <c r="J117" s="4687"/>
    </row>
    <row r="118" spans="1:10" x14ac:dyDescent="0.2">
      <c r="A118" s="5"/>
      <c r="B118" s="5"/>
      <c r="C118" s="5"/>
      <c r="D118" s="5"/>
      <c r="E118" s="5"/>
      <c r="F118" s="5"/>
      <c r="G118" s="18"/>
      <c r="H118" s="18"/>
      <c r="I118" s="5"/>
      <c r="J118" s="6"/>
    </row>
    <row r="119" spans="1:10" ht="12.75" x14ac:dyDescent="0.2">
      <c r="A119" s="1" t="s">
        <v>824</v>
      </c>
      <c r="B119" s="5"/>
      <c r="C119" s="5"/>
      <c r="D119" s="5"/>
      <c r="E119" s="5"/>
      <c r="F119" s="5"/>
    </row>
    <row r="120" spans="1:10" ht="12.75" x14ac:dyDescent="0.2">
      <c r="A120" s="4653" t="s">
        <v>825</v>
      </c>
      <c r="B120" s="4654" t="s">
        <v>17</v>
      </c>
      <c r="C120" s="4655" t="s">
        <v>18</v>
      </c>
      <c r="D120" s="4655" t="s">
        <v>19</v>
      </c>
      <c r="E120" s="4655" t="s">
        <v>20</v>
      </c>
      <c r="F120" s="4655" t="s">
        <v>21</v>
      </c>
      <c r="G120" s="4655" t="s">
        <v>22</v>
      </c>
      <c r="H120" s="4656" t="s">
        <v>23</v>
      </c>
      <c r="I120" s="4657" t="s">
        <v>234</v>
      </c>
      <c r="J120" s="4658" t="s">
        <v>126</v>
      </c>
    </row>
    <row r="121" spans="1:10" x14ac:dyDescent="0.2">
      <c r="A121" s="4659" t="s">
        <v>0</v>
      </c>
      <c r="B121" s="4660" t="s">
        <v>342</v>
      </c>
      <c r="C121" s="4660" t="s">
        <v>342</v>
      </c>
      <c r="D121" s="4660" t="s">
        <v>342</v>
      </c>
      <c r="E121" s="4660" t="s">
        <v>342</v>
      </c>
      <c r="F121" s="4661" t="s">
        <v>343</v>
      </c>
      <c r="G121" s="4661"/>
      <c r="H121" s="4661"/>
      <c r="I121" s="4651"/>
      <c r="J121" s="4662"/>
    </row>
    <row r="122" spans="1:10" x14ac:dyDescent="0.2">
      <c r="A122" s="4663" t="s">
        <v>826</v>
      </c>
      <c r="B122" s="4664">
        <v>7.75</v>
      </c>
      <c r="C122" s="4664">
        <v>7.75</v>
      </c>
      <c r="D122" s="4664">
        <v>7.75</v>
      </c>
      <c r="E122" s="4664">
        <v>7.75</v>
      </c>
      <c r="F122" s="4721">
        <v>6</v>
      </c>
      <c r="G122" s="4721"/>
      <c r="H122" s="4721"/>
      <c r="I122" s="4722">
        <f>SUM(B122:H122)</f>
        <v>37</v>
      </c>
      <c r="J122" s="4723"/>
    </row>
    <row r="123" spans="1:10" x14ac:dyDescent="0.2">
      <c r="A123" s="19"/>
      <c r="B123" s="474"/>
      <c r="C123" s="474"/>
      <c r="D123" s="474"/>
      <c r="E123" s="474"/>
      <c r="F123" s="475"/>
      <c r="G123" s="475"/>
      <c r="H123" s="18"/>
      <c r="I123" s="476"/>
      <c r="J123" s="386"/>
    </row>
    <row r="124" spans="1:10" ht="12.75" x14ac:dyDescent="0.2">
      <c r="A124" s="20" t="s">
        <v>827</v>
      </c>
      <c r="B124" s="474"/>
      <c r="C124" s="474"/>
      <c r="D124" s="474"/>
      <c r="E124" s="474"/>
      <c r="F124" s="475"/>
      <c r="G124" s="475"/>
      <c r="H124" s="18"/>
      <c r="I124" s="476"/>
      <c r="J124" s="386"/>
    </row>
    <row r="125" spans="1:10" ht="12.75" x14ac:dyDescent="0.2">
      <c r="A125" s="4679" t="s">
        <v>828</v>
      </c>
      <c r="B125" s="4680" t="s">
        <v>17</v>
      </c>
      <c r="C125" s="4681" t="s">
        <v>18</v>
      </c>
      <c r="D125" s="4681" t="s">
        <v>19</v>
      </c>
      <c r="E125" s="4681" t="s">
        <v>20</v>
      </c>
      <c r="F125" s="4681" t="s">
        <v>21</v>
      </c>
      <c r="G125" s="4681" t="s">
        <v>22</v>
      </c>
      <c r="H125" s="4682" t="s">
        <v>23</v>
      </c>
      <c r="I125" s="4683" t="s">
        <v>234</v>
      </c>
      <c r="J125" s="4684" t="s">
        <v>126</v>
      </c>
    </row>
    <row r="126" spans="1:10" x14ac:dyDescent="0.2">
      <c r="A126" s="477" t="s">
        <v>0</v>
      </c>
      <c r="B126" s="453" t="s">
        <v>829</v>
      </c>
      <c r="C126" s="453" t="s">
        <v>829</v>
      </c>
      <c r="D126" s="453" t="s">
        <v>829</v>
      </c>
      <c r="E126" s="453" t="s">
        <v>829</v>
      </c>
      <c r="F126" s="454" t="s">
        <v>792</v>
      </c>
      <c r="G126" s="454"/>
      <c r="H126" s="454"/>
      <c r="I126" s="457"/>
      <c r="J126" s="463"/>
    </row>
    <row r="127" spans="1:10" x14ac:dyDescent="0.2">
      <c r="A127" s="4663" t="s">
        <v>830</v>
      </c>
      <c r="B127" s="4664">
        <v>7.5</v>
      </c>
      <c r="C127" s="4664">
        <v>7.5</v>
      </c>
      <c r="D127" s="4664">
        <v>7.5</v>
      </c>
      <c r="E127" s="4664">
        <v>7.5</v>
      </c>
      <c r="F127" s="4721">
        <v>7</v>
      </c>
      <c r="G127" s="4721"/>
      <c r="H127" s="4721"/>
      <c r="I127" s="4724">
        <f>SUM(B127:H127)</f>
        <v>37</v>
      </c>
      <c r="J127" s="158" t="s">
        <v>802</v>
      </c>
    </row>
    <row r="128" spans="1:10" x14ac:dyDescent="0.2">
      <c r="A128" s="5"/>
      <c r="B128" s="5"/>
      <c r="C128" s="5"/>
      <c r="D128" s="5"/>
      <c r="E128" s="5"/>
      <c r="F128" s="18"/>
      <c r="G128" s="18"/>
      <c r="H128" s="18"/>
      <c r="I128" s="5"/>
      <c r="J128" s="6"/>
    </row>
    <row r="129" spans="1:10" x14ac:dyDescent="0.2">
      <c r="A129" s="5"/>
      <c r="B129" s="5"/>
      <c r="C129" s="5"/>
      <c r="D129" s="5"/>
      <c r="E129" s="5"/>
      <c r="F129" s="18"/>
      <c r="G129" s="18"/>
      <c r="H129" s="18"/>
      <c r="I129" s="5"/>
      <c r="J129" s="6"/>
    </row>
    <row r="130" spans="1:10" x14ac:dyDescent="0.2">
      <c r="A130" s="5"/>
      <c r="B130" s="5"/>
      <c r="C130" s="5"/>
      <c r="D130" s="5"/>
      <c r="E130" s="5"/>
      <c r="F130" s="18"/>
      <c r="G130" s="18"/>
      <c r="H130" s="18"/>
      <c r="I130" s="5"/>
      <c r="J130" s="6"/>
    </row>
    <row r="131" spans="1:10" x14ac:dyDescent="0.2">
      <c r="A131" s="5"/>
      <c r="B131" s="5"/>
      <c r="C131" s="5"/>
      <c r="D131" s="5"/>
      <c r="E131" s="5"/>
      <c r="F131" s="18"/>
      <c r="G131" s="18"/>
      <c r="H131" s="18"/>
      <c r="I131" s="5"/>
      <c r="J131" s="6"/>
    </row>
    <row r="132" spans="1:10" ht="12.75" x14ac:dyDescent="0.2">
      <c r="A132" s="149" t="s">
        <v>831</v>
      </c>
      <c r="B132" s="5"/>
      <c r="C132" s="5"/>
      <c r="D132" s="5"/>
      <c r="E132" s="5"/>
      <c r="F132" s="18"/>
      <c r="G132" s="18"/>
      <c r="H132" s="18"/>
      <c r="I132" s="5"/>
      <c r="J132" s="6"/>
    </row>
    <row r="133" spans="1:10" ht="12.75" x14ac:dyDescent="0.2">
      <c r="A133" s="16" t="s">
        <v>828</v>
      </c>
      <c r="B133" s="4654" t="s">
        <v>17</v>
      </c>
      <c r="C133" s="4655" t="s">
        <v>18</v>
      </c>
      <c r="D133" s="4655" t="s">
        <v>19</v>
      </c>
      <c r="E133" s="4655" t="s">
        <v>20</v>
      </c>
      <c r="F133" s="4655" t="s">
        <v>21</v>
      </c>
      <c r="G133" s="4655" t="s">
        <v>22</v>
      </c>
      <c r="H133" s="4656" t="s">
        <v>23</v>
      </c>
      <c r="I133" s="4657" t="s">
        <v>234</v>
      </c>
      <c r="J133" s="4658" t="s">
        <v>126</v>
      </c>
    </row>
    <row r="134" spans="1:10" x14ac:dyDescent="0.2">
      <c r="A134" s="4659" t="s">
        <v>0</v>
      </c>
      <c r="B134" s="4660" t="s">
        <v>829</v>
      </c>
      <c r="C134" s="4660" t="s">
        <v>829</v>
      </c>
      <c r="D134" s="4660" t="s">
        <v>829</v>
      </c>
      <c r="E134" s="4660" t="s">
        <v>829</v>
      </c>
      <c r="F134" s="4661" t="s">
        <v>792</v>
      </c>
      <c r="G134" s="4661"/>
      <c r="H134" s="4661"/>
      <c r="I134" s="4651"/>
      <c r="J134" s="4662"/>
    </row>
    <row r="135" spans="1:10" x14ac:dyDescent="0.2">
      <c r="A135" s="4663" t="s">
        <v>832</v>
      </c>
      <c r="B135" s="4664">
        <v>7.5</v>
      </c>
      <c r="C135" s="4664">
        <v>7.5</v>
      </c>
      <c r="D135" s="4664">
        <v>7.5</v>
      </c>
      <c r="E135" s="4664">
        <v>7.5</v>
      </c>
      <c r="F135" s="4721">
        <v>7</v>
      </c>
      <c r="G135" s="4721"/>
      <c r="H135" s="4721"/>
      <c r="I135" s="4664">
        <f>SUM(B135:H135)</f>
        <v>37</v>
      </c>
      <c r="J135" s="158" t="s">
        <v>802</v>
      </c>
    </row>
    <row r="136" spans="1:10" x14ac:dyDescent="0.2">
      <c r="A136" s="4659" t="s">
        <v>0</v>
      </c>
      <c r="B136" s="4660" t="s">
        <v>829</v>
      </c>
      <c r="C136" s="4660" t="s">
        <v>829</v>
      </c>
      <c r="D136" s="4660" t="s">
        <v>829</v>
      </c>
      <c r="E136" s="4660" t="s">
        <v>829</v>
      </c>
      <c r="F136" s="4661" t="s">
        <v>792</v>
      </c>
      <c r="G136" s="4661"/>
      <c r="H136" s="4661"/>
      <c r="I136" s="4651"/>
      <c r="J136" s="4662"/>
    </row>
    <row r="137" spans="1:10" x14ac:dyDescent="0.2">
      <c r="A137" s="4663" t="s">
        <v>833</v>
      </c>
      <c r="B137" s="4664">
        <v>7.5</v>
      </c>
      <c r="C137" s="4664">
        <v>7.5</v>
      </c>
      <c r="D137" s="4664">
        <v>7.5</v>
      </c>
      <c r="E137" s="4664">
        <v>7.5</v>
      </c>
      <c r="F137" s="4721">
        <v>7</v>
      </c>
      <c r="G137" s="4721"/>
      <c r="H137" s="4721"/>
      <c r="I137" s="4664">
        <f>SUM(B137:H137)</f>
        <v>37</v>
      </c>
      <c r="J137" s="158" t="s">
        <v>802</v>
      </c>
    </row>
    <row r="138" spans="1:10" x14ac:dyDescent="0.2">
      <c r="A138" s="4659" t="s">
        <v>0</v>
      </c>
      <c r="B138" s="4660" t="s">
        <v>829</v>
      </c>
      <c r="C138" s="4660" t="s">
        <v>829</v>
      </c>
      <c r="D138" s="4660" t="s">
        <v>829</v>
      </c>
      <c r="E138" s="4660" t="s">
        <v>829</v>
      </c>
      <c r="F138" s="4661" t="s">
        <v>792</v>
      </c>
      <c r="G138" s="4661"/>
      <c r="H138" s="4661"/>
      <c r="I138" s="4651"/>
      <c r="J138" s="4662"/>
    </row>
    <row r="139" spans="1:10" x14ac:dyDescent="0.2">
      <c r="A139" s="4663" t="s">
        <v>834</v>
      </c>
      <c r="B139" s="4664">
        <v>7.5</v>
      </c>
      <c r="C139" s="4664">
        <v>7.5</v>
      </c>
      <c r="D139" s="4664">
        <v>7.5</v>
      </c>
      <c r="E139" s="4664">
        <v>7.5</v>
      </c>
      <c r="F139" s="4721">
        <v>7</v>
      </c>
      <c r="G139" s="4721"/>
      <c r="H139" s="4721"/>
      <c r="I139" s="4664">
        <f>SUM(B139:H139)</f>
        <v>37</v>
      </c>
      <c r="J139" s="158" t="s">
        <v>802</v>
      </c>
    </row>
    <row r="140" spans="1:10" x14ac:dyDescent="0.2">
      <c r="A140" s="4659" t="s">
        <v>0</v>
      </c>
      <c r="B140" s="4660" t="s">
        <v>829</v>
      </c>
      <c r="C140" s="4660" t="s">
        <v>829</v>
      </c>
      <c r="D140" s="4660" t="s">
        <v>829</v>
      </c>
      <c r="E140" s="4660" t="s">
        <v>829</v>
      </c>
      <c r="F140" s="4661" t="s">
        <v>792</v>
      </c>
      <c r="G140" s="4661"/>
      <c r="H140" s="4661"/>
      <c r="I140" s="4651"/>
      <c r="J140" s="4662"/>
    </row>
    <row r="141" spans="1:10" x14ac:dyDescent="0.2">
      <c r="A141" s="4663" t="s">
        <v>835</v>
      </c>
      <c r="B141" s="4664">
        <v>7.5</v>
      </c>
      <c r="C141" s="4664">
        <v>7.5</v>
      </c>
      <c r="D141" s="4664">
        <v>7.5</v>
      </c>
      <c r="E141" s="4664">
        <v>7.5</v>
      </c>
      <c r="F141" s="4721">
        <v>7</v>
      </c>
      <c r="G141" s="4721"/>
      <c r="H141" s="4721"/>
      <c r="I141" s="4664">
        <f>SUM(B141:H141)</f>
        <v>37</v>
      </c>
      <c r="J141" s="158" t="s">
        <v>802</v>
      </c>
    </row>
    <row r="142" spans="1:10" x14ac:dyDescent="0.2">
      <c r="A142" s="4659" t="s">
        <v>0</v>
      </c>
      <c r="B142" s="4660" t="s">
        <v>829</v>
      </c>
      <c r="C142" s="4660" t="s">
        <v>829</v>
      </c>
      <c r="D142" s="4660" t="s">
        <v>829</v>
      </c>
      <c r="E142" s="4660" t="s">
        <v>829</v>
      </c>
      <c r="F142" s="4661" t="s">
        <v>792</v>
      </c>
      <c r="G142" s="4661"/>
      <c r="H142" s="4661"/>
      <c r="I142" s="4651"/>
      <c r="J142" s="4662"/>
    </row>
    <row r="143" spans="1:10" x14ac:dyDescent="0.2">
      <c r="A143" s="4663" t="s">
        <v>836</v>
      </c>
      <c r="B143" s="4664">
        <v>7.5</v>
      </c>
      <c r="C143" s="4664">
        <v>7.5</v>
      </c>
      <c r="D143" s="4664">
        <v>7.5</v>
      </c>
      <c r="E143" s="4664">
        <v>7.5</v>
      </c>
      <c r="F143" s="4721">
        <v>7</v>
      </c>
      <c r="G143" s="4721"/>
      <c r="H143" s="4721"/>
      <c r="I143" s="4664">
        <f>SUM(B143:H143)</f>
        <v>37</v>
      </c>
      <c r="J143" s="158" t="s">
        <v>802</v>
      </c>
    </row>
    <row r="144" spans="1:10" x14ac:dyDescent="0.2">
      <c r="A144" s="4677" t="s">
        <v>749</v>
      </c>
      <c r="B144" s="4677">
        <f t="shared" ref="B144:I144" si="7">SUM(B135,B137,B139,B141,B143)</f>
        <v>37.5</v>
      </c>
      <c r="C144" s="4677">
        <f t="shared" si="7"/>
        <v>37.5</v>
      </c>
      <c r="D144" s="4677">
        <f t="shared" si="7"/>
        <v>37.5</v>
      </c>
      <c r="E144" s="4677">
        <f t="shared" si="7"/>
        <v>37.5</v>
      </c>
      <c r="F144" s="4677">
        <f t="shared" si="7"/>
        <v>35</v>
      </c>
      <c r="G144" s="4677">
        <f t="shared" si="7"/>
        <v>0</v>
      </c>
      <c r="H144" s="4677">
        <f t="shared" si="7"/>
        <v>0</v>
      </c>
      <c r="I144" s="4686">
        <f t="shared" si="7"/>
        <v>185</v>
      </c>
      <c r="J144" s="4687"/>
    </row>
    <row r="145" spans="1:10" x14ac:dyDescent="0.2">
      <c r="A145" s="5"/>
      <c r="B145" s="5"/>
      <c r="C145" s="5"/>
      <c r="D145" s="5"/>
      <c r="E145" s="5"/>
      <c r="F145" s="18"/>
      <c r="G145" s="18"/>
      <c r="H145" s="18"/>
      <c r="I145" s="5"/>
      <c r="J145" s="6"/>
    </row>
    <row r="146" spans="1:10" x14ac:dyDescent="0.2">
      <c r="A146" s="5"/>
      <c r="B146" s="5"/>
      <c r="C146" s="5"/>
      <c r="D146" s="5"/>
      <c r="E146" s="5"/>
      <c r="F146" s="18"/>
      <c r="G146" s="18"/>
      <c r="H146" s="18"/>
      <c r="I146" s="5"/>
      <c r="J146" s="6"/>
    </row>
    <row r="147" spans="1:10" ht="12.75" x14ac:dyDescent="0.2">
      <c r="B147" s="4725" t="s">
        <v>17</v>
      </c>
      <c r="C147" s="4681" t="s">
        <v>18</v>
      </c>
      <c r="D147" s="4681" t="s">
        <v>19</v>
      </c>
      <c r="E147" s="4681" t="s">
        <v>20</v>
      </c>
      <c r="F147" s="4681" t="s">
        <v>21</v>
      </c>
      <c r="G147" s="4681" t="s">
        <v>22</v>
      </c>
      <c r="H147" s="4726" t="s">
        <v>23</v>
      </c>
      <c r="I147" s="4727" t="s">
        <v>837</v>
      </c>
      <c r="J147" s="18" t="s">
        <v>0</v>
      </c>
    </row>
    <row r="148" spans="1:10" x14ac:dyDescent="0.2">
      <c r="A148" s="4728" t="s">
        <v>838</v>
      </c>
      <c r="B148" s="453">
        <f t="shared" ref="B148:I148" si="8">SUM(B4,B20,B30,B65,B74,B89,B98,B102,B107,B117,B122,B127,B144)</f>
        <v>368.40000000000003</v>
      </c>
      <c r="C148" s="453">
        <f t="shared" si="8"/>
        <v>364</v>
      </c>
      <c r="D148" s="453">
        <f t="shared" si="8"/>
        <v>369.5</v>
      </c>
      <c r="E148" s="453">
        <f t="shared" si="8"/>
        <v>368.5</v>
      </c>
      <c r="F148" s="453">
        <f t="shared" si="8"/>
        <v>333.65</v>
      </c>
      <c r="G148" s="453">
        <f t="shared" si="8"/>
        <v>96.5</v>
      </c>
      <c r="H148" s="453">
        <f t="shared" si="8"/>
        <v>84</v>
      </c>
      <c r="I148" s="453">
        <f t="shared" si="8"/>
        <v>1984.55</v>
      </c>
      <c r="J148" s="476" t="s">
        <v>0</v>
      </c>
    </row>
    <row r="149" spans="1:10" x14ac:dyDescent="0.2">
      <c r="A149" s="4728" t="s">
        <v>839</v>
      </c>
      <c r="B149" s="4713">
        <f>SUM(G148)*4</f>
        <v>386</v>
      </c>
      <c r="C149" s="4713">
        <f>SUM(G148)*1</f>
        <v>96.5</v>
      </c>
      <c r="D149" s="4713">
        <f>SUM(G148)*0</f>
        <v>0</v>
      </c>
      <c r="E149" s="4713">
        <f>SUM(G148)*2</f>
        <v>193</v>
      </c>
      <c r="F149" s="4713">
        <f>SUM(G148)*2</f>
        <v>193</v>
      </c>
      <c r="G149" s="4713">
        <f>SUM(G148)*0</f>
        <v>0</v>
      </c>
      <c r="H149" s="4713">
        <f>SUM(G148)*0</f>
        <v>0</v>
      </c>
      <c r="I149" s="453">
        <f>SUM(B149:H149)</f>
        <v>868.5</v>
      </c>
    </row>
    <row r="150" spans="1:10" x14ac:dyDescent="0.2">
      <c r="A150" s="4728" t="s">
        <v>840</v>
      </c>
      <c r="B150" s="453">
        <f>SUM(B148*48)+B149</f>
        <v>18069.2</v>
      </c>
      <c r="C150" s="453">
        <f>SUM(C148*51)+C149</f>
        <v>18660.5</v>
      </c>
      <c r="D150" s="453">
        <f>SUM(D148*52)+D149</f>
        <v>19214</v>
      </c>
      <c r="E150" s="453">
        <f>SUM(E148*52)+E149</f>
        <v>19355</v>
      </c>
      <c r="F150" s="453">
        <f>SUM(F148*52)+F149</f>
        <v>17542.8</v>
      </c>
      <c r="G150" s="453">
        <f>SUM(G148*52)+G149</f>
        <v>5018</v>
      </c>
      <c r="H150" s="453">
        <f>SUM(H148*52)+H149</f>
        <v>4368</v>
      </c>
      <c r="I150" s="478">
        <f>SUM(B150:H150)</f>
        <v>102227.5</v>
      </c>
    </row>
    <row r="153" spans="1:10" x14ac:dyDescent="0.2">
      <c r="A153" s="4728" t="s">
        <v>841</v>
      </c>
      <c r="B153" s="4728"/>
      <c r="C153" s="4728"/>
      <c r="D153" s="4728"/>
      <c r="E153" s="4713">
        <v>56</v>
      </c>
      <c r="F153" s="4728"/>
      <c r="G153" s="4728"/>
      <c r="H153" s="4729"/>
      <c r="I153" s="4730">
        <f>SUM(E153)*52</f>
        <v>2912</v>
      </c>
    </row>
    <row r="154" spans="1:10" x14ac:dyDescent="0.2">
      <c r="A154" s="4731" t="s">
        <v>842</v>
      </c>
      <c r="B154" s="4731"/>
      <c r="C154" s="4731"/>
      <c r="D154" s="4731"/>
      <c r="E154" s="4731"/>
      <c r="F154" s="4731"/>
      <c r="G154" s="4731"/>
      <c r="H154" s="4731"/>
      <c r="I154" s="4730">
        <f>SUM(I153*2)</f>
        <v>5824</v>
      </c>
    </row>
    <row r="155" spans="1:10" x14ac:dyDescent="0.2">
      <c r="A155" s="4728" t="s">
        <v>843</v>
      </c>
      <c r="B155" s="4728"/>
      <c r="C155" s="4729"/>
      <c r="D155" s="4731"/>
      <c r="E155" s="4731"/>
      <c r="F155" s="4731"/>
      <c r="G155" s="4731"/>
      <c r="H155" s="4731"/>
      <c r="I155" s="4730">
        <f>48*12</f>
        <v>576</v>
      </c>
    </row>
    <row r="156" spans="1:10" x14ac:dyDescent="0.2">
      <c r="A156" s="4732" t="s">
        <v>837</v>
      </c>
      <c r="B156" s="4732"/>
      <c r="C156" s="4732"/>
      <c r="D156" s="4732"/>
      <c r="E156" s="4732"/>
      <c r="F156" s="4732"/>
      <c r="G156" s="4732"/>
      <c r="H156" s="4732"/>
      <c r="I156" s="4733">
        <f>SUM(I153:I155)</f>
        <v>9312</v>
      </c>
    </row>
    <row r="157" spans="1:10" x14ac:dyDescent="0.2">
      <c r="I157" s="21"/>
    </row>
    <row r="158" spans="1:10" x14ac:dyDescent="0.2">
      <c r="I158" s="21"/>
    </row>
    <row r="159" spans="1:10" x14ac:dyDescent="0.2">
      <c r="A159" s="4732" t="s">
        <v>844</v>
      </c>
      <c r="B159" s="4732"/>
      <c r="C159" s="4732"/>
      <c r="D159" s="4732"/>
      <c r="E159" s="4732"/>
      <c r="F159" s="4732"/>
      <c r="G159" s="4732"/>
      <c r="H159" s="4732"/>
      <c r="I159" s="4734">
        <f>SUM(I150:I156)</f>
        <v>120851.5</v>
      </c>
      <c r="J159" t="s">
        <v>845</v>
      </c>
    </row>
  </sheetData>
  <sheetProtection algorithmName="SHA-512" hashValue="3xlz7ddMrTgCcXMRYrISkKIZygM6UfYY24YKNtEjaVeB+8B1Oe9Tjt9cOhlU/ZSO9EhzMh9hhvVXhZUPUBzEeA==" saltValue="kCTohonMKRTqfuzm8bo8kw==" spinCount="100000" sheet="1" objects="1" scenarios="1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32"/>
  <dimension ref="A1:AF267"/>
  <sheetViews>
    <sheetView topLeftCell="A32" workbookViewId="0">
      <selection activeCell="N28" sqref="N28"/>
    </sheetView>
  </sheetViews>
  <sheetFormatPr defaultRowHeight="12" x14ac:dyDescent="0.2"/>
  <cols>
    <col min="1" max="1" width="15.42578125" customWidth="1"/>
    <col min="2" max="10" width="11.7109375" customWidth="1"/>
    <col min="13" max="16" width="18.85546875" customWidth="1"/>
  </cols>
  <sheetData>
    <row r="1" spans="1:15" ht="23.25" x14ac:dyDescent="0.2">
      <c r="A1" s="1" t="s">
        <v>734</v>
      </c>
      <c r="B1" s="1"/>
      <c r="D1" s="2"/>
      <c r="E1" s="2"/>
    </row>
    <row r="2" spans="1:15" ht="12.75" x14ac:dyDescent="0.2">
      <c r="A2" s="4647" t="s">
        <v>846</v>
      </c>
      <c r="B2" s="4648" t="s">
        <v>17</v>
      </c>
      <c r="C2" s="4649" t="s">
        <v>18</v>
      </c>
      <c r="D2" s="4649" t="s">
        <v>19</v>
      </c>
      <c r="E2" s="4649" t="s">
        <v>20</v>
      </c>
      <c r="F2" s="4649" t="s">
        <v>21</v>
      </c>
      <c r="G2" s="4649" t="s">
        <v>22</v>
      </c>
      <c r="H2" s="4650" t="s">
        <v>23</v>
      </c>
      <c r="I2" s="4651" t="s">
        <v>234</v>
      </c>
      <c r="J2" s="4652" t="s">
        <v>126</v>
      </c>
    </row>
    <row r="3" spans="1:15" ht="12.75" x14ac:dyDescent="0.2">
      <c r="A3" s="452"/>
      <c r="B3" s="453" t="s">
        <v>263</v>
      </c>
      <c r="C3" s="453" t="s">
        <v>263</v>
      </c>
      <c r="D3" s="453" t="s">
        <v>263</v>
      </c>
      <c r="E3" s="453" t="s">
        <v>263</v>
      </c>
      <c r="F3" s="454" t="s">
        <v>847</v>
      </c>
      <c r="G3" s="455"/>
      <c r="H3" s="456"/>
      <c r="I3" s="457"/>
      <c r="J3" s="458"/>
    </row>
    <row r="4" spans="1:15" x14ac:dyDescent="0.2">
      <c r="A4" s="172" t="s">
        <v>848</v>
      </c>
      <c r="B4" s="150">
        <v>7.75</v>
      </c>
      <c r="C4" s="150">
        <v>7.75</v>
      </c>
      <c r="D4" s="150">
        <v>7.75</v>
      </c>
      <c r="E4" s="150">
        <v>7.75</v>
      </c>
      <c r="F4" s="151">
        <v>6</v>
      </c>
      <c r="G4" s="152"/>
      <c r="H4" s="153"/>
      <c r="I4" s="154">
        <f>SUM(B4:H4)</f>
        <v>37</v>
      </c>
      <c r="J4" s="155"/>
    </row>
    <row r="5" spans="1:15" ht="23.25" x14ac:dyDescent="0.2">
      <c r="A5" s="1" t="s">
        <v>849</v>
      </c>
      <c r="B5" s="1"/>
      <c r="D5" s="2"/>
      <c r="E5" s="2"/>
    </row>
    <row r="6" spans="1:15" ht="12.75" x14ac:dyDescent="0.2">
      <c r="A6" s="4505" t="s">
        <v>751</v>
      </c>
      <c r="B6" s="4648" t="s">
        <v>17</v>
      </c>
      <c r="C6" s="4649" t="s">
        <v>18</v>
      </c>
      <c r="D6" s="4649" t="s">
        <v>19</v>
      </c>
      <c r="E6" s="4649" t="s">
        <v>20</v>
      </c>
      <c r="F6" s="4649" t="s">
        <v>21</v>
      </c>
      <c r="G6" s="4649" t="s">
        <v>22</v>
      </c>
      <c r="H6" s="4649" t="s">
        <v>23</v>
      </c>
      <c r="I6" s="4669" t="s">
        <v>234</v>
      </c>
      <c r="J6" s="4652" t="s">
        <v>126</v>
      </c>
    </row>
    <row r="7" spans="1:15" ht="12.75" x14ac:dyDescent="0.2">
      <c r="A7" s="4735"/>
      <c r="B7" s="4736" t="s">
        <v>752</v>
      </c>
      <c r="C7" s="4736" t="s">
        <v>752</v>
      </c>
      <c r="D7" s="4736" t="s">
        <v>752</v>
      </c>
      <c r="E7" s="4736" t="s">
        <v>752</v>
      </c>
      <c r="F7" s="4736" t="s">
        <v>753</v>
      </c>
      <c r="G7" s="4737"/>
      <c r="H7" s="4737"/>
      <c r="I7" s="4728"/>
      <c r="J7" s="4738"/>
    </row>
    <row r="8" spans="1:15" x14ac:dyDescent="0.2">
      <c r="A8" s="172" t="s">
        <v>850</v>
      </c>
      <c r="B8" s="4721">
        <v>7.75</v>
      </c>
      <c r="C8" s="4721">
        <v>7.75</v>
      </c>
      <c r="D8" s="4721">
        <v>7.75</v>
      </c>
      <c r="E8" s="4721">
        <v>7.75</v>
      </c>
      <c r="F8" s="4721">
        <v>6</v>
      </c>
      <c r="G8" s="152"/>
      <c r="H8" s="153"/>
      <c r="I8" s="154">
        <f>SUM(B8:H8)</f>
        <v>37</v>
      </c>
      <c r="J8" s="155"/>
    </row>
    <row r="9" spans="1:15" ht="12.75" x14ac:dyDescent="0.2">
      <c r="A9" s="5"/>
      <c r="E9" s="5"/>
      <c r="F9" s="18"/>
      <c r="G9" s="4739" t="s">
        <v>851</v>
      </c>
      <c r="H9" s="4739" t="s">
        <v>852</v>
      </c>
      <c r="I9" s="4739" t="s">
        <v>853</v>
      </c>
      <c r="J9" s="22"/>
    </row>
    <row r="10" spans="1:15" x14ac:dyDescent="0.2">
      <c r="A10" s="5"/>
      <c r="E10" s="5"/>
      <c r="F10" s="18"/>
      <c r="G10" s="4713">
        <f>I4+I8</f>
        <v>74</v>
      </c>
      <c r="H10" s="4740">
        <f>SUM(G10*13/3)</f>
        <v>320.66666666666669</v>
      </c>
      <c r="I10" s="4713">
        <f>SUM(H10*12)</f>
        <v>3848</v>
      </c>
      <c r="J10" s="22"/>
    </row>
    <row r="11" spans="1:15" ht="23.25" x14ac:dyDescent="0.2">
      <c r="A11" s="99" t="s">
        <v>16</v>
      </c>
      <c r="B11" s="99"/>
      <c r="D11" s="2"/>
      <c r="E11" s="2"/>
    </row>
    <row r="12" spans="1:15" ht="12.75" x14ac:dyDescent="0.2">
      <c r="A12" s="4653" t="s">
        <v>737</v>
      </c>
      <c r="B12" s="4654" t="s">
        <v>17</v>
      </c>
      <c r="C12" s="4655" t="s">
        <v>18</v>
      </c>
      <c r="D12" s="4655" t="s">
        <v>19</v>
      </c>
      <c r="E12" s="4655" t="s">
        <v>20</v>
      </c>
      <c r="F12" s="4655" t="s">
        <v>21</v>
      </c>
      <c r="G12" s="4655" t="s">
        <v>22</v>
      </c>
      <c r="H12" s="4656" t="s">
        <v>23</v>
      </c>
      <c r="I12" s="4657" t="s">
        <v>234</v>
      </c>
      <c r="J12" s="4658" t="s">
        <v>126</v>
      </c>
    </row>
    <row r="13" spans="1:15" x14ac:dyDescent="0.2">
      <c r="A13" s="4741" t="s">
        <v>0</v>
      </c>
      <c r="B13" s="4649" t="s">
        <v>10</v>
      </c>
      <c r="C13" s="4649" t="s">
        <v>10</v>
      </c>
      <c r="D13" s="4649" t="s">
        <v>10</v>
      </c>
      <c r="E13" s="4649" t="s">
        <v>10</v>
      </c>
      <c r="F13" s="4649" t="s">
        <v>10</v>
      </c>
      <c r="G13" s="4649" t="s">
        <v>10</v>
      </c>
      <c r="H13" s="4649" t="s">
        <v>10</v>
      </c>
      <c r="I13" s="4742"/>
      <c r="J13" s="4743" t="s">
        <v>10</v>
      </c>
      <c r="M13" s="4744"/>
      <c r="N13" s="4745" t="s">
        <v>854</v>
      </c>
    </row>
    <row r="14" spans="1:15" ht="12.75" x14ac:dyDescent="0.2">
      <c r="A14" s="4746" t="s">
        <v>10</v>
      </c>
      <c r="B14" s="4721">
        <v>8.25</v>
      </c>
      <c r="C14" s="4721">
        <v>8.25</v>
      </c>
      <c r="D14" s="151">
        <v>8.25</v>
      </c>
      <c r="E14" s="151">
        <v>8.25</v>
      </c>
      <c r="F14" s="151">
        <v>8.25</v>
      </c>
      <c r="G14" s="151">
        <v>12.25</v>
      </c>
      <c r="H14" s="151">
        <v>12.25</v>
      </c>
      <c r="I14" s="173">
        <f>SUM(B14:H14)</f>
        <v>65.75</v>
      </c>
      <c r="J14" s="174" t="s">
        <v>10</v>
      </c>
      <c r="K14" s="481"/>
      <c r="M14" s="4747"/>
      <c r="N14" s="4748" t="s">
        <v>855</v>
      </c>
      <c r="O14" s="5"/>
    </row>
    <row r="15" spans="1:15" x14ac:dyDescent="0.2">
      <c r="A15" s="4741" t="s">
        <v>0</v>
      </c>
      <c r="B15" s="4660" t="s">
        <v>244</v>
      </c>
      <c r="C15" s="4660" t="s">
        <v>244</v>
      </c>
      <c r="D15" s="4660" t="s">
        <v>244</v>
      </c>
      <c r="E15" s="4660" t="s">
        <v>244</v>
      </c>
      <c r="F15" s="4660" t="s">
        <v>244</v>
      </c>
      <c r="G15" s="4742"/>
      <c r="H15" s="4742"/>
      <c r="I15" s="4749"/>
      <c r="J15" s="4750" t="s">
        <v>10</v>
      </c>
      <c r="K15" s="5"/>
      <c r="M15" s="4747" t="s">
        <v>235</v>
      </c>
      <c r="N15" s="4748">
        <f>I14</f>
        <v>65.75</v>
      </c>
      <c r="O15" s="5"/>
    </row>
    <row r="16" spans="1:15" ht="12.75" x14ac:dyDescent="0.2">
      <c r="A16" s="4746" t="s">
        <v>10</v>
      </c>
      <c r="B16" s="4721"/>
      <c r="C16" s="4721"/>
      <c r="D16" s="4721"/>
      <c r="E16" s="4721"/>
      <c r="F16" s="4721"/>
      <c r="G16" s="4751"/>
      <c r="H16" s="4751"/>
      <c r="I16" s="173">
        <f>SUM(B16:H16)</f>
        <v>0</v>
      </c>
      <c r="J16" s="174" t="s">
        <v>10</v>
      </c>
      <c r="K16" s="5"/>
      <c r="M16" s="4747" t="s">
        <v>236</v>
      </c>
      <c r="N16" s="4748">
        <f>I16</f>
        <v>0</v>
      </c>
      <c r="O16" s="5"/>
    </row>
    <row r="17" spans="1:17" x14ac:dyDescent="0.2">
      <c r="A17" s="4741" t="s">
        <v>0</v>
      </c>
      <c r="B17" s="4649" t="s">
        <v>10</v>
      </c>
      <c r="C17" s="4649" t="s">
        <v>10</v>
      </c>
      <c r="D17" s="4649" t="s">
        <v>10</v>
      </c>
      <c r="E17" s="4649" t="s">
        <v>10</v>
      </c>
      <c r="F17" s="4649" t="s">
        <v>10</v>
      </c>
      <c r="G17" s="4752"/>
      <c r="H17" s="4752"/>
      <c r="I17" s="4749"/>
      <c r="J17" s="4750" t="s">
        <v>10</v>
      </c>
      <c r="K17" s="5"/>
      <c r="M17" s="4747" t="s">
        <v>243</v>
      </c>
      <c r="N17" s="4748">
        <v>0</v>
      </c>
      <c r="O17" s="5"/>
    </row>
    <row r="18" spans="1:17" x14ac:dyDescent="0.2">
      <c r="A18" s="4753" t="s">
        <v>10</v>
      </c>
      <c r="B18" s="151">
        <v>8.25</v>
      </c>
      <c r="C18" s="151">
        <v>8.25</v>
      </c>
      <c r="D18" s="151">
        <v>8.25</v>
      </c>
      <c r="E18" s="151">
        <v>8.25</v>
      </c>
      <c r="F18" s="151">
        <v>8.25</v>
      </c>
      <c r="G18" s="4721"/>
      <c r="H18" s="4721"/>
      <c r="I18" s="173">
        <f>SUM(B18:H18)</f>
        <v>41.25</v>
      </c>
      <c r="J18" s="174" t="s">
        <v>10</v>
      </c>
      <c r="K18" s="476"/>
      <c r="M18" s="4747" t="s">
        <v>245</v>
      </c>
      <c r="N18" s="4748">
        <f>I20</f>
        <v>64.5</v>
      </c>
      <c r="O18" s="5"/>
    </row>
    <row r="19" spans="1:17" x14ac:dyDescent="0.2">
      <c r="A19" s="4754" t="s">
        <v>0</v>
      </c>
      <c r="B19" s="4649" t="s">
        <v>10</v>
      </c>
      <c r="C19" s="4649" t="s">
        <v>10</v>
      </c>
      <c r="D19" s="4649" t="s">
        <v>10</v>
      </c>
      <c r="E19" s="4649" t="s">
        <v>10</v>
      </c>
      <c r="F19" s="4649" t="s">
        <v>10</v>
      </c>
      <c r="G19" s="4752" t="s">
        <v>10</v>
      </c>
      <c r="H19" s="4752" t="s">
        <v>10</v>
      </c>
      <c r="I19" s="4749"/>
      <c r="J19" s="4583"/>
      <c r="K19" s="5"/>
      <c r="M19" s="4747" t="s">
        <v>262</v>
      </c>
      <c r="N19" s="4748">
        <v>0</v>
      </c>
      <c r="O19" s="5"/>
    </row>
    <row r="20" spans="1:17" ht="12.75" x14ac:dyDescent="0.2">
      <c r="A20" s="4746" t="s">
        <v>10</v>
      </c>
      <c r="B20" s="4721">
        <v>8</v>
      </c>
      <c r="C20" s="4721">
        <v>8</v>
      </c>
      <c r="D20" s="4721">
        <v>8</v>
      </c>
      <c r="E20" s="4721">
        <v>8</v>
      </c>
      <c r="F20" s="4721">
        <v>8</v>
      </c>
      <c r="G20" s="4736">
        <v>12.25</v>
      </c>
      <c r="H20" s="4736">
        <v>12.25</v>
      </c>
      <c r="I20" s="173">
        <f>SUM(B20:H20)</f>
        <v>64.5</v>
      </c>
      <c r="J20" s="4605"/>
      <c r="K20" s="5"/>
      <c r="M20" s="4747" t="s">
        <v>856</v>
      </c>
      <c r="N20" s="4748">
        <v>0</v>
      </c>
      <c r="O20" s="5"/>
    </row>
    <row r="21" spans="1:17" x14ac:dyDescent="0.2">
      <c r="A21" s="4741" t="s">
        <v>0</v>
      </c>
      <c r="B21" s="4660" t="s">
        <v>244</v>
      </c>
      <c r="C21" s="4660" t="s">
        <v>244</v>
      </c>
      <c r="D21" s="4660" t="s">
        <v>244</v>
      </c>
      <c r="E21" s="4660" t="s">
        <v>244</v>
      </c>
      <c r="F21" s="4660" t="s">
        <v>244</v>
      </c>
      <c r="G21" s="4755"/>
      <c r="H21" s="4756"/>
      <c r="I21" s="4749"/>
      <c r="J21" s="4583"/>
      <c r="K21" s="5"/>
      <c r="M21" s="4757" t="s">
        <v>857</v>
      </c>
      <c r="N21" s="4758">
        <f>SUM(N15:N20)</f>
        <v>130.25</v>
      </c>
      <c r="O21" s="5"/>
    </row>
    <row r="22" spans="1:17" ht="12.75" x14ac:dyDescent="0.2">
      <c r="A22" s="4746" t="s">
        <v>10</v>
      </c>
      <c r="B22" s="474"/>
      <c r="C22" s="474"/>
      <c r="D22" s="474"/>
      <c r="E22" s="474"/>
      <c r="F22" s="474"/>
      <c r="G22" s="4751"/>
      <c r="H22" s="4759"/>
      <c r="I22" s="173">
        <f>SUM(B22:H22)</f>
        <v>0</v>
      </c>
      <c r="J22" s="4605"/>
      <c r="K22" s="5"/>
    </row>
    <row r="23" spans="1:17" x14ac:dyDescent="0.2">
      <c r="A23" s="4741" t="s">
        <v>0</v>
      </c>
      <c r="B23" s="4649" t="s">
        <v>10</v>
      </c>
      <c r="C23" s="4649" t="s">
        <v>10</v>
      </c>
      <c r="D23" s="4649" t="s">
        <v>10</v>
      </c>
      <c r="E23" s="4649" t="s">
        <v>10</v>
      </c>
      <c r="F23" s="4649" t="s">
        <v>10</v>
      </c>
      <c r="G23" s="4742"/>
      <c r="H23" s="4756"/>
      <c r="I23" s="4749"/>
      <c r="J23" s="4583" t="s">
        <v>858</v>
      </c>
      <c r="K23" s="5"/>
      <c r="M23" t="s">
        <v>41</v>
      </c>
      <c r="N23" t="s">
        <v>859</v>
      </c>
      <c r="P23">
        <v>148</v>
      </c>
      <c r="Q23" t="s">
        <v>860</v>
      </c>
    </row>
    <row r="24" spans="1:17" ht="12.75" x14ac:dyDescent="0.2">
      <c r="A24" s="4746" t="s">
        <v>10</v>
      </c>
      <c r="B24" s="4721">
        <v>7.25</v>
      </c>
      <c r="C24" s="4721">
        <v>7.25</v>
      </c>
      <c r="D24" s="4721">
        <v>7.25</v>
      </c>
      <c r="E24" s="4721">
        <v>7.25</v>
      </c>
      <c r="F24" s="4721">
        <v>7.25</v>
      </c>
      <c r="G24" s="4751"/>
      <c r="H24" s="4760"/>
      <c r="I24" s="173">
        <f>SUM(B24:H24)</f>
        <v>36.25</v>
      </c>
      <c r="J24" s="4605"/>
      <c r="K24" s="5"/>
      <c r="O24" t="s">
        <v>0</v>
      </c>
    </row>
    <row r="25" spans="1:17" x14ac:dyDescent="0.2">
      <c r="A25" s="4677" t="s">
        <v>749</v>
      </c>
      <c r="B25" s="4761">
        <f t="shared" ref="B25:I25" si="0">SUM(B14,B16,B18,B20,B22,B24)</f>
        <v>31.75</v>
      </c>
      <c r="C25" s="4761">
        <f t="shared" si="0"/>
        <v>31.75</v>
      </c>
      <c r="D25" s="4761">
        <f t="shared" si="0"/>
        <v>31.75</v>
      </c>
      <c r="E25" s="4761">
        <f t="shared" si="0"/>
        <v>31.75</v>
      </c>
      <c r="F25" s="4761">
        <f t="shared" si="0"/>
        <v>31.75</v>
      </c>
      <c r="G25" s="4761">
        <f t="shared" si="0"/>
        <v>24.5</v>
      </c>
      <c r="H25" s="4761">
        <f t="shared" si="0"/>
        <v>24.5</v>
      </c>
      <c r="I25" s="4761">
        <f t="shared" si="0"/>
        <v>207.75</v>
      </c>
      <c r="J25" s="4678"/>
      <c r="K25" s="5"/>
      <c r="M25" t="s">
        <v>861</v>
      </c>
      <c r="O25" s="46">
        <f>N21</f>
        <v>130.25</v>
      </c>
    </row>
    <row r="26" spans="1:17" ht="23.25" x14ac:dyDescent="0.2">
      <c r="A26" s="3" t="s">
        <v>750</v>
      </c>
      <c r="D26" s="2"/>
      <c r="E26" s="2"/>
    </row>
    <row r="27" spans="1:17" ht="12.75" x14ac:dyDescent="0.2">
      <c r="A27" s="4653" t="s">
        <v>751</v>
      </c>
      <c r="B27" s="4654" t="s">
        <v>17</v>
      </c>
      <c r="C27" s="4655" t="s">
        <v>18</v>
      </c>
      <c r="D27" s="4655" t="s">
        <v>19</v>
      </c>
      <c r="E27" s="4655" t="s">
        <v>20</v>
      </c>
      <c r="F27" s="4655" t="s">
        <v>21</v>
      </c>
      <c r="G27" s="4655" t="s">
        <v>22</v>
      </c>
      <c r="H27" s="4656" t="s">
        <v>23</v>
      </c>
      <c r="I27" s="4657" t="s">
        <v>234</v>
      </c>
      <c r="J27" s="4658" t="s">
        <v>126</v>
      </c>
      <c r="M27">
        <f>O25</f>
        <v>130.25</v>
      </c>
      <c r="N27" t="s">
        <v>862</v>
      </c>
      <c r="P27" s="21">
        <f>SUM(N21/37)</f>
        <v>3.5202702702702702</v>
      </c>
      <c r="Q27" t="s">
        <v>860</v>
      </c>
    </row>
    <row r="28" spans="1:17" x14ac:dyDescent="0.2">
      <c r="A28" s="4659"/>
      <c r="B28" s="4661" t="s">
        <v>752</v>
      </c>
      <c r="C28" s="4661" t="s">
        <v>752</v>
      </c>
      <c r="D28" s="4661" t="s">
        <v>752</v>
      </c>
      <c r="E28" s="4661" t="s">
        <v>752</v>
      </c>
      <c r="F28" s="4661" t="s">
        <v>753</v>
      </c>
      <c r="G28" s="4661"/>
      <c r="H28" s="4661"/>
      <c r="I28" s="4742"/>
      <c r="J28" s="4662"/>
    </row>
    <row r="29" spans="1:17" x14ac:dyDescent="0.2">
      <c r="A29" s="4663" t="s">
        <v>863</v>
      </c>
      <c r="B29" s="4721">
        <v>7.75</v>
      </c>
      <c r="C29" s="4721">
        <v>7.75</v>
      </c>
      <c r="D29" s="4721">
        <v>7.75</v>
      </c>
      <c r="E29" s="4721">
        <v>7.75</v>
      </c>
      <c r="F29" s="4721">
        <v>6</v>
      </c>
      <c r="G29" s="4721"/>
      <c r="H29" s="4721"/>
      <c r="I29" s="4721">
        <f>SUM(B29:H29)</f>
        <v>37</v>
      </c>
      <c r="J29" s="4723"/>
      <c r="M29" s="21">
        <f>P27</f>
        <v>3.5202702702702702</v>
      </c>
      <c r="N29" t="s">
        <v>864</v>
      </c>
      <c r="P29" s="21">
        <f>SUM(P27*3)</f>
        <v>10.560810810810811</v>
      </c>
      <c r="Q29" t="s">
        <v>860</v>
      </c>
    </row>
    <row r="30" spans="1:17" x14ac:dyDescent="0.2">
      <c r="A30" s="4659"/>
      <c r="B30" s="4661" t="s">
        <v>752</v>
      </c>
      <c r="C30" s="4661" t="s">
        <v>752</v>
      </c>
      <c r="D30" s="4661" t="s">
        <v>752</v>
      </c>
      <c r="E30" s="4661" t="s">
        <v>752</v>
      </c>
      <c r="F30" s="4661" t="s">
        <v>753</v>
      </c>
      <c r="G30" s="4661"/>
      <c r="H30" s="4661"/>
      <c r="I30" s="4742"/>
      <c r="J30" s="4662"/>
      <c r="M30" s="21"/>
      <c r="P30" s="21"/>
    </row>
    <row r="31" spans="1:17" x14ac:dyDescent="0.2">
      <c r="A31" s="147" t="s">
        <v>865</v>
      </c>
      <c r="B31" s="4721">
        <v>7.75</v>
      </c>
      <c r="C31" s="4721">
        <v>7.75</v>
      </c>
      <c r="D31" s="4721">
        <v>7.75</v>
      </c>
      <c r="E31" s="4721">
        <v>7.75</v>
      </c>
      <c r="F31" s="4721">
        <v>6</v>
      </c>
      <c r="G31" s="4721"/>
      <c r="H31" s="4721"/>
      <c r="I31" s="4721">
        <f>SUM(B31:H31)</f>
        <v>37</v>
      </c>
      <c r="J31" s="4723"/>
      <c r="M31" s="21"/>
      <c r="P31" s="21"/>
    </row>
    <row r="32" spans="1:17" x14ac:dyDescent="0.2">
      <c r="A32" s="461"/>
      <c r="B32" s="454" t="s">
        <v>752</v>
      </c>
      <c r="C32" s="454" t="s">
        <v>752</v>
      </c>
      <c r="D32" s="454" t="s">
        <v>752</v>
      </c>
      <c r="E32" s="454" t="s">
        <v>752</v>
      </c>
      <c r="F32" s="454" t="s">
        <v>753</v>
      </c>
      <c r="G32" s="454"/>
      <c r="H32" s="462"/>
      <c r="I32" s="4762"/>
      <c r="J32" s="463"/>
    </row>
    <row r="33" spans="1:25" x14ac:dyDescent="0.2">
      <c r="A33" s="147" t="s">
        <v>866</v>
      </c>
      <c r="B33" s="4721">
        <v>7.75</v>
      </c>
      <c r="C33" s="4721">
        <v>7.75</v>
      </c>
      <c r="D33" s="4721">
        <v>7.75</v>
      </c>
      <c r="E33" s="4721">
        <v>7.75</v>
      </c>
      <c r="F33" s="4721">
        <v>6</v>
      </c>
      <c r="G33" s="151"/>
      <c r="H33" s="156"/>
      <c r="I33" s="173">
        <f>SUM(B33:H33)</f>
        <v>37</v>
      </c>
      <c r="J33" s="158"/>
      <c r="M33">
        <f>P23</f>
        <v>148</v>
      </c>
      <c r="N33" t="s">
        <v>867</v>
      </c>
      <c r="P33" s="47">
        <f>P29</f>
        <v>10.560810810810811</v>
      </c>
      <c r="Q33" t="s">
        <v>868</v>
      </c>
      <c r="R33" s="21">
        <f>SUM(M33-P33)</f>
        <v>137.43918918918919</v>
      </c>
      <c r="S33" t="s">
        <v>869</v>
      </c>
    </row>
    <row r="34" spans="1:25" x14ac:dyDescent="0.2">
      <c r="A34" s="4677" t="s">
        <v>749</v>
      </c>
      <c r="B34" s="4763">
        <f t="shared" ref="B34:I34" si="1">SUM(B29,B31,B33)</f>
        <v>23.25</v>
      </c>
      <c r="C34" s="4763">
        <f t="shared" si="1"/>
        <v>23.25</v>
      </c>
      <c r="D34" s="4763">
        <f t="shared" si="1"/>
        <v>23.25</v>
      </c>
      <c r="E34" s="4763">
        <f t="shared" si="1"/>
        <v>23.25</v>
      </c>
      <c r="F34" s="4763">
        <f t="shared" si="1"/>
        <v>18</v>
      </c>
      <c r="G34" s="4763">
        <f t="shared" si="1"/>
        <v>0</v>
      </c>
      <c r="H34" s="4763">
        <f t="shared" si="1"/>
        <v>0</v>
      </c>
      <c r="I34" s="4763">
        <f t="shared" si="1"/>
        <v>111</v>
      </c>
      <c r="J34" s="4687"/>
    </row>
    <row r="35" spans="1:25" ht="12.75" x14ac:dyDescent="0.2">
      <c r="A35" s="5"/>
      <c r="B35" s="5"/>
      <c r="C35" s="5"/>
      <c r="D35" s="5"/>
      <c r="E35" s="5"/>
      <c r="F35" s="5"/>
      <c r="G35" s="4739" t="s">
        <v>851</v>
      </c>
      <c r="H35" s="4739" t="s">
        <v>852</v>
      </c>
      <c r="I35" s="4739" t="s">
        <v>853</v>
      </c>
      <c r="J35" s="6"/>
      <c r="M35">
        <f>I25</f>
        <v>207.75</v>
      </c>
      <c r="N35" t="s">
        <v>870</v>
      </c>
      <c r="O35" s="21">
        <f>R33</f>
        <v>137.43918918918919</v>
      </c>
      <c r="P35" s="4764">
        <f>SUM(M35-O35)</f>
        <v>70.310810810810807</v>
      </c>
    </row>
    <row r="36" spans="1:25" x14ac:dyDescent="0.2">
      <c r="A36" s="5"/>
      <c r="B36" s="5"/>
      <c r="C36" s="5"/>
      <c r="D36" s="5"/>
      <c r="E36" s="5"/>
      <c r="F36" s="5"/>
      <c r="G36" s="4713">
        <f>I25+I34</f>
        <v>318.75</v>
      </c>
      <c r="H36" s="4740">
        <f>SUM(G36*13/3)</f>
        <v>1381.25</v>
      </c>
      <c r="I36" s="4713">
        <f>SUM(H36*12)</f>
        <v>16575</v>
      </c>
      <c r="J36" s="6"/>
    </row>
    <row r="37" spans="1:25" x14ac:dyDescent="0.2">
      <c r="A37" s="5"/>
      <c r="B37" s="5"/>
      <c r="C37" s="5"/>
      <c r="D37" s="5"/>
      <c r="E37" s="5"/>
      <c r="F37" s="5"/>
      <c r="G37" s="5"/>
      <c r="H37" s="23"/>
      <c r="I37" s="5"/>
      <c r="J37" s="6"/>
    </row>
    <row r="38" spans="1:25" ht="12.75" x14ac:dyDescent="0.2">
      <c r="A38" s="99" t="s">
        <v>871</v>
      </c>
      <c r="B38" s="5"/>
      <c r="C38" s="5"/>
      <c r="D38" s="5"/>
      <c r="E38" s="5"/>
      <c r="F38" s="5"/>
    </row>
    <row r="39" spans="1:25" ht="12.75" x14ac:dyDescent="0.2">
      <c r="A39" s="4765" t="s">
        <v>872</v>
      </c>
      <c r="B39" s="4654" t="s">
        <v>17</v>
      </c>
      <c r="C39" s="4655" t="s">
        <v>18</v>
      </c>
      <c r="D39" s="4655" t="s">
        <v>19</v>
      </c>
      <c r="E39" s="4655" t="s">
        <v>20</v>
      </c>
      <c r="F39" s="4655" t="s">
        <v>21</v>
      </c>
      <c r="G39" s="4655" t="s">
        <v>22</v>
      </c>
      <c r="H39" s="4766" t="s">
        <v>23</v>
      </c>
      <c r="I39" s="4767" t="s">
        <v>234</v>
      </c>
      <c r="J39" s="4768" t="s">
        <v>126</v>
      </c>
      <c r="K39" t="s">
        <v>0</v>
      </c>
      <c r="M39" s="4769" t="s">
        <v>854</v>
      </c>
      <c r="N39" s="4770"/>
      <c r="P39" s="48"/>
      <c r="Q39" s="48"/>
      <c r="R39" s="48"/>
      <c r="S39" t="s">
        <v>873</v>
      </c>
      <c r="V39" s="1" t="s">
        <v>0</v>
      </c>
    </row>
    <row r="40" spans="1:25" ht="12.75" x14ac:dyDescent="0.2">
      <c r="A40" s="4771" t="s">
        <v>758</v>
      </c>
      <c r="B40" s="4772" t="s">
        <v>10</v>
      </c>
      <c r="C40" s="4772" t="s">
        <v>10</v>
      </c>
      <c r="D40" s="4772" t="s">
        <v>10</v>
      </c>
      <c r="E40" s="4772" t="s">
        <v>10</v>
      </c>
      <c r="F40" s="4772" t="s">
        <v>10</v>
      </c>
      <c r="G40" s="4773" t="s">
        <v>10</v>
      </c>
      <c r="H40" s="4773" t="s">
        <v>10</v>
      </c>
      <c r="I40" s="4767"/>
      <c r="J40" s="4774" t="s">
        <v>758</v>
      </c>
      <c r="M40" s="482"/>
      <c r="N40" s="483" t="s">
        <v>874</v>
      </c>
      <c r="S40" s="4775" t="s">
        <v>10</v>
      </c>
      <c r="T40" s="4776"/>
      <c r="U40" s="4777"/>
      <c r="V40" s="4777"/>
      <c r="W40" s="48"/>
      <c r="Y40" s="5"/>
    </row>
    <row r="41" spans="1:25" ht="12.75" x14ac:dyDescent="0.2">
      <c r="A41" s="164" t="s">
        <v>10</v>
      </c>
      <c r="B41" s="175">
        <v>8.25</v>
      </c>
      <c r="C41" s="175">
        <v>8.25</v>
      </c>
      <c r="D41" s="175">
        <v>8.25</v>
      </c>
      <c r="E41" s="175">
        <v>8.25</v>
      </c>
      <c r="F41" s="175">
        <v>8.25</v>
      </c>
      <c r="G41" s="176">
        <v>12.25</v>
      </c>
      <c r="H41" s="176">
        <v>12.25</v>
      </c>
      <c r="I41" s="150">
        <f>SUM(B41:H41)</f>
        <v>65.75</v>
      </c>
      <c r="J41" s="177" t="s">
        <v>10</v>
      </c>
      <c r="M41" s="4747" t="s">
        <v>235</v>
      </c>
      <c r="N41" s="4748">
        <f>I41</f>
        <v>65.75</v>
      </c>
      <c r="S41" s="4778" t="s">
        <v>10</v>
      </c>
      <c r="T41" s="4779"/>
      <c r="U41" s="4779"/>
      <c r="V41" s="4779"/>
      <c r="Y41" s="5"/>
    </row>
    <row r="42" spans="1:25" ht="12.75" x14ac:dyDescent="0.2">
      <c r="A42" s="4780"/>
      <c r="B42" s="4781" t="s">
        <v>10</v>
      </c>
      <c r="C42" s="4781" t="s">
        <v>10</v>
      </c>
      <c r="D42" s="4781" t="s">
        <v>10</v>
      </c>
      <c r="E42" s="4781" t="s">
        <v>10</v>
      </c>
      <c r="F42" s="4781" t="s">
        <v>10</v>
      </c>
      <c r="G42" s="4782" t="s">
        <v>10</v>
      </c>
      <c r="H42" s="4783" t="s">
        <v>10</v>
      </c>
      <c r="I42" s="4767"/>
      <c r="J42" s="4784"/>
      <c r="M42" s="4747" t="s">
        <v>236</v>
      </c>
      <c r="N42" s="4748">
        <f>I47</f>
        <v>0</v>
      </c>
      <c r="S42" s="4785" t="s">
        <v>10</v>
      </c>
      <c r="T42" s="4786"/>
      <c r="U42" s="4786"/>
      <c r="V42" s="4786"/>
      <c r="Y42" s="5"/>
    </row>
    <row r="43" spans="1:25" ht="12.75" x14ac:dyDescent="0.2">
      <c r="A43" s="164" t="s">
        <v>10</v>
      </c>
      <c r="B43" s="162">
        <v>7</v>
      </c>
      <c r="C43" s="162">
        <v>7</v>
      </c>
      <c r="D43" s="162">
        <v>7</v>
      </c>
      <c r="E43" s="162">
        <v>7</v>
      </c>
      <c r="F43" s="162">
        <v>7</v>
      </c>
      <c r="G43" s="178">
        <v>11</v>
      </c>
      <c r="H43" s="179">
        <v>11</v>
      </c>
      <c r="I43" s="150">
        <f>SUM(B43:H43)</f>
        <v>57</v>
      </c>
      <c r="J43" s="177" t="s">
        <v>875</v>
      </c>
      <c r="K43" s="1" t="s">
        <v>0</v>
      </c>
      <c r="M43" s="4747" t="s">
        <v>243</v>
      </c>
      <c r="N43" s="4748">
        <f>I53</f>
        <v>58.5</v>
      </c>
      <c r="S43" s="4787" t="s">
        <v>10</v>
      </c>
      <c r="T43" s="4788"/>
      <c r="U43" s="4788"/>
      <c r="V43" s="4788"/>
      <c r="Y43" s="5"/>
    </row>
    <row r="44" spans="1:25" ht="12.75" x14ac:dyDescent="0.2">
      <c r="A44" s="4780"/>
      <c r="B44" s="4789" t="s">
        <v>10</v>
      </c>
      <c r="C44" s="4789" t="s">
        <v>10</v>
      </c>
      <c r="D44" s="4789" t="s">
        <v>10</v>
      </c>
      <c r="E44" s="4789" t="s">
        <v>10</v>
      </c>
      <c r="F44" s="4789" t="s">
        <v>10</v>
      </c>
      <c r="G44" s="4783" t="s">
        <v>10</v>
      </c>
      <c r="H44" s="4783" t="s">
        <v>10</v>
      </c>
      <c r="I44" s="4767"/>
      <c r="J44" s="4784"/>
      <c r="M44" s="4747" t="s">
        <v>245</v>
      </c>
      <c r="N44" s="4748">
        <f>I59</f>
        <v>0</v>
      </c>
      <c r="S44" s="49"/>
      <c r="T44" s="50"/>
      <c r="Y44" s="5"/>
    </row>
    <row r="45" spans="1:25" ht="12.75" x14ac:dyDescent="0.2">
      <c r="A45" s="164" t="s">
        <v>10</v>
      </c>
      <c r="B45" s="180">
        <v>8</v>
      </c>
      <c r="C45" s="180">
        <v>8</v>
      </c>
      <c r="D45" s="180">
        <v>8</v>
      </c>
      <c r="E45" s="180">
        <v>8</v>
      </c>
      <c r="F45" s="180">
        <v>8</v>
      </c>
      <c r="G45" s="178">
        <v>12</v>
      </c>
      <c r="H45" s="178">
        <v>12</v>
      </c>
      <c r="I45" s="150">
        <f>SUM(B45:H45)</f>
        <v>64</v>
      </c>
      <c r="J45" s="177" t="s">
        <v>10</v>
      </c>
      <c r="M45" s="4747" t="s">
        <v>262</v>
      </c>
      <c r="N45" s="4748">
        <v>0</v>
      </c>
      <c r="Y45" s="5"/>
    </row>
    <row r="46" spans="1:25" ht="12.75" x14ac:dyDescent="0.2">
      <c r="A46" s="4771" t="s">
        <v>767</v>
      </c>
      <c r="B46" s="4660" t="s">
        <v>534</v>
      </c>
      <c r="C46" s="4660" t="s">
        <v>534</v>
      </c>
      <c r="D46" s="4660" t="s">
        <v>534</v>
      </c>
      <c r="E46" s="4660" t="s">
        <v>534</v>
      </c>
      <c r="F46" s="4660" t="s">
        <v>534</v>
      </c>
      <c r="G46" s="4790"/>
      <c r="H46" s="4791"/>
      <c r="I46" s="4792"/>
      <c r="J46" s="4774" t="s">
        <v>767</v>
      </c>
      <c r="M46" s="4747" t="s">
        <v>856</v>
      </c>
      <c r="N46" s="4748">
        <f>I43</f>
        <v>57</v>
      </c>
      <c r="S46" s="4793" t="s">
        <v>10</v>
      </c>
      <c r="T46" s="4794"/>
      <c r="U46" s="4794"/>
      <c r="V46" s="4794"/>
      <c r="Y46" s="5"/>
    </row>
    <row r="47" spans="1:25" ht="12.75" x14ac:dyDescent="0.2">
      <c r="A47" s="164" t="s">
        <v>10</v>
      </c>
      <c r="B47" s="4664"/>
      <c r="C47" s="4664"/>
      <c r="D47" s="4664"/>
      <c r="E47" s="4664"/>
      <c r="F47" s="4664"/>
      <c r="G47" s="151"/>
      <c r="H47" s="181"/>
      <c r="I47" s="150">
        <f>SUM(B47:H47)</f>
        <v>0</v>
      </c>
      <c r="J47" s="177" t="s">
        <v>10</v>
      </c>
      <c r="M47" s="4747" t="s">
        <v>876</v>
      </c>
      <c r="N47" s="4748">
        <f>I49</f>
        <v>0</v>
      </c>
      <c r="S47" s="1"/>
      <c r="Y47" s="5"/>
    </row>
    <row r="48" spans="1:25" ht="12.75" x14ac:dyDescent="0.2">
      <c r="A48" s="4780"/>
      <c r="B48" s="4660" t="s">
        <v>534</v>
      </c>
      <c r="C48" s="4660" t="s">
        <v>534</v>
      </c>
      <c r="D48" s="4660" t="s">
        <v>534</v>
      </c>
      <c r="E48" s="4660" t="s">
        <v>534</v>
      </c>
      <c r="F48" s="4660" t="s">
        <v>534</v>
      </c>
      <c r="G48" s="4767"/>
      <c r="H48" s="4795"/>
      <c r="I48" s="4767"/>
      <c r="J48" s="4784"/>
      <c r="M48" s="4747" t="s">
        <v>877</v>
      </c>
      <c r="N48" s="4748">
        <f>I55</f>
        <v>56</v>
      </c>
      <c r="S48" s="4793" t="s">
        <v>10</v>
      </c>
      <c r="T48" s="4794"/>
      <c r="U48" s="4794"/>
      <c r="V48" s="4794"/>
      <c r="Y48" s="5"/>
    </row>
    <row r="49" spans="1:32" ht="12.75" x14ac:dyDescent="0.2">
      <c r="A49" s="164" t="s">
        <v>10</v>
      </c>
      <c r="B49" s="4664"/>
      <c r="C49" s="4664"/>
      <c r="D49" s="4664"/>
      <c r="E49" s="4664"/>
      <c r="F49" s="4664"/>
      <c r="G49" s="171"/>
      <c r="H49" s="148"/>
      <c r="I49" s="150">
        <f>SUM(B49:H49)</f>
        <v>0</v>
      </c>
      <c r="J49" s="177" t="s">
        <v>876</v>
      </c>
      <c r="M49" s="4747" t="s">
        <v>878</v>
      </c>
      <c r="N49" s="4748">
        <f>I61</f>
        <v>0</v>
      </c>
      <c r="S49" s="1"/>
      <c r="Y49" s="5"/>
    </row>
    <row r="50" spans="1:32" ht="12.75" x14ac:dyDescent="0.2">
      <c r="A50" s="4765"/>
      <c r="B50" s="4660" t="s">
        <v>534</v>
      </c>
      <c r="C50" s="4660" t="s">
        <v>534</v>
      </c>
      <c r="D50" s="4660" t="s">
        <v>534</v>
      </c>
      <c r="E50" s="4660" t="s">
        <v>534</v>
      </c>
      <c r="F50" s="4660" t="s">
        <v>534</v>
      </c>
      <c r="G50" s="4796" t="s">
        <v>10</v>
      </c>
      <c r="H50" s="4797" t="s">
        <v>10</v>
      </c>
      <c r="I50" s="4767"/>
      <c r="J50" s="4798"/>
      <c r="M50" s="4747" t="s">
        <v>879</v>
      </c>
      <c r="N50" s="4748">
        <v>41.5</v>
      </c>
      <c r="S50" s="4793" t="s">
        <v>10</v>
      </c>
      <c r="T50" s="4794"/>
      <c r="U50" s="4794"/>
      <c r="V50" s="4794"/>
      <c r="Y50" s="5"/>
    </row>
    <row r="51" spans="1:32" ht="12.75" x14ac:dyDescent="0.2">
      <c r="A51" s="164" t="s">
        <v>10</v>
      </c>
      <c r="B51" s="4664"/>
      <c r="C51" s="4664"/>
      <c r="D51" s="4664"/>
      <c r="E51" s="4664"/>
      <c r="F51" s="4664"/>
      <c r="G51" s="182">
        <v>12.25</v>
      </c>
      <c r="H51" s="183">
        <v>12.25</v>
      </c>
      <c r="I51" s="150">
        <f>SUM(B51:H51)</f>
        <v>24.5</v>
      </c>
      <c r="J51" s="177" t="s">
        <v>10</v>
      </c>
      <c r="M51" s="4747" t="s">
        <v>880</v>
      </c>
      <c r="N51" s="4748">
        <f>I45</f>
        <v>64</v>
      </c>
      <c r="Y51" s="5"/>
    </row>
    <row r="52" spans="1:32" ht="12.75" x14ac:dyDescent="0.2">
      <c r="A52" s="4771" t="s">
        <v>771</v>
      </c>
      <c r="B52" s="4799" t="s">
        <v>10</v>
      </c>
      <c r="C52" s="4799" t="s">
        <v>10</v>
      </c>
      <c r="D52" s="4799" t="s">
        <v>10</v>
      </c>
      <c r="E52" s="4799" t="s">
        <v>10</v>
      </c>
      <c r="F52" s="4799" t="s">
        <v>10</v>
      </c>
      <c r="G52" s="4796" t="s">
        <v>10</v>
      </c>
      <c r="H52" s="4797" t="s">
        <v>10</v>
      </c>
      <c r="I52" s="4767"/>
      <c r="J52" s="4774" t="s">
        <v>771</v>
      </c>
      <c r="K52" s="1" t="s">
        <v>0</v>
      </c>
      <c r="M52" s="4747" t="s">
        <v>881</v>
      </c>
      <c r="N52" s="4748">
        <f>I51</f>
        <v>24.5</v>
      </c>
      <c r="S52" t="s">
        <v>882</v>
      </c>
      <c r="Y52" s="5"/>
    </row>
    <row r="53" spans="1:32" ht="12.75" x14ac:dyDescent="0.2">
      <c r="A53" s="164" t="s">
        <v>10</v>
      </c>
      <c r="B53" s="184">
        <v>7</v>
      </c>
      <c r="C53" s="184">
        <v>7</v>
      </c>
      <c r="D53" s="184">
        <v>7</v>
      </c>
      <c r="E53" s="184">
        <v>7</v>
      </c>
      <c r="F53" s="184">
        <v>6.5</v>
      </c>
      <c r="G53" s="182">
        <v>12</v>
      </c>
      <c r="H53" s="183">
        <v>12</v>
      </c>
      <c r="I53" s="150">
        <f>SUM(B53:H53)</f>
        <v>58.5</v>
      </c>
      <c r="J53" s="177" t="s">
        <v>10</v>
      </c>
      <c r="M53" s="4747" t="s">
        <v>883</v>
      </c>
      <c r="N53" s="4748">
        <f>I57</f>
        <v>40</v>
      </c>
      <c r="S53" s="4800" t="s">
        <v>10</v>
      </c>
      <c r="T53" s="4801"/>
      <c r="U53" s="4801"/>
      <c r="V53" s="4801"/>
      <c r="Y53" s="5"/>
    </row>
    <row r="54" spans="1:32" ht="12.75" x14ac:dyDescent="0.2">
      <c r="A54" s="4780"/>
      <c r="B54" s="4802" t="s">
        <v>10</v>
      </c>
      <c r="C54" s="4802" t="s">
        <v>10</v>
      </c>
      <c r="D54" s="4802" t="s">
        <v>10</v>
      </c>
      <c r="E54" s="4802" t="s">
        <v>10</v>
      </c>
      <c r="F54" s="4802" t="s">
        <v>10</v>
      </c>
      <c r="G54" s="4796" t="s">
        <v>10</v>
      </c>
      <c r="H54" s="4797" t="s">
        <v>10</v>
      </c>
      <c r="I54" s="4792"/>
      <c r="J54" s="4784"/>
      <c r="M54" s="4747" t="s">
        <v>884</v>
      </c>
      <c r="N54" s="4748">
        <f>I63</f>
        <v>40</v>
      </c>
      <c r="S54" s="4803" t="s">
        <v>10</v>
      </c>
      <c r="T54" s="4804"/>
      <c r="U54" s="4804"/>
      <c r="V54" s="4804"/>
      <c r="Y54" s="5"/>
    </row>
    <row r="55" spans="1:32" ht="12.75" x14ac:dyDescent="0.2">
      <c r="A55" s="20" t="s">
        <v>10</v>
      </c>
      <c r="B55" s="485">
        <v>7</v>
      </c>
      <c r="C55" s="485">
        <v>7</v>
      </c>
      <c r="D55" s="485">
        <v>7</v>
      </c>
      <c r="E55" s="485">
        <v>7</v>
      </c>
      <c r="F55" s="485">
        <v>7</v>
      </c>
      <c r="G55" s="486">
        <v>9</v>
      </c>
      <c r="H55" s="183">
        <v>12</v>
      </c>
      <c r="I55" s="150">
        <f>SUM(B55:H55)</f>
        <v>56</v>
      </c>
      <c r="J55" s="177" t="s">
        <v>877</v>
      </c>
      <c r="M55" s="4747" t="s">
        <v>885</v>
      </c>
      <c r="N55" s="4748">
        <v>0</v>
      </c>
      <c r="S55" s="4805" t="s">
        <v>10</v>
      </c>
      <c r="T55" s="4806"/>
      <c r="U55" s="4807"/>
      <c r="V55" s="4807"/>
      <c r="Y55" s="5"/>
    </row>
    <row r="56" spans="1:32" ht="12.75" x14ac:dyDescent="0.2">
      <c r="A56" s="4780"/>
      <c r="B56" s="487" t="s">
        <v>10</v>
      </c>
      <c r="C56" s="487" t="s">
        <v>10</v>
      </c>
      <c r="D56" s="487" t="s">
        <v>10</v>
      </c>
      <c r="E56" s="487" t="s">
        <v>10</v>
      </c>
      <c r="F56" s="487" t="s">
        <v>10</v>
      </c>
      <c r="G56" s="4790"/>
      <c r="H56" s="4791"/>
      <c r="I56" s="4767"/>
      <c r="J56" s="4784"/>
      <c r="M56" s="4757" t="s">
        <v>857</v>
      </c>
      <c r="N56" s="4758">
        <f>SUM(N41:N55)</f>
        <v>447.25</v>
      </c>
      <c r="S56" s="4808" t="s">
        <v>10</v>
      </c>
      <c r="T56" s="4809"/>
      <c r="U56" s="4809"/>
      <c r="V56" s="4809"/>
      <c r="Y56" s="5"/>
    </row>
    <row r="57" spans="1:32" ht="12.75" x14ac:dyDescent="0.2">
      <c r="A57" s="164" t="s">
        <v>10</v>
      </c>
      <c r="B57" s="488">
        <v>8</v>
      </c>
      <c r="C57" s="488">
        <v>8</v>
      </c>
      <c r="D57" s="488">
        <v>8</v>
      </c>
      <c r="E57" s="488">
        <v>8</v>
      </c>
      <c r="F57" s="488">
        <v>8</v>
      </c>
      <c r="G57" s="475"/>
      <c r="H57" s="51"/>
      <c r="I57" s="150">
        <f>SUM(B57:H57)</f>
        <v>40</v>
      </c>
      <c r="J57" s="177" t="s">
        <v>883</v>
      </c>
      <c r="N57" s="5"/>
      <c r="S57" s="49"/>
      <c r="T57" s="50"/>
      <c r="Y57" s="5"/>
      <c r="AE57" s="37"/>
      <c r="AF57" s="37"/>
    </row>
    <row r="58" spans="1:32" x14ac:dyDescent="0.2">
      <c r="A58" s="4771" t="s">
        <v>773</v>
      </c>
      <c r="B58" s="4660" t="s">
        <v>534</v>
      </c>
      <c r="C58" s="4660" t="s">
        <v>534</v>
      </c>
      <c r="D58" s="4660" t="s">
        <v>534</v>
      </c>
      <c r="E58" s="4660" t="s">
        <v>534</v>
      </c>
      <c r="F58" s="4660" t="s">
        <v>534</v>
      </c>
      <c r="G58" s="4790"/>
      <c r="H58" s="4791"/>
      <c r="I58" s="4767"/>
      <c r="J58" s="4774" t="s">
        <v>773</v>
      </c>
      <c r="M58" t="s">
        <v>41</v>
      </c>
      <c r="N58" t="s">
        <v>886</v>
      </c>
      <c r="P58">
        <v>555</v>
      </c>
      <c r="Q58" t="s">
        <v>860</v>
      </c>
      <c r="S58" t="s">
        <v>887</v>
      </c>
      <c r="AE58" s="5"/>
      <c r="AF58" s="5"/>
    </row>
    <row r="59" spans="1:32" ht="12.75" x14ac:dyDescent="0.2">
      <c r="A59" s="20" t="s">
        <v>10</v>
      </c>
      <c r="B59" s="4716"/>
      <c r="C59" s="4716"/>
      <c r="D59" s="4716"/>
      <c r="E59" s="4716"/>
      <c r="F59" s="4716"/>
      <c r="G59" s="475"/>
      <c r="H59" s="51"/>
      <c r="I59" s="474">
        <f>SUM(B59:H59)</f>
        <v>0</v>
      </c>
      <c r="J59" s="177" t="s">
        <v>245</v>
      </c>
      <c r="O59" t="s">
        <v>0</v>
      </c>
      <c r="S59" s="4810" t="s">
        <v>10</v>
      </c>
      <c r="T59" s="4811"/>
    </row>
    <row r="60" spans="1:32" ht="12.75" x14ac:dyDescent="0.2">
      <c r="A60" s="4780"/>
      <c r="B60" s="4660" t="s">
        <v>534</v>
      </c>
      <c r="C60" s="4660" t="s">
        <v>534</v>
      </c>
      <c r="D60" s="4660" t="s">
        <v>534</v>
      </c>
      <c r="E60" s="4660" t="s">
        <v>534</v>
      </c>
      <c r="F60" s="4660" t="s">
        <v>534</v>
      </c>
      <c r="G60" s="4767"/>
      <c r="H60" s="4795"/>
      <c r="I60" s="4767"/>
      <c r="J60" s="4784"/>
      <c r="M60" t="s">
        <v>861</v>
      </c>
      <c r="O60" s="46">
        <f>N56</f>
        <v>447.25</v>
      </c>
      <c r="S60" s="4812" t="s">
        <v>10</v>
      </c>
      <c r="T60" s="4813"/>
    </row>
    <row r="61" spans="1:32" ht="12.75" x14ac:dyDescent="0.2">
      <c r="A61" s="15" t="s">
        <v>10</v>
      </c>
      <c r="B61" s="4716"/>
      <c r="C61" s="4716"/>
      <c r="D61" s="4664"/>
      <c r="E61" s="4664"/>
      <c r="F61" s="4664"/>
      <c r="G61" s="489"/>
      <c r="H61" s="32"/>
      <c r="I61" s="474">
        <f>SUM(B61:H61)</f>
        <v>0</v>
      </c>
      <c r="J61" s="185" t="s">
        <v>878</v>
      </c>
      <c r="S61" s="4814" t="s">
        <v>10</v>
      </c>
      <c r="T61" s="4815"/>
      <c r="AE61" s="17"/>
      <c r="AF61" s="17"/>
    </row>
    <row r="62" spans="1:32" x14ac:dyDescent="0.2">
      <c r="A62" s="4780" t="s">
        <v>0</v>
      </c>
      <c r="B62" s="4816" t="s">
        <v>10</v>
      </c>
      <c r="C62" s="4816" t="s">
        <v>10</v>
      </c>
      <c r="D62" s="4816" t="s">
        <v>10</v>
      </c>
      <c r="E62" s="4816" t="s">
        <v>10</v>
      </c>
      <c r="F62" s="4816" t="s">
        <v>10</v>
      </c>
      <c r="G62" s="4817"/>
      <c r="H62" s="4795"/>
      <c r="I62" s="4767"/>
      <c r="J62" s="4784" t="s">
        <v>0</v>
      </c>
      <c r="M62">
        <f>O60</f>
        <v>447.25</v>
      </c>
      <c r="N62" t="s">
        <v>862</v>
      </c>
      <c r="P62" s="21">
        <f>SUM(M62/37)</f>
        <v>12.087837837837839</v>
      </c>
      <c r="Q62" t="s">
        <v>860</v>
      </c>
      <c r="AE62" s="18"/>
      <c r="AF62" s="18"/>
    </row>
    <row r="63" spans="1:32" ht="12.75" x14ac:dyDescent="0.2">
      <c r="A63" s="20" t="s">
        <v>10</v>
      </c>
      <c r="B63" s="490">
        <v>8</v>
      </c>
      <c r="C63" s="490">
        <v>8</v>
      </c>
      <c r="D63" s="490">
        <v>8</v>
      </c>
      <c r="E63" s="490">
        <v>8</v>
      </c>
      <c r="F63" s="490">
        <v>8</v>
      </c>
      <c r="G63" s="489"/>
      <c r="H63" s="32"/>
      <c r="I63" s="474">
        <f>SUM(B63:H63)</f>
        <v>40</v>
      </c>
      <c r="J63" s="177" t="s">
        <v>10</v>
      </c>
      <c r="S63" s="4818" t="s">
        <v>10</v>
      </c>
      <c r="T63" s="4819"/>
      <c r="U63" s="4820"/>
    </row>
    <row r="64" spans="1:32" ht="12.75" x14ac:dyDescent="0.2">
      <c r="A64" s="4771" t="s">
        <v>776</v>
      </c>
      <c r="B64" s="4821" t="s">
        <v>10</v>
      </c>
      <c r="C64" s="4821" t="s">
        <v>10</v>
      </c>
      <c r="D64" s="4821" t="s">
        <v>10</v>
      </c>
      <c r="E64" s="4821" t="s">
        <v>10</v>
      </c>
      <c r="F64" s="4821" t="s">
        <v>10</v>
      </c>
      <c r="G64" s="4654"/>
      <c r="H64" s="4822"/>
      <c r="I64" s="4767"/>
      <c r="J64" s="4774" t="s">
        <v>776</v>
      </c>
      <c r="M64" s="21">
        <f>P62</f>
        <v>12.087837837837839</v>
      </c>
      <c r="N64" t="s">
        <v>864</v>
      </c>
      <c r="P64" s="21">
        <f>SUM(P62*3)</f>
        <v>36.263513513513516</v>
      </c>
      <c r="Q64" t="s">
        <v>860</v>
      </c>
    </row>
    <row r="65" spans="1:31" ht="12.75" x14ac:dyDescent="0.2">
      <c r="A65" s="20" t="s">
        <v>10</v>
      </c>
      <c r="B65" s="186">
        <v>7</v>
      </c>
      <c r="C65" s="186">
        <v>7</v>
      </c>
      <c r="D65" s="186">
        <v>7</v>
      </c>
      <c r="E65" s="186">
        <v>7</v>
      </c>
      <c r="F65" s="186">
        <v>7</v>
      </c>
      <c r="G65" s="474"/>
      <c r="H65" s="52"/>
      <c r="I65" s="474">
        <f>SUM(B65:H65)</f>
        <v>35</v>
      </c>
      <c r="J65" s="33" t="s">
        <v>10</v>
      </c>
      <c r="S65" s="4818" t="s">
        <v>10</v>
      </c>
      <c r="T65" s="4819"/>
      <c r="U65" s="4820"/>
    </row>
    <row r="66" spans="1:31" ht="12.75" x14ac:dyDescent="0.2">
      <c r="A66" s="4780"/>
      <c r="B66" s="4823" t="s">
        <v>10</v>
      </c>
      <c r="C66" s="4823" t="s">
        <v>10</v>
      </c>
      <c r="D66" s="4823" t="s">
        <v>10</v>
      </c>
      <c r="E66" s="4823" t="s">
        <v>10</v>
      </c>
      <c r="F66" s="4823" t="s">
        <v>10</v>
      </c>
      <c r="G66" s="4654"/>
      <c r="H66" s="4822"/>
      <c r="I66" s="4824"/>
      <c r="J66" s="4784"/>
      <c r="M66">
        <f>P58</f>
        <v>555</v>
      </c>
      <c r="N66" t="s">
        <v>867</v>
      </c>
      <c r="P66" s="47">
        <f>P64</f>
        <v>36.263513513513516</v>
      </c>
      <c r="Q66" t="s">
        <v>868</v>
      </c>
      <c r="R66" s="53">
        <f>SUM(M66-P66)</f>
        <v>518.73648648648646</v>
      </c>
    </row>
    <row r="67" spans="1:31" ht="12.75" x14ac:dyDescent="0.2">
      <c r="A67" s="168" t="s">
        <v>10</v>
      </c>
      <c r="B67" s="187">
        <v>7.5</v>
      </c>
      <c r="C67" s="187">
        <v>7.5</v>
      </c>
      <c r="D67" s="187">
        <v>7.5</v>
      </c>
      <c r="E67" s="187">
        <v>7.5</v>
      </c>
      <c r="F67" s="187">
        <v>7.5</v>
      </c>
      <c r="G67" s="150"/>
      <c r="H67" s="188"/>
      <c r="I67" s="189">
        <v>41.5</v>
      </c>
      <c r="J67" s="185" t="s">
        <v>10</v>
      </c>
      <c r="S67" s="4825" t="s">
        <v>10</v>
      </c>
      <c r="T67" s="4826"/>
      <c r="U67" s="4827"/>
      <c r="AE67" s="17"/>
    </row>
    <row r="68" spans="1:31" ht="12.75" x14ac:dyDescent="0.2">
      <c r="A68" s="4780"/>
      <c r="B68" s="4828" t="s">
        <v>10</v>
      </c>
      <c r="C68" s="4829" t="s">
        <v>10</v>
      </c>
      <c r="D68" s="4829" t="s">
        <v>10</v>
      </c>
      <c r="E68" s="4829" t="s">
        <v>10</v>
      </c>
      <c r="F68" s="4829" t="s">
        <v>10</v>
      </c>
      <c r="G68" s="4654"/>
      <c r="H68" s="4822"/>
      <c r="I68" s="4830"/>
      <c r="J68" s="4784"/>
      <c r="M68" s="21">
        <v>522.25</v>
      </c>
      <c r="N68" t="s">
        <v>870</v>
      </c>
      <c r="O68" s="47">
        <f>R66</f>
        <v>518.73648648648646</v>
      </c>
      <c r="P68" s="4764">
        <f>SUM(M68-O68)</f>
        <v>3.5135135135135442</v>
      </c>
      <c r="S68" s="49"/>
      <c r="T68" s="50"/>
      <c r="AE68" s="18"/>
    </row>
    <row r="69" spans="1:31" ht="12.75" x14ac:dyDescent="0.2">
      <c r="A69" s="164" t="s">
        <v>10</v>
      </c>
      <c r="B69" s="190">
        <v>8</v>
      </c>
      <c r="C69" s="190">
        <v>8</v>
      </c>
      <c r="D69" s="190">
        <v>8</v>
      </c>
      <c r="E69" s="190">
        <v>8</v>
      </c>
      <c r="F69" s="190">
        <v>8</v>
      </c>
      <c r="G69" s="150"/>
      <c r="H69" s="150"/>
      <c r="I69" s="189">
        <f>SUM(B69:H69)</f>
        <v>40</v>
      </c>
      <c r="J69" s="177" t="s">
        <v>888</v>
      </c>
    </row>
    <row r="70" spans="1:31" x14ac:dyDescent="0.2">
      <c r="A70" s="24" t="s">
        <v>749</v>
      </c>
      <c r="B70" s="40">
        <f t="shared" ref="B70:I70" si="2">SUM(B41,B43,B45,B47,B49,B51,B53,B55,B57,B59,B61,B63,B65,B67,B69)</f>
        <v>75.75</v>
      </c>
      <c r="C70" s="40">
        <f t="shared" si="2"/>
        <v>75.75</v>
      </c>
      <c r="D70" s="40">
        <f t="shared" si="2"/>
        <v>75.75</v>
      </c>
      <c r="E70" s="40">
        <f t="shared" si="2"/>
        <v>75.75</v>
      </c>
      <c r="F70" s="40">
        <f t="shared" si="2"/>
        <v>75.25</v>
      </c>
      <c r="G70" s="40">
        <f t="shared" si="2"/>
        <v>68.5</v>
      </c>
      <c r="H70" s="40">
        <f t="shared" si="2"/>
        <v>71.5</v>
      </c>
      <c r="I70" s="40">
        <f t="shared" si="2"/>
        <v>522.25</v>
      </c>
      <c r="J70" s="26"/>
    </row>
    <row r="71" spans="1:31" ht="12.75" x14ac:dyDescent="0.2">
      <c r="A71" s="5"/>
      <c r="B71" s="5"/>
      <c r="C71" s="5"/>
      <c r="D71" s="5"/>
      <c r="E71" s="5"/>
      <c r="F71" s="5"/>
      <c r="G71" s="4739" t="s">
        <v>851</v>
      </c>
      <c r="H71" s="4739" t="s">
        <v>852</v>
      </c>
      <c r="I71" s="4739" t="s">
        <v>853</v>
      </c>
      <c r="M71" s="37"/>
      <c r="N71" s="37"/>
      <c r="O71" s="37"/>
      <c r="P71" s="37"/>
      <c r="Q71" s="37"/>
      <c r="R71" s="37"/>
    </row>
    <row r="72" spans="1:31" x14ac:dyDescent="0.2">
      <c r="A72" s="5"/>
      <c r="B72" s="17"/>
      <c r="C72" s="17"/>
      <c r="D72" s="17"/>
      <c r="E72" s="17"/>
      <c r="F72" s="17"/>
      <c r="G72" s="4713">
        <f>I70</f>
        <v>522.25</v>
      </c>
      <c r="H72" s="4740">
        <f>SUM(G72*13/3)</f>
        <v>2263.0833333333335</v>
      </c>
      <c r="I72" s="4713">
        <f>SUM(H72*12)</f>
        <v>27157</v>
      </c>
      <c r="M72" s="5"/>
      <c r="N72" s="5"/>
      <c r="O72" s="5"/>
      <c r="P72" s="5"/>
      <c r="Q72" s="5"/>
      <c r="R72" s="5"/>
    </row>
    <row r="73" spans="1:31" x14ac:dyDescent="0.2">
      <c r="A73" s="5"/>
      <c r="B73" s="18"/>
      <c r="C73" s="18"/>
      <c r="D73" s="18"/>
      <c r="E73" s="18"/>
      <c r="F73" s="18"/>
      <c r="G73" s="5"/>
      <c r="H73" s="23"/>
      <c r="I73" s="5"/>
      <c r="N73" s="5"/>
      <c r="O73" s="5"/>
      <c r="P73" s="5"/>
      <c r="Q73" s="5"/>
      <c r="R73" s="5"/>
    </row>
    <row r="74" spans="1:31" x14ac:dyDescent="0.2">
      <c r="A74" s="5"/>
      <c r="B74" s="5"/>
      <c r="C74" s="5"/>
      <c r="D74" s="5"/>
      <c r="E74" s="5"/>
      <c r="F74" s="5"/>
      <c r="G74" s="5"/>
      <c r="H74" s="23"/>
      <c r="I74" s="5"/>
      <c r="N74" s="5"/>
      <c r="O74" s="5"/>
      <c r="P74" s="5"/>
      <c r="Q74" s="5"/>
      <c r="R74" s="5"/>
    </row>
    <row r="75" spans="1:31" ht="12.75" x14ac:dyDescent="0.2">
      <c r="A75" s="1" t="s">
        <v>889</v>
      </c>
      <c r="B75" s="5"/>
      <c r="C75" s="5"/>
      <c r="D75" s="5"/>
      <c r="E75" s="5"/>
      <c r="F75" s="5"/>
      <c r="N75" s="5"/>
      <c r="O75" s="5"/>
      <c r="P75" s="5"/>
      <c r="Q75" s="5"/>
      <c r="R75" s="5"/>
    </row>
    <row r="76" spans="1:31" ht="12.75" x14ac:dyDescent="0.2">
      <c r="A76" s="4765" t="s">
        <v>872</v>
      </c>
      <c r="B76" s="4654" t="s">
        <v>17</v>
      </c>
      <c r="C76" s="4655" t="s">
        <v>18</v>
      </c>
      <c r="D76" s="4655" t="s">
        <v>19</v>
      </c>
      <c r="E76" s="4655" t="s">
        <v>20</v>
      </c>
      <c r="F76" s="4655" t="s">
        <v>21</v>
      </c>
      <c r="G76" s="4655" t="s">
        <v>22</v>
      </c>
      <c r="H76" s="4766" t="s">
        <v>23</v>
      </c>
      <c r="I76" s="4767" t="s">
        <v>234</v>
      </c>
      <c r="J76" s="4768" t="s">
        <v>126</v>
      </c>
      <c r="N76" s="5"/>
      <c r="O76" s="5"/>
      <c r="P76" s="5"/>
      <c r="Q76" s="5"/>
      <c r="R76" s="5"/>
    </row>
    <row r="77" spans="1:31" ht="12.75" x14ac:dyDescent="0.2">
      <c r="A77" s="4780"/>
      <c r="B77" s="4772" t="s">
        <v>10</v>
      </c>
      <c r="C77" s="4772" t="s">
        <v>10</v>
      </c>
      <c r="D77" s="4772" t="s">
        <v>10</v>
      </c>
      <c r="E77" s="4772" t="s">
        <v>10</v>
      </c>
      <c r="F77" s="4772" t="s">
        <v>10</v>
      </c>
      <c r="G77" s="4773" t="s">
        <v>10</v>
      </c>
      <c r="H77" s="4773" t="s">
        <v>10</v>
      </c>
      <c r="I77" s="4824"/>
      <c r="J77" s="4784"/>
      <c r="N77" s="5"/>
      <c r="O77" s="5"/>
      <c r="P77" s="5"/>
      <c r="Q77" s="5"/>
      <c r="R77" s="5"/>
    </row>
    <row r="78" spans="1:31" ht="12.75" x14ac:dyDescent="0.2">
      <c r="A78" s="164" t="s">
        <v>10</v>
      </c>
      <c r="B78" s="175">
        <v>8.25</v>
      </c>
      <c r="C78" s="175">
        <v>8.25</v>
      </c>
      <c r="D78" s="175">
        <v>8.25</v>
      </c>
      <c r="E78" s="175">
        <v>8.25</v>
      </c>
      <c r="F78" s="175">
        <v>8.25</v>
      </c>
      <c r="G78" s="176">
        <v>12.25</v>
      </c>
      <c r="H78" s="176">
        <v>12.25</v>
      </c>
      <c r="I78" s="150">
        <f>SUM(B78:H78)</f>
        <v>65.75</v>
      </c>
      <c r="J78" s="177" t="s">
        <v>10</v>
      </c>
      <c r="N78" s="5"/>
      <c r="O78" s="5"/>
      <c r="P78" s="5"/>
      <c r="Q78" s="5"/>
      <c r="R78" s="5"/>
    </row>
    <row r="79" spans="1:31" x14ac:dyDescent="0.2">
      <c r="A79" s="4780"/>
      <c r="B79" s="4660" t="s">
        <v>534</v>
      </c>
      <c r="C79" s="4660" t="s">
        <v>534</v>
      </c>
      <c r="D79" s="4660" t="s">
        <v>534</v>
      </c>
      <c r="E79" s="4660" t="s">
        <v>534</v>
      </c>
      <c r="F79" s="4660" t="s">
        <v>534</v>
      </c>
      <c r="G79" s="4831"/>
      <c r="H79" s="4832"/>
      <c r="I79" s="4830"/>
      <c r="J79" s="4784"/>
      <c r="L79" s="17"/>
      <c r="M79" s="17"/>
      <c r="N79" s="17"/>
      <c r="O79" s="5"/>
      <c r="P79" s="5"/>
      <c r="Q79" s="5"/>
      <c r="R79" s="5"/>
    </row>
    <row r="80" spans="1:31" ht="12.75" x14ac:dyDescent="0.2">
      <c r="A80" s="164" t="s">
        <v>10</v>
      </c>
      <c r="B80" s="4664"/>
      <c r="C80" s="4664"/>
      <c r="D80" s="4664"/>
      <c r="E80" s="4664"/>
      <c r="F80" s="4664"/>
      <c r="G80" s="151"/>
      <c r="H80" s="181"/>
      <c r="I80" s="150">
        <f>SUM(B80:H80)</f>
        <v>0</v>
      </c>
      <c r="J80" s="177" t="s">
        <v>10</v>
      </c>
      <c r="L80" s="18"/>
      <c r="M80" s="18"/>
      <c r="N80" s="18"/>
      <c r="O80" s="5"/>
      <c r="P80" s="5"/>
      <c r="Q80" s="5"/>
      <c r="R80" s="5"/>
    </row>
    <row r="81" spans="1:18" ht="12.75" x14ac:dyDescent="0.2">
      <c r="A81" s="4780"/>
      <c r="B81" s="4799" t="s">
        <v>10</v>
      </c>
      <c r="C81" s="4799" t="s">
        <v>10</v>
      </c>
      <c r="D81" s="4799" t="s">
        <v>10</v>
      </c>
      <c r="E81" s="4799" t="s">
        <v>10</v>
      </c>
      <c r="F81" s="4799" t="s">
        <v>10</v>
      </c>
      <c r="G81" s="4796" t="s">
        <v>10</v>
      </c>
      <c r="H81" s="4797" t="s">
        <v>10</v>
      </c>
      <c r="I81" s="4767"/>
      <c r="J81" s="4784"/>
      <c r="N81" s="5"/>
      <c r="O81" s="5"/>
      <c r="P81" s="5"/>
      <c r="Q81" s="5"/>
      <c r="R81" s="5"/>
    </row>
    <row r="82" spans="1:18" ht="12.75" x14ac:dyDescent="0.2">
      <c r="A82" s="164" t="s">
        <v>10</v>
      </c>
      <c r="B82" s="184">
        <v>7</v>
      </c>
      <c r="C82" s="184">
        <v>7</v>
      </c>
      <c r="D82" s="184">
        <v>7</v>
      </c>
      <c r="E82" s="184">
        <v>7</v>
      </c>
      <c r="F82" s="184">
        <v>6.5</v>
      </c>
      <c r="G82" s="182">
        <v>12</v>
      </c>
      <c r="H82" s="183">
        <v>12</v>
      </c>
      <c r="I82" s="150">
        <f>SUM(B82:H82)</f>
        <v>58.5</v>
      </c>
      <c r="J82" s="177" t="s">
        <v>10</v>
      </c>
      <c r="N82" s="5"/>
      <c r="O82" s="5"/>
      <c r="P82" s="5"/>
      <c r="Q82" s="5"/>
      <c r="R82" s="5"/>
    </row>
    <row r="83" spans="1:18" x14ac:dyDescent="0.2">
      <c r="A83" s="4780"/>
      <c r="B83" s="4660" t="s">
        <v>534</v>
      </c>
      <c r="C83" s="4660" t="s">
        <v>534</v>
      </c>
      <c r="D83" s="4660" t="s">
        <v>534</v>
      </c>
      <c r="E83" s="4660" t="s">
        <v>534</v>
      </c>
      <c r="F83" s="4660" t="s">
        <v>534</v>
      </c>
      <c r="G83" s="4831"/>
      <c r="H83" s="4832"/>
      <c r="I83" s="4824"/>
      <c r="J83" s="4784"/>
      <c r="N83" s="5"/>
      <c r="O83" s="5"/>
      <c r="P83" s="5"/>
      <c r="Q83" s="5"/>
      <c r="R83" s="5"/>
    </row>
    <row r="84" spans="1:18" ht="12.75" x14ac:dyDescent="0.2">
      <c r="A84" s="164" t="s">
        <v>10</v>
      </c>
      <c r="B84" s="4716"/>
      <c r="C84" s="4716"/>
      <c r="D84" s="4716"/>
      <c r="E84" s="4716"/>
      <c r="F84" s="4716"/>
      <c r="G84" s="151"/>
      <c r="H84" s="181"/>
      <c r="I84" s="150">
        <f>SUM(B84:H84)</f>
        <v>0</v>
      </c>
      <c r="J84" s="177" t="s">
        <v>245</v>
      </c>
      <c r="N84" s="5"/>
      <c r="O84" s="5"/>
      <c r="P84" s="5"/>
      <c r="Q84" s="5"/>
      <c r="R84" s="5"/>
    </row>
    <row r="85" spans="1:18" ht="12.75" x14ac:dyDescent="0.2">
      <c r="A85" s="4780"/>
      <c r="B85" s="4821" t="s">
        <v>10</v>
      </c>
      <c r="C85" s="4821" t="s">
        <v>10</v>
      </c>
      <c r="D85" s="4821" t="s">
        <v>10</v>
      </c>
      <c r="E85" s="4821" t="s">
        <v>10</v>
      </c>
      <c r="F85" s="4821" t="s">
        <v>10</v>
      </c>
      <c r="G85" s="4833"/>
      <c r="H85" s="4834"/>
      <c r="I85" s="4824"/>
      <c r="J85" s="4784"/>
      <c r="N85" s="5"/>
      <c r="O85" s="5"/>
      <c r="P85" s="5"/>
      <c r="Q85" s="5"/>
      <c r="R85" s="5"/>
    </row>
    <row r="86" spans="1:18" ht="12.75" x14ac:dyDescent="0.2">
      <c r="A86" s="164" t="s">
        <v>10</v>
      </c>
      <c r="B86" s="186">
        <v>7</v>
      </c>
      <c r="C86" s="186">
        <v>7</v>
      </c>
      <c r="D86" s="186">
        <v>7</v>
      </c>
      <c r="E86" s="186">
        <v>7</v>
      </c>
      <c r="F86" s="186">
        <v>7</v>
      </c>
      <c r="G86" s="150"/>
      <c r="H86" s="188"/>
      <c r="I86" s="150">
        <f>SUM(B86:H86)</f>
        <v>35</v>
      </c>
      <c r="J86" s="177" t="s">
        <v>10</v>
      </c>
      <c r="N86" s="5"/>
      <c r="O86" s="5"/>
      <c r="P86" s="5"/>
      <c r="Q86" s="5"/>
      <c r="R86" s="5"/>
    </row>
    <row r="87" spans="1:18" ht="12.75" x14ac:dyDescent="0.2">
      <c r="A87" s="4780"/>
      <c r="B87" s="4781" t="s">
        <v>10</v>
      </c>
      <c r="C87" s="4781" t="s">
        <v>10</v>
      </c>
      <c r="D87" s="4781" t="s">
        <v>10</v>
      </c>
      <c r="E87" s="4781" t="s">
        <v>10</v>
      </c>
      <c r="F87" s="4781" t="s">
        <v>10</v>
      </c>
      <c r="G87" s="4782" t="s">
        <v>10</v>
      </c>
      <c r="H87" s="4783" t="s">
        <v>10</v>
      </c>
      <c r="I87" s="4767"/>
      <c r="J87" s="4784"/>
      <c r="N87" s="5"/>
      <c r="O87" s="5"/>
      <c r="P87" s="5"/>
      <c r="Q87" s="5"/>
      <c r="R87" s="5"/>
    </row>
    <row r="88" spans="1:18" ht="12.75" x14ac:dyDescent="0.2">
      <c r="A88" s="164" t="s">
        <v>10</v>
      </c>
      <c r="B88" s="162">
        <v>7</v>
      </c>
      <c r="C88" s="162">
        <v>7</v>
      </c>
      <c r="D88" s="162">
        <v>7</v>
      </c>
      <c r="E88" s="162">
        <v>7</v>
      </c>
      <c r="F88" s="162">
        <v>7</v>
      </c>
      <c r="G88" s="178">
        <v>11</v>
      </c>
      <c r="H88" s="179">
        <v>11</v>
      </c>
      <c r="I88" s="150">
        <f>SUM(B88:H88)</f>
        <v>57</v>
      </c>
      <c r="J88" s="177" t="s">
        <v>875</v>
      </c>
      <c r="N88" s="5"/>
      <c r="O88" s="5"/>
      <c r="P88" s="5"/>
      <c r="Q88" s="5"/>
      <c r="R88" s="5"/>
    </row>
    <row r="89" spans="1:18" x14ac:dyDescent="0.2">
      <c r="A89" s="4780"/>
      <c r="B89" s="4660" t="s">
        <v>534</v>
      </c>
      <c r="C89" s="4660" t="s">
        <v>534</v>
      </c>
      <c r="D89" s="4660" t="s">
        <v>534</v>
      </c>
      <c r="E89" s="4660" t="s">
        <v>534</v>
      </c>
      <c r="F89" s="4660" t="s">
        <v>534</v>
      </c>
      <c r="G89" s="4767"/>
      <c r="H89" s="4795"/>
      <c r="I89" s="4767"/>
      <c r="J89" s="4784"/>
      <c r="N89" s="5"/>
      <c r="O89" s="5"/>
      <c r="P89" s="5"/>
      <c r="Q89" s="5"/>
      <c r="R89" s="5"/>
    </row>
    <row r="90" spans="1:18" ht="12.75" x14ac:dyDescent="0.2">
      <c r="A90" s="164" t="s">
        <v>10</v>
      </c>
      <c r="B90" s="4664"/>
      <c r="C90" s="4664"/>
      <c r="D90" s="4664"/>
      <c r="E90" s="4664"/>
      <c r="F90" s="4664"/>
      <c r="G90" s="171"/>
      <c r="H90" s="148"/>
      <c r="I90" s="150">
        <f>SUM(B90:H90)</f>
        <v>0</v>
      </c>
      <c r="J90" s="177" t="s">
        <v>876</v>
      </c>
      <c r="N90" s="5"/>
      <c r="O90" s="5"/>
      <c r="P90" s="5"/>
      <c r="Q90" s="5"/>
      <c r="R90" s="5"/>
    </row>
    <row r="91" spans="1:18" ht="12.75" x14ac:dyDescent="0.2">
      <c r="A91" s="4780"/>
      <c r="B91" s="4802" t="s">
        <v>10</v>
      </c>
      <c r="C91" s="4802" t="s">
        <v>10</v>
      </c>
      <c r="D91" s="4802" t="s">
        <v>10</v>
      </c>
      <c r="E91" s="4802" t="s">
        <v>10</v>
      </c>
      <c r="F91" s="4802" t="s">
        <v>10</v>
      </c>
      <c r="G91" s="4796" t="s">
        <v>10</v>
      </c>
      <c r="H91" s="4797" t="s">
        <v>10</v>
      </c>
      <c r="I91" s="4792"/>
      <c r="J91" s="4784"/>
      <c r="N91" s="5"/>
      <c r="O91" s="5"/>
      <c r="P91" s="5"/>
      <c r="Q91" s="5"/>
      <c r="R91" s="5"/>
    </row>
    <row r="92" spans="1:18" ht="12.75" x14ac:dyDescent="0.2">
      <c r="A92" s="164" t="s">
        <v>10</v>
      </c>
      <c r="B92" s="485">
        <v>7</v>
      </c>
      <c r="C92" s="485">
        <v>7</v>
      </c>
      <c r="D92" s="485">
        <v>7</v>
      </c>
      <c r="E92" s="485">
        <v>7</v>
      </c>
      <c r="F92" s="485">
        <v>7</v>
      </c>
      <c r="G92" s="486">
        <v>9</v>
      </c>
      <c r="H92" s="183">
        <v>12</v>
      </c>
      <c r="I92" s="150">
        <f>SUM(B92:H92)</f>
        <v>56</v>
      </c>
      <c r="J92" s="177" t="s">
        <v>877</v>
      </c>
      <c r="L92" s="17"/>
      <c r="M92" s="17"/>
      <c r="N92" s="17"/>
      <c r="O92" s="5"/>
      <c r="P92" s="5"/>
      <c r="Q92" s="5"/>
      <c r="R92" s="5"/>
    </row>
    <row r="93" spans="1:18" x14ac:dyDescent="0.2">
      <c r="A93" s="4780"/>
      <c r="B93" s="4660" t="s">
        <v>534</v>
      </c>
      <c r="C93" s="4660" t="s">
        <v>534</v>
      </c>
      <c r="D93" s="4660" t="s">
        <v>534</v>
      </c>
      <c r="E93" s="4660" t="s">
        <v>534</v>
      </c>
      <c r="F93" s="4660" t="s">
        <v>534</v>
      </c>
      <c r="G93" s="4767"/>
      <c r="H93" s="4795"/>
      <c r="I93" s="4767"/>
      <c r="J93" s="4784"/>
      <c r="L93" s="18"/>
      <c r="M93" s="18"/>
      <c r="N93" s="18"/>
      <c r="O93" s="5"/>
      <c r="P93" s="5"/>
      <c r="Q93" s="5"/>
      <c r="R93" s="5"/>
    </row>
    <row r="94" spans="1:18" ht="12.75" x14ac:dyDescent="0.2">
      <c r="A94" s="15" t="s">
        <v>10</v>
      </c>
      <c r="B94" s="4716"/>
      <c r="C94" s="4716"/>
      <c r="D94" s="4664"/>
      <c r="E94" s="4664"/>
      <c r="F94" s="4664"/>
      <c r="G94" s="489"/>
      <c r="H94" s="32"/>
      <c r="I94" s="474">
        <f>SUM(B94:H94)</f>
        <v>0</v>
      </c>
      <c r="J94" s="36" t="s">
        <v>878</v>
      </c>
      <c r="N94" s="5"/>
      <c r="O94" s="5"/>
      <c r="P94" s="5"/>
      <c r="Q94" s="5"/>
      <c r="R94" s="5"/>
    </row>
    <row r="95" spans="1:18" ht="12.75" x14ac:dyDescent="0.2">
      <c r="A95" s="4780"/>
      <c r="B95" s="4823" t="s">
        <v>10</v>
      </c>
      <c r="C95" s="4823" t="s">
        <v>10</v>
      </c>
      <c r="D95" s="4823" t="s">
        <v>10</v>
      </c>
      <c r="E95" s="4823" t="s">
        <v>10</v>
      </c>
      <c r="F95" s="4823" t="s">
        <v>10</v>
      </c>
      <c r="G95" s="4654"/>
      <c r="H95" s="4822"/>
      <c r="I95" s="4657"/>
      <c r="J95" s="4784"/>
      <c r="N95" s="37"/>
      <c r="O95" s="37"/>
      <c r="P95" s="5"/>
      <c r="Q95" s="5"/>
      <c r="R95" s="5"/>
    </row>
    <row r="96" spans="1:18" ht="12.75" x14ac:dyDescent="0.2">
      <c r="A96" s="168" t="s">
        <v>10</v>
      </c>
      <c r="B96" s="187">
        <v>7.5</v>
      </c>
      <c r="C96" s="187">
        <v>7.5</v>
      </c>
      <c r="D96" s="187">
        <v>7.5</v>
      </c>
      <c r="E96" s="187">
        <v>7.5</v>
      </c>
      <c r="F96" s="187">
        <v>7.5</v>
      </c>
      <c r="G96" s="150"/>
      <c r="H96" s="188"/>
      <c r="I96" s="157">
        <f>SUM(B96:H96)</f>
        <v>37.5</v>
      </c>
      <c r="J96" s="191" t="s">
        <v>10</v>
      </c>
      <c r="L96" s="37"/>
      <c r="M96" s="37"/>
      <c r="N96" s="5"/>
      <c r="O96" s="5"/>
      <c r="P96" s="37"/>
      <c r="Q96" s="5"/>
      <c r="R96" s="5"/>
    </row>
    <row r="97" spans="1:19" ht="12.75" x14ac:dyDescent="0.2">
      <c r="A97" s="4780"/>
      <c r="B97" s="4789" t="s">
        <v>10</v>
      </c>
      <c r="C97" s="4789" t="s">
        <v>10</v>
      </c>
      <c r="D97" s="4789" t="s">
        <v>10</v>
      </c>
      <c r="E97" s="4789" t="s">
        <v>10</v>
      </c>
      <c r="F97" s="4789" t="s">
        <v>10</v>
      </c>
      <c r="G97" s="4783" t="s">
        <v>10</v>
      </c>
      <c r="H97" s="4783" t="s">
        <v>10</v>
      </c>
      <c r="I97" s="4767"/>
      <c r="J97" s="4784"/>
      <c r="L97" s="5"/>
      <c r="M97" s="5"/>
      <c r="N97" s="5"/>
      <c r="O97" s="5"/>
      <c r="P97" s="5"/>
      <c r="Q97" s="5"/>
      <c r="R97" s="5"/>
    </row>
    <row r="98" spans="1:19" ht="12.75" x14ac:dyDescent="0.2">
      <c r="A98" s="164" t="s">
        <v>10</v>
      </c>
      <c r="B98" s="180">
        <v>8</v>
      </c>
      <c r="C98" s="180">
        <v>8</v>
      </c>
      <c r="D98" s="180">
        <v>8</v>
      </c>
      <c r="E98" s="180">
        <v>8</v>
      </c>
      <c r="F98" s="180">
        <v>8</v>
      </c>
      <c r="G98" s="178">
        <v>12</v>
      </c>
      <c r="H98" s="178">
        <v>12</v>
      </c>
      <c r="I98" s="150">
        <f>SUM(B98:H98)</f>
        <v>64</v>
      </c>
      <c r="J98" s="177" t="s">
        <v>10</v>
      </c>
      <c r="N98" s="5"/>
      <c r="O98" s="5"/>
      <c r="P98" s="5"/>
      <c r="Q98" s="5"/>
      <c r="R98" s="5"/>
    </row>
    <row r="99" spans="1:19" ht="12.75" x14ac:dyDescent="0.2">
      <c r="A99" s="4765"/>
      <c r="B99" s="4660" t="s">
        <v>534</v>
      </c>
      <c r="C99" s="4660" t="s">
        <v>534</v>
      </c>
      <c r="D99" s="4660" t="s">
        <v>534</v>
      </c>
      <c r="E99" s="4660" t="s">
        <v>534</v>
      </c>
      <c r="F99" s="4660" t="s">
        <v>534</v>
      </c>
      <c r="G99" s="4796" t="s">
        <v>10</v>
      </c>
      <c r="H99" s="4797" t="s">
        <v>10</v>
      </c>
      <c r="I99" s="4767"/>
      <c r="J99" s="4798"/>
      <c r="N99" s="5"/>
      <c r="O99" s="5"/>
      <c r="P99" s="5"/>
      <c r="Q99" s="5"/>
      <c r="R99" s="5"/>
    </row>
    <row r="100" spans="1:19" ht="12.75" x14ac:dyDescent="0.2">
      <c r="A100" s="164" t="s">
        <v>10</v>
      </c>
      <c r="B100" s="4664"/>
      <c r="C100" s="4664"/>
      <c r="D100" s="4664"/>
      <c r="E100" s="4664"/>
      <c r="F100" s="4664"/>
      <c r="G100" s="182">
        <v>12.25</v>
      </c>
      <c r="H100" s="183">
        <v>12.25</v>
      </c>
      <c r="I100" s="150">
        <f>SUM(B100:H100)</f>
        <v>24.5</v>
      </c>
      <c r="J100" s="177" t="s">
        <v>10</v>
      </c>
      <c r="N100" s="5"/>
      <c r="O100" s="5"/>
      <c r="P100" s="5"/>
      <c r="Q100" s="5"/>
      <c r="R100" s="5"/>
    </row>
    <row r="101" spans="1:19" ht="12.75" x14ac:dyDescent="0.2">
      <c r="A101" s="4780"/>
      <c r="B101" s="487" t="s">
        <v>10</v>
      </c>
      <c r="C101" s="487" t="s">
        <v>10</v>
      </c>
      <c r="D101" s="487" t="s">
        <v>10</v>
      </c>
      <c r="E101" s="487" t="s">
        <v>10</v>
      </c>
      <c r="F101" s="487" t="s">
        <v>10</v>
      </c>
      <c r="G101" s="4654"/>
      <c r="H101" s="4822"/>
      <c r="I101" s="4767"/>
      <c r="J101" s="4784"/>
      <c r="N101" s="5"/>
      <c r="O101" s="5"/>
      <c r="P101" s="5"/>
      <c r="Q101" s="5"/>
      <c r="R101" s="5"/>
    </row>
    <row r="102" spans="1:19" ht="12.75" x14ac:dyDescent="0.2">
      <c r="A102" s="164" t="s">
        <v>10</v>
      </c>
      <c r="B102" s="488">
        <v>8</v>
      </c>
      <c r="C102" s="488">
        <v>8</v>
      </c>
      <c r="D102" s="488">
        <v>8</v>
      </c>
      <c r="E102" s="488">
        <v>8</v>
      </c>
      <c r="F102" s="488">
        <v>8</v>
      </c>
      <c r="G102" s="150"/>
      <c r="H102" s="188"/>
      <c r="I102" s="150">
        <f>SUM(B102:H102)</f>
        <v>40</v>
      </c>
      <c r="J102" s="177" t="s">
        <v>883</v>
      </c>
      <c r="N102" s="5"/>
      <c r="O102" s="5"/>
      <c r="P102" s="5"/>
      <c r="Q102" s="5"/>
      <c r="R102" s="5"/>
    </row>
    <row r="103" spans="1:19" x14ac:dyDescent="0.2">
      <c r="A103" s="4780" t="s">
        <v>0</v>
      </c>
      <c r="B103" s="4816" t="s">
        <v>10</v>
      </c>
      <c r="C103" s="4816" t="s">
        <v>10</v>
      </c>
      <c r="D103" s="4816" t="s">
        <v>10</v>
      </c>
      <c r="E103" s="4816" t="s">
        <v>10</v>
      </c>
      <c r="F103" s="4816" t="s">
        <v>10</v>
      </c>
      <c r="G103" s="4817"/>
      <c r="H103" s="4795"/>
      <c r="I103" s="4767"/>
      <c r="J103" s="4784" t="s">
        <v>0</v>
      </c>
      <c r="N103" s="5"/>
      <c r="O103" s="5"/>
      <c r="P103" s="5"/>
      <c r="Q103" s="5"/>
      <c r="R103" s="5"/>
    </row>
    <row r="104" spans="1:19" ht="12.75" x14ac:dyDescent="0.2">
      <c r="A104" s="20" t="s">
        <v>10</v>
      </c>
      <c r="B104" s="192">
        <v>8</v>
      </c>
      <c r="C104" s="192">
        <v>8</v>
      </c>
      <c r="D104" s="192">
        <v>8</v>
      </c>
      <c r="E104" s="192">
        <v>8</v>
      </c>
      <c r="F104" s="192">
        <v>8</v>
      </c>
      <c r="G104" s="489"/>
      <c r="H104" s="32"/>
      <c r="I104" s="474">
        <f>SUM(B104:H104)</f>
        <v>40</v>
      </c>
      <c r="J104" s="33" t="s">
        <v>10</v>
      </c>
      <c r="N104" s="5"/>
      <c r="O104" s="5"/>
      <c r="P104" s="5"/>
      <c r="Q104" s="5"/>
      <c r="R104" s="5"/>
    </row>
    <row r="105" spans="1:19" ht="12.75" x14ac:dyDescent="0.2">
      <c r="A105" s="4780"/>
      <c r="B105" s="4828" t="s">
        <v>10</v>
      </c>
      <c r="C105" s="4829" t="s">
        <v>10</v>
      </c>
      <c r="D105" s="4829" t="s">
        <v>10</v>
      </c>
      <c r="E105" s="4829" t="s">
        <v>10</v>
      </c>
      <c r="F105" s="4829" t="s">
        <v>10</v>
      </c>
      <c r="G105" s="4654"/>
      <c r="H105" s="4822"/>
      <c r="I105" s="4830"/>
      <c r="J105" s="4784"/>
      <c r="N105" s="5"/>
      <c r="O105" s="5"/>
      <c r="P105" s="5"/>
      <c r="Q105" s="5"/>
      <c r="R105" s="5"/>
    </row>
    <row r="106" spans="1:19" ht="12.75" x14ac:dyDescent="0.2">
      <c r="A106" s="164" t="s">
        <v>10</v>
      </c>
      <c r="B106" s="190">
        <v>8</v>
      </c>
      <c r="C106" s="190">
        <v>8</v>
      </c>
      <c r="D106" s="190">
        <v>8</v>
      </c>
      <c r="E106" s="190">
        <v>8</v>
      </c>
      <c r="F106" s="190">
        <v>8</v>
      </c>
      <c r="G106" s="150"/>
      <c r="H106" s="150"/>
      <c r="I106" s="189">
        <f>SUM(B106:H106)</f>
        <v>40</v>
      </c>
      <c r="J106" s="177" t="s">
        <v>888</v>
      </c>
      <c r="N106" s="5"/>
      <c r="O106" s="5"/>
      <c r="P106" s="5"/>
      <c r="Q106" s="5"/>
      <c r="R106" s="5"/>
    </row>
    <row r="107" spans="1:19" x14ac:dyDescent="0.2">
      <c r="A107" s="24" t="s">
        <v>749</v>
      </c>
      <c r="B107" s="40">
        <f t="shared" ref="B107:I107" si="3">SUM(B78,B80,B82,B84,B86,B88,B90,B92,B94,B96,B98,B100,B102,B104,B106)</f>
        <v>75.75</v>
      </c>
      <c r="C107" s="40">
        <f t="shared" si="3"/>
        <v>75.75</v>
      </c>
      <c r="D107" s="40">
        <f t="shared" si="3"/>
        <v>75.75</v>
      </c>
      <c r="E107" s="40">
        <f t="shared" si="3"/>
        <v>75.75</v>
      </c>
      <c r="F107" s="40">
        <f t="shared" si="3"/>
        <v>75.25</v>
      </c>
      <c r="G107" s="40">
        <f t="shared" si="3"/>
        <v>68.5</v>
      </c>
      <c r="H107" s="40">
        <f t="shared" si="3"/>
        <v>71.5</v>
      </c>
      <c r="I107" s="40">
        <f t="shared" si="3"/>
        <v>518.25</v>
      </c>
      <c r="J107" s="26"/>
      <c r="N107" s="5"/>
      <c r="O107" s="5"/>
      <c r="P107" s="5"/>
      <c r="Q107" s="5"/>
      <c r="R107" s="5"/>
    </row>
    <row r="108" spans="1:19" ht="12.75" x14ac:dyDescent="0.2">
      <c r="A108" s="5"/>
      <c r="B108" s="5"/>
      <c r="C108" s="5"/>
      <c r="D108" s="5"/>
      <c r="E108" s="5"/>
      <c r="F108" s="5"/>
      <c r="G108" s="4739" t="s">
        <v>851</v>
      </c>
      <c r="H108" s="4739" t="s">
        <v>852</v>
      </c>
      <c r="I108" s="4739" t="s">
        <v>853</v>
      </c>
      <c r="N108" s="5"/>
      <c r="O108" s="5"/>
      <c r="P108" s="5"/>
      <c r="Q108" s="5"/>
      <c r="R108" s="5"/>
    </row>
    <row r="109" spans="1:19" ht="12.75" x14ac:dyDescent="0.2">
      <c r="A109" s="37"/>
      <c r="B109" s="37"/>
      <c r="C109" s="37"/>
      <c r="D109" s="37"/>
      <c r="E109" s="37"/>
      <c r="F109" s="5"/>
      <c r="G109" s="4713">
        <f>I107</f>
        <v>518.25</v>
      </c>
      <c r="H109" s="4740">
        <f>SUM(G109*13/3)</f>
        <v>2245.75</v>
      </c>
      <c r="I109" s="4713">
        <f>SUM(H109*12)</f>
        <v>26949</v>
      </c>
      <c r="N109" s="5"/>
      <c r="O109" s="5"/>
      <c r="P109" s="5"/>
      <c r="Q109" s="5"/>
      <c r="R109" s="5"/>
    </row>
    <row r="110" spans="1:19" ht="12.75" x14ac:dyDescent="0.2">
      <c r="A110" s="54"/>
      <c r="B110" s="54"/>
      <c r="C110" s="54"/>
      <c r="D110" s="54"/>
      <c r="E110" s="54"/>
      <c r="F110" s="5"/>
      <c r="G110" s="5"/>
      <c r="H110" s="23"/>
      <c r="I110" s="5"/>
      <c r="N110" s="5"/>
      <c r="O110" s="5"/>
      <c r="P110" s="5"/>
      <c r="Q110" s="5"/>
      <c r="R110" s="5"/>
    </row>
    <row r="111" spans="1:19" ht="12.75" x14ac:dyDescent="0.2">
      <c r="A111" s="1" t="s">
        <v>890</v>
      </c>
      <c r="B111" s="5"/>
      <c r="C111" s="5"/>
      <c r="D111" s="5"/>
      <c r="E111" s="5"/>
      <c r="F111" s="5"/>
      <c r="L111" s="5"/>
      <c r="M111" s="37"/>
      <c r="N111" s="37"/>
      <c r="O111" s="37"/>
      <c r="P111" s="37"/>
      <c r="Q111" s="37"/>
      <c r="R111" s="37"/>
      <c r="S111" s="55"/>
    </row>
    <row r="112" spans="1:19" ht="12.75" x14ac:dyDescent="0.2">
      <c r="A112" s="4679" t="s">
        <v>891</v>
      </c>
      <c r="B112" s="4680" t="s">
        <v>17</v>
      </c>
      <c r="C112" s="4681" t="s">
        <v>18</v>
      </c>
      <c r="D112" s="4681" t="s">
        <v>19</v>
      </c>
      <c r="E112" s="4681" t="s">
        <v>20</v>
      </c>
      <c r="F112" s="4681" t="s">
        <v>21</v>
      </c>
      <c r="G112" s="4681" t="s">
        <v>22</v>
      </c>
      <c r="H112" s="4682" t="s">
        <v>23</v>
      </c>
      <c r="I112" s="4683" t="s">
        <v>234</v>
      </c>
      <c r="J112" s="4684" t="s">
        <v>126</v>
      </c>
      <c r="L112" s="37"/>
      <c r="M112" s="5"/>
      <c r="N112" s="5"/>
      <c r="O112" s="5"/>
      <c r="P112" s="5"/>
      <c r="Q112" s="5"/>
      <c r="R112" s="5"/>
      <c r="S112" s="56"/>
    </row>
    <row r="113" spans="1:20" ht="12.75" x14ac:dyDescent="0.2">
      <c r="A113" s="4665" t="s">
        <v>0</v>
      </c>
      <c r="B113" s="453" t="s">
        <v>892</v>
      </c>
      <c r="C113" s="453" t="s">
        <v>892</v>
      </c>
      <c r="D113" s="453" t="s">
        <v>892</v>
      </c>
      <c r="E113" s="453" t="s">
        <v>892</v>
      </c>
      <c r="F113" s="453" t="s">
        <v>893</v>
      </c>
      <c r="G113" s="4649"/>
      <c r="H113" s="4708"/>
      <c r="I113" s="4707"/>
      <c r="J113" s="4662" t="s">
        <v>894</v>
      </c>
      <c r="L113" s="5"/>
      <c r="M113" s="17"/>
      <c r="N113" s="17"/>
      <c r="O113" s="17"/>
      <c r="P113" s="17"/>
      <c r="Q113" s="17"/>
      <c r="R113" s="55"/>
      <c r="S113" s="55"/>
    </row>
    <row r="114" spans="1:20" ht="12.75" x14ac:dyDescent="0.2">
      <c r="A114" s="147" t="s">
        <v>819</v>
      </c>
      <c r="B114" s="150">
        <v>7.75</v>
      </c>
      <c r="C114" s="150">
        <v>7.75</v>
      </c>
      <c r="D114" s="150">
        <v>7.75</v>
      </c>
      <c r="E114" s="150">
        <v>7.75</v>
      </c>
      <c r="F114" s="150">
        <v>6</v>
      </c>
      <c r="G114" s="152"/>
      <c r="H114" s="153"/>
      <c r="I114" s="157">
        <f>SUM(B114:H114)</f>
        <v>37</v>
      </c>
      <c r="J114" s="158" t="s">
        <v>895</v>
      </c>
      <c r="L114" s="37"/>
      <c r="M114" s="18"/>
      <c r="N114" s="18"/>
      <c r="O114" s="18"/>
      <c r="P114" s="18"/>
      <c r="Q114" s="18"/>
      <c r="R114" s="56"/>
      <c r="S114" s="56"/>
    </row>
    <row r="115" spans="1:20" ht="12.75" x14ac:dyDescent="0.2">
      <c r="A115" s="4679" t="s">
        <v>846</v>
      </c>
      <c r="B115" s="4680" t="s">
        <v>17</v>
      </c>
      <c r="C115" s="4681" t="s">
        <v>18</v>
      </c>
      <c r="D115" s="4681" t="s">
        <v>19</v>
      </c>
      <c r="E115" s="4681" t="s">
        <v>20</v>
      </c>
      <c r="F115" s="4681" t="s">
        <v>21</v>
      </c>
      <c r="G115" s="4681" t="s">
        <v>22</v>
      </c>
      <c r="H115" s="4682" t="s">
        <v>23</v>
      </c>
      <c r="I115" s="4683" t="s">
        <v>234</v>
      </c>
      <c r="J115" s="4684" t="s">
        <v>126</v>
      </c>
      <c r="L115" s="37"/>
      <c r="M115" s="18"/>
      <c r="N115" s="18"/>
      <c r="O115" s="18"/>
      <c r="P115" s="18"/>
      <c r="Q115" s="18"/>
      <c r="R115" s="56"/>
      <c r="S115" s="56"/>
    </row>
    <row r="116" spans="1:20" ht="12.75" x14ac:dyDescent="0.2">
      <c r="A116" s="4665" t="s">
        <v>0</v>
      </c>
      <c r="B116" s="453" t="s">
        <v>896</v>
      </c>
      <c r="C116" s="453" t="s">
        <v>896</v>
      </c>
      <c r="D116" s="453" t="s">
        <v>896</v>
      </c>
      <c r="E116" s="453" t="s">
        <v>896</v>
      </c>
      <c r="F116" s="453" t="s">
        <v>897</v>
      </c>
      <c r="G116" s="4649"/>
      <c r="H116" s="4708"/>
      <c r="I116" s="4707"/>
      <c r="J116" s="4662" t="s">
        <v>894</v>
      </c>
      <c r="L116" s="37"/>
      <c r="M116" s="18"/>
      <c r="N116" s="18"/>
      <c r="O116" s="18"/>
      <c r="P116" s="18"/>
      <c r="Q116" s="18"/>
      <c r="R116" s="56"/>
      <c r="S116" s="56"/>
    </row>
    <row r="117" spans="1:20" ht="12.75" x14ac:dyDescent="0.2">
      <c r="A117" s="147" t="s">
        <v>898</v>
      </c>
      <c r="B117" s="150">
        <v>7.75</v>
      </c>
      <c r="C117" s="150">
        <v>7.75</v>
      </c>
      <c r="D117" s="150">
        <v>7.75</v>
      </c>
      <c r="E117" s="150">
        <v>7.75</v>
      </c>
      <c r="F117" s="150">
        <v>6</v>
      </c>
      <c r="G117" s="152"/>
      <c r="H117" s="153"/>
      <c r="I117" s="157">
        <f>SUM(B117:H117)</f>
        <v>37</v>
      </c>
      <c r="J117" s="158" t="s">
        <v>895</v>
      </c>
      <c r="L117" s="37"/>
      <c r="M117" s="18"/>
      <c r="N117" s="18"/>
      <c r="O117" s="18"/>
      <c r="P117" s="18"/>
      <c r="Q117" s="18"/>
      <c r="R117" s="56"/>
      <c r="S117" s="56"/>
    </row>
    <row r="118" spans="1:20" ht="12.75" x14ac:dyDescent="0.2">
      <c r="A118" s="37"/>
      <c r="B118" s="5"/>
      <c r="C118" s="5"/>
      <c r="D118" s="5"/>
      <c r="E118" s="5"/>
      <c r="F118" s="18"/>
      <c r="G118" s="4739" t="s">
        <v>851</v>
      </c>
      <c r="H118" s="4739" t="s">
        <v>852</v>
      </c>
      <c r="I118" s="4739" t="s">
        <v>853</v>
      </c>
      <c r="J118" s="6"/>
      <c r="L118" s="5"/>
      <c r="M118" s="17"/>
      <c r="N118" s="17"/>
      <c r="O118" s="17"/>
      <c r="P118" s="17"/>
      <c r="Q118" s="17"/>
      <c r="R118" s="55"/>
      <c r="S118" s="55"/>
    </row>
    <row r="119" spans="1:20" ht="12.75" x14ac:dyDescent="0.2">
      <c r="A119" s="37"/>
      <c r="B119" s="5"/>
      <c r="C119" s="5"/>
      <c r="D119" s="5"/>
      <c r="E119" s="5"/>
      <c r="F119" s="18"/>
      <c r="G119" s="4713">
        <f>SUM(I114,I117)</f>
        <v>74</v>
      </c>
      <c r="H119" s="4740">
        <f>SUM(G119*13/3)</f>
        <v>320.66666666666669</v>
      </c>
      <c r="I119" s="4713">
        <f>SUM(H119*12)</f>
        <v>3848</v>
      </c>
      <c r="J119" s="6"/>
      <c r="M119" s="18"/>
      <c r="N119" s="18"/>
      <c r="O119" s="18"/>
      <c r="P119" s="18"/>
      <c r="Q119" s="18"/>
      <c r="R119" s="56"/>
      <c r="S119" s="56"/>
    </row>
    <row r="120" spans="1:20" ht="12.75" x14ac:dyDescent="0.2">
      <c r="A120" s="1" t="s">
        <v>899</v>
      </c>
      <c r="B120" s="5"/>
      <c r="C120" s="5"/>
      <c r="D120" s="5"/>
      <c r="E120" s="5"/>
      <c r="F120" s="5"/>
    </row>
    <row r="121" spans="1:20" ht="12.75" x14ac:dyDescent="0.2">
      <c r="A121" s="4679" t="s">
        <v>900</v>
      </c>
      <c r="B121" s="4680" t="s">
        <v>17</v>
      </c>
      <c r="C121" s="4681" t="s">
        <v>18</v>
      </c>
      <c r="D121" s="4681" t="s">
        <v>19</v>
      </c>
      <c r="E121" s="4681" t="s">
        <v>20</v>
      </c>
      <c r="F121" s="4681" t="s">
        <v>21</v>
      </c>
      <c r="G121" s="4681" t="s">
        <v>22</v>
      </c>
      <c r="H121" s="4682" t="s">
        <v>23</v>
      </c>
      <c r="I121" s="4683" t="s">
        <v>234</v>
      </c>
      <c r="J121" s="4684" t="s">
        <v>126</v>
      </c>
    </row>
    <row r="122" spans="1:20" x14ac:dyDescent="0.2">
      <c r="A122" s="4665" t="s">
        <v>0</v>
      </c>
      <c r="B122" s="453" t="s">
        <v>901</v>
      </c>
      <c r="C122" s="453" t="s">
        <v>901</v>
      </c>
      <c r="D122" s="453" t="s">
        <v>901</v>
      </c>
      <c r="E122" s="453" t="s">
        <v>901</v>
      </c>
      <c r="F122" s="453" t="s">
        <v>902</v>
      </c>
      <c r="G122" s="4649"/>
      <c r="H122" s="4708"/>
      <c r="I122" s="4707"/>
      <c r="J122" s="4662"/>
    </row>
    <row r="123" spans="1:20" ht="12.75" x14ac:dyDescent="0.2">
      <c r="A123" s="147" t="s">
        <v>821</v>
      </c>
      <c r="B123" s="150">
        <v>8</v>
      </c>
      <c r="C123" s="150">
        <v>8</v>
      </c>
      <c r="D123" s="150">
        <v>8</v>
      </c>
      <c r="E123" s="150">
        <v>8</v>
      </c>
      <c r="F123" s="150">
        <v>5</v>
      </c>
      <c r="G123" s="152"/>
      <c r="H123" s="153"/>
      <c r="I123" s="157">
        <f>SUM(B123:H123)</f>
        <v>37</v>
      </c>
      <c r="J123" s="158"/>
      <c r="L123" s="37"/>
      <c r="M123" s="37"/>
      <c r="N123" s="37"/>
      <c r="O123" s="37"/>
      <c r="P123" s="37"/>
    </row>
    <row r="124" spans="1:20" ht="12.75" x14ac:dyDescent="0.2">
      <c r="A124" s="37"/>
      <c r="B124" s="5"/>
      <c r="C124" s="5"/>
      <c r="D124" s="5"/>
      <c r="E124" s="5"/>
      <c r="F124" s="18"/>
      <c r="G124" s="4739" t="s">
        <v>851</v>
      </c>
      <c r="H124" s="4739" t="s">
        <v>852</v>
      </c>
      <c r="I124" s="4739" t="s">
        <v>853</v>
      </c>
      <c r="J124" s="6"/>
      <c r="L124" s="5"/>
      <c r="M124" s="5"/>
      <c r="N124" s="5"/>
      <c r="O124" s="5"/>
      <c r="P124" s="5"/>
    </row>
    <row r="125" spans="1:20" ht="12.75" x14ac:dyDescent="0.2">
      <c r="A125" s="37"/>
      <c r="B125" s="5"/>
      <c r="C125" s="5"/>
      <c r="D125" s="5"/>
      <c r="E125" s="5"/>
      <c r="F125" s="18"/>
      <c r="G125" s="4713">
        <f>I123</f>
        <v>37</v>
      </c>
      <c r="H125" s="4740">
        <f>SUM(G125*13/3)</f>
        <v>160.33333333333334</v>
      </c>
      <c r="I125" s="4713">
        <f>SUM(H125*12)</f>
        <v>1924</v>
      </c>
      <c r="J125" s="6"/>
      <c r="L125" s="37"/>
      <c r="M125" s="37"/>
      <c r="N125" s="37"/>
      <c r="O125" s="37"/>
      <c r="P125" s="37"/>
    </row>
    <row r="126" spans="1:20" ht="12.75" x14ac:dyDescent="0.2">
      <c r="A126" s="1" t="s">
        <v>903</v>
      </c>
      <c r="B126" s="5"/>
      <c r="C126" s="5"/>
      <c r="D126" s="5"/>
      <c r="E126" s="5"/>
      <c r="F126" s="5"/>
    </row>
    <row r="127" spans="1:20" ht="12.75" x14ac:dyDescent="0.2">
      <c r="A127" s="4653" t="s">
        <v>825</v>
      </c>
      <c r="B127" s="4654" t="s">
        <v>17</v>
      </c>
      <c r="C127" s="4655" t="s">
        <v>18</v>
      </c>
      <c r="D127" s="4655" t="s">
        <v>19</v>
      </c>
      <c r="E127" s="4655" t="s">
        <v>20</v>
      </c>
      <c r="F127" s="4655" t="s">
        <v>21</v>
      </c>
      <c r="G127" s="4655" t="s">
        <v>22</v>
      </c>
      <c r="H127" s="4656" t="s">
        <v>23</v>
      </c>
      <c r="I127" s="4657" t="s">
        <v>234</v>
      </c>
      <c r="J127" s="4658" t="s">
        <v>126</v>
      </c>
      <c r="M127" s="4744"/>
      <c r="N127" s="4745" t="s">
        <v>854</v>
      </c>
      <c r="O127">
        <v>37</v>
      </c>
      <c r="P127" t="s">
        <v>904</v>
      </c>
      <c r="Q127">
        <v>2</v>
      </c>
      <c r="R127" t="s">
        <v>905</v>
      </c>
      <c r="S127">
        <f>O127*Q127</f>
        <v>74</v>
      </c>
      <c r="T127" t="s">
        <v>906</v>
      </c>
    </row>
    <row r="128" spans="1:20" ht="12.75" x14ac:dyDescent="0.2">
      <c r="A128" s="4659" t="s">
        <v>790</v>
      </c>
      <c r="B128" s="4660" t="s">
        <v>907</v>
      </c>
      <c r="C128" s="4660" t="s">
        <v>907</v>
      </c>
      <c r="D128" s="4660" t="s">
        <v>907</v>
      </c>
      <c r="E128" s="4660" t="s">
        <v>907</v>
      </c>
      <c r="F128" s="4835" t="s">
        <v>10</v>
      </c>
      <c r="G128" s="4649"/>
      <c r="H128" s="4649"/>
      <c r="I128" s="4660"/>
      <c r="J128" s="4662" t="s">
        <v>908</v>
      </c>
      <c r="M128" s="4747"/>
      <c r="N128" s="4748" t="s">
        <v>855</v>
      </c>
      <c r="O128" t="s">
        <v>0</v>
      </c>
    </row>
    <row r="129" spans="1:22" ht="12.75" x14ac:dyDescent="0.2">
      <c r="A129" s="4836"/>
      <c r="B129" s="4716">
        <v>0</v>
      </c>
      <c r="C129" s="4716">
        <v>0</v>
      </c>
      <c r="D129" s="4716">
        <v>0</v>
      </c>
      <c r="E129" s="4716">
        <v>0</v>
      </c>
      <c r="F129" s="4837">
        <v>0</v>
      </c>
      <c r="G129" s="4838"/>
      <c r="H129" s="4838"/>
      <c r="I129" s="4716">
        <f>SUM(B129:H129)</f>
        <v>0</v>
      </c>
      <c r="J129" s="4839"/>
      <c r="M129" s="4747" t="s">
        <v>235</v>
      </c>
      <c r="N129" s="4748">
        <v>0</v>
      </c>
      <c r="O129" t="s">
        <v>909</v>
      </c>
      <c r="Q129">
        <f>I131</f>
        <v>0</v>
      </c>
    </row>
    <row r="130" spans="1:22" x14ac:dyDescent="0.2">
      <c r="A130" s="4659" t="s">
        <v>794</v>
      </c>
      <c r="B130" s="4660" t="s">
        <v>910</v>
      </c>
      <c r="C130" s="4660" t="s">
        <v>910</v>
      </c>
      <c r="D130" s="4660" t="s">
        <v>910</v>
      </c>
      <c r="E130" s="4660" t="s">
        <v>910</v>
      </c>
      <c r="F130" s="4660" t="s">
        <v>911</v>
      </c>
      <c r="G130" s="4840"/>
      <c r="H130" s="4840"/>
      <c r="I130" s="4660"/>
      <c r="J130" s="4662" t="s">
        <v>912</v>
      </c>
      <c r="M130" s="4747" t="s">
        <v>236</v>
      </c>
      <c r="N130" s="4748">
        <f>I131</f>
        <v>0</v>
      </c>
    </row>
    <row r="131" spans="1:22" ht="12.75" x14ac:dyDescent="0.2">
      <c r="A131" s="4841"/>
      <c r="B131" s="4664">
        <v>0</v>
      </c>
      <c r="C131" s="4664">
        <v>0</v>
      </c>
      <c r="D131" s="4664">
        <v>0</v>
      </c>
      <c r="E131" s="4664">
        <v>0</v>
      </c>
      <c r="F131" s="4664">
        <v>0</v>
      </c>
      <c r="G131" s="4721"/>
      <c r="H131" s="4721"/>
      <c r="I131" s="4664">
        <f>SUM(B131:H131)</f>
        <v>0</v>
      </c>
      <c r="J131" s="4723"/>
      <c r="M131" s="4747" t="s">
        <v>243</v>
      </c>
      <c r="N131" s="4748">
        <v>0</v>
      </c>
      <c r="O131">
        <f>Q129</f>
        <v>0</v>
      </c>
      <c r="P131" t="s">
        <v>913</v>
      </c>
      <c r="Q131" s="21">
        <f>SUM(O131/37)</f>
        <v>0</v>
      </c>
    </row>
    <row r="132" spans="1:22" x14ac:dyDescent="0.2">
      <c r="A132" s="24" t="s">
        <v>749</v>
      </c>
      <c r="B132" s="24">
        <f t="shared" ref="B132:I132" si="4">SUM(B129,B131)</f>
        <v>0</v>
      </c>
      <c r="C132" s="24">
        <f t="shared" si="4"/>
        <v>0</v>
      </c>
      <c r="D132" s="24">
        <f t="shared" si="4"/>
        <v>0</v>
      </c>
      <c r="E132" s="24">
        <f t="shared" si="4"/>
        <v>0</v>
      </c>
      <c r="F132" s="24">
        <f t="shared" si="4"/>
        <v>0</v>
      </c>
      <c r="G132" s="24">
        <f t="shared" si="4"/>
        <v>0</v>
      </c>
      <c r="H132" s="24">
        <f t="shared" si="4"/>
        <v>0</v>
      </c>
      <c r="I132" s="24">
        <f t="shared" si="4"/>
        <v>0</v>
      </c>
      <c r="J132" s="26"/>
      <c r="O132" t="s">
        <v>914</v>
      </c>
      <c r="Q132" s="21"/>
    </row>
    <row r="133" spans="1:22" ht="12.75" x14ac:dyDescent="0.2">
      <c r="A133" s="5"/>
      <c r="B133" s="5"/>
      <c r="C133" s="5"/>
      <c r="D133" s="5"/>
      <c r="E133" s="5"/>
      <c r="F133" s="5"/>
      <c r="G133" s="4739" t="s">
        <v>851</v>
      </c>
      <c r="H133" s="4739" t="s">
        <v>852</v>
      </c>
      <c r="I133" s="4739" t="s">
        <v>853</v>
      </c>
      <c r="Q133" s="21"/>
      <c r="V133" s="57"/>
    </row>
    <row r="134" spans="1:22" x14ac:dyDescent="0.2">
      <c r="A134" s="5"/>
      <c r="B134" s="5"/>
      <c r="C134" s="5"/>
      <c r="D134" s="5"/>
      <c r="E134" s="5"/>
      <c r="F134" s="5"/>
      <c r="G134" s="4713">
        <f>I132</f>
        <v>0</v>
      </c>
      <c r="H134" s="4740">
        <f>SUM(G134*13/3)</f>
        <v>0</v>
      </c>
      <c r="I134" s="4713">
        <f>SUM(H134*12)</f>
        <v>0</v>
      </c>
      <c r="O134" t="s">
        <v>915</v>
      </c>
      <c r="Q134" s="21"/>
    </row>
    <row r="135" spans="1:22" x14ac:dyDescent="0.2">
      <c r="A135" s="5"/>
      <c r="B135" s="5"/>
      <c r="C135" s="5"/>
      <c r="D135" s="5"/>
      <c r="E135" s="5"/>
      <c r="F135" s="5"/>
      <c r="G135" s="5"/>
      <c r="H135" s="23"/>
      <c r="I135" s="5"/>
      <c r="O135" t="s">
        <v>916</v>
      </c>
      <c r="Q135" s="48"/>
      <c r="S135" s="21"/>
      <c r="U135" s="58"/>
    </row>
    <row r="136" spans="1:22" ht="12.75" x14ac:dyDescent="0.2">
      <c r="A136" s="1" t="s">
        <v>806</v>
      </c>
      <c r="B136" s="5"/>
      <c r="C136" s="5"/>
      <c r="D136" s="5"/>
      <c r="E136" s="5"/>
      <c r="F136" s="5"/>
    </row>
    <row r="137" spans="1:22" ht="12.75" x14ac:dyDescent="0.2">
      <c r="A137" s="4679" t="s">
        <v>807</v>
      </c>
      <c r="B137" s="4680" t="s">
        <v>17</v>
      </c>
      <c r="C137" s="4681" t="s">
        <v>18</v>
      </c>
      <c r="D137" s="4681" t="s">
        <v>19</v>
      </c>
      <c r="E137" s="4681" t="s">
        <v>20</v>
      </c>
      <c r="F137" s="4681" t="s">
        <v>21</v>
      </c>
      <c r="G137" s="4681" t="s">
        <v>22</v>
      </c>
      <c r="H137" s="4682" t="s">
        <v>23</v>
      </c>
      <c r="I137" s="4683" t="s">
        <v>234</v>
      </c>
      <c r="J137" s="4684" t="s">
        <v>126</v>
      </c>
      <c r="M137" s="4744"/>
      <c r="N137" s="4745" t="s">
        <v>854</v>
      </c>
      <c r="O137" t="s">
        <v>917</v>
      </c>
    </row>
    <row r="138" spans="1:22" x14ac:dyDescent="0.2">
      <c r="A138" s="4665" t="s">
        <v>808</v>
      </c>
      <c r="B138" s="4707" t="s">
        <v>792</v>
      </c>
      <c r="C138" s="4707" t="s">
        <v>792</v>
      </c>
      <c r="D138" s="4707" t="s">
        <v>792</v>
      </c>
      <c r="E138" s="4707" t="s">
        <v>792</v>
      </c>
      <c r="F138" s="4707" t="s">
        <v>780</v>
      </c>
      <c r="G138" s="4649"/>
      <c r="H138" s="4708"/>
      <c r="I138" s="4707"/>
      <c r="J138" s="4662"/>
      <c r="M138" s="4747"/>
      <c r="N138" s="4748" t="s">
        <v>855</v>
      </c>
      <c r="O138" t="s">
        <v>0</v>
      </c>
    </row>
    <row r="139" spans="1:22" ht="12.75" x14ac:dyDescent="0.2">
      <c r="A139" s="170"/>
      <c r="B139" s="150">
        <v>7.5</v>
      </c>
      <c r="C139" s="150">
        <v>7.5</v>
      </c>
      <c r="D139" s="150">
        <v>7.5</v>
      </c>
      <c r="E139" s="150">
        <v>7.5</v>
      </c>
      <c r="F139" s="151">
        <v>7</v>
      </c>
      <c r="G139" s="152"/>
      <c r="H139" s="153"/>
      <c r="I139" s="157">
        <f>SUM(B139:H139)</f>
        <v>37</v>
      </c>
      <c r="J139" s="158"/>
      <c r="M139" s="4747" t="s">
        <v>235</v>
      </c>
      <c r="N139" s="4748">
        <v>0</v>
      </c>
      <c r="O139" t="s">
        <v>918</v>
      </c>
    </row>
    <row r="140" spans="1:22" x14ac:dyDescent="0.2">
      <c r="A140" s="4712" t="s">
        <v>809</v>
      </c>
      <c r="B140" s="4660" t="s">
        <v>919</v>
      </c>
      <c r="C140" s="4660" t="s">
        <v>919</v>
      </c>
      <c r="D140" s="4660" t="s">
        <v>919</v>
      </c>
      <c r="E140" s="4660" t="s">
        <v>919</v>
      </c>
      <c r="F140" s="4660" t="s">
        <v>920</v>
      </c>
      <c r="G140" s="455"/>
      <c r="H140" s="456"/>
      <c r="I140" s="4710"/>
      <c r="J140" s="463"/>
      <c r="M140" s="4747" t="s">
        <v>236</v>
      </c>
      <c r="N140" s="4748">
        <v>34</v>
      </c>
    </row>
    <row r="141" spans="1:22" ht="12.75" x14ac:dyDescent="0.2">
      <c r="A141" s="16"/>
      <c r="B141" s="4713">
        <v>7</v>
      </c>
      <c r="C141" s="4713">
        <v>7</v>
      </c>
      <c r="D141" s="4713">
        <v>7</v>
      </c>
      <c r="E141" s="4713">
        <v>7</v>
      </c>
      <c r="F141" s="475">
        <v>6</v>
      </c>
      <c r="G141" s="392"/>
      <c r="H141" s="17"/>
      <c r="I141" s="157">
        <f>SUM(B141:H141)</f>
        <v>34</v>
      </c>
      <c r="J141" s="471"/>
      <c r="M141" s="4747" t="s">
        <v>243</v>
      </c>
      <c r="N141" s="4748">
        <v>0</v>
      </c>
      <c r="O141" t="s">
        <v>921</v>
      </c>
    </row>
    <row r="142" spans="1:22" x14ac:dyDescent="0.2">
      <c r="A142" s="4659" t="s">
        <v>811</v>
      </c>
      <c r="B142" s="4707" t="s">
        <v>812</v>
      </c>
      <c r="C142" s="4707" t="s">
        <v>812</v>
      </c>
      <c r="D142" s="4707" t="s">
        <v>812</v>
      </c>
      <c r="E142" s="4707" t="s">
        <v>812</v>
      </c>
      <c r="F142" s="4707" t="s">
        <v>813</v>
      </c>
      <c r="G142" s="4707"/>
      <c r="H142" s="4707"/>
      <c r="I142" s="4707"/>
      <c r="J142" s="4662"/>
      <c r="M142" s="4757" t="s">
        <v>857</v>
      </c>
      <c r="N142" s="4758">
        <f>SUM(N139:N141)</f>
        <v>34</v>
      </c>
    </row>
    <row r="143" spans="1:22" x14ac:dyDescent="0.2">
      <c r="A143" s="147"/>
      <c r="B143" s="150" t="s">
        <v>922</v>
      </c>
      <c r="C143" s="150" t="s">
        <v>922</v>
      </c>
      <c r="D143" s="150" t="s">
        <v>922</v>
      </c>
      <c r="E143" s="150" t="s">
        <v>922</v>
      </c>
      <c r="F143" s="150" t="s">
        <v>922</v>
      </c>
      <c r="G143" s="151"/>
      <c r="H143" s="156"/>
      <c r="I143" s="157">
        <f>SUM(B143:H143)</f>
        <v>0</v>
      </c>
      <c r="J143" s="158"/>
      <c r="O143" t="s">
        <v>923</v>
      </c>
    </row>
    <row r="144" spans="1:22" x14ac:dyDescent="0.2">
      <c r="A144" s="4677" t="s">
        <v>749</v>
      </c>
      <c r="B144" s="4677">
        <f t="shared" ref="B144:I144" si="5">SUM(B139,B141,B143)</f>
        <v>14.5</v>
      </c>
      <c r="C144" s="4677">
        <f t="shared" si="5"/>
        <v>14.5</v>
      </c>
      <c r="D144" s="4677">
        <f t="shared" si="5"/>
        <v>14.5</v>
      </c>
      <c r="E144" s="4677">
        <f t="shared" si="5"/>
        <v>14.5</v>
      </c>
      <c r="F144" s="4677">
        <f t="shared" si="5"/>
        <v>13</v>
      </c>
      <c r="G144" s="4677">
        <f t="shared" si="5"/>
        <v>0</v>
      </c>
      <c r="H144" s="4677">
        <f t="shared" si="5"/>
        <v>0</v>
      </c>
      <c r="I144" s="4686">
        <f t="shared" si="5"/>
        <v>71</v>
      </c>
      <c r="J144" s="4687"/>
    </row>
    <row r="145" spans="1:20" ht="12.75" x14ac:dyDescent="0.2">
      <c r="A145" s="5"/>
      <c r="B145" s="5"/>
      <c r="C145" s="5"/>
      <c r="D145" s="5"/>
      <c r="E145" s="5"/>
      <c r="F145" s="18"/>
      <c r="G145" s="4739" t="s">
        <v>851</v>
      </c>
      <c r="H145" s="4739" t="s">
        <v>852</v>
      </c>
      <c r="I145" s="4739" t="s">
        <v>853</v>
      </c>
      <c r="J145" s="6"/>
      <c r="O145" t="s">
        <v>924</v>
      </c>
      <c r="P145" s="5"/>
      <c r="T145" t="s">
        <v>869</v>
      </c>
    </row>
    <row r="146" spans="1:20" x14ac:dyDescent="0.2">
      <c r="A146" s="5"/>
      <c r="B146" s="5"/>
      <c r="C146" s="5"/>
      <c r="D146" s="5"/>
      <c r="E146" s="5"/>
      <c r="F146" s="5"/>
      <c r="G146" s="4713">
        <f>I144</f>
        <v>71</v>
      </c>
      <c r="H146" s="4740">
        <f>SUM(G146*13/3)</f>
        <v>307.66666666666669</v>
      </c>
      <c r="I146" s="4713">
        <f>SUM(H146*12)</f>
        <v>3692</v>
      </c>
      <c r="J146" s="6"/>
    </row>
    <row r="147" spans="1:20" x14ac:dyDescent="0.2">
      <c r="A147" s="5"/>
      <c r="B147" s="5"/>
      <c r="C147" s="5"/>
      <c r="D147" s="5"/>
      <c r="E147" s="5"/>
      <c r="F147" s="5"/>
      <c r="G147" s="5"/>
      <c r="H147" s="23"/>
      <c r="I147" s="5"/>
      <c r="J147" s="6"/>
      <c r="O147" t="s">
        <v>10</v>
      </c>
    </row>
    <row r="148" spans="1:20" ht="12.75" x14ac:dyDescent="0.2">
      <c r="A148" s="42" t="s">
        <v>925</v>
      </c>
      <c r="B148" s="5"/>
      <c r="C148" s="5"/>
      <c r="D148" s="5"/>
      <c r="E148" s="5"/>
      <c r="F148" s="18"/>
      <c r="G148" s="18"/>
      <c r="H148" s="18"/>
      <c r="I148" s="5"/>
      <c r="J148" s="6"/>
      <c r="N148" s="5"/>
    </row>
    <row r="149" spans="1:20" ht="12.75" x14ac:dyDescent="0.2">
      <c r="A149" s="4679" t="s">
        <v>828</v>
      </c>
      <c r="B149" s="4680" t="s">
        <v>17</v>
      </c>
      <c r="C149" s="4681" t="s">
        <v>18</v>
      </c>
      <c r="D149" s="4681" t="s">
        <v>19</v>
      </c>
      <c r="E149" s="4681" t="s">
        <v>20</v>
      </c>
      <c r="F149" s="4681" t="s">
        <v>21</v>
      </c>
      <c r="G149" s="4681" t="s">
        <v>22</v>
      </c>
      <c r="H149" s="4682" t="s">
        <v>23</v>
      </c>
      <c r="I149" s="4683" t="s">
        <v>234</v>
      </c>
      <c r="J149" s="4684" t="s">
        <v>126</v>
      </c>
      <c r="N149" s="5"/>
    </row>
    <row r="150" spans="1:20" ht="12.75" x14ac:dyDescent="0.2">
      <c r="A150" s="4659" t="s">
        <v>0</v>
      </c>
      <c r="B150" s="4660" t="s">
        <v>342</v>
      </c>
      <c r="C150" s="4660" t="s">
        <v>342</v>
      </c>
      <c r="D150" s="4660" t="s">
        <v>342</v>
      </c>
      <c r="E150" s="4660" t="s">
        <v>342</v>
      </c>
      <c r="F150" s="4661" t="s">
        <v>343</v>
      </c>
      <c r="G150" s="4648"/>
      <c r="H150" s="4842" t="s">
        <v>0</v>
      </c>
      <c r="I150" s="4651"/>
      <c r="J150" s="4662" t="s">
        <v>0</v>
      </c>
      <c r="N150" s="5"/>
    </row>
    <row r="151" spans="1:20" ht="12.75" x14ac:dyDescent="0.2">
      <c r="A151" s="4843">
        <v>1</v>
      </c>
      <c r="B151" s="4664">
        <v>7.75</v>
      </c>
      <c r="C151" s="4664">
        <v>7.75</v>
      </c>
      <c r="D151" s="4664">
        <v>7.75</v>
      </c>
      <c r="E151" s="4664">
        <v>7.75</v>
      </c>
      <c r="F151" s="4721">
        <v>6</v>
      </c>
      <c r="G151" s="150"/>
      <c r="H151" s="188" t="s">
        <v>0</v>
      </c>
      <c r="I151" s="4664">
        <f>SUM(B151:H151)</f>
        <v>37</v>
      </c>
      <c r="J151" s="158"/>
      <c r="N151" s="5"/>
    </row>
    <row r="152" spans="1:20" ht="12.75" x14ac:dyDescent="0.2">
      <c r="A152" s="477" t="s">
        <v>0</v>
      </c>
      <c r="B152" s="4660" t="s">
        <v>342</v>
      </c>
      <c r="C152" s="4660" t="s">
        <v>342</v>
      </c>
      <c r="D152" s="4660" t="s">
        <v>342</v>
      </c>
      <c r="E152" s="4660" t="s">
        <v>342</v>
      </c>
      <c r="F152" s="4661" t="s">
        <v>343</v>
      </c>
      <c r="G152" s="4844"/>
      <c r="H152" s="454"/>
      <c r="I152" s="466"/>
      <c r="J152" s="463"/>
      <c r="N152" s="5"/>
    </row>
    <row r="153" spans="1:20" ht="12.75" x14ac:dyDescent="0.2">
      <c r="A153" s="4843">
        <v>2</v>
      </c>
      <c r="B153" s="4664">
        <v>7.75</v>
      </c>
      <c r="C153" s="4664">
        <v>7.75</v>
      </c>
      <c r="D153" s="4664">
        <v>7.75</v>
      </c>
      <c r="E153" s="4664">
        <v>7.75</v>
      </c>
      <c r="F153" s="4721">
        <v>6</v>
      </c>
      <c r="G153" s="151"/>
      <c r="H153" s="4721"/>
      <c r="I153" s="4664">
        <f>SUM(B153:H153)</f>
        <v>37</v>
      </c>
      <c r="J153" s="4723"/>
      <c r="N153" s="5"/>
    </row>
    <row r="154" spans="1:20" x14ac:dyDescent="0.2">
      <c r="A154" s="4659"/>
      <c r="B154" s="4660" t="s">
        <v>342</v>
      </c>
      <c r="C154" s="4660" t="s">
        <v>342</v>
      </c>
      <c r="D154" s="4660" t="s">
        <v>342</v>
      </c>
      <c r="E154" s="4660" t="s">
        <v>342</v>
      </c>
      <c r="F154" s="4661" t="s">
        <v>343</v>
      </c>
      <c r="G154" s="4707"/>
      <c r="H154" s="4661"/>
      <c r="I154" s="4651"/>
      <c r="J154" s="4662"/>
      <c r="N154" s="5"/>
    </row>
    <row r="155" spans="1:20" ht="12.75" x14ac:dyDescent="0.2">
      <c r="A155" s="4843">
        <v>3</v>
      </c>
      <c r="B155" s="4664">
        <v>7.75</v>
      </c>
      <c r="C155" s="4664">
        <v>7.75</v>
      </c>
      <c r="D155" s="4664">
        <v>7.75</v>
      </c>
      <c r="E155" s="4664">
        <v>7.75</v>
      </c>
      <c r="F155" s="4721">
        <v>6</v>
      </c>
      <c r="G155" s="150"/>
      <c r="H155" s="4721"/>
      <c r="I155" s="4664">
        <f>SUM(B155:H155)</f>
        <v>37</v>
      </c>
      <c r="J155" s="158"/>
    </row>
    <row r="156" spans="1:20" x14ac:dyDescent="0.2">
      <c r="A156" s="491"/>
      <c r="B156" s="4660" t="s">
        <v>342</v>
      </c>
      <c r="C156" s="4660" t="s">
        <v>342</v>
      </c>
      <c r="D156" s="4660" t="s">
        <v>342</v>
      </c>
      <c r="E156" s="4660" t="s">
        <v>342</v>
      </c>
      <c r="F156" s="4661" t="s">
        <v>343</v>
      </c>
      <c r="G156" s="454"/>
      <c r="H156" s="454"/>
      <c r="I156" s="457"/>
      <c r="J156" s="463"/>
      <c r="P156" s="5"/>
    </row>
    <row r="157" spans="1:20" ht="12.75" x14ac:dyDescent="0.2">
      <c r="A157" s="4843">
        <v>4</v>
      </c>
      <c r="B157" s="4664">
        <v>7.75</v>
      </c>
      <c r="C157" s="4664">
        <v>7.75</v>
      </c>
      <c r="D157" s="4664">
        <v>7.75</v>
      </c>
      <c r="E157" s="4664">
        <v>7.75</v>
      </c>
      <c r="F157" s="4721">
        <v>6</v>
      </c>
      <c r="G157" s="4721"/>
      <c r="H157" s="4721"/>
      <c r="I157" s="4664">
        <f>SUM(B157:H157)</f>
        <v>37</v>
      </c>
      <c r="J157" s="158"/>
      <c r="P157" s="5"/>
    </row>
    <row r="158" spans="1:20" ht="12.75" x14ac:dyDescent="0.2">
      <c r="A158" s="4845"/>
      <c r="B158" s="4660" t="s">
        <v>342</v>
      </c>
      <c r="C158" s="4660" t="s">
        <v>342</v>
      </c>
      <c r="D158" s="4660" t="s">
        <v>342</v>
      </c>
      <c r="E158" s="4660" t="s">
        <v>342</v>
      </c>
      <c r="F158" s="4661" t="s">
        <v>343</v>
      </c>
      <c r="G158" s="4790"/>
      <c r="H158" s="4790"/>
      <c r="I158" s="4846"/>
      <c r="J158" s="4847"/>
      <c r="P158" s="5"/>
    </row>
    <row r="159" spans="1:20" ht="12.75" x14ac:dyDescent="0.2">
      <c r="A159" s="4843">
        <v>5</v>
      </c>
      <c r="B159" s="4664">
        <v>7.75</v>
      </c>
      <c r="C159" s="4664">
        <v>7.75</v>
      </c>
      <c r="D159" s="4664">
        <v>7.75</v>
      </c>
      <c r="E159" s="4664">
        <v>7.75</v>
      </c>
      <c r="F159" s="4721">
        <v>6</v>
      </c>
      <c r="G159" s="151"/>
      <c r="H159" s="151"/>
      <c r="I159" s="4664">
        <f>SUM(B159:H159)</f>
        <v>37</v>
      </c>
      <c r="J159" s="158"/>
    </row>
    <row r="160" spans="1:20" x14ac:dyDescent="0.2">
      <c r="A160" s="477"/>
      <c r="B160" s="4660" t="s">
        <v>342</v>
      </c>
      <c r="C160" s="4660" t="s">
        <v>342</v>
      </c>
      <c r="D160" s="4660" t="s">
        <v>342</v>
      </c>
      <c r="E160" s="4660" t="s">
        <v>342</v>
      </c>
      <c r="F160" s="4661" t="s">
        <v>343</v>
      </c>
      <c r="G160" s="454"/>
      <c r="H160" s="454"/>
      <c r="I160" s="457"/>
      <c r="J160" s="463"/>
    </row>
    <row r="161" spans="1:20" ht="12.75" x14ac:dyDescent="0.2">
      <c r="A161" s="4843">
        <v>6</v>
      </c>
      <c r="B161" s="4664">
        <v>7.75</v>
      </c>
      <c r="C161" s="4664">
        <v>7.75</v>
      </c>
      <c r="D161" s="4664">
        <v>7.75</v>
      </c>
      <c r="E161" s="4664">
        <v>7.75</v>
      </c>
      <c r="F161" s="4721">
        <v>6</v>
      </c>
      <c r="G161" s="4721"/>
      <c r="H161" s="4721"/>
      <c r="I161" s="4664">
        <f>SUM(B161:H161)</f>
        <v>37</v>
      </c>
      <c r="J161" s="158"/>
    </row>
    <row r="162" spans="1:20" x14ac:dyDescent="0.2">
      <c r="A162" s="4677" t="s">
        <v>749</v>
      </c>
      <c r="B162" s="4677">
        <f t="shared" ref="B162:H162" si="6">SUM(B151,B153,B155,B157,B159,B161)</f>
        <v>46.5</v>
      </c>
      <c r="C162" s="4677">
        <f t="shared" si="6"/>
        <v>46.5</v>
      </c>
      <c r="D162" s="4677">
        <f t="shared" si="6"/>
        <v>46.5</v>
      </c>
      <c r="E162" s="4677">
        <f t="shared" si="6"/>
        <v>46.5</v>
      </c>
      <c r="F162" s="4677">
        <f t="shared" si="6"/>
        <v>36</v>
      </c>
      <c r="G162" s="4677">
        <f t="shared" si="6"/>
        <v>0</v>
      </c>
      <c r="H162" s="4677">
        <f t="shared" si="6"/>
        <v>0</v>
      </c>
      <c r="I162" s="4686">
        <f>SUM(I151,I153,I155,I157,I161)</f>
        <v>185</v>
      </c>
      <c r="J162" s="4687"/>
      <c r="M162" s="5"/>
      <c r="N162" s="5"/>
    </row>
    <row r="163" spans="1:20" ht="12.75" x14ac:dyDescent="0.2">
      <c r="A163" s="42"/>
      <c r="B163" s="5"/>
      <c r="C163" s="5"/>
      <c r="D163" s="5"/>
      <c r="E163" s="5"/>
      <c r="F163" s="18"/>
      <c r="G163" s="4739" t="s">
        <v>851</v>
      </c>
      <c r="H163" s="4739" t="s">
        <v>852</v>
      </c>
      <c r="I163" s="4739" t="s">
        <v>853</v>
      </c>
      <c r="J163" s="6"/>
      <c r="M163" s="5"/>
      <c r="N163" s="5"/>
    </row>
    <row r="164" spans="1:20" ht="12.75" x14ac:dyDescent="0.2">
      <c r="A164" s="42"/>
      <c r="B164" s="5"/>
      <c r="C164" s="5"/>
      <c r="D164" s="5"/>
      <c r="E164" s="5"/>
      <c r="F164" s="18"/>
      <c r="G164" s="4713">
        <f>I162</f>
        <v>185</v>
      </c>
      <c r="H164" s="4740">
        <f>SUM(G164*13/3)</f>
        <v>801.66666666666663</v>
      </c>
      <c r="I164" s="4713">
        <f>SUM(H164*12)</f>
        <v>9620</v>
      </c>
      <c r="J164" s="6"/>
      <c r="M164" s="5"/>
      <c r="N164" s="5"/>
    </row>
    <row r="165" spans="1:20" ht="12.75" x14ac:dyDescent="0.2">
      <c r="A165" s="37"/>
      <c r="B165" s="5"/>
      <c r="C165" s="5"/>
      <c r="D165" s="5"/>
      <c r="E165" s="5"/>
      <c r="F165" s="18"/>
      <c r="G165" s="5"/>
      <c r="H165" s="23"/>
      <c r="I165" s="5"/>
      <c r="J165" s="6"/>
      <c r="M165" s="5"/>
      <c r="N165" s="5"/>
    </row>
    <row r="166" spans="1:20" ht="12.75" x14ac:dyDescent="0.2">
      <c r="A166" s="99" t="s">
        <v>926</v>
      </c>
      <c r="B166" s="5"/>
      <c r="C166" s="5"/>
      <c r="D166" s="5"/>
      <c r="E166" s="5"/>
      <c r="F166" s="5"/>
      <c r="O166">
        <v>37</v>
      </c>
      <c r="P166" t="s">
        <v>904</v>
      </c>
      <c r="Q166">
        <v>4</v>
      </c>
      <c r="R166" t="s">
        <v>905</v>
      </c>
      <c r="S166">
        <f>O166*Q166</f>
        <v>148</v>
      </c>
      <c r="T166" t="s">
        <v>906</v>
      </c>
    </row>
    <row r="167" spans="1:20" ht="12.75" x14ac:dyDescent="0.2">
      <c r="A167" s="4765" t="s">
        <v>927</v>
      </c>
      <c r="B167" s="4654" t="s">
        <v>17</v>
      </c>
      <c r="C167" s="4655" t="s">
        <v>18</v>
      </c>
      <c r="D167" s="4655" t="s">
        <v>19</v>
      </c>
      <c r="E167" s="4655" t="s">
        <v>20</v>
      </c>
      <c r="F167" s="4655" t="s">
        <v>21</v>
      </c>
      <c r="G167" s="4655" t="s">
        <v>22</v>
      </c>
      <c r="H167" s="4656" t="s">
        <v>23</v>
      </c>
      <c r="I167" s="4657" t="s">
        <v>234</v>
      </c>
      <c r="J167" s="4658" t="s">
        <v>126</v>
      </c>
      <c r="M167" s="4744"/>
      <c r="N167" s="4745" t="s">
        <v>854</v>
      </c>
      <c r="O167" t="s">
        <v>0</v>
      </c>
    </row>
    <row r="168" spans="1:20" x14ac:dyDescent="0.2">
      <c r="A168" s="4848"/>
      <c r="B168" s="4649" t="s">
        <v>10</v>
      </c>
      <c r="C168" s="4649" t="s">
        <v>928</v>
      </c>
      <c r="D168" s="4649" t="s">
        <v>928</v>
      </c>
      <c r="E168" s="4649" t="s">
        <v>929</v>
      </c>
      <c r="F168" s="4649" t="s">
        <v>930</v>
      </c>
      <c r="G168" s="4649"/>
      <c r="H168" s="4649"/>
      <c r="I168" s="4749"/>
      <c r="J168" s="4662"/>
      <c r="M168" s="4747"/>
      <c r="N168" s="4748" t="s">
        <v>855</v>
      </c>
      <c r="O168" t="s">
        <v>909</v>
      </c>
      <c r="Q168">
        <f>N174</f>
        <v>105.25</v>
      </c>
    </row>
    <row r="169" spans="1:20" x14ac:dyDescent="0.2">
      <c r="A169" s="193">
        <v>1</v>
      </c>
      <c r="B169" s="4721">
        <v>8.5</v>
      </c>
      <c r="C169" s="4721">
        <v>8.5</v>
      </c>
      <c r="D169" s="4721">
        <v>8.5</v>
      </c>
      <c r="E169" s="4721">
        <v>0</v>
      </c>
      <c r="F169" s="4721">
        <v>0</v>
      </c>
      <c r="G169" s="4721"/>
      <c r="H169" s="4721"/>
      <c r="I169" s="4721">
        <v>37</v>
      </c>
      <c r="J169" s="158"/>
      <c r="M169" s="4747" t="s">
        <v>235</v>
      </c>
      <c r="N169" s="4748">
        <v>37</v>
      </c>
    </row>
    <row r="170" spans="1:20" x14ac:dyDescent="0.2">
      <c r="A170" s="4848"/>
      <c r="B170" s="4649" t="s">
        <v>931</v>
      </c>
      <c r="C170" s="4649" t="s">
        <v>931</v>
      </c>
      <c r="D170" s="4649" t="s">
        <v>931</v>
      </c>
      <c r="E170" s="4649" t="s">
        <v>931</v>
      </c>
      <c r="F170" s="4649" t="s">
        <v>932</v>
      </c>
      <c r="G170" s="4649" t="s">
        <v>10</v>
      </c>
      <c r="H170" s="4649" t="s">
        <v>10</v>
      </c>
      <c r="I170" s="4749"/>
      <c r="J170" s="4662"/>
      <c r="M170" s="4747" t="s">
        <v>236</v>
      </c>
      <c r="N170" s="4748">
        <v>68.25</v>
      </c>
      <c r="O170">
        <f>Q168</f>
        <v>105.25</v>
      </c>
      <c r="P170" t="s">
        <v>913</v>
      </c>
      <c r="Q170" s="21">
        <f>SUM(O170/37)</f>
        <v>2.8445945945945947</v>
      </c>
    </row>
    <row r="171" spans="1:20" x14ac:dyDescent="0.2">
      <c r="A171" s="193">
        <v>2</v>
      </c>
      <c r="B171" s="4721">
        <v>9.25</v>
      </c>
      <c r="C171" s="4721">
        <v>9.25</v>
      </c>
      <c r="D171" s="4721">
        <v>9.25</v>
      </c>
      <c r="E171" s="4721">
        <v>9.25</v>
      </c>
      <c r="F171" s="4721">
        <v>10.25</v>
      </c>
      <c r="G171" s="4721">
        <v>10.5</v>
      </c>
      <c r="H171" s="4721">
        <v>10.5</v>
      </c>
      <c r="I171" s="4721">
        <f>SUM(B171:H171)</f>
        <v>68.25</v>
      </c>
      <c r="J171" s="158"/>
      <c r="M171" s="4747" t="s">
        <v>243</v>
      </c>
      <c r="N171" s="4748">
        <f>I173</f>
        <v>0</v>
      </c>
    </row>
    <row r="172" spans="1:20" x14ac:dyDescent="0.2">
      <c r="A172" s="4848"/>
      <c r="B172" s="4661" t="s">
        <v>244</v>
      </c>
      <c r="C172" s="4661" t="s">
        <v>244</v>
      </c>
      <c r="D172" s="4661" t="s">
        <v>244</v>
      </c>
      <c r="E172" s="4661" t="s">
        <v>244</v>
      </c>
      <c r="F172" s="4661" t="s">
        <v>244</v>
      </c>
      <c r="G172" s="4661"/>
      <c r="H172" s="4661"/>
      <c r="I172" s="4749"/>
      <c r="J172" s="4662"/>
      <c r="M172" s="4747" t="s">
        <v>245</v>
      </c>
      <c r="N172" s="4748"/>
      <c r="O172" s="21">
        <f>Q170</f>
        <v>2.8445945945945947</v>
      </c>
      <c r="P172" t="s">
        <v>933</v>
      </c>
      <c r="S172" s="4849">
        <f>SUM(O172*3)</f>
        <v>8.5337837837837842</v>
      </c>
      <c r="T172" t="s">
        <v>934</v>
      </c>
    </row>
    <row r="173" spans="1:20" x14ac:dyDescent="0.2">
      <c r="A173" s="193">
        <v>3</v>
      </c>
      <c r="B173" s="4721">
        <v>0</v>
      </c>
      <c r="C173" s="4721">
        <v>0</v>
      </c>
      <c r="D173" s="4721">
        <v>0</v>
      </c>
      <c r="E173" s="4721">
        <v>0</v>
      </c>
      <c r="F173" s="4721">
        <v>0</v>
      </c>
      <c r="G173" s="4721"/>
      <c r="H173" s="4721"/>
      <c r="I173" s="4721">
        <f>SUM(B173:H173)</f>
        <v>0</v>
      </c>
      <c r="J173" s="158"/>
      <c r="M173" s="4850" t="s">
        <v>0</v>
      </c>
      <c r="N173" s="4851">
        <f>I177</f>
        <v>0</v>
      </c>
    </row>
    <row r="174" spans="1:20" x14ac:dyDescent="0.2">
      <c r="A174" s="4848"/>
      <c r="B174" s="4649"/>
      <c r="C174" s="4649"/>
      <c r="D174" s="4649"/>
      <c r="E174" s="4649"/>
      <c r="F174" s="4649"/>
      <c r="G174" s="4661"/>
      <c r="H174" s="4661"/>
      <c r="I174" s="4749"/>
      <c r="J174" s="4662"/>
      <c r="M174" s="4757" t="s">
        <v>857</v>
      </c>
      <c r="N174" s="4758">
        <f>SUM(N169:N173)</f>
        <v>105.25</v>
      </c>
      <c r="O174" t="s">
        <v>0</v>
      </c>
      <c r="P174" s="46"/>
      <c r="Q174" s="46" t="s">
        <v>935</v>
      </c>
      <c r="S174" s="21">
        <f>S166-S172</f>
        <v>139.46621621621622</v>
      </c>
      <c r="T174" t="s">
        <v>936</v>
      </c>
    </row>
    <row r="175" spans="1:20" x14ac:dyDescent="0.2">
      <c r="A175" s="193">
        <v>4</v>
      </c>
      <c r="B175" s="4721"/>
      <c r="C175" s="4721"/>
      <c r="D175" s="4721"/>
      <c r="E175" s="4721"/>
      <c r="F175" s="4721"/>
      <c r="G175" s="4721"/>
      <c r="H175" s="4721"/>
      <c r="I175" s="4721"/>
      <c r="J175" s="158"/>
      <c r="S175" s="21"/>
    </row>
    <row r="176" spans="1:20" x14ac:dyDescent="0.2">
      <c r="A176" s="4848"/>
      <c r="B176" s="4649"/>
      <c r="C176" s="4649"/>
      <c r="D176" s="4649"/>
      <c r="E176" s="4661"/>
      <c r="F176" s="4661"/>
      <c r="G176" s="4661"/>
      <c r="H176" s="4661"/>
      <c r="I176" s="4749"/>
      <c r="J176" s="4662"/>
      <c r="S176" s="21"/>
    </row>
    <row r="177" spans="1:22" x14ac:dyDescent="0.2">
      <c r="A177" s="193"/>
      <c r="B177" s="4721"/>
      <c r="C177" s="4721"/>
      <c r="D177" s="4721"/>
      <c r="E177" s="4721"/>
      <c r="F177" s="4721"/>
      <c r="G177" s="4721"/>
      <c r="H177" s="4721"/>
      <c r="I177" s="4721"/>
      <c r="J177" s="158"/>
      <c r="S177" s="21"/>
    </row>
    <row r="178" spans="1:22" x14ac:dyDescent="0.2">
      <c r="A178" s="4848"/>
      <c r="B178" s="4661"/>
      <c r="C178" s="4661"/>
      <c r="D178" s="4661"/>
      <c r="E178" s="4661"/>
      <c r="F178" s="4661"/>
      <c r="G178" s="4661"/>
      <c r="H178" s="4661"/>
      <c r="I178" s="4749"/>
      <c r="J178" s="4662"/>
      <c r="S178" s="21"/>
    </row>
    <row r="179" spans="1:22" x14ac:dyDescent="0.2">
      <c r="A179" s="193"/>
      <c r="B179" s="4721"/>
      <c r="C179" s="4721"/>
      <c r="D179" s="4721"/>
      <c r="E179" s="4721"/>
      <c r="F179" s="4721"/>
      <c r="G179" s="4721"/>
      <c r="H179" s="4721"/>
      <c r="I179" s="4721"/>
      <c r="J179" s="158"/>
      <c r="S179" s="21"/>
    </row>
    <row r="180" spans="1:22" x14ac:dyDescent="0.2">
      <c r="A180" s="4848"/>
      <c r="B180" s="4649"/>
      <c r="C180" s="4649"/>
      <c r="D180" s="4649"/>
      <c r="E180" s="4649"/>
      <c r="F180" s="4649"/>
      <c r="G180" s="4661"/>
      <c r="H180" s="4661"/>
      <c r="I180" s="4749"/>
      <c r="J180" s="4662" t="s">
        <v>0</v>
      </c>
      <c r="S180" s="21"/>
    </row>
    <row r="181" spans="1:22" x14ac:dyDescent="0.2">
      <c r="A181" s="193" t="s">
        <v>0</v>
      </c>
      <c r="B181" s="4721"/>
      <c r="C181" s="4721"/>
      <c r="D181" s="4721"/>
      <c r="E181" s="4721"/>
      <c r="F181" s="4721"/>
      <c r="G181" s="4721"/>
      <c r="H181" s="4721"/>
      <c r="I181" s="4721">
        <f>SUM(B181:H181)</f>
        <v>0</v>
      </c>
      <c r="J181" s="158"/>
      <c r="S181" s="21"/>
    </row>
    <row r="182" spans="1:22" x14ac:dyDescent="0.2">
      <c r="A182" s="24" t="s">
        <v>749</v>
      </c>
      <c r="B182" s="24">
        <f t="shared" ref="B182:H182" si="7">SUM(B169,B171,B173,B175)</f>
        <v>17.75</v>
      </c>
      <c r="C182" s="24">
        <f t="shared" si="7"/>
        <v>17.75</v>
      </c>
      <c r="D182" s="24">
        <f t="shared" si="7"/>
        <v>17.75</v>
      </c>
      <c r="E182" s="24">
        <f t="shared" si="7"/>
        <v>9.25</v>
      </c>
      <c r="F182" s="24">
        <f t="shared" si="7"/>
        <v>10.25</v>
      </c>
      <c r="G182" s="24">
        <f t="shared" si="7"/>
        <v>10.5</v>
      </c>
      <c r="H182" s="24">
        <f t="shared" si="7"/>
        <v>10.5</v>
      </c>
      <c r="I182" s="24">
        <f>SUM(I169,I171,I173,I175,I177,I179,I181)</f>
        <v>105.25</v>
      </c>
      <c r="J182" s="26"/>
      <c r="O182" t="s">
        <v>937</v>
      </c>
      <c r="P182">
        <f>I182</f>
        <v>105.25</v>
      </c>
      <c r="Q182" s="48" t="s">
        <v>938</v>
      </c>
      <c r="S182" s="21">
        <f>S174</f>
        <v>139.46621621621622</v>
      </c>
      <c r="T182" t="s">
        <v>939</v>
      </c>
      <c r="U182" s="58">
        <f>P182-S182</f>
        <v>-34.216216216216225</v>
      </c>
    </row>
    <row r="183" spans="1:22" ht="12.75" x14ac:dyDescent="0.2">
      <c r="A183" s="5"/>
      <c r="B183" s="5"/>
      <c r="C183" s="5"/>
      <c r="D183" s="5"/>
      <c r="E183" s="5"/>
      <c r="F183" s="5"/>
      <c r="G183" s="4739" t="s">
        <v>851</v>
      </c>
      <c r="H183" s="4739" t="s">
        <v>852</v>
      </c>
      <c r="I183" s="4739" t="s">
        <v>853</v>
      </c>
      <c r="V183" s="57"/>
    </row>
    <row r="184" spans="1:22" x14ac:dyDescent="0.2">
      <c r="A184" s="5"/>
      <c r="B184" s="5"/>
      <c r="C184" s="5"/>
      <c r="D184" s="5"/>
      <c r="E184" s="5"/>
      <c r="F184" s="5"/>
      <c r="G184" s="4713">
        <f>I182</f>
        <v>105.25</v>
      </c>
      <c r="H184" s="4740">
        <f>SUM(G184*13/3)</f>
        <v>456.08333333333331</v>
      </c>
      <c r="I184" s="4713">
        <f>SUM(H184*12)</f>
        <v>5473</v>
      </c>
    </row>
    <row r="185" spans="1:22" x14ac:dyDescent="0.2">
      <c r="A185" s="5"/>
      <c r="B185" s="5"/>
      <c r="C185" s="5"/>
      <c r="D185" s="5"/>
      <c r="E185" s="5"/>
      <c r="F185" s="5"/>
      <c r="G185" s="5"/>
      <c r="H185" s="23"/>
      <c r="I185" s="5"/>
    </row>
    <row r="186" spans="1:22" x14ac:dyDescent="0.2">
      <c r="A186" s="5"/>
      <c r="B186" s="5"/>
      <c r="C186" s="5"/>
      <c r="D186" s="5"/>
      <c r="E186" s="5"/>
      <c r="F186" s="5"/>
      <c r="G186" s="5"/>
      <c r="H186" s="23"/>
      <c r="I186" s="5"/>
    </row>
    <row r="187" spans="1:22" ht="12.75" x14ac:dyDescent="0.2">
      <c r="A187" s="1" t="s">
        <v>940</v>
      </c>
      <c r="B187" s="5"/>
      <c r="C187" s="5"/>
      <c r="D187" s="5"/>
      <c r="E187" s="5"/>
      <c r="F187" s="5"/>
      <c r="O187">
        <v>37</v>
      </c>
      <c r="P187" t="s">
        <v>904</v>
      </c>
      <c r="Q187">
        <v>4</v>
      </c>
      <c r="R187" t="s">
        <v>905</v>
      </c>
      <c r="S187">
        <f>O187*Q187</f>
        <v>148</v>
      </c>
      <c r="T187" t="s">
        <v>906</v>
      </c>
    </row>
    <row r="188" spans="1:22" ht="12.75" x14ac:dyDescent="0.2">
      <c r="A188" s="4765" t="s">
        <v>927</v>
      </c>
      <c r="B188" s="4654" t="s">
        <v>17</v>
      </c>
      <c r="C188" s="4655" t="s">
        <v>18</v>
      </c>
      <c r="D188" s="4655" t="s">
        <v>19</v>
      </c>
      <c r="E188" s="4655" t="s">
        <v>20</v>
      </c>
      <c r="F188" s="4655" t="s">
        <v>21</v>
      </c>
      <c r="G188" s="4655" t="s">
        <v>22</v>
      </c>
      <c r="H188" s="4656" t="s">
        <v>23</v>
      </c>
      <c r="I188" s="4657" t="s">
        <v>234</v>
      </c>
      <c r="J188" s="4658" t="s">
        <v>126</v>
      </c>
      <c r="M188" s="4744"/>
      <c r="N188" s="4745" t="s">
        <v>854</v>
      </c>
      <c r="O188" t="s">
        <v>0</v>
      </c>
    </row>
    <row r="189" spans="1:22" x14ac:dyDescent="0.2">
      <c r="A189" s="4848"/>
      <c r="B189" s="4649" t="s">
        <v>244</v>
      </c>
      <c r="C189" s="4649" t="s">
        <v>244</v>
      </c>
      <c r="D189" s="4649" t="s">
        <v>10</v>
      </c>
      <c r="E189" s="4649" t="s">
        <v>10</v>
      </c>
      <c r="F189" s="4649" t="s">
        <v>10</v>
      </c>
      <c r="G189" s="4649" t="s">
        <v>10</v>
      </c>
      <c r="H189" s="4649" t="s">
        <v>10</v>
      </c>
      <c r="I189" s="4749"/>
      <c r="J189" s="4662"/>
      <c r="M189" s="4747"/>
      <c r="N189" s="4748" t="s">
        <v>855</v>
      </c>
      <c r="O189" t="s">
        <v>909</v>
      </c>
      <c r="Q189">
        <f>N195</f>
        <v>102</v>
      </c>
    </row>
    <row r="190" spans="1:22" x14ac:dyDescent="0.2">
      <c r="A190" s="193" t="s">
        <v>941</v>
      </c>
      <c r="B190" s="4721"/>
      <c r="C190" s="4721"/>
      <c r="D190" s="4721">
        <v>12</v>
      </c>
      <c r="E190" s="4721">
        <v>12</v>
      </c>
      <c r="F190" s="4721">
        <v>12</v>
      </c>
      <c r="G190" s="4721">
        <v>12</v>
      </c>
      <c r="H190" s="4721">
        <v>8</v>
      </c>
      <c r="I190" s="4721">
        <f>SUM(B190:H190)</f>
        <v>56</v>
      </c>
      <c r="J190" s="158"/>
      <c r="M190" s="4747" t="s">
        <v>235</v>
      </c>
      <c r="N190" s="4748">
        <f>I190</f>
        <v>56</v>
      </c>
    </row>
    <row r="191" spans="1:22" x14ac:dyDescent="0.2">
      <c r="A191" s="4848"/>
      <c r="B191" s="4649" t="s">
        <v>244</v>
      </c>
      <c r="C191" s="4649" t="s">
        <v>244</v>
      </c>
      <c r="D191" s="4649" t="s">
        <v>244</v>
      </c>
      <c r="E191" s="4649" t="s">
        <v>244</v>
      </c>
      <c r="F191" s="4649" t="s">
        <v>244</v>
      </c>
      <c r="G191" s="4649"/>
      <c r="H191" s="4649"/>
      <c r="I191" s="4749"/>
      <c r="J191" s="4662"/>
      <c r="M191" s="4747" t="s">
        <v>236</v>
      </c>
      <c r="N191" s="4748">
        <f>I192</f>
        <v>0</v>
      </c>
      <c r="O191">
        <f>Q189</f>
        <v>102</v>
      </c>
      <c r="P191" t="s">
        <v>913</v>
      </c>
      <c r="Q191" s="21">
        <f>SUM(O191/37)</f>
        <v>2.7567567567567566</v>
      </c>
    </row>
    <row r="192" spans="1:22" x14ac:dyDescent="0.2">
      <c r="A192" s="193" t="s">
        <v>942</v>
      </c>
      <c r="B192" s="4721"/>
      <c r="C192" s="4721"/>
      <c r="D192" s="4721"/>
      <c r="E192" s="4721"/>
      <c r="F192" s="4721"/>
      <c r="G192" s="4721"/>
      <c r="H192" s="4721"/>
      <c r="I192" s="4721">
        <f>SUM(B192:H192)</f>
        <v>0</v>
      </c>
      <c r="J192" s="158"/>
      <c r="M192" s="4747" t="s">
        <v>243</v>
      </c>
      <c r="N192" s="4748">
        <f>I194</f>
        <v>46</v>
      </c>
    </row>
    <row r="193" spans="1:22" x14ac:dyDescent="0.2">
      <c r="A193" s="4848"/>
      <c r="B193" s="4649" t="s">
        <v>10</v>
      </c>
      <c r="C193" s="4649" t="s">
        <v>10</v>
      </c>
      <c r="D193" s="4649" t="s">
        <v>244</v>
      </c>
      <c r="E193" s="4649" t="s">
        <v>244</v>
      </c>
      <c r="F193" s="4649" t="s">
        <v>244</v>
      </c>
      <c r="G193" s="4649" t="s">
        <v>10</v>
      </c>
      <c r="H193" s="4649" t="s">
        <v>10</v>
      </c>
      <c r="I193" s="4749"/>
      <c r="J193" s="4662"/>
      <c r="M193" s="4747" t="s">
        <v>245</v>
      </c>
      <c r="N193" s="4748">
        <v>0</v>
      </c>
      <c r="O193" s="21">
        <f>Q191</f>
        <v>2.7567567567567566</v>
      </c>
      <c r="P193" t="s">
        <v>933</v>
      </c>
      <c r="S193" s="4849">
        <f>SUM(O193*3)</f>
        <v>8.2702702702702702</v>
      </c>
      <c r="T193" t="s">
        <v>934</v>
      </c>
    </row>
    <row r="194" spans="1:22" x14ac:dyDescent="0.2">
      <c r="A194" s="193" t="s">
        <v>943</v>
      </c>
      <c r="B194" s="4721">
        <v>12</v>
      </c>
      <c r="C194" s="4721">
        <v>12</v>
      </c>
      <c r="D194" s="4721"/>
      <c r="E194" s="4721"/>
      <c r="F194" s="4721"/>
      <c r="G194" s="4721">
        <v>12</v>
      </c>
      <c r="H194" s="4721">
        <v>10</v>
      </c>
      <c r="I194" s="4721">
        <f>SUM(B194:H194)</f>
        <v>46</v>
      </c>
      <c r="J194" s="158"/>
      <c r="M194" s="4850"/>
      <c r="N194" s="4851"/>
    </row>
    <row r="195" spans="1:22" ht="12.75" x14ac:dyDescent="0.2">
      <c r="A195" s="4852"/>
      <c r="B195" s="4853" t="s">
        <v>10</v>
      </c>
      <c r="C195" s="4853" t="s">
        <v>10</v>
      </c>
      <c r="D195" s="4853" t="s">
        <v>10</v>
      </c>
      <c r="E195" s="4853" t="s">
        <v>10</v>
      </c>
      <c r="F195" s="4835" t="s">
        <v>10</v>
      </c>
      <c r="G195" s="4661"/>
      <c r="H195" s="4661"/>
      <c r="I195" s="4749"/>
      <c r="J195" s="4662"/>
      <c r="M195" s="4757" t="s">
        <v>857</v>
      </c>
      <c r="N195" s="4758">
        <f>SUM(N190:N194)</f>
        <v>102</v>
      </c>
      <c r="O195" t="s">
        <v>0</v>
      </c>
      <c r="P195" s="46"/>
      <c r="Q195" s="46" t="s">
        <v>935</v>
      </c>
      <c r="S195" s="21">
        <f>S187-S193</f>
        <v>139.72972972972974</v>
      </c>
      <c r="T195" t="s">
        <v>936</v>
      </c>
    </row>
    <row r="196" spans="1:22" x14ac:dyDescent="0.2">
      <c r="A196" s="193" t="s">
        <v>944</v>
      </c>
      <c r="B196" s="151">
        <v>6.75</v>
      </c>
      <c r="C196" s="151">
        <v>7.75</v>
      </c>
      <c r="D196" s="151">
        <v>7.75</v>
      </c>
      <c r="E196" s="151">
        <v>7.75</v>
      </c>
      <c r="F196" s="151">
        <v>7.5</v>
      </c>
      <c r="G196" s="4721"/>
      <c r="H196" s="4721"/>
      <c r="I196" s="4721">
        <f>SUM(B196:H196)</f>
        <v>37.5</v>
      </c>
      <c r="J196" s="158"/>
      <c r="S196" s="21"/>
    </row>
    <row r="197" spans="1:22" x14ac:dyDescent="0.2">
      <c r="A197" s="4848"/>
      <c r="B197" s="4649"/>
      <c r="C197" s="4649"/>
      <c r="D197" s="4649"/>
      <c r="E197" s="4661"/>
      <c r="F197" s="4661"/>
      <c r="G197" s="4661"/>
      <c r="H197" s="4661"/>
      <c r="I197" s="4749"/>
      <c r="J197" s="4662"/>
      <c r="S197" s="21"/>
    </row>
    <row r="198" spans="1:22" x14ac:dyDescent="0.2">
      <c r="A198" s="4854" t="s">
        <v>945</v>
      </c>
      <c r="C198" s="4721"/>
      <c r="D198" s="4721"/>
      <c r="E198" s="4721"/>
      <c r="F198" s="4721"/>
      <c r="G198" s="4721"/>
      <c r="H198" s="4721"/>
      <c r="I198" s="4721">
        <f>SUM(A198:H198)</f>
        <v>0</v>
      </c>
      <c r="J198" s="158"/>
      <c r="S198" s="21"/>
    </row>
    <row r="199" spans="1:22" x14ac:dyDescent="0.2">
      <c r="A199" s="4855"/>
      <c r="B199" s="4856"/>
      <c r="C199" s="4856"/>
      <c r="D199" s="4856"/>
      <c r="E199" s="4856"/>
      <c r="F199" s="4856"/>
      <c r="G199" s="4856"/>
      <c r="H199" s="4856"/>
      <c r="I199" s="4857"/>
      <c r="J199" s="4858"/>
      <c r="S199" s="21"/>
    </row>
    <row r="200" spans="1:22" x14ac:dyDescent="0.2">
      <c r="A200" s="194"/>
      <c r="B200" s="4859"/>
      <c r="C200" s="4859"/>
      <c r="D200" s="4859"/>
      <c r="E200" s="4859"/>
      <c r="F200" s="4859"/>
      <c r="G200" s="4859"/>
      <c r="H200" s="4859"/>
      <c r="I200" s="4859">
        <f>SUM(B200:H200)</f>
        <v>0</v>
      </c>
      <c r="J200" s="195"/>
      <c r="S200" s="21"/>
    </row>
    <row r="201" spans="1:22" x14ac:dyDescent="0.2">
      <c r="A201" s="4855"/>
      <c r="B201" s="4860"/>
      <c r="C201" s="4860"/>
      <c r="D201" s="4860"/>
      <c r="E201" s="4860"/>
      <c r="F201" s="4860"/>
      <c r="G201" s="4856"/>
      <c r="H201" s="4856"/>
      <c r="I201" s="4857"/>
      <c r="J201" s="4858" t="s">
        <v>0</v>
      </c>
      <c r="S201" s="21"/>
    </row>
    <row r="202" spans="1:22" x14ac:dyDescent="0.2">
      <c r="A202" s="194" t="s">
        <v>0</v>
      </c>
      <c r="B202" s="4859"/>
      <c r="C202" s="4859"/>
      <c r="D202" s="4859"/>
      <c r="E202" s="4859"/>
      <c r="F202" s="4859"/>
      <c r="G202" s="4859"/>
      <c r="H202" s="4859"/>
      <c r="I202" s="4859">
        <f>SUM(B202:H202)</f>
        <v>0</v>
      </c>
      <c r="J202" s="195"/>
      <c r="S202" s="21"/>
    </row>
    <row r="203" spans="1:22" x14ac:dyDescent="0.2">
      <c r="A203" s="24" t="s">
        <v>749</v>
      </c>
      <c r="B203" s="24">
        <f t="shared" ref="B203:H203" si="8">SUM(B190,B192,B194,B196)</f>
        <v>18.75</v>
      </c>
      <c r="C203" s="24">
        <f t="shared" si="8"/>
        <v>19.75</v>
      </c>
      <c r="D203" s="24">
        <f t="shared" si="8"/>
        <v>19.75</v>
      </c>
      <c r="E203" s="24">
        <f t="shared" si="8"/>
        <v>19.75</v>
      </c>
      <c r="F203" s="24">
        <f t="shared" si="8"/>
        <v>19.5</v>
      </c>
      <c r="G203" s="24">
        <f t="shared" si="8"/>
        <v>24</v>
      </c>
      <c r="H203" s="24">
        <f t="shared" si="8"/>
        <v>18</v>
      </c>
      <c r="I203" s="24">
        <f>SUM(I190,I192,I194,I196,I198,I200,I202)</f>
        <v>139.5</v>
      </c>
      <c r="J203" s="26"/>
      <c r="O203" t="s">
        <v>937</v>
      </c>
      <c r="P203">
        <f>I203</f>
        <v>139.5</v>
      </c>
      <c r="Q203" s="48" t="s">
        <v>938</v>
      </c>
      <c r="S203" s="21">
        <f>S195</f>
        <v>139.72972972972974</v>
      </c>
      <c r="T203" t="s">
        <v>939</v>
      </c>
      <c r="U203" s="58">
        <f>P203-S203</f>
        <v>-0.22972972972974048</v>
      </c>
    </row>
    <row r="204" spans="1:22" ht="12.75" x14ac:dyDescent="0.2">
      <c r="A204" s="5"/>
      <c r="B204" s="5"/>
      <c r="C204" s="5"/>
      <c r="D204" s="5"/>
      <c r="E204" s="5"/>
      <c r="F204" s="5"/>
      <c r="G204" s="4739" t="s">
        <v>851</v>
      </c>
      <c r="H204" s="4739" t="s">
        <v>852</v>
      </c>
      <c r="I204" s="4739" t="s">
        <v>853</v>
      </c>
      <c r="V204" s="57"/>
    </row>
    <row r="205" spans="1:22" x14ac:dyDescent="0.2">
      <c r="A205" s="5"/>
      <c r="B205" s="5"/>
      <c r="C205" s="5"/>
      <c r="D205" s="5"/>
      <c r="E205" s="5"/>
      <c r="F205" s="5"/>
      <c r="G205" s="4713">
        <f>I203</f>
        <v>139.5</v>
      </c>
      <c r="H205" s="4740">
        <f>SUM(G205*13/3)</f>
        <v>604.5</v>
      </c>
      <c r="I205" s="4713">
        <f>SUM(H205*12)</f>
        <v>7254</v>
      </c>
    </row>
    <row r="206" spans="1:22" ht="12.75" x14ac:dyDescent="0.2">
      <c r="A206" s="149" t="s">
        <v>827</v>
      </c>
      <c r="B206" s="5"/>
      <c r="C206" s="5"/>
      <c r="D206" s="5"/>
      <c r="E206" s="5"/>
      <c r="F206" s="18"/>
      <c r="G206" s="18"/>
      <c r="H206" s="18"/>
      <c r="I206" s="5"/>
      <c r="J206" s="6"/>
      <c r="K206" s="37"/>
    </row>
    <row r="207" spans="1:22" ht="12.75" x14ac:dyDescent="0.2">
      <c r="A207" s="16" t="s">
        <v>828</v>
      </c>
      <c r="B207" s="4654" t="s">
        <v>17</v>
      </c>
      <c r="C207" s="4655" t="s">
        <v>18</v>
      </c>
      <c r="D207" s="4655" t="s">
        <v>19</v>
      </c>
      <c r="E207" s="4655" t="s">
        <v>20</v>
      </c>
      <c r="F207" s="4655" t="s">
        <v>21</v>
      </c>
      <c r="G207" s="4655" t="s">
        <v>22</v>
      </c>
      <c r="H207" s="4656" t="s">
        <v>23</v>
      </c>
      <c r="I207" s="4657" t="s">
        <v>234</v>
      </c>
      <c r="J207" s="4658" t="s">
        <v>126</v>
      </c>
      <c r="K207" s="5"/>
    </row>
    <row r="208" spans="1:22" x14ac:dyDescent="0.2">
      <c r="A208" s="4659" t="s">
        <v>0</v>
      </c>
      <c r="B208" s="4660" t="s">
        <v>342</v>
      </c>
      <c r="C208" s="4660" t="s">
        <v>342</v>
      </c>
      <c r="D208" s="4660" t="s">
        <v>342</v>
      </c>
      <c r="E208" s="4660" t="s">
        <v>342</v>
      </c>
      <c r="F208" s="4661" t="s">
        <v>343</v>
      </c>
      <c r="G208" s="4661"/>
      <c r="H208" s="4661"/>
      <c r="I208" s="4651"/>
      <c r="J208" s="4662"/>
    </row>
    <row r="209" spans="1:10" x14ac:dyDescent="0.2">
      <c r="A209" s="4663" t="s">
        <v>0</v>
      </c>
      <c r="B209" s="4664">
        <v>0</v>
      </c>
      <c r="C209" s="4664">
        <v>0</v>
      </c>
      <c r="D209" s="4664">
        <v>0</v>
      </c>
      <c r="E209" s="4664">
        <v>0</v>
      </c>
      <c r="F209" s="4664">
        <v>0</v>
      </c>
      <c r="G209" s="4721"/>
      <c r="H209" s="4721"/>
      <c r="I209" s="4664">
        <f>SUM(B209:H209)</f>
        <v>0</v>
      </c>
      <c r="J209" s="158"/>
    </row>
    <row r="210" spans="1:10" x14ac:dyDescent="0.2">
      <c r="A210" s="4659"/>
      <c r="B210" s="4660" t="s">
        <v>342</v>
      </c>
      <c r="C210" s="4660" t="s">
        <v>342</v>
      </c>
      <c r="D210" s="4660" t="s">
        <v>342</v>
      </c>
      <c r="E210" s="4660" t="s">
        <v>342</v>
      </c>
      <c r="F210" s="4661" t="s">
        <v>343</v>
      </c>
      <c r="G210" s="4661"/>
      <c r="H210" s="4661"/>
      <c r="I210" s="4651"/>
      <c r="J210" s="4662"/>
    </row>
    <row r="211" spans="1:10" x14ac:dyDescent="0.2">
      <c r="A211" s="4663" t="s">
        <v>0</v>
      </c>
      <c r="B211" s="4664">
        <v>0</v>
      </c>
      <c r="C211" s="4664">
        <v>0</v>
      </c>
      <c r="D211" s="4664">
        <v>0</v>
      </c>
      <c r="E211" s="4664">
        <v>0</v>
      </c>
      <c r="F211" s="4664">
        <v>0</v>
      </c>
      <c r="G211" s="4721"/>
      <c r="H211" s="4721"/>
      <c r="I211" s="4664">
        <f>SUM(B211:H211)</f>
        <v>0</v>
      </c>
      <c r="J211" s="158"/>
    </row>
    <row r="212" spans="1:10" x14ac:dyDescent="0.2">
      <c r="A212" s="4659"/>
      <c r="B212" s="4660" t="s">
        <v>342</v>
      </c>
      <c r="C212" s="4660" t="s">
        <v>342</v>
      </c>
      <c r="D212" s="4660" t="s">
        <v>342</v>
      </c>
      <c r="E212" s="4660" t="s">
        <v>342</v>
      </c>
      <c r="F212" s="4661" t="s">
        <v>343</v>
      </c>
      <c r="G212" s="4661"/>
      <c r="H212" s="4661"/>
      <c r="I212" s="4651"/>
      <c r="J212" s="4662"/>
    </row>
    <row r="213" spans="1:10" x14ac:dyDescent="0.2">
      <c r="A213" s="4663"/>
      <c r="B213" s="4664"/>
      <c r="C213" s="4664"/>
      <c r="D213" s="4664"/>
      <c r="E213" s="4664"/>
      <c r="F213" s="4664"/>
      <c r="G213" s="4721"/>
      <c r="H213" s="4721"/>
      <c r="I213" s="4664">
        <f>SUM(B213:H213)</f>
        <v>0</v>
      </c>
      <c r="J213" s="158"/>
    </row>
    <row r="214" spans="1:10" x14ac:dyDescent="0.2">
      <c r="A214" s="4677" t="s">
        <v>749</v>
      </c>
      <c r="B214" s="4677">
        <f t="shared" ref="B214:I214" si="9">SUM(B209,B211,B213)</f>
        <v>0</v>
      </c>
      <c r="C214" s="4677">
        <f t="shared" si="9"/>
        <v>0</v>
      </c>
      <c r="D214" s="4677">
        <f t="shared" si="9"/>
        <v>0</v>
      </c>
      <c r="E214" s="4677">
        <f t="shared" si="9"/>
        <v>0</v>
      </c>
      <c r="F214" s="4677">
        <f t="shared" si="9"/>
        <v>0</v>
      </c>
      <c r="G214" s="4677">
        <f t="shared" si="9"/>
        <v>0</v>
      </c>
      <c r="H214" s="4677">
        <f t="shared" si="9"/>
        <v>0</v>
      </c>
      <c r="I214" s="4677">
        <f t="shared" si="9"/>
        <v>0</v>
      </c>
      <c r="J214" s="4687"/>
    </row>
    <row r="215" spans="1:10" ht="12.75" x14ac:dyDescent="0.2">
      <c r="A215" s="5"/>
      <c r="B215" s="5"/>
      <c r="C215" s="5"/>
      <c r="D215" s="5"/>
      <c r="E215" s="5"/>
      <c r="F215" s="5"/>
      <c r="G215" s="4739" t="s">
        <v>851</v>
      </c>
      <c r="H215" s="4739" t="s">
        <v>852</v>
      </c>
      <c r="I215" s="4739" t="s">
        <v>853</v>
      </c>
      <c r="J215" s="6"/>
    </row>
    <row r="216" spans="1:10" x14ac:dyDescent="0.2">
      <c r="A216" s="5"/>
      <c r="B216" s="5"/>
      <c r="C216" s="5"/>
      <c r="D216" s="5"/>
      <c r="E216" s="5"/>
      <c r="F216" s="18"/>
      <c r="G216" s="4713">
        <f>I214</f>
        <v>0</v>
      </c>
      <c r="H216" s="4740">
        <f>SUM(G216*13/3)</f>
        <v>0</v>
      </c>
      <c r="I216" s="4713">
        <f>SUM(H216*12)</f>
        <v>0</v>
      </c>
      <c r="J216" s="6"/>
    </row>
    <row r="217" spans="1:10" x14ac:dyDescent="0.2">
      <c r="A217" s="5"/>
      <c r="B217" s="5"/>
      <c r="C217" s="5"/>
      <c r="D217" s="5"/>
      <c r="E217" s="5"/>
      <c r="F217" s="18"/>
      <c r="G217" s="5"/>
      <c r="H217" s="23"/>
      <c r="I217" s="5"/>
      <c r="J217" s="6"/>
    </row>
    <row r="218" spans="1:10" x14ac:dyDescent="0.2">
      <c r="A218" s="5"/>
      <c r="B218" s="5"/>
      <c r="C218" s="5"/>
      <c r="D218" s="5"/>
      <c r="E218" s="5"/>
      <c r="F218" s="18"/>
      <c r="G218" s="18"/>
      <c r="H218" s="18"/>
      <c r="I218" s="5"/>
      <c r="J218" s="6"/>
    </row>
    <row r="219" spans="1:10" ht="12.75" x14ac:dyDescent="0.2">
      <c r="A219" s="4861"/>
      <c r="B219" s="4725" t="s">
        <v>17</v>
      </c>
      <c r="C219" s="4681" t="s">
        <v>18</v>
      </c>
      <c r="D219" s="4681" t="s">
        <v>19</v>
      </c>
      <c r="E219" s="4681" t="s">
        <v>20</v>
      </c>
      <c r="F219" s="4681" t="s">
        <v>21</v>
      </c>
      <c r="G219" s="4681" t="s">
        <v>22</v>
      </c>
      <c r="H219" s="4726" t="s">
        <v>23</v>
      </c>
      <c r="I219" s="4727" t="s">
        <v>837</v>
      </c>
      <c r="J219" s="18" t="s">
        <v>0</v>
      </c>
    </row>
    <row r="220" spans="1:10" x14ac:dyDescent="0.2">
      <c r="A220" s="4747" t="s">
        <v>838</v>
      </c>
      <c r="B220" s="493">
        <f t="shared" ref="B220:I220" si="10">SUM(B4,B8,B25,B34,B70,B114,B117,B123,B132,B144,B162,B182,B203,B214)</f>
        <v>267.25</v>
      </c>
      <c r="C220" s="493">
        <f t="shared" si="10"/>
        <v>268.25</v>
      </c>
      <c r="D220" s="493">
        <f t="shared" si="10"/>
        <v>268.25</v>
      </c>
      <c r="E220" s="493">
        <f t="shared" si="10"/>
        <v>259.75</v>
      </c>
      <c r="F220" s="493">
        <f t="shared" si="10"/>
        <v>232.75</v>
      </c>
      <c r="G220" s="493">
        <f t="shared" si="10"/>
        <v>127.5</v>
      </c>
      <c r="H220" s="493">
        <f t="shared" si="10"/>
        <v>124.5</v>
      </c>
      <c r="I220" s="493">
        <f t="shared" si="10"/>
        <v>1526.75</v>
      </c>
      <c r="J220" s="5" t="s">
        <v>0</v>
      </c>
    </row>
    <row r="221" spans="1:10" x14ac:dyDescent="0.2">
      <c r="A221" s="4757" t="s">
        <v>840</v>
      </c>
      <c r="B221" s="150">
        <f t="shared" ref="B221:I221" si="11">SUM(B220*52)</f>
        <v>13897</v>
      </c>
      <c r="C221" s="150">
        <f t="shared" si="11"/>
        <v>13949</v>
      </c>
      <c r="D221" s="150">
        <f t="shared" si="11"/>
        <v>13949</v>
      </c>
      <c r="E221" s="150">
        <f t="shared" si="11"/>
        <v>13507</v>
      </c>
      <c r="F221" s="150">
        <f t="shared" si="11"/>
        <v>12103</v>
      </c>
      <c r="G221" s="150">
        <f t="shared" si="11"/>
        <v>6630</v>
      </c>
      <c r="H221" s="150">
        <f t="shared" si="11"/>
        <v>6474</v>
      </c>
      <c r="I221" s="150">
        <f t="shared" si="11"/>
        <v>79391</v>
      </c>
    </row>
    <row r="222" spans="1:10" x14ac:dyDescent="0.2">
      <c r="A222" t="s">
        <v>946</v>
      </c>
      <c r="I222" s="21"/>
      <c r="J222" s="59">
        <f>SUM(I221/12)</f>
        <v>6615.916666666667</v>
      </c>
    </row>
    <row r="223" spans="1:10" x14ac:dyDescent="0.2">
      <c r="A223" s="4862" t="s">
        <v>947</v>
      </c>
      <c r="B223" s="4669"/>
      <c r="C223" s="4669"/>
      <c r="D223" s="4669"/>
      <c r="E223" s="4660">
        <v>56</v>
      </c>
      <c r="F223" s="4669"/>
      <c r="G223" s="4669"/>
      <c r="H223" s="4651"/>
      <c r="I223" s="4863">
        <f>SUM(E223)*26</f>
        <v>1456</v>
      </c>
    </row>
    <row r="224" spans="1:10" x14ac:dyDescent="0.2">
      <c r="A224" s="4864" t="s">
        <v>948</v>
      </c>
      <c r="B224" s="4731"/>
      <c r="C224" s="4731"/>
      <c r="D224" s="4731"/>
      <c r="E224" s="4731"/>
      <c r="F224" s="4731"/>
      <c r="G224" s="4731"/>
      <c r="H224" s="4731"/>
      <c r="I224" s="4865">
        <f>SUM(I223*2)</f>
        <v>2912</v>
      </c>
    </row>
    <row r="225" spans="1:10" x14ac:dyDescent="0.2">
      <c r="A225" s="4747" t="s">
        <v>843</v>
      </c>
      <c r="B225" s="4728"/>
      <c r="C225" s="4729"/>
      <c r="D225" s="4731"/>
      <c r="E225" s="4731"/>
      <c r="F225" s="4731"/>
      <c r="G225" s="4731"/>
      <c r="H225" s="4731"/>
      <c r="I225" s="4865">
        <f>48*12</f>
        <v>576</v>
      </c>
    </row>
    <row r="226" spans="1:10" x14ac:dyDescent="0.2">
      <c r="A226" s="4866" t="s">
        <v>837</v>
      </c>
      <c r="B226" s="4675"/>
      <c r="C226" s="4675"/>
      <c r="D226" s="4675"/>
      <c r="E226" s="4675"/>
      <c r="F226" s="4675"/>
      <c r="G226" s="4675"/>
      <c r="H226" s="4675"/>
      <c r="I226" s="4867">
        <f>SUM(I223:I225)</f>
        <v>4944</v>
      </c>
    </row>
    <row r="227" spans="1:10" x14ac:dyDescent="0.2">
      <c r="I227" s="21"/>
    </row>
    <row r="228" spans="1:10" x14ac:dyDescent="0.2">
      <c r="I228" s="21"/>
    </row>
    <row r="229" spans="1:10" x14ac:dyDescent="0.2">
      <c r="A229" s="4732" t="s">
        <v>844</v>
      </c>
      <c r="B229" s="4732"/>
      <c r="C229" s="4732"/>
      <c r="D229" s="4732"/>
      <c r="E229" s="4732"/>
      <c r="F229" s="4732"/>
      <c r="G229" s="4732"/>
      <c r="H229" s="4732"/>
      <c r="I229" s="4734">
        <f>SUM(I221,I226)</f>
        <v>84335</v>
      </c>
      <c r="J229" t="s">
        <v>949</v>
      </c>
    </row>
    <row r="233" spans="1:10" ht="12.75" x14ac:dyDescent="0.2">
      <c r="A233" s="1" t="s">
        <v>950</v>
      </c>
      <c r="B233" s="5"/>
      <c r="C233" s="5"/>
      <c r="D233" s="5"/>
      <c r="E233" s="5"/>
      <c r="F233" s="18"/>
      <c r="G233" s="18"/>
      <c r="H233" s="18"/>
      <c r="I233" s="5"/>
      <c r="J233" s="6"/>
    </row>
    <row r="234" spans="1:10" ht="12.75" x14ac:dyDescent="0.2">
      <c r="A234" s="4679" t="s">
        <v>951</v>
      </c>
      <c r="B234" s="4680" t="s">
        <v>17</v>
      </c>
      <c r="C234" s="4681" t="s">
        <v>18</v>
      </c>
      <c r="D234" s="4681" t="s">
        <v>19</v>
      </c>
      <c r="E234" s="4681" t="s">
        <v>20</v>
      </c>
      <c r="F234" s="4681" t="s">
        <v>21</v>
      </c>
      <c r="G234" s="4681" t="s">
        <v>22</v>
      </c>
      <c r="H234" s="4682" t="s">
        <v>23</v>
      </c>
      <c r="I234" s="4683" t="s">
        <v>234</v>
      </c>
      <c r="J234" s="4684" t="s">
        <v>126</v>
      </c>
    </row>
    <row r="235" spans="1:10" ht="12.75" x14ac:dyDescent="0.2">
      <c r="A235" s="4868">
        <v>3700</v>
      </c>
      <c r="B235" s="4660" t="s">
        <v>952</v>
      </c>
      <c r="C235" s="4660" t="s">
        <v>952</v>
      </c>
      <c r="D235" s="4660" t="s">
        <v>952</v>
      </c>
      <c r="E235" s="4660" t="s">
        <v>952</v>
      </c>
      <c r="F235" s="4661" t="s">
        <v>953</v>
      </c>
      <c r="G235" s="4648"/>
      <c r="H235" s="4842" t="s">
        <v>0</v>
      </c>
      <c r="I235" s="4651"/>
      <c r="J235" s="4662" t="s">
        <v>0</v>
      </c>
    </row>
    <row r="236" spans="1:10" ht="12.75" x14ac:dyDescent="0.2">
      <c r="A236" s="4869"/>
      <c r="B236" s="4664"/>
      <c r="C236" s="4664"/>
      <c r="D236" s="4664"/>
      <c r="E236" s="4664"/>
      <c r="F236" s="4721"/>
      <c r="G236" s="150"/>
      <c r="H236" s="188" t="s">
        <v>0</v>
      </c>
      <c r="I236" s="4664">
        <f>SUM(B236:H236)</f>
        <v>0</v>
      </c>
      <c r="J236" s="158"/>
    </row>
    <row r="237" spans="1:10" ht="12.75" x14ac:dyDescent="0.2">
      <c r="A237" s="494">
        <v>3700</v>
      </c>
      <c r="B237" s="453" t="s">
        <v>342</v>
      </c>
      <c r="C237" s="453" t="s">
        <v>342</v>
      </c>
      <c r="D237" s="453" t="s">
        <v>342</v>
      </c>
      <c r="E237" s="453" t="s">
        <v>342</v>
      </c>
      <c r="F237" s="454" t="s">
        <v>343</v>
      </c>
      <c r="G237" s="495"/>
      <c r="H237" s="4870" t="s">
        <v>0</v>
      </c>
      <c r="I237" s="457"/>
      <c r="J237" s="463" t="s">
        <v>0</v>
      </c>
    </row>
    <row r="238" spans="1:10" x14ac:dyDescent="0.2">
      <c r="A238" s="4871" t="s">
        <v>354</v>
      </c>
      <c r="B238" s="4664">
        <v>7.75</v>
      </c>
      <c r="C238" s="4664">
        <v>7.75</v>
      </c>
      <c r="D238" s="4664">
        <v>7.75</v>
      </c>
      <c r="E238" s="4664">
        <v>7.75</v>
      </c>
      <c r="F238" s="4721">
        <v>6</v>
      </c>
      <c r="G238" s="150"/>
      <c r="H238" s="188" t="s">
        <v>0</v>
      </c>
      <c r="I238" s="4664">
        <f>SUM(B238:H238)</f>
        <v>37</v>
      </c>
      <c r="J238" s="158"/>
    </row>
    <row r="239" spans="1:10" ht="12.75" x14ac:dyDescent="0.2">
      <c r="A239" s="4868">
        <v>3701</v>
      </c>
      <c r="B239" s="4660" t="s">
        <v>342</v>
      </c>
      <c r="C239" s="4660" t="s">
        <v>342</v>
      </c>
      <c r="D239" s="4660" t="s">
        <v>342</v>
      </c>
      <c r="E239" s="4660" t="s">
        <v>342</v>
      </c>
      <c r="F239" s="4661" t="s">
        <v>343</v>
      </c>
      <c r="G239" s="4648"/>
      <c r="H239" s="4842" t="s">
        <v>0</v>
      </c>
      <c r="I239" s="4651"/>
      <c r="J239" s="4662" t="s">
        <v>0</v>
      </c>
    </row>
    <row r="240" spans="1:10" ht="12.75" x14ac:dyDescent="0.2">
      <c r="A240" s="4869" t="s">
        <v>954</v>
      </c>
      <c r="B240" s="4664">
        <v>7.75</v>
      </c>
      <c r="C240" s="4664">
        <v>7.75</v>
      </c>
      <c r="D240" s="4664">
        <v>7.75</v>
      </c>
      <c r="E240" s="4664">
        <v>7.75</v>
      </c>
      <c r="F240" s="4721">
        <v>6</v>
      </c>
      <c r="G240" s="150"/>
      <c r="H240" s="188" t="s">
        <v>0</v>
      </c>
      <c r="I240" s="4664">
        <f>SUM(B240:H240)</f>
        <v>37</v>
      </c>
      <c r="J240" s="158"/>
    </row>
    <row r="241" spans="1:10" ht="12.75" x14ac:dyDescent="0.2">
      <c r="A241" s="4868">
        <v>3701</v>
      </c>
      <c r="B241" s="4660" t="s">
        <v>342</v>
      </c>
      <c r="C241" s="4660" t="s">
        <v>342</v>
      </c>
      <c r="D241" s="4660" t="s">
        <v>342</v>
      </c>
      <c r="E241" s="4660" t="s">
        <v>342</v>
      </c>
      <c r="F241" s="4661" t="s">
        <v>343</v>
      </c>
      <c r="G241" s="4648"/>
      <c r="H241" s="4842" t="s">
        <v>0</v>
      </c>
      <c r="I241" s="4651"/>
      <c r="J241" s="4662" t="s">
        <v>0</v>
      </c>
    </row>
    <row r="242" spans="1:10" ht="12.75" x14ac:dyDescent="0.2">
      <c r="A242" s="4869" t="s">
        <v>955</v>
      </c>
      <c r="B242" s="4664">
        <v>7.75</v>
      </c>
      <c r="C242" s="4664">
        <v>7.75</v>
      </c>
      <c r="D242" s="4664">
        <v>7.75</v>
      </c>
      <c r="E242" s="4664">
        <v>7.75</v>
      </c>
      <c r="F242" s="4721">
        <v>6</v>
      </c>
      <c r="G242" s="150"/>
      <c r="H242" s="188" t="s">
        <v>0</v>
      </c>
      <c r="I242" s="4664">
        <f>SUM(B242:H242)</f>
        <v>37</v>
      </c>
      <c r="J242" s="158"/>
    </row>
    <row r="243" spans="1:10" ht="12.75" x14ac:dyDescent="0.2">
      <c r="A243" s="494">
        <v>3701</v>
      </c>
      <c r="B243" s="453" t="s">
        <v>342</v>
      </c>
      <c r="C243" s="453" t="s">
        <v>342</v>
      </c>
      <c r="D243" s="453" t="s">
        <v>342</v>
      </c>
      <c r="E243" s="453" t="s">
        <v>342</v>
      </c>
      <c r="F243" s="454" t="s">
        <v>343</v>
      </c>
      <c r="G243" s="495"/>
      <c r="H243" s="4870" t="s">
        <v>0</v>
      </c>
      <c r="I243" s="457"/>
      <c r="J243" s="463" t="s">
        <v>0</v>
      </c>
    </row>
    <row r="244" spans="1:10" x14ac:dyDescent="0.2">
      <c r="A244" s="4871" t="s">
        <v>693</v>
      </c>
      <c r="B244" s="4664">
        <v>7.75</v>
      </c>
      <c r="C244" s="4664">
        <v>7.75</v>
      </c>
      <c r="D244" s="4664">
        <v>7.75</v>
      </c>
      <c r="E244" s="4664">
        <v>7.75</v>
      </c>
      <c r="F244" s="4721">
        <v>6</v>
      </c>
      <c r="G244" s="150"/>
      <c r="H244" s="188" t="s">
        <v>0</v>
      </c>
      <c r="I244" s="4664">
        <f>SUM(B244:H244)</f>
        <v>37</v>
      </c>
      <c r="J244" s="158"/>
    </row>
    <row r="245" spans="1:10" ht="12.75" x14ac:dyDescent="0.2">
      <c r="A245" s="4872">
        <v>3701</v>
      </c>
      <c r="B245" s="4660" t="s">
        <v>342</v>
      </c>
      <c r="C245" s="4660" t="s">
        <v>342</v>
      </c>
      <c r="D245" s="4660" t="s">
        <v>342</v>
      </c>
      <c r="E245" s="4660" t="s">
        <v>342</v>
      </c>
      <c r="F245" s="4661" t="s">
        <v>343</v>
      </c>
      <c r="G245" s="4648"/>
      <c r="H245" s="4842" t="s">
        <v>0</v>
      </c>
      <c r="I245" s="4651"/>
      <c r="J245" s="4662" t="s">
        <v>0</v>
      </c>
    </row>
    <row r="246" spans="1:10" x14ac:dyDescent="0.2">
      <c r="A246" s="4871"/>
      <c r="B246" s="4664">
        <v>7.75</v>
      </c>
      <c r="C246" s="4664">
        <v>7.75</v>
      </c>
      <c r="D246" s="4664">
        <v>7.75</v>
      </c>
      <c r="E246" s="4664">
        <v>7.75</v>
      </c>
      <c r="F246" s="4721">
        <v>6</v>
      </c>
      <c r="G246" s="150"/>
      <c r="H246" s="188" t="s">
        <v>0</v>
      </c>
      <c r="I246" s="4664">
        <f>SUM(B246:H246)</f>
        <v>37</v>
      </c>
      <c r="J246" s="158"/>
    </row>
    <row r="247" spans="1:10" ht="12.75" x14ac:dyDescent="0.2">
      <c r="A247" s="4872">
        <v>3701</v>
      </c>
      <c r="B247" s="4660" t="s">
        <v>342</v>
      </c>
      <c r="C247" s="4660" t="s">
        <v>342</v>
      </c>
      <c r="D247" s="4660" t="s">
        <v>342</v>
      </c>
      <c r="E247" s="4660" t="s">
        <v>342</v>
      </c>
      <c r="F247" s="4661" t="s">
        <v>343</v>
      </c>
      <c r="G247" s="4648"/>
      <c r="H247" s="4842" t="s">
        <v>0</v>
      </c>
      <c r="I247" s="4651"/>
      <c r="J247" s="4662" t="s">
        <v>0</v>
      </c>
    </row>
    <row r="248" spans="1:10" x14ac:dyDescent="0.2">
      <c r="A248" s="4871" t="s">
        <v>956</v>
      </c>
      <c r="B248" s="4664">
        <v>7.75</v>
      </c>
      <c r="C248" s="4664">
        <v>7.75</v>
      </c>
      <c r="D248" s="4664">
        <v>7.75</v>
      </c>
      <c r="E248" s="4664">
        <v>7.75</v>
      </c>
      <c r="F248" s="4721">
        <v>6</v>
      </c>
      <c r="G248" s="150"/>
      <c r="H248" s="188" t="s">
        <v>0</v>
      </c>
      <c r="I248" s="4664">
        <f>SUM(B248:H248)</f>
        <v>37</v>
      </c>
      <c r="J248" s="158"/>
    </row>
    <row r="249" spans="1:10" ht="12.75" x14ac:dyDescent="0.2">
      <c r="A249" s="4872">
        <v>3701</v>
      </c>
      <c r="B249" s="4660" t="s">
        <v>342</v>
      </c>
      <c r="C249" s="4660" t="s">
        <v>342</v>
      </c>
      <c r="D249" s="4660" t="s">
        <v>342</v>
      </c>
      <c r="E249" s="4660" t="s">
        <v>342</v>
      </c>
      <c r="F249" s="4661" t="s">
        <v>343</v>
      </c>
      <c r="G249" s="4648"/>
      <c r="H249" s="4842" t="s">
        <v>0</v>
      </c>
      <c r="I249" s="4651"/>
      <c r="J249" s="4662" t="s">
        <v>0</v>
      </c>
    </row>
    <row r="250" spans="1:10" x14ac:dyDescent="0.2">
      <c r="A250" s="4871" t="s">
        <v>359</v>
      </c>
      <c r="B250" s="4664">
        <v>7.75</v>
      </c>
      <c r="C250" s="4664">
        <v>7.75</v>
      </c>
      <c r="D250" s="4664">
        <v>7.75</v>
      </c>
      <c r="E250" s="4664">
        <v>7.75</v>
      </c>
      <c r="F250" s="4721">
        <v>6</v>
      </c>
      <c r="G250" s="150"/>
      <c r="H250" s="188" t="s">
        <v>0</v>
      </c>
      <c r="I250" s="4664">
        <f>SUM(B250:H250)</f>
        <v>37</v>
      </c>
      <c r="J250" s="158"/>
    </row>
    <row r="251" spans="1:10" ht="12.75" x14ac:dyDescent="0.2">
      <c r="A251" s="4872">
        <v>3701</v>
      </c>
      <c r="B251" s="4660" t="s">
        <v>342</v>
      </c>
      <c r="C251" s="4660" t="s">
        <v>342</v>
      </c>
      <c r="D251" s="4660" t="s">
        <v>342</v>
      </c>
      <c r="E251" s="4660" t="s">
        <v>342</v>
      </c>
      <c r="F251" s="4661" t="s">
        <v>343</v>
      </c>
      <c r="G251" s="4648"/>
      <c r="H251" s="4842" t="s">
        <v>0</v>
      </c>
      <c r="I251" s="4651"/>
      <c r="J251" s="4662" t="s">
        <v>0</v>
      </c>
    </row>
    <row r="252" spans="1:10" x14ac:dyDescent="0.2">
      <c r="A252" s="4871" t="s">
        <v>360</v>
      </c>
      <c r="B252" s="4664">
        <v>7.75</v>
      </c>
      <c r="C252" s="4664">
        <v>7.75</v>
      </c>
      <c r="D252" s="4664">
        <v>7.75</v>
      </c>
      <c r="E252" s="4664">
        <v>7.75</v>
      </c>
      <c r="F252" s="4721">
        <v>6</v>
      </c>
      <c r="G252" s="150"/>
      <c r="H252" s="188" t="s">
        <v>0</v>
      </c>
      <c r="I252" s="4664">
        <f>SUM(B252:H252)</f>
        <v>37</v>
      </c>
      <c r="J252" s="158"/>
    </row>
    <row r="253" spans="1:10" ht="12.75" x14ac:dyDescent="0.2">
      <c r="A253" s="4872">
        <v>3701</v>
      </c>
      <c r="B253" s="4660" t="s">
        <v>342</v>
      </c>
      <c r="C253" s="4660" t="s">
        <v>342</v>
      </c>
      <c r="D253" s="4660" t="s">
        <v>342</v>
      </c>
      <c r="E253" s="4660" t="s">
        <v>342</v>
      </c>
      <c r="F253" s="4661" t="s">
        <v>343</v>
      </c>
      <c r="G253" s="4648"/>
      <c r="H253" s="4842" t="s">
        <v>0</v>
      </c>
      <c r="I253" s="4651"/>
      <c r="J253" s="4662" t="s">
        <v>0</v>
      </c>
    </row>
    <row r="254" spans="1:10" x14ac:dyDescent="0.2">
      <c r="A254" s="4871" t="s">
        <v>957</v>
      </c>
      <c r="B254" s="4664">
        <v>7.75</v>
      </c>
      <c r="C254" s="4664">
        <v>7.75</v>
      </c>
      <c r="D254" s="4664">
        <v>7.75</v>
      </c>
      <c r="E254" s="4664">
        <v>7.75</v>
      </c>
      <c r="F254" s="4721">
        <v>6</v>
      </c>
      <c r="G254" s="150"/>
      <c r="H254" s="188" t="s">
        <v>0</v>
      </c>
      <c r="I254" s="4664">
        <f>SUM(B254:H254)</f>
        <v>37</v>
      </c>
      <c r="J254" s="158"/>
    </row>
    <row r="255" spans="1:10" ht="12.75" x14ac:dyDescent="0.2">
      <c r="A255" s="4872">
        <v>3701</v>
      </c>
      <c r="B255" s="4660" t="s">
        <v>342</v>
      </c>
      <c r="C255" s="4660" t="s">
        <v>342</v>
      </c>
      <c r="D255" s="4660" t="s">
        <v>342</v>
      </c>
      <c r="E255" s="4660" t="s">
        <v>342</v>
      </c>
      <c r="F255" s="4661" t="s">
        <v>343</v>
      </c>
      <c r="G255" s="4648"/>
      <c r="H255" s="4842" t="s">
        <v>0</v>
      </c>
      <c r="I255" s="4651"/>
      <c r="J255" s="4662" t="s">
        <v>0</v>
      </c>
    </row>
    <row r="256" spans="1:10" x14ac:dyDescent="0.2">
      <c r="A256" s="4871" t="s">
        <v>958</v>
      </c>
      <c r="B256" s="4664">
        <v>7.75</v>
      </c>
      <c r="C256" s="4664">
        <v>7.75</v>
      </c>
      <c r="D256" s="4664">
        <v>7.75</v>
      </c>
      <c r="E256" s="4664">
        <v>7.75</v>
      </c>
      <c r="F256" s="4721">
        <v>6</v>
      </c>
      <c r="G256" s="150"/>
      <c r="H256" s="188" t="s">
        <v>0</v>
      </c>
      <c r="I256" s="4664">
        <f>SUM(B256:H256)</f>
        <v>37</v>
      </c>
      <c r="J256" s="158"/>
    </row>
    <row r="257" spans="1:10" ht="12.75" x14ac:dyDescent="0.2">
      <c r="A257" s="4872">
        <v>3701</v>
      </c>
      <c r="B257" s="4660" t="s">
        <v>342</v>
      </c>
      <c r="C257" s="4660" t="s">
        <v>342</v>
      </c>
      <c r="D257" s="4660" t="s">
        <v>342</v>
      </c>
      <c r="E257" s="4660" t="s">
        <v>342</v>
      </c>
      <c r="F257" s="4661" t="s">
        <v>343</v>
      </c>
      <c r="G257" s="4648"/>
      <c r="H257" s="4842" t="s">
        <v>0</v>
      </c>
      <c r="I257" s="4651"/>
      <c r="J257" s="4662" t="s">
        <v>0</v>
      </c>
    </row>
    <row r="258" spans="1:10" x14ac:dyDescent="0.2">
      <c r="A258" s="4871" t="s">
        <v>959</v>
      </c>
      <c r="B258" s="4664">
        <v>7.75</v>
      </c>
      <c r="C258" s="4664">
        <v>7.75</v>
      </c>
      <c r="D258" s="4664">
        <v>7.75</v>
      </c>
      <c r="E258" s="4664">
        <v>7.75</v>
      </c>
      <c r="F258" s="4721">
        <v>6</v>
      </c>
      <c r="G258" s="150"/>
      <c r="H258" s="188" t="s">
        <v>0</v>
      </c>
      <c r="I258" s="4664">
        <f>SUM(B258:H258)</f>
        <v>37</v>
      </c>
      <c r="J258" s="158"/>
    </row>
    <row r="259" spans="1:10" ht="12.75" x14ac:dyDescent="0.2">
      <c r="A259" s="4872">
        <v>3701</v>
      </c>
      <c r="B259" s="4660" t="s">
        <v>342</v>
      </c>
      <c r="C259" s="4660" t="s">
        <v>342</v>
      </c>
      <c r="D259" s="4660" t="s">
        <v>342</v>
      </c>
      <c r="E259" s="4660" t="s">
        <v>342</v>
      </c>
      <c r="F259" s="4661" t="s">
        <v>343</v>
      </c>
      <c r="G259" s="4648"/>
      <c r="H259" s="4842" t="s">
        <v>0</v>
      </c>
      <c r="I259" s="4651"/>
      <c r="J259" s="4662" t="s">
        <v>0</v>
      </c>
    </row>
    <row r="260" spans="1:10" x14ac:dyDescent="0.2">
      <c r="A260" s="4871" t="s">
        <v>960</v>
      </c>
      <c r="B260" s="4664">
        <v>7.75</v>
      </c>
      <c r="C260" s="4664">
        <v>7.75</v>
      </c>
      <c r="D260" s="4664">
        <v>7.75</v>
      </c>
      <c r="E260" s="4664">
        <v>7.75</v>
      </c>
      <c r="F260" s="4721">
        <v>6</v>
      </c>
      <c r="G260" s="150"/>
      <c r="H260" s="188" t="s">
        <v>0</v>
      </c>
      <c r="I260" s="4664">
        <f>SUM(B260:H260)</f>
        <v>37</v>
      </c>
      <c r="J260" s="158"/>
    </row>
    <row r="261" spans="1:10" ht="12.75" x14ac:dyDescent="0.2">
      <c r="A261" s="4872">
        <v>3701</v>
      </c>
      <c r="B261" s="4660" t="s">
        <v>342</v>
      </c>
      <c r="C261" s="4660" t="s">
        <v>342</v>
      </c>
      <c r="D261" s="4660" t="s">
        <v>342</v>
      </c>
      <c r="E261" s="4660" t="s">
        <v>342</v>
      </c>
      <c r="F261" s="4661" t="s">
        <v>343</v>
      </c>
      <c r="G261" s="4648"/>
      <c r="H261" s="4842" t="s">
        <v>0</v>
      </c>
      <c r="I261" s="4651"/>
      <c r="J261" s="4662" t="s">
        <v>0</v>
      </c>
    </row>
    <row r="262" spans="1:10" x14ac:dyDescent="0.2">
      <c r="A262" s="4871"/>
      <c r="B262" s="4664"/>
      <c r="C262" s="4664"/>
      <c r="D262" s="4664"/>
      <c r="E262" s="4664"/>
      <c r="F262" s="4721"/>
      <c r="G262" s="150"/>
      <c r="H262" s="188" t="s">
        <v>0</v>
      </c>
      <c r="I262" s="4664">
        <f>SUM(B262:H262)</f>
        <v>0</v>
      </c>
      <c r="J262" s="158"/>
    </row>
    <row r="263" spans="1:10" ht="12.75" x14ac:dyDescent="0.2">
      <c r="A263" s="4872">
        <v>3701</v>
      </c>
      <c r="B263" s="4660" t="s">
        <v>345</v>
      </c>
      <c r="C263" s="4660" t="s">
        <v>345</v>
      </c>
      <c r="D263" s="4660" t="s">
        <v>345</v>
      </c>
      <c r="E263" s="4660" t="s">
        <v>345</v>
      </c>
      <c r="F263" s="4661" t="s">
        <v>346</v>
      </c>
      <c r="G263" s="4648"/>
      <c r="H263" s="4842" t="s">
        <v>0</v>
      </c>
      <c r="I263" s="4651"/>
      <c r="J263" s="4662" t="s">
        <v>0</v>
      </c>
    </row>
    <row r="264" spans="1:10" x14ac:dyDescent="0.2">
      <c r="A264" s="4871"/>
      <c r="B264" s="4664"/>
      <c r="C264" s="4664"/>
      <c r="D264" s="4664"/>
      <c r="E264" s="4664"/>
      <c r="F264" s="4721"/>
      <c r="G264" s="150"/>
      <c r="H264" s="188" t="s">
        <v>0</v>
      </c>
      <c r="I264" s="4664">
        <f>SUM(B264:H264)</f>
        <v>0</v>
      </c>
      <c r="J264" s="158"/>
    </row>
    <row r="265" spans="1:10" x14ac:dyDescent="0.2">
      <c r="A265" s="4677" t="s">
        <v>749</v>
      </c>
      <c r="B265" s="4677">
        <f t="shared" ref="B265:H265" si="12">SUM(B254,B256,B258,B260,B262,B264)</f>
        <v>31</v>
      </c>
      <c r="C265" s="4677">
        <f t="shared" si="12"/>
        <v>31</v>
      </c>
      <c r="D265" s="4677">
        <f t="shared" si="12"/>
        <v>31</v>
      </c>
      <c r="E265" s="4677">
        <f t="shared" si="12"/>
        <v>31</v>
      </c>
      <c r="F265" s="4677">
        <f t="shared" si="12"/>
        <v>24</v>
      </c>
      <c r="G265" s="4677">
        <f t="shared" si="12"/>
        <v>0</v>
      </c>
      <c r="H265" s="4677">
        <f t="shared" si="12"/>
        <v>0</v>
      </c>
      <c r="I265" s="4686">
        <f>SUM(I236,I238,I240,I242,I244,I246,I248,I250,I252,I254,I256,I258,I260,I262,I264)</f>
        <v>444</v>
      </c>
      <c r="J265" s="4687"/>
    </row>
    <row r="266" spans="1:10" ht="12.75" x14ac:dyDescent="0.2">
      <c r="A266" s="42"/>
      <c r="B266" s="5"/>
      <c r="C266" s="5"/>
      <c r="D266" s="5"/>
      <c r="E266" s="5"/>
      <c r="F266" s="18"/>
      <c r="G266" s="4739" t="s">
        <v>851</v>
      </c>
      <c r="H266" s="4739" t="s">
        <v>852</v>
      </c>
      <c r="I266" s="4739" t="s">
        <v>853</v>
      </c>
      <c r="J266" s="6"/>
    </row>
    <row r="267" spans="1:10" ht="12.75" x14ac:dyDescent="0.2">
      <c r="A267" s="42"/>
      <c r="B267" s="5"/>
      <c r="C267" s="5"/>
      <c r="D267" s="5"/>
      <c r="E267" s="5"/>
      <c r="F267" s="18"/>
      <c r="G267" s="4713">
        <f>I265</f>
        <v>444</v>
      </c>
      <c r="H267" s="4740">
        <f>SUM(G267*13/3)</f>
        <v>1924</v>
      </c>
      <c r="I267" s="4713">
        <f>SUM(H267*12)</f>
        <v>23088</v>
      </c>
      <c r="J267" s="6"/>
    </row>
  </sheetData>
  <sheetProtection algorithmName="SHA-512" hashValue="rF7gVH6FLGgzyu3ppvU+Z1DdWxZ0owo5rN01F5PrFpTYD42FNO6Kqbo06YoIwchCMQvi/oB0cp8qau0Bgmjk2Q==" saltValue="HuNPAwNyqywTUwUqmPdJEw==" spinCount="100000" sheet="1" objects="1" scenarios="1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33"/>
  <dimension ref="A1:J297"/>
  <sheetViews>
    <sheetView workbookViewId="0">
      <selection activeCell="B1" sqref="B1:J1048576"/>
    </sheetView>
  </sheetViews>
  <sheetFormatPr defaultRowHeight="12" x14ac:dyDescent="0.2"/>
  <cols>
    <col min="1" max="1" width="18.5703125" customWidth="1"/>
    <col min="2" max="10" width="13.140625" customWidth="1"/>
  </cols>
  <sheetData>
    <row r="1" spans="1:10" ht="23.25" x14ac:dyDescent="0.2">
      <c r="A1" s="1" t="s">
        <v>734</v>
      </c>
      <c r="B1" s="1"/>
      <c r="D1" s="2"/>
      <c r="E1" s="2"/>
    </row>
    <row r="2" spans="1:10" ht="12.75" x14ac:dyDescent="0.2">
      <c r="A2" s="4647" t="s">
        <v>846</v>
      </c>
      <c r="B2" s="4648" t="s">
        <v>17</v>
      </c>
      <c r="C2" s="4649" t="s">
        <v>18</v>
      </c>
      <c r="D2" s="4649" t="s">
        <v>19</v>
      </c>
      <c r="E2" s="4649" t="s">
        <v>20</v>
      </c>
      <c r="F2" s="4649" t="s">
        <v>21</v>
      </c>
      <c r="G2" s="4649" t="s">
        <v>22</v>
      </c>
      <c r="H2" s="4650" t="s">
        <v>23</v>
      </c>
      <c r="I2" s="4651" t="s">
        <v>234</v>
      </c>
      <c r="J2" s="4652" t="s">
        <v>126</v>
      </c>
    </row>
    <row r="3" spans="1:10" ht="12.75" x14ac:dyDescent="0.2">
      <c r="A3" s="452"/>
      <c r="B3" s="453" t="s">
        <v>263</v>
      </c>
      <c r="C3" s="453" t="s">
        <v>263</v>
      </c>
      <c r="D3" s="453" t="s">
        <v>263</v>
      </c>
      <c r="E3" s="453" t="s">
        <v>263</v>
      </c>
      <c r="F3" s="454" t="s">
        <v>847</v>
      </c>
      <c r="G3" s="455"/>
      <c r="H3" s="456"/>
      <c r="I3" s="457"/>
      <c r="J3" s="458"/>
    </row>
    <row r="4" spans="1:10" x14ac:dyDescent="0.2">
      <c r="A4" s="19" t="s">
        <v>736</v>
      </c>
      <c r="B4" s="474">
        <v>7.75</v>
      </c>
      <c r="C4" s="474">
        <v>7.75</v>
      </c>
      <c r="D4" s="474">
        <v>7.75</v>
      </c>
      <c r="E4" s="474">
        <v>7.75</v>
      </c>
      <c r="F4" s="475">
        <v>6</v>
      </c>
      <c r="G4" s="392"/>
      <c r="H4" s="17"/>
      <c r="I4" s="476">
        <f>SUM(B4:H4)</f>
        <v>37</v>
      </c>
      <c r="J4" s="496"/>
    </row>
    <row r="5" spans="1:10" ht="12.75" x14ac:dyDescent="0.2">
      <c r="A5" s="4841" t="s">
        <v>961</v>
      </c>
      <c r="B5" s="4873" t="s">
        <v>962</v>
      </c>
      <c r="C5" s="4873" t="s">
        <v>962</v>
      </c>
      <c r="D5" s="4873" t="s">
        <v>962</v>
      </c>
      <c r="E5" s="4873" t="s">
        <v>962</v>
      </c>
      <c r="F5" s="4873" t="s">
        <v>963</v>
      </c>
      <c r="G5" s="4874"/>
      <c r="H5" s="4874"/>
      <c r="I5" s="4664"/>
      <c r="J5" s="4875"/>
    </row>
    <row r="6" spans="1:10" ht="12.75" x14ac:dyDescent="0.2">
      <c r="A6" s="5"/>
      <c r="E6" s="5"/>
      <c r="F6" s="18"/>
      <c r="G6" s="497" t="s">
        <v>851</v>
      </c>
      <c r="H6" s="497" t="s">
        <v>852</v>
      </c>
      <c r="I6" s="497" t="s">
        <v>853</v>
      </c>
      <c r="J6" s="22"/>
    </row>
    <row r="7" spans="1:10" x14ac:dyDescent="0.2">
      <c r="A7" s="5"/>
      <c r="E7" s="5"/>
      <c r="F7" s="18"/>
      <c r="G7" s="4713">
        <f>I4</f>
        <v>37</v>
      </c>
      <c r="H7" s="4740">
        <f>SUM(G7*13/3)</f>
        <v>160.33333333333334</v>
      </c>
      <c r="I7" s="4713">
        <f>SUM(H7*12)</f>
        <v>1924</v>
      </c>
      <c r="J7" s="22"/>
    </row>
    <row r="8" spans="1:10" ht="23.25" x14ac:dyDescent="0.2">
      <c r="A8" s="3" t="s">
        <v>849</v>
      </c>
      <c r="D8" s="2"/>
      <c r="E8" s="2"/>
    </row>
    <row r="9" spans="1:10" ht="12.75" x14ac:dyDescent="0.2">
      <c r="A9" s="4653" t="s">
        <v>751</v>
      </c>
      <c r="B9" s="4654" t="s">
        <v>17</v>
      </c>
      <c r="C9" s="4655" t="s">
        <v>18</v>
      </c>
      <c r="D9" s="4655" t="s">
        <v>19</v>
      </c>
      <c r="E9" s="4655" t="s">
        <v>20</v>
      </c>
      <c r="F9" s="4655" t="s">
        <v>21</v>
      </c>
      <c r="G9" s="4655" t="s">
        <v>22</v>
      </c>
      <c r="H9" s="4656" t="s">
        <v>23</v>
      </c>
      <c r="I9" s="4657" t="s">
        <v>234</v>
      </c>
      <c r="J9" s="4658" t="s">
        <v>126</v>
      </c>
    </row>
    <row r="10" spans="1:10" x14ac:dyDescent="0.2">
      <c r="A10" s="4659"/>
      <c r="B10" s="4661" t="s">
        <v>752</v>
      </c>
      <c r="C10" s="4661" t="s">
        <v>752</v>
      </c>
      <c r="D10" s="4661" t="s">
        <v>752</v>
      </c>
      <c r="E10" s="4661" t="s">
        <v>752</v>
      </c>
      <c r="F10" s="4661" t="s">
        <v>753</v>
      </c>
      <c r="G10" s="4661"/>
      <c r="H10" s="4661"/>
      <c r="I10" s="4742"/>
      <c r="J10" s="4662"/>
    </row>
    <row r="11" spans="1:10" x14ac:dyDescent="0.2">
      <c r="A11" s="4876" t="s">
        <v>850</v>
      </c>
      <c r="B11" s="4736">
        <v>7.75</v>
      </c>
      <c r="C11" s="4736">
        <v>7.75</v>
      </c>
      <c r="D11" s="4736">
        <v>7.75</v>
      </c>
      <c r="E11" s="4736">
        <v>7.75</v>
      </c>
      <c r="F11" s="4736">
        <v>6</v>
      </c>
      <c r="G11" s="4736"/>
      <c r="H11" s="4736"/>
      <c r="I11" s="4736">
        <f>SUM(B11:H11)</f>
        <v>37</v>
      </c>
      <c r="J11" s="4877"/>
    </row>
    <row r="12" spans="1:10" ht="12.75" x14ac:dyDescent="0.2">
      <c r="A12" s="4841" t="s">
        <v>961</v>
      </c>
      <c r="B12" s="4873" t="s">
        <v>964</v>
      </c>
      <c r="C12" s="4873" t="s">
        <v>964</v>
      </c>
      <c r="D12" s="4873" t="s">
        <v>964</v>
      </c>
      <c r="E12" s="4873" t="s">
        <v>964</v>
      </c>
      <c r="F12" s="4873" t="s">
        <v>965</v>
      </c>
      <c r="G12" s="4721"/>
      <c r="H12" s="4721"/>
      <c r="I12" s="4721"/>
      <c r="J12" s="4723"/>
    </row>
    <row r="13" spans="1:10" ht="12.75" x14ac:dyDescent="0.2">
      <c r="A13" s="5"/>
      <c r="E13" s="5"/>
      <c r="F13" s="18"/>
      <c r="G13" s="497" t="s">
        <v>851</v>
      </c>
      <c r="H13" s="497" t="s">
        <v>852</v>
      </c>
      <c r="I13" s="497" t="s">
        <v>853</v>
      </c>
      <c r="J13" s="22"/>
    </row>
    <row r="14" spans="1:10" x14ac:dyDescent="0.2">
      <c r="A14" s="5"/>
      <c r="E14" s="5"/>
      <c r="F14" s="18"/>
      <c r="G14" s="4713">
        <f>I11</f>
        <v>37</v>
      </c>
      <c r="H14" s="4740">
        <f>SUM(G14*13/3)</f>
        <v>160.33333333333334</v>
      </c>
      <c r="I14" s="4713">
        <f>SUM(H14*12)</f>
        <v>1924</v>
      </c>
      <c r="J14" s="22"/>
    </row>
    <row r="15" spans="1:10" x14ac:dyDescent="0.2">
      <c r="A15" s="5"/>
      <c r="E15" s="5"/>
      <c r="F15" s="18"/>
      <c r="G15" s="5"/>
      <c r="H15" s="23"/>
      <c r="I15" s="5"/>
      <c r="J15" s="22"/>
    </row>
    <row r="16" spans="1:10" x14ac:dyDescent="0.2">
      <c r="A16" s="5"/>
      <c r="E16" s="5"/>
      <c r="F16" s="18"/>
      <c r="G16" s="5"/>
      <c r="H16" s="23"/>
      <c r="I16" s="5"/>
      <c r="J16" s="22"/>
    </row>
    <row r="17" spans="1:10" x14ac:dyDescent="0.2">
      <c r="A17" s="5"/>
      <c r="E17" s="5"/>
      <c r="F17" s="18"/>
      <c r="G17" s="5"/>
      <c r="H17" s="23"/>
      <c r="I17" s="5"/>
      <c r="J17" s="22"/>
    </row>
    <row r="18" spans="1:10" x14ac:dyDescent="0.2">
      <c r="A18" s="5"/>
      <c r="E18" s="5"/>
      <c r="F18" s="18"/>
      <c r="G18" s="5"/>
      <c r="H18" s="23"/>
      <c r="I18" s="5"/>
      <c r="J18" s="22"/>
    </row>
    <row r="19" spans="1:10" x14ac:dyDescent="0.2">
      <c r="A19" s="5"/>
      <c r="E19" s="5"/>
      <c r="F19" s="18"/>
      <c r="G19" s="5"/>
      <c r="H19" s="23"/>
      <c r="I19" s="5"/>
      <c r="J19" s="22"/>
    </row>
    <row r="20" spans="1:10" x14ac:dyDescent="0.2">
      <c r="A20" s="5"/>
      <c r="E20" s="5"/>
      <c r="F20" s="18"/>
      <c r="G20" s="5"/>
      <c r="H20" s="23"/>
      <c r="I20" s="5"/>
      <c r="J20" s="22"/>
    </row>
    <row r="21" spans="1:10" x14ac:dyDescent="0.2">
      <c r="A21" s="5"/>
      <c r="E21" s="5"/>
      <c r="F21" s="18"/>
      <c r="G21" s="5"/>
      <c r="H21" s="23"/>
      <c r="I21" s="5"/>
      <c r="J21" s="22"/>
    </row>
    <row r="22" spans="1:10" x14ac:dyDescent="0.2">
      <c r="A22" s="5"/>
      <c r="E22" s="5"/>
      <c r="F22" s="18"/>
      <c r="G22" s="5"/>
      <c r="H22" s="23"/>
      <c r="I22" s="5"/>
      <c r="J22" s="22"/>
    </row>
    <row r="23" spans="1:10" x14ac:dyDescent="0.2">
      <c r="A23" s="5"/>
      <c r="E23" s="5"/>
      <c r="F23" s="18"/>
      <c r="G23" s="5"/>
      <c r="H23" s="23"/>
      <c r="I23" s="5"/>
      <c r="J23" s="22"/>
    </row>
    <row r="24" spans="1:10" x14ac:dyDescent="0.2">
      <c r="A24" s="5"/>
      <c r="E24" s="5"/>
      <c r="F24" s="18"/>
      <c r="G24" s="5"/>
      <c r="H24" s="23"/>
      <c r="I24" s="5"/>
      <c r="J24" s="22"/>
    </row>
    <row r="25" spans="1:10" x14ac:dyDescent="0.2">
      <c r="A25" s="5"/>
      <c r="E25" s="5"/>
      <c r="F25" s="18"/>
      <c r="G25" s="5"/>
      <c r="H25" s="23"/>
      <c r="I25" s="5"/>
      <c r="J25" s="22"/>
    </row>
    <row r="26" spans="1:10" x14ac:dyDescent="0.2">
      <c r="A26" s="5"/>
      <c r="E26" s="5"/>
      <c r="F26" s="18"/>
      <c r="G26" s="5"/>
      <c r="H26" s="23"/>
      <c r="I26" s="5"/>
      <c r="J26" s="22"/>
    </row>
    <row r="27" spans="1:10" x14ac:dyDescent="0.2">
      <c r="A27" s="5"/>
      <c r="E27" s="5"/>
      <c r="F27" s="18"/>
      <c r="G27" s="5"/>
      <c r="H27" s="23"/>
      <c r="I27" s="5"/>
      <c r="J27" s="22"/>
    </row>
    <row r="28" spans="1:10" x14ac:dyDescent="0.2">
      <c r="A28" s="5"/>
      <c r="E28" s="5"/>
      <c r="F28" s="18"/>
      <c r="G28" s="5"/>
      <c r="H28" s="23"/>
      <c r="I28" s="5"/>
      <c r="J28" s="22"/>
    </row>
    <row r="29" spans="1:10" x14ac:dyDescent="0.2">
      <c r="A29" s="5"/>
      <c r="E29" s="5"/>
      <c r="F29" s="18"/>
      <c r="G29" s="5"/>
      <c r="H29" s="23"/>
      <c r="I29" s="5"/>
      <c r="J29" s="22"/>
    </row>
    <row r="30" spans="1:10" x14ac:dyDescent="0.2">
      <c r="A30" s="5"/>
      <c r="E30" s="5"/>
      <c r="F30" s="18"/>
      <c r="G30" s="5"/>
      <c r="H30" s="23"/>
      <c r="I30" s="5"/>
      <c r="J30" s="22"/>
    </row>
    <row r="31" spans="1:10" x14ac:dyDescent="0.2">
      <c r="A31" s="5"/>
      <c r="E31" s="5"/>
      <c r="F31" s="18"/>
      <c r="G31" s="5"/>
      <c r="H31" s="23"/>
      <c r="I31" s="5"/>
      <c r="J31" s="22"/>
    </row>
    <row r="32" spans="1:10" x14ac:dyDescent="0.2">
      <c r="A32" s="5"/>
      <c r="E32" s="5"/>
      <c r="F32" s="18"/>
      <c r="G32" s="5"/>
      <c r="H32" s="23"/>
      <c r="I32" s="5"/>
      <c r="J32" s="22"/>
    </row>
    <row r="33" spans="1:10" ht="23.25" x14ac:dyDescent="0.2">
      <c r="A33" s="1" t="s">
        <v>16</v>
      </c>
      <c r="B33" s="1"/>
      <c r="D33" s="2"/>
      <c r="E33" s="2"/>
    </row>
    <row r="34" spans="1:10" ht="12.75" x14ac:dyDescent="0.2">
      <c r="A34" s="4653" t="s">
        <v>737</v>
      </c>
      <c r="B34" s="4654" t="s">
        <v>17</v>
      </c>
      <c r="C34" s="4655" t="s">
        <v>18</v>
      </c>
      <c r="D34" s="4655" t="s">
        <v>19</v>
      </c>
      <c r="E34" s="4655" t="s">
        <v>20</v>
      </c>
      <c r="F34" s="4655" t="s">
        <v>21</v>
      </c>
      <c r="G34" s="4655" t="s">
        <v>22</v>
      </c>
      <c r="H34" s="4656" t="s">
        <v>23</v>
      </c>
      <c r="I34" s="4657" t="s">
        <v>234</v>
      </c>
      <c r="J34" s="4658" t="s">
        <v>126</v>
      </c>
    </row>
    <row r="35" spans="1:10" x14ac:dyDescent="0.2">
      <c r="A35" s="4741" t="s">
        <v>0</v>
      </c>
      <c r="B35" s="4649" t="s">
        <v>10</v>
      </c>
      <c r="C35" s="4649" t="s">
        <v>10</v>
      </c>
      <c r="D35" s="4649" t="s">
        <v>10</v>
      </c>
      <c r="E35" s="4649" t="s">
        <v>10</v>
      </c>
      <c r="F35" s="4649" t="s">
        <v>10</v>
      </c>
      <c r="G35" s="4649" t="s">
        <v>10</v>
      </c>
      <c r="H35" s="4649" t="s">
        <v>10</v>
      </c>
      <c r="I35" s="4742"/>
      <c r="J35" s="4743" t="s">
        <v>10</v>
      </c>
    </row>
    <row r="36" spans="1:10" ht="12.75" x14ac:dyDescent="0.2">
      <c r="A36" s="4878" t="s">
        <v>10</v>
      </c>
      <c r="B36" s="4837">
        <v>8.25</v>
      </c>
      <c r="C36" s="4837">
        <v>8.25</v>
      </c>
      <c r="D36" s="475">
        <v>8.25</v>
      </c>
      <c r="E36" s="475">
        <v>8.25</v>
      </c>
      <c r="F36" s="475">
        <v>8.25</v>
      </c>
      <c r="G36" s="475">
        <v>12.25</v>
      </c>
      <c r="H36" s="475">
        <v>12.25</v>
      </c>
      <c r="I36" s="481">
        <f>SUM(B36:H36)</f>
        <v>65.75</v>
      </c>
      <c r="J36" s="498" t="s">
        <v>10</v>
      </c>
    </row>
    <row r="37" spans="1:10" ht="12.75" x14ac:dyDescent="0.2">
      <c r="A37" s="4836" t="s">
        <v>961</v>
      </c>
      <c r="B37" s="4838" t="s">
        <v>966</v>
      </c>
      <c r="C37" s="4838" t="s">
        <v>966</v>
      </c>
      <c r="D37" s="4838" t="s">
        <v>966</v>
      </c>
      <c r="E37" s="4838" t="s">
        <v>966</v>
      </c>
      <c r="F37" s="4838" t="s">
        <v>966</v>
      </c>
      <c r="G37" s="4838" t="s">
        <v>967</v>
      </c>
      <c r="H37" s="4838" t="s">
        <v>968</v>
      </c>
      <c r="I37" s="4837"/>
      <c r="J37" s="4879"/>
    </row>
    <row r="38" spans="1:10" x14ac:dyDescent="0.2">
      <c r="A38" s="4741" t="s">
        <v>0</v>
      </c>
      <c r="B38" s="4660" t="s">
        <v>244</v>
      </c>
      <c r="C38" s="4660" t="s">
        <v>244</v>
      </c>
      <c r="D38" s="4660" t="s">
        <v>244</v>
      </c>
      <c r="E38" s="4660" t="s">
        <v>244</v>
      </c>
      <c r="F38" s="4660" t="s">
        <v>244</v>
      </c>
      <c r="G38" s="4742"/>
      <c r="H38" s="4742"/>
      <c r="I38" s="4742"/>
      <c r="J38" s="4750" t="s">
        <v>10</v>
      </c>
    </row>
    <row r="39" spans="1:10" ht="12.75" x14ac:dyDescent="0.2">
      <c r="A39" s="4880" t="s">
        <v>10</v>
      </c>
      <c r="B39" s="4736"/>
      <c r="C39" s="4736"/>
      <c r="D39" s="4736"/>
      <c r="E39" s="4736"/>
      <c r="F39" s="4736"/>
      <c r="G39" s="4881"/>
      <c r="H39" s="4881"/>
      <c r="I39" s="4736">
        <f>SUM(B39:H39)</f>
        <v>0</v>
      </c>
      <c r="J39" s="4882" t="s">
        <v>10</v>
      </c>
    </row>
    <row r="40" spans="1:10" ht="12.75" x14ac:dyDescent="0.2">
      <c r="A40" s="4836" t="s">
        <v>961</v>
      </c>
      <c r="B40" s="4838" t="s">
        <v>969</v>
      </c>
      <c r="C40" s="4838" t="s">
        <v>969</v>
      </c>
      <c r="D40" s="4838" t="s">
        <v>969</v>
      </c>
      <c r="E40" s="4838" t="s">
        <v>969</v>
      </c>
      <c r="F40" s="4838" t="s">
        <v>969</v>
      </c>
      <c r="G40" s="4883"/>
      <c r="H40" s="4883"/>
      <c r="I40" s="4837"/>
      <c r="J40" s="4879"/>
    </row>
    <row r="41" spans="1:10" x14ac:dyDescent="0.2">
      <c r="A41" s="4741" t="s">
        <v>0</v>
      </c>
      <c r="B41" s="4649" t="s">
        <v>10</v>
      </c>
      <c r="C41" s="4649" t="s">
        <v>10</v>
      </c>
      <c r="D41" s="4649" t="s">
        <v>10</v>
      </c>
      <c r="E41" s="4649" t="s">
        <v>10</v>
      </c>
      <c r="F41" s="4649" t="s">
        <v>10</v>
      </c>
      <c r="G41" s="4752"/>
      <c r="H41" s="4752"/>
      <c r="I41" s="4742"/>
      <c r="J41" s="4750" t="s">
        <v>10</v>
      </c>
    </row>
    <row r="42" spans="1:10" x14ac:dyDescent="0.2">
      <c r="A42" s="4884" t="s">
        <v>10</v>
      </c>
      <c r="B42" s="4736">
        <v>8.25</v>
      </c>
      <c r="C42" s="4736">
        <v>8.25</v>
      </c>
      <c r="D42" s="4736">
        <v>8.25</v>
      </c>
      <c r="E42" s="4736">
        <v>8.25</v>
      </c>
      <c r="F42" s="4736">
        <v>8.25</v>
      </c>
      <c r="G42" s="4736"/>
      <c r="H42" s="4736"/>
      <c r="I42" s="4736">
        <f>SUM(B42:H42)</f>
        <v>41.25</v>
      </c>
      <c r="J42" s="4882"/>
    </row>
    <row r="43" spans="1:10" ht="12.75" x14ac:dyDescent="0.2">
      <c r="A43" s="4836" t="s">
        <v>961</v>
      </c>
      <c r="B43" s="4838" t="s">
        <v>970</v>
      </c>
      <c r="C43" s="4838" t="s">
        <v>970</v>
      </c>
      <c r="D43" s="4838" t="s">
        <v>970</v>
      </c>
      <c r="E43" s="4838" t="s">
        <v>970</v>
      </c>
      <c r="F43" s="4838" t="s">
        <v>970</v>
      </c>
      <c r="G43" s="4837"/>
      <c r="H43" s="4837"/>
      <c r="I43" s="4837"/>
      <c r="J43" s="4879" t="s">
        <v>10</v>
      </c>
    </row>
    <row r="44" spans="1:10" x14ac:dyDescent="0.2">
      <c r="A44" s="4741" t="s">
        <v>0</v>
      </c>
      <c r="B44" s="4649" t="s">
        <v>10</v>
      </c>
      <c r="C44" s="4649" t="s">
        <v>10</v>
      </c>
      <c r="D44" s="4649" t="s">
        <v>10</v>
      </c>
      <c r="E44" s="4649" t="s">
        <v>10</v>
      </c>
      <c r="F44" s="4649" t="s">
        <v>10</v>
      </c>
      <c r="G44" s="4752" t="s">
        <v>10</v>
      </c>
      <c r="H44" s="4752" t="s">
        <v>10</v>
      </c>
      <c r="I44" s="4742"/>
      <c r="J44" s="4583"/>
    </row>
    <row r="45" spans="1:10" ht="12.75" x14ac:dyDescent="0.2">
      <c r="A45" s="4880" t="s">
        <v>10</v>
      </c>
      <c r="B45" s="4736">
        <v>8</v>
      </c>
      <c r="C45" s="4736">
        <v>8</v>
      </c>
      <c r="D45" s="4736">
        <v>8</v>
      </c>
      <c r="E45" s="4736">
        <v>8</v>
      </c>
      <c r="F45" s="4736">
        <v>8</v>
      </c>
      <c r="G45" s="4736">
        <v>12.25</v>
      </c>
      <c r="H45" s="4736">
        <v>12.25</v>
      </c>
      <c r="I45" s="4736">
        <f>SUM(B45:H45)</f>
        <v>64.5</v>
      </c>
      <c r="J45" s="4885"/>
    </row>
    <row r="46" spans="1:10" ht="12.75" x14ac:dyDescent="0.2">
      <c r="A46" s="4836" t="s">
        <v>961</v>
      </c>
      <c r="B46" s="4838" t="s">
        <v>971</v>
      </c>
      <c r="C46" s="4838" t="s">
        <v>971</v>
      </c>
      <c r="D46" s="4838" t="s">
        <v>971</v>
      </c>
      <c r="E46" s="4838" t="s">
        <v>971</v>
      </c>
      <c r="F46" s="4838" t="s">
        <v>971</v>
      </c>
      <c r="G46" s="4838" t="s">
        <v>972</v>
      </c>
      <c r="H46" s="4838" t="s">
        <v>972</v>
      </c>
      <c r="I46" s="4837"/>
      <c r="J46" s="4719"/>
    </row>
    <row r="47" spans="1:10" x14ac:dyDescent="0.2">
      <c r="A47" s="4741" t="s">
        <v>0</v>
      </c>
      <c r="B47" s="4660" t="s">
        <v>244</v>
      </c>
      <c r="C47" s="4660" t="s">
        <v>244</v>
      </c>
      <c r="D47" s="4660" t="s">
        <v>244</v>
      </c>
      <c r="E47" s="4660" t="s">
        <v>244</v>
      </c>
      <c r="F47" s="4660" t="s">
        <v>244</v>
      </c>
      <c r="G47" s="4755"/>
      <c r="H47" s="4742"/>
      <c r="I47" s="4742"/>
      <c r="J47" s="4583"/>
    </row>
    <row r="48" spans="1:10" ht="12.75" x14ac:dyDescent="0.2">
      <c r="A48" s="4880" t="s">
        <v>10</v>
      </c>
      <c r="B48" s="4713"/>
      <c r="C48" s="4713"/>
      <c r="D48" s="4713"/>
      <c r="E48" s="4713"/>
      <c r="F48" s="4713"/>
      <c r="G48" s="4886"/>
      <c r="H48" s="4881"/>
      <c r="I48" s="4736">
        <f>SUM(B48:H48)</f>
        <v>0</v>
      </c>
      <c r="J48" s="4885"/>
    </row>
    <row r="49" spans="1:10" ht="12.75" x14ac:dyDescent="0.2">
      <c r="A49" s="4836" t="s">
        <v>961</v>
      </c>
      <c r="B49" s="4838" t="s">
        <v>969</v>
      </c>
      <c r="C49" s="4838" t="s">
        <v>969</v>
      </c>
      <c r="D49" s="4838" t="s">
        <v>969</v>
      </c>
      <c r="E49" s="4838" t="s">
        <v>969</v>
      </c>
      <c r="F49" s="4838" t="s">
        <v>969</v>
      </c>
      <c r="G49" s="4883"/>
      <c r="H49" s="4883"/>
      <c r="I49" s="4837" t="s">
        <v>0</v>
      </c>
      <c r="J49" s="4719"/>
    </row>
    <row r="50" spans="1:10" x14ac:dyDescent="0.2">
      <c r="A50" s="4741" t="s">
        <v>0</v>
      </c>
      <c r="B50" s="4649" t="s">
        <v>10</v>
      </c>
      <c r="C50" s="4649" t="s">
        <v>10</v>
      </c>
      <c r="D50" s="4649" t="s">
        <v>10</v>
      </c>
      <c r="E50" s="4649" t="s">
        <v>10</v>
      </c>
      <c r="F50" s="4649" t="s">
        <v>10</v>
      </c>
      <c r="G50" s="4742"/>
      <c r="H50" s="4742"/>
      <c r="I50" s="4742"/>
      <c r="J50" s="4583"/>
    </row>
    <row r="51" spans="1:10" ht="12.75" x14ac:dyDescent="0.2">
      <c r="A51" s="4880" t="s">
        <v>10</v>
      </c>
      <c r="B51" s="4736">
        <v>7.25</v>
      </c>
      <c r="C51" s="4736">
        <v>7.25</v>
      </c>
      <c r="D51" s="4736">
        <v>7.25</v>
      </c>
      <c r="E51" s="4736">
        <v>7.25</v>
      </c>
      <c r="F51" s="4736">
        <v>7.25</v>
      </c>
      <c r="G51" s="4881"/>
      <c r="H51" s="4886"/>
      <c r="I51" s="4736">
        <f>SUM(B51:H51)</f>
        <v>36.25</v>
      </c>
      <c r="J51" s="4885"/>
    </row>
    <row r="52" spans="1:10" ht="12.75" x14ac:dyDescent="0.2">
      <c r="A52" s="4841" t="s">
        <v>961</v>
      </c>
      <c r="B52" s="4874" t="s">
        <v>973</v>
      </c>
      <c r="C52" s="4874" t="s">
        <v>973</v>
      </c>
      <c r="D52" s="4874" t="s">
        <v>973</v>
      </c>
      <c r="E52" s="4874" t="s">
        <v>973</v>
      </c>
      <c r="F52" s="4874" t="s">
        <v>973</v>
      </c>
      <c r="G52" s="4751"/>
      <c r="H52" s="4887"/>
      <c r="I52" s="4721"/>
      <c r="J52" s="4605"/>
    </row>
    <row r="53" spans="1:10" x14ac:dyDescent="0.2">
      <c r="A53" s="24" t="s">
        <v>749</v>
      </c>
      <c r="B53" s="25">
        <f t="shared" ref="B53:I53" si="0">SUM(B36,B39,B42,B45,B48,B51)</f>
        <v>31.75</v>
      </c>
      <c r="C53" s="25">
        <f t="shared" si="0"/>
        <v>31.75</v>
      </c>
      <c r="D53" s="25">
        <f t="shared" si="0"/>
        <v>31.75</v>
      </c>
      <c r="E53" s="25">
        <f t="shared" si="0"/>
        <v>31.75</v>
      </c>
      <c r="F53" s="25">
        <f t="shared" si="0"/>
        <v>31.75</v>
      </c>
      <c r="G53" s="25">
        <f t="shared" si="0"/>
        <v>24.5</v>
      </c>
      <c r="H53" s="25">
        <f t="shared" si="0"/>
        <v>24.5</v>
      </c>
      <c r="I53" s="25">
        <f t="shared" si="0"/>
        <v>207.75</v>
      </c>
      <c r="J53" s="26"/>
    </row>
    <row r="54" spans="1:10" ht="23.25" x14ac:dyDescent="0.2">
      <c r="A54" s="3" t="s">
        <v>750</v>
      </c>
      <c r="D54" s="2"/>
      <c r="E54" s="2"/>
    </row>
    <row r="55" spans="1:10" ht="12.75" x14ac:dyDescent="0.2">
      <c r="A55" s="4653" t="s">
        <v>751</v>
      </c>
      <c r="B55" s="4654" t="s">
        <v>17</v>
      </c>
      <c r="C55" s="4655" t="s">
        <v>18</v>
      </c>
      <c r="D55" s="4655" t="s">
        <v>19</v>
      </c>
      <c r="E55" s="4655" t="s">
        <v>20</v>
      </c>
      <c r="F55" s="4655" t="s">
        <v>21</v>
      </c>
      <c r="G55" s="4655" t="s">
        <v>22</v>
      </c>
      <c r="H55" s="4656" t="s">
        <v>23</v>
      </c>
      <c r="I55" s="4657" t="s">
        <v>234</v>
      </c>
      <c r="J55" s="4658" t="s">
        <v>126</v>
      </c>
    </row>
    <row r="56" spans="1:10" x14ac:dyDescent="0.2">
      <c r="A56" s="4659"/>
      <c r="B56" s="4661" t="s">
        <v>752</v>
      </c>
      <c r="C56" s="4661" t="s">
        <v>752</v>
      </c>
      <c r="D56" s="4661" t="s">
        <v>752</v>
      </c>
      <c r="E56" s="4661" t="s">
        <v>752</v>
      </c>
      <c r="F56" s="4661" t="s">
        <v>753</v>
      </c>
      <c r="G56" s="4661"/>
      <c r="H56" s="4661"/>
      <c r="I56" s="4742"/>
      <c r="J56" s="4662"/>
    </row>
    <row r="57" spans="1:10" x14ac:dyDescent="0.2">
      <c r="A57" s="4876" t="s">
        <v>863</v>
      </c>
      <c r="B57" s="4736">
        <v>7.75</v>
      </c>
      <c r="C57" s="4736">
        <v>7.75</v>
      </c>
      <c r="D57" s="4736">
        <v>7.75</v>
      </c>
      <c r="E57" s="4736">
        <v>7.75</v>
      </c>
      <c r="F57" s="4736">
        <v>6</v>
      </c>
      <c r="G57" s="4736"/>
      <c r="H57" s="4736"/>
      <c r="I57" s="4736">
        <f>SUM(B57:H57)</f>
        <v>37</v>
      </c>
      <c r="J57" s="4877"/>
    </row>
    <row r="58" spans="1:10" ht="12.75" x14ac:dyDescent="0.2">
      <c r="A58" s="4836" t="s">
        <v>961</v>
      </c>
      <c r="B58" s="4888" t="s">
        <v>964</v>
      </c>
      <c r="C58" s="4888" t="s">
        <v>964</v>
      </c>
      <c r="D58" s="4888" t="s">
        <v>964</v>
      </c>
      <c r="E58" s="4888" t="s">
        <v>964</v>
      </c>
      <c r="F58" s="4888" t="s">
        <v>965</v>
      </c>
      <c r="G58" s="4837"/>
      <c r="H58" s="4837"/>
      <c r="I58" s="4837"/>
      <c r="J58" s="4839"/>
    </row>
    <row r="59" spans="1:10" x14ac:dyDescent="0.2">
      <c r="A59" s="4659"/>
      <c r="B59" s="4661" t="s">
        <v>752</v>
      </c>
      <c r="C59" s="4661" t="s">
        <v>752</v>
      </c>
      <c r="D59" s="4661" t="s">
        <v>752</v>
      </c>
      <c r="E59" s="4661" t="s">
        <v>752</v>
      </c>
      <c r="F59" s="4661" t="s">
        <v>753</v>
      </c>
      <c r="G59" s="4661"/>
      <c r="H59" s="4661"/>
      <c r="I59" s="4742"/>
      <c r="J59" s="4662"/>
    </row>
    <row r="60" spans="1:10" x14ac:dyDescent="0.2">
      <c r="A60" s="4876" t="s">
        <v>865</v>
      </c>
      <c r="B60" s="4736">
        <v>7.75</v>
      </c>
      <c r="C60" s="4736">
        <v>7.75</v>
      </c>
      <c r="D60" s="4736">
        <v>7.75</v>
      </c>
      <c r="E60" s="4736">
        <v>7.75</v>
      </c>
      <c r="F60" s="4736">
        <v>6</v>
      </c>
      <c r="G60" s="4736"/>
      <c r="H60" s="4736"/>
      <c r="I60" s="4736">
        <f>SUM(B60:H60)</f>
        <v>37</v>
      </c>
      <c r="J60" s="4877"/>
    </row>
    <row r="61" spans="1:10" ht="12.75" x14ac:dyDescent="0.2">
      <c r="A61" s="4836" t="s">
        <v>961</v>
      </c>
      <c r="B61" s="4888" t="s">
        <v>964</v>
      </c>
      <c r="C61" s="4888" t="s">
        <v>964</v>
      </c>
      <c r="D61" s="4888" t="s">
        <v>964</v>
      </c>
      <c r="E61" s="4888" t="s">
        <v>964</v>
      </c>
      <c r="F61" s="4888" t="s">
        <v>965</v>
      </c>
      <c r="G61" s="4837"/>
      <c r="H61" s="4837"/>
      <c r="I61" s="4883"/>
      <c r="J61" s="4839"/>
    </row>
    <row r="62" spans="1:10" ht="12.75" x14ac:dyDescent="0.2">
      <c r="A62" s="4505"/>
      <c r="B62" s="4661" t="s">
        <v>752</v>
      </c>
      <c r="C62" s="4661" t="s">
        <v>752</v>
      </c>
      <c r="D62" s="4661" t="s">
        <v>752</v>
      </c>
      <c r="E62" s="4661" t="s">
        <v>752</v>
      </c>
      <c r="F62" s="4661" t="s">
        <v>753</v>
      </c>
      <c r="G62" s="4661"/>
      <c r="H62" s="4661"/>
      <c r="I62" s="4742"/>
      <c r="J62" s="4662"/>
    </row>
    <row r="63" spans="1:10" x14ac:dyDescent="0.2">
      <c r="A63" s="4876" t="s">
        <v>866</v>
      </c>
      <c r="B63" s="4736">
        <v>7.75</v>
      </c>
      <c r="C63" s="4736">
        <v>7.75</v>
      </c>
      <c r="D63" s="4736">
        <v>7.75</v>
      </c>
      <c r="E63" s="4736">
        <v>7.75</v>
      </c>
      <c r="F63" s="4736">
        <v>6</v>
      </c>
      <c r="G63" s="4736"/>
      <c r="H63" s="4736"/>
      <c r="I63" s="4736">
        <f>SUM(B63:H63)</f>
        <v>37</v>
      </c>
      <c r="J63" s="4877"/>
    </row>
    <row r="64" spans="1:10" ht="12.75" x14ac:dyDescent="0.2">
      <c r="A64" s="4841" t="s">
        <v>961</v>
      </c>
      <c r="B64" s="4873" t="s">
        <v>964</v>
      </c>
      <c r="C64" s="4873" t="s">
        <v>964</v>
      </c>
      <c r="D64" s="4873" t="s">
        <v>964</v>
      </c>
      <c r="E64" s="4873" t="s">
        <v>964</v>
      </c>
      <c r="F64" s="4873" t="s">
        <v>965</v>
      </c>
      <c r="G64" s="4721"/>
      <c r="H64" s="4721"/>
      <c r="I64" s="4751"/>
      <c r="J64" s="4723"/>
    </row>
    <row r="65" spans="1:10" x14ac:dyDescent="0.2">
      <c r="A65" s="24" t="s">
        <v>749</v>
      </c>
      <c r="B65" s="27">
        <f t="shared" ref="B65:I65" si="1">SUM(B57,B60,B63)</f>
        <v>23.25</v>
      </c>
      <c r="C65" s="27">
        <f t="shared" si="1"/>
        <v>23.25</v>
      </c>
      <c r="D65" s="27">
        <f t="shared" si="1"/>
        <v>23.25</v>
      </c>
      <c r="E65" s="27">
        <f t="shared" si="1"/>
        <v>23.25</v>
      </c>
      <c r="F65" s="27">
        <f t="shared" si="1"/>
        <v>18</v>
      </c>
      <c r="G65" s="27">
        <f t="shared" si="1"/>
        <v>0</v>
      </c>
      <c r="H65" s="27">
        <f t="shared" si="1"/>
        <v>0</v>
      </c>
      <c r="I65" s="25">
        <f t="shared" si="1"/>
        <v>111</v>
      </c>
      <c r="J65" s="28"/>
    </row>
    <row r="66" spans="1:10" ht="12.75" x14ac:dyDescent="0.2">
      <c r="A66" s="5"/>
      <c r="B66" s="5"/>
      <c r="C66" s="5"/>
      <c r="D66" s="5"/>
      <c r="E66" s="5"/>
      <c r="F66" s="5"/>
      <c r="G66" s="4739" t="s">
        <v>851</v>
      </c>
      <c r="H66" s="4739" t="s">
        <v>852</v>
      </c>
      <c r="I66" s="4739" t="s">
        <v>853</v>
      </c>
      <c r="J66" s="6"/>
    </row>
    <row r="67" spans="1:10" x14ac:dyDescent="0.2">
      <c r="A67" s="5"/>
      <c r="B67" s="5"/>
      <c r="C67" s="5"/>
      <c r="D67" s="5"/>
      <c r="E67" s="5"/>
      <c r="F67" s="5"/>
      <c r="G67" s="4713">
        <f>I53+I65</f>
        <v>318.75</v>
      </c>
      <c r="H67" s="4740">
        <f>SUM(G67*13/3)</f>
        <v>1381.25</v>
      </c>
      <c r="I67" s="4713">
        <f>SUM(H67*12)</f>
        <v>16575</v>
      </c>
      <c r="J67" s="6"/>
    </row>
    <row r="68" spans="1:10" x14ac:dyDescent="0.2">
      <c r="A68" s="5"/>
      <c r="B68" s="5"/>
      <c r="C68" s="5"/>
      <c r="D68" s="5"/>
      <c r="E68" s="5"/>
      <c r="F68" s="5"/>
      <c r="G68" s="5"/>
      <c r="H68" s="23"/>
      <c r="I68" s="5"/>
      <c r="J68" s="6"/>
    </row>
    <row r="69" spans="1:10" ht="12.75" x14ac:dyDescent="0.2">
      <c r="A69" s="1" t="s">
        <v>871</v>
      </c>
      <c r="B69" s="5"/>
      <c r="C69" s="5"/>
      <c r="D69" s="5"/>
      <c r="E69" s="5"/>
      <c r="F69" s="5"/>
    </row>
    <row r="70" spans="1:10" ht="12.75" x14ac:dyDescent="0.2">
      <c r="A70" s="4765" t="s">
        <v>872</v>
      </c>
      <c r="B70" s="4654" t="s">
        <v>17</v>
      </c>
      <c r="C70" s="4655" t="s">
        <v>18</v>
      </c>
      <c r="D70" s="4655" t="s">
        <v>19</v>
      </c>
      <c r="E70" s="4655" t="s">
        <v>20</v>
      </c>
      <c r="F70" s="4655" t="s">
        <v>21</v>
      </c>
      <c r="G70" s="4655" t="s">
        <v>22</v>
      </c>
      <c r="H70" s="4766" t="s">
        <v>23</v>
      </c>
      <c r="I70" s="4767" t="s">
        <v>234</v>
      </c>
      <c r="J70" s="4768" t="s">
        <v>126</v>
      </c>
    </row>
    <row r="71" spans="1:10" ht="12.75" x14ac:dyDescent="0.2">
      <c r="A71" s="4780"/>
      <c r="B71" s="4772" t="s">
        <v>10</v>
      </c>
      <c r="C71" s="4772" t="s">
        <v>10</v>
      </c>
      <c r="D71" s="4772" t="s">
        <v>10</v>
      </c>
      <c r="E71" s="4772" t="s">
        <v>10</v>
      </c>
      <c r="F71" s="4772" t="s">
        <v>10</v>
      </c>
      <c r="G71" s="4773" t="s">
        <v>10</v>
      </c>
      <c r="H71" s="4773" t="s">
        <v>10</v>
      </c>
      <c r="I71" s="4824"/>
      <c r="J71" s="4784"/>
    </row>
    <row r="72" spans="1:10" ht="12.75" x14ac:dyDescent="0.2">
      <c r="A72" s="29" t="s">
        <v>974</v>
      </c>
      <c r="B72" s="499" t="s">
        <v>975</v>
      </c>
      <c r="C72" s="499" t="s">
        <v>975</v>
      </c>
      <c r="D72" s="499" t="s">
        <v>975</v>
      </c>
      <c r="E72" s="499" t="s">
        <v>975</v>
      </c>
      <c r="F72" s="499" t="s">
        <v>975</v>
      </c>
      <c r="G72" s="500" t="s">
        <v>976</v>
      </c>
      <c r="H72" s="500" t="s">
        <v>976</v>
      </c>
      <c r="I72" s="501"/>
      <c r="J72" s="30"/>
    </row>
    <row r="73" spans="1:10" ht="12.75" x14ac:dyDescent="0.2">
      <c r="A73" s="164" t="s">
        <v>10</v>
      </c>
      <c r="B73" s="175">
        <v>8.25</v>
      </c>
      <c r="C73" s="175">
        <v>8.25</v>
      </c>
      <c r="D73" s="175">
        <v>8.25</v>
      </c>
      <c r="E73" s="175">
        <v>8.25</v>
      </c>
      <c r="F73" s="175">
        <v>8.25</v>
      </c>
      <c r="G73" s="176">
        <v>12.25</v>
      </c>
      <c r="H73" s="176">
        <v>12.25</v>
      </c>
      <c r="I73" s="150">
        <f>SUM(B73:H73)</f>
        <v>65.75</v>
      </c>
      <c r="J73" s="177" t="s">
        <v>10</v>
      </c>
    </row>
    <row r="74" spans="1:10" ht="12.75" x14ac:dyDescent="0.2">
      <c r="A74" s="4780"/>
      <c r="B74" s="4781" t="s">
        <v>10</v>
      </c>
      <c r="C74" s="4781" t="s">
        <v>10</v>
      </c>
      <c r="D74" s="4781" t="s">
        <v>10</v>
      </c>
      <c r="E74" s="4781" t="s">
        <v>10</v>
      </c>
      <c r="F74" s="4781" t="s">
        <v>10</v>
      </c>
      <c r="G74" s="4782" t="s">
        <v>10</v>
      </c>
      <c r="H74" s="4783" t="s">
        <v>10</v>
      </c>
      <c r="I74" s="4767"/>
      <c r="J74" s="4784"/>
    </row>
    <row r="75" spans="1:10" ht="12.75" x14ac:dyDescent="0.2">
      <c r="A75" s="29" t="s">
        <v>974</v>
      </c>
      <c r="B75" s="502" t="s">
        <v>977</v>
      </c>
      <c r="C75" s="502" t="s">
        <v>977</v>
      </c>
      <c r="D75" s="502" t="s">
        <v>977</v>
      </c>
      <c r="E75" s="502" t="s">
        <v>977</v>
      </c>
      <c r="F75" s="502" t="s">
        <v>977</v>
      </c>
      <c r="G75" s="503" t="s">
        <v>978</v>
      </c>
      <c r="H75" s="503" t="s">
        <v>978</v>
      </c>
      <c r="I75" s="489"/>
      <c r="J75" s="30"/>
    </row>
    <row r="76" spans="1:10" ht="12.75" x14ac:dyDescent="0.2">
      <c r="A76" s="164" t="s">
        <v>10</v>
      </c>
      <c r="B76" s="162">
        <v>7</v>
      </c>
      <c r="C76" s="162">
        <v>7</v>
      </c>
      <c r="D76" s="162">
        <v>7</v>
      </c>
      <c r="E76" s="162">
        <v>7</v>
      </c>
      <c r="F76" s="162">
        <v>7</v>
      </c>
      <c r="G76" s="178">
        <v>11</v>
      </c>
      <c r="H76" s="179">
        <v>11</v>
      </c>
      <c r="I76" s="150">
        <f>SUM(B76:H76)</f>
        <v>57</v>
      </c>
      <c r="J76" s="177" t="s">
        <v>875</v>
      </c>
    </row>
    <row r="77" spans="1:10" ht="12.75" x14ac:dyDescent="0.2">
      <c r="A77" s="4780"/>
      <c r="B77" s="4789" t="s">
        <v>10</v>
      </c>
      <c r="C77" s="4789" t="s">
        <v>10</v>
      </c>
      <c r="D77" s="4789" t="s">
        <v>10</v>
      </c>
      <c r="E77" s="4789" t="s">
        <v>10</v>
      </c>
      <c r="F77" s="4789" t="s">
        <v>10</v>
      </c>
      <c r="G77" s="4783" t="s">
        <v>10</v>
      </c>
      <c r="H77" s="4783" t="s">
        <v>10</v>
      </c>
      <c r="I77" s="4767"/>
      <c r="J77" s="4784"/>
    </row>
    <row r="78" spans="1:10" ht="12.75" x14ac:dyDescent="0.2">
      <c r="A78" s="29" t="s">
        <v>974</v>
      </c>
      <c r="B78" s="504" t="s">
        <v>979</v>
      </c>
      <c r="C78" s="504" t="s">
        <v>979</v>
      </c>
      <c r="D78" s="504" t="s">
        <v>979</v>
      </c>
      <c r="E78" s="504" t="s">
        <v>979</v>
      </c>
      <c r="F78" s="504" t="s">
        <v>979</v>
      </c>
      <c r="G78" s="31" t="s">
        <v>980</v>
      </c>
      <c r="H78" s="31" t="s">
        <v>980</v>
      </c>
      <c r="I78" s="489"/>
      <c r="J78" s="30"/>
    </row>
    <row r="79" spans="1:10" ht="12.75" x14ac:dyDescent="0.2">
      <c r="A79" s="164" t="s">
        <v>10</v>
      </c>
      <c r="B79" s="180">
        <v>8</v>
      </c>
      <c r="C79" s="180">
        <v>8</v>
      </c>
      <c r="D79" s="180">
        <v>8</v>
      </c>
      <c r="E79" s="180">
        <v>8</v>
      </c>
      <c r="F79" s="180">
        <v>8</v>
      </c>
      <c r="G79" s="178">
        <v>12</v>
      </c>
      <c r="H79" s="178">
        <v>12</v>
      </c>
      <c r="I79" s="150">
        <f>SUM(B79:H79)</f>
        <v>64</v>
      </c>
      <c r="J79" s="177" t="s">
        <v>10</v>
      </c>
    </row>
    <row r="80" spans="1:10" x14ac:dyDescent="0.2">
      <c r="A80" s="4780"/>
      <c r="B80" s="4660" t="s">
        <v>534</v>
      </c>
      <c r="C80" s="4660" t="s">
        <v>534</v>
      </c>
      <c r="D80" s="4660" t="s">
        <v>534</v>
      </c>
      <c r="E80" s="4660" t="s">
        <v>534</v>
      </c>
      <c r="F80" s="4660" t="s">
        <v>534</v>
      </c>
      <c r="G80" s="4831"/>
      <c r="H80" s="4832"/>
      <c r="I80" s="4830"/>
      <c r="J80" s="4784"/>
    </row>
    <row r="81" spans="1:10" x14ac:dyDescent="0.2">
      <c r="A81" s="29" t="s">
        <v>974</v>
      </c>
      <c r="B81" s="474"/>
      <c r="C81" s="474"/>
      <c r="D81" s="474"/>
      <c r="E81" s="474"/>
      <c r="F81" s="474"/>
      <c r="G81" s="18"/>
      <c r="H81" s="18"/>
      <c r="I81" s="476"/>
      <c r="J81" s="30"/>
    </row>
    <row r="82" spans="1:10" ht="12.75" x14ac:dyDescent="0.2">
      <c r="A82" s="164" t="s">
        <v>10</v>
      </c>
      <c r="B82" s="4664"/>
      <c r="C82" s="4664"/>
      <c r="D82" s="4664"/>
      <c r="E82" s="4664"/>
      <c r="F82" s="4664"/>
      <c r="G82" s="151"/>
      <c r="H82" s="181"/>
      <c r="I82" s="150">
        <f>SUM(B82:H82)</f>
        <v>0</v>
      </c>
      <c r="J82" s="177" t="s">
        <v>10</v>
      </c>
    </row>
    <row r="83" spans="1:10" x14ac:dyDescent="0.2">
      <c r="A83" s="4780"/>
      <c r="B83" s="4660" t="s">
        <v>534</v>
      </c>
      <c r="C83" s="4660" t="s">
        <v>534</v>
      </c>
      <c r="D83" s="4660" t="s">
        <v>534</v>
      </c>
      <c r="E83" s="4660" t="s">
        <v>534</v>
      </c>
      <c r="F83" s="4660" t="s">
        <v>534</v>
      </c>
      <c r="G83" s="4767"/>
      <c r="H83" s="4795"/>
      <c r="I83" s="4767"/>
      <c r="J83" s="4784"/>
    </row>
    <row r="84" spans="1:10" x14ac:dyDescent="0.2">
      <c r="A84" s="29" t="s">
        <v>974</v>
      </c>
      <c r="B84" s="474"/>
      <c r="C84" s="474"/>
      <c r="D84" s="474"/>
      <c r="E84" s="474"/>
      <c r="F84" s="474"/>
      <c r="G84" s="489"/>
      <c r="H84" s="32"/>
      <c r="I84" s="489"/>
      <c r="J84" s="30"/>
    </row>
    <row r="85" spans="1:10" ht="12.75" x14ac:dyDescent="0.2">
      <c r="A85" s="164" t="s">
        <v>10</v>
      </c>
      <c r="B85" s="4664"/>
      <c r="C85" s="4664"/>
      <c r="D85" s="4664"/>
      <c r="E85" s="4664"/>
      <c r="F85" s="4664"/>
      <c r="G85" s="171"/>
      <c r="H85" s="148"/>
      <c r="I85" s="150">
        <f>SUM(B85:H85)</f>
        <v>0</v>
      </c>
      <c r="J85" s="177" t="s">
        <v>876</v>
      </c>
    </row>
    <row r="86" spans="1:10" ht="12.75" x14ac:dyDescent="0.2">
      <c r="A86" s="4765"/>
      <c r="B86" s="4660" t="s">
        <v>534</v>
      </c>
      <c r="C86" s="4660" t="s">
        <v>534</v>
      </c>
      <c r="D86" s="4660" t="s">
        <v>534</v>
      </c>
      <c r="E86" s="4660" t="s">
        <v>534</v>
      </c>
      <c r="F86" s="4660" t="s">
        <v>534</v>
      </c>
      <c r="G86" s="4796" t="s">
        <v>10</v>
      </c>
      <c r="H86" s="4797" t="s">
        <v>10</v>
      </c>
      <c r="I86" s="4767"/>
      <c r="J86" s="4798"/>
    </row>
    <row r="87" spans="1:10" ht="12.75" x14ac:dyDescent="0.2">
      <c r="A87" s="29" t="s">
        <v>974</v>
      </c>
      <c r="B87" s="474"/>
      <c r="C87" s="474"/>
      <c r="D87" s="474"/>
      <c r="E87" s="474"/>
      <c r="F87" s="474"/>
      <c r="G87" s="505" t="s">
        <v>981</v>
      </c>
      <c r="H87" s="505" t="s">
        <v>981</v>
      </c>
      <c r="I87" s="489"/>
      <c r="J87" s="33"/>
    </row>
    <row r="88" spans="1:10" ht="12.75" x14ac:dyDescent="0.2">
      <c r="A88" s="164" t="s">
        <v>10</v>
      </c>
      <c r="B88" s="4664"/>
      <c r="C88" s="4664"/>
      <c r="D88" s="4664"/>
      <c r="E88" s="4664"/>
      <c r="F88" s="4664"/>
      <c r="G88" s="182">
        <v>12.25</v>
      </c>
      <c r="H88" s="183">
        <v>12.25</v>
      </c>
      <c r="I88" s="150">
        <f>SUM(B88:H88)</f>
        <v>24.5</v>
      </c>
      <c r="J88" s="177" t="s">
        <v>10</v>
      </c>
    </row>
    <row r="89" spans="1:10" ht="12.75" x14ac:dyDescent="0.2">
      <c r="A89" s="4780"/>
      <c r="B89" s="4799" t="s">
        <v>10</v>
      </c>
      <c r="C89" s="4799" t="s">
        <v>10</v>
      </c>
      <c r="D89" s="4799" t="s">
        <v>10</v>
      </c>
      <c r="E89" s="4799" t="s">
        <v>10</v>
      </c>
      <c r="F89" s="4799" t="s">
        <v>10</v>
      </c>
      <c r="G89" s="4796" t="s">
        <v>10</v>
      </c>
      <c r="H89" s="4797" t="s">
        <v>10</v>
      </c>
      <c r="I89" s="4767"/>
      <c r="J89" s="4784"/>
    </row>
    <row r="90" spans="1:10" ht="12.75" x14ac:dyDescent="0.2">
      <c r="A90" s="29" t="s">
        <v>974</v>
      </c>
      <c r="B90" s="506" t="s">
        <v>982</v>
      </c>
      <c r="C90" s="506" t="s">
        <v>982</v>
      </c>
      <c r="D90" s="506" t="s">
        <v>982</v>
      </c>
      <c r="E90" s="506" t="s">
        <v>982</v>
      </c>
      <c r="F90" s="506" t="s">
        <v>983</v>
      </c>
      <c r="G90" s="505" t="s">
        <v>984</v>
      </c>
      <c r="H90" s="505" t="s">
        <v>984</v>
      </c>
      <c r="I90" s="489"/>
      <c r="J90" s="30"/>
    </row>
    <row r="91" spans="1:10" ht="12.75" x14ac:dyDescent="0.2">
      <c r="A91" s="164" t="s">
        <v>10</v>
      </c>
      <c r="B91" s="184">
        <v>7</v>
      </c>
      <c r="C91" s="184">
        <v>7</v>
      </c>
      <c r="D91" s="184">
        <v>7</v>
      </c>
      <c r="E91" s="184">
        <v>7</v>
      </c>
      <c r="F91" s="184">
        <v>6.5</v>
      </c>
      <c r="G91" s="182">
        <v>12</v>
      </c>
      <c r="H91" s="183">
        <v>12</v>
      </c>
      <c r="I91" s="150">
        <f>SUM(B91:H91)</f>
        <v>58.5</v>
      </c>
      <c r="J91" s="177" t="s">
        <v>10</v>
      </c>
    </row>
    <row r="92" spans="1:10" ht="12.75" x14ac:dyDescent="0.2">
      <c r="A92" s="4780"/>
      <c r="B92" s="4802" t="s">
        <v>10</v>
      </c>
      <c r="C92" s="4802" t="s">
        <v>10</v>
      </c>
      <c r="D92" s="4802" t="s">
        <v>10</v>
      </c>
      <c r="E92" s="4802" t="s">
        <v>10</v>
      </c>
      <c r="F92" s="4802" t="s">
        <v>10</v>
      </c>
      <c r="G92" s="4796" t="s">
        <v>10</v>
      </c>
      <c r="H92" s="4797" t="s">
        <v>10</v>
      </c>
      <c r="I92" s="4792"/>
      <c r="J92" s="4784"/>
    </row>
    <row r="93" spans="1:10" ht="12.75" x14ac:dyDescent="0.2">
      <c r="A93" s="29" t="s">
        <v>974</v>
      </c>
      <c r="B93" s="507" t="s">
        <v>985</v>
      </c>
      <c r="C93" s="507" t="s">
        <v>985</v>
      </c>
      <c r="D93" s="507" t="s">
        <v>985</v>
      </c>
      <c r="E93" s="507" t="s">
        <v>985</v>
      </c>
      <c r="F93" s="507" t="s">
        <v>985</v>
      </c>
      <c r="G93" s="505" t="s">
        <v>986</v>
      </c>
      <c r="H93" s="34" t="s">
        <v>984</v>
      </c>
      <c r="I93" s="474"/>
      <c r="J93" s="30"/>
    </row>
    <row r="94" spans="1:10" ht="12.75" x14ac:dyDescent="0.2">
      <c r="A94" s="164" t="s">
        <v>10</v>
      </c>
      <c r="B94" s="485">
        <v>7</v>
      </c>
      <c r="C94" s="485">
        <v>7</v>
      </c>
      <c r="D94" s="485">
        <v>7</v>
      </c>
      <c r="E94" s="485">
        <v>7</v>
      </c>
      <c r="F94" s="485">
        <v>7</v>
      </c>
      <c r="G94" s="486">
        <v>9</v>
      </c>
      <c r="H94" s="183">
        <v>12</v>
      </c>
      <c r="I94" s="150">
        <f>SUM(B94:H94)</f>
        <v>56</v>
      </c>
      <c r="J94" s="177" t="s">
        <v>877</v>
      </c>
    </row>
    <row r="95" spans="1:10" ht="12.75" x14ac:dyDescent="0.2">
      <c r="A95" s="4780"/>
      <c r="B95" s="487" t="s">
        <v>10</v>
      </c>
      <c r="C95" s="487" t="s">
        <v>10</v>
      </c>
      <c r="D95" s="487" t="s">
        <v>10</v>
      </c>
      <c r="E95" s="487" t="s">
        <v>10</v>
      </c>
      <c r="F95" s="487" t="s">
        <v>10</v>
      </c>
      <c r="G95" s="4654"/>
      <c r="H95" s="4822"/>
      <c r="I95" s="4767"/>
      <c r="J95" s="4784"/>
    </row>
    <row r="96" spans="1:10" ht="12.75" x14ac:dyDescent="0.2">
      <c r="A96" s="29" t="s">
        <v>974</v>
      </c>
      <c r="B96" s="508" t="s">
        <v>987</v>
      </c>
      <c r="C96" s="508" t="s">
        <v>987</v>
      </c>
      <c r="D96" s="508" t="s">
        <v>987</v>
      </c>
      <c r="E96" s="508" t="s">
        <v>987</v>
      </c>
      <c r="F96" s="508" t="s">
        <v>987</v>
      </c>
      <c r="G96" s="509"/>
      <c r="H96" s="35"/>
      <c r="I96" s="489"/>
      <c r="J96" s="30"/>
    </row>
    <row r="97" spans="1:10" ht="12.75" x14ac:dyDescent="0.2">
      <c r="A97" s="164" t="s">
        <v>10</v>
      </c>
      <c r="B97" s="488">
        <v>8</v>
      </c>
      <c r="C97" s="488">
        <v>8</v>
      </c>
      <c r="D97" s="488">
        <v>8</v>
      </c>
      <c r="E97" s="488">
        <v>8</v>
      </c>
      <c r="F97" s="488">
        <v>8</v>
      </c>
      <c r="G97" s="150"/>
      <c r="H97" s="188"/>
      <c r="I97" s="150">
        <f>SUM(B97:H97)</f>
        <v>40</v>
      </c>
      <c r="J97" s="177" t="s">
        <v>883</v>
      </c>
    </row>
    <row r="98" spans="1:10" x14ac:dyDescent="0.2">
      <c r="A98" s="4780"/>
      <c r="B98" s="4660" t="s">
        <v>534</v>
      </c>
      <c r="C98" s="4660" t="s">
        <v>534</v>
      </c>
      <c r="D98" s="4660" t="s">
        <v>534</v>
      </c>
      <c r="E98" s="4660" t="s">
        <v>534</v>
      </c>
      <c r="F98" s="4660" t="s">
        <v>534</v>
      </c>
      <c r="G98" s="4831"/>
      <c r="H98" s="4832"/>
      <c r="I98" s="4824"/>
      <c r="J98" s="4784"/>
    </row>
    <row r="99" spans="1:10" x14ac:dyDescent="0.2">
      <c r="A99" s="29" t="s">
        <v>974</v>
      </c>
      <c r="B99" s="474"/>
      <c r="C99" s="474"/>
      <c r="D99" s="474"/>
      <c r="E99" s="474"/>
      <c r="F99" s="474"/>
      <c r="G99" s="18"/>
      <c r="H99" s="475"/>
      <c r="I99" s="501"/>
      <c r="J99" s="30"/>
    </row>
    <row r="100" spans="1:10" ht="12.75" x14ac:dyDescent="0.2">
      <c r="A100" s="164" t="s">
        <v>10</v>
      </c>
      <c r="B100" s="4716"/>
      <c r="C100" s="4716"/>
      <c r="D100" s="4716"/>
      <c r="E100" s="4716"/>
      <c r="F100" s="4716"/>
      <c r="G100" s="151"/>
      <c r="H100" s="181"/>
      <c r="I100" s="150">
        <f>SUM(B100:H100)</f>
        <v>0</v>
      </c>
      <c r="J100" s="177" t="s">
        <v>245</v>
      </c>
    </row>
    <row r="101" spans="1:10" x14ac:dyDescent="0.2">
      <c r="A101" s="4780"/>
      <c r="B101" s="4660" t="s">
        <v>534</v>
      </c>
      <c r="C101" s="4660" t="s">
        <v>534</v>
      </c>
      <c r="D101" s="4660" t="s">
        <v>534</v>
      </c>
      <c r="E101" s="4660" t="s">
        <v>534</v>
      </c>
      <c r="F101" s="4660" t="s">
        <v>534</v>
      </c>
      <c r="G101" s="4767"/>
      <c r="H101" s="4795"/>
      <c r="I101" s="4767"/>
      <c r="J101" s="4784"/>
    </row>
    <row r="102" spans="1:10" x14ac:dyDescent="0.2">
      <c r="A102" s="29" t="s">
        <v>974</v>
      </c>
      <c r="B102" s="474"/>
      <c r="C102" s="474"/>
      <c r="D102" s="474"/>
      <c r="E102" s="474"/>
      <c r="F102" s="474"/>
      <c r="G102" s="489"/>
      <c r="H102" s="32"/>
      <c r="I102" s="489"/>
      <c r="J102" s="30"/>
    </row>
    <row r="103" spans="1:10" ht="12.75" x14ac:dyDescent="0.2">
      <c r="A103" s="15" t="s">
        <v>10</v>
      </c>
      <c r="B103" s="4716"/>
      <c r="C103" s="4716"/>
      <c r="D103" s="4664"/>
      <c r="E103" s="4664"/>
      <c r="F103" s="4664"/>
      <c r="G103" s="489"/>
      <c r="H103" s="32"/>
      <c r="I103" s="474">
        <f>SUM(B103:H103)</f>
        <v>0</v>
      </c>
      <c r="J103" s="36" t="s">
        <v>878</v>
      </c>
    </row>
    <row r="104" spans="1:10" x14ac:dyDescent="0.2">
      <c r="A104" s="4780" t="s">
        <v>0</v>
      </c>
      <c r="B104" s="4816" t="s">
        <v>10</v>
      </c>
      <c r="C104" s="4816" t="s">
        <v>10</v>
      </c>
      <c r="D104" s="4816" t="s">
        <v>10</v>
      </c>
      <c r="E104" s="4816" t="s">
        <v>10</v>
      </c>
      <c r="F104" s="4816" t="s">
        <v>10</v>
      </c>
      <c r="G104" s="4817"/>
      <c r="H104" s="4795"/>
      <c r="I104" s="4767"/>
      <c r="J104" s="4784" t="s">
        <v>0</v>
      </c>
    </row>
    <row r="105" spans="1:10" x14ac:dyDescent="0.2">
      <c r="A105" s="29" t="s">
        <v>974</v>
      </c>
      <c r="B105" s="510" t="s">
        <v>988</v>
      </c>
      <c r="C105" s="510" t="s">
        <v>988</v>
      </c>
      <c r="D105" s="510" t="s">
        <v>988</v>
      </c>
      <c r="E105" s="510" t="s">
        <v>988</v>
      </c>
      <c r="F105" s="510" t="s">
        <v>988</v>
      </c>
      <c r="G105" s="511"/>
      <c r="H105" s="32"/>
      <c r="I105" s="489"/>
      <c r="J105" s="30"/>
    </row>
    <row r="106" spans="1:10" ht="12.75" x14ac:dyDescent="0.2">
      <c r="A106" s="20" t="s">
        <v>10</v>
      </c>
      <c r="B106" s="192">
        <v>8</v>
      </c>
      <c r="C106" s="192">
        <v>8</v>
      </c>
      <c r="D106" s="192">
        <v>8</v>
      </c>
      <c r="E106" s="192">
        <v>8</v>
      </c>
      <c r="F106" s="192">
        <v>8</v>
      </c>
      <c r="G106" s="489"/>
      <c r="H106" s="32"/>
      <c r="I106" s="474">
        <f>SUM(B106:H106)</f>
        <v>40</v>
      </c>
      <c r="J106" s="33" t="s">
        <v>10</v>
      </c>
    </row>
    <row r="107" spans="1:10" ht="12.75" x14ac:dyDescent="0.2">
      <c r="A107" s="4780"/>
      <c r="B107" s="4821" t="s">
        <v>10</v>
      </c>
      <c r="C107" s="4821" t="s">
        <v>10</v>
      </c>
      <c r="D107" s="4821" t="s">
        <v>10</v>
      </c>
      <c r="E107" s="4821" t="s">
        <v>10</v>
      </c>
      <c r="F107" s="4821" t="s">
        <v>10</v>
      </c>
      <c r="G107" s="4833"/>
      <c r="H107" s="4834"/>
      <c r="I107" s="4824"/>
      <c r="J107" s="4784"/>
    </row>
    <row r="108" spans="1:10" ht="12.75" x14ac:dyDescent="0.2">
      <c r="A108" s="29" t="s">
        <v>974</v>
      </c>
      <c r="B108" s="512" t="s">
        <v>989</v>
      </c>
      <c r="C108" s="512" t="s">
        <v>989</v>
      </c>
      <c r="D108" s="512" t="s">
        <v>989</v>
      </c>
      <c r="E108" s="512" t="s">
        <v>989</v>
      </c>
      <c r="F108" s="512" t="s">
        <v>989</v>
      </c>
      <c r="G108" s="37"/>
      <c r="H108" s="509"/>
      <c r="I108" s="501"/>
      <c r="J108" s="30"/>
    </row>
    <row r="109" spans="1:10" ht="12.75" x14ac:dyDescent="0.2">
      <c r="A109" s="164" t="s">
        <v>10</v>
      </c>
      <c r="B109" s="186">
        <v>7</v>
      </c>
      <c r="C109" s="186">
        <v>7</v>
      </c>
      <c r="D109" s="186">
        <v>7</v>
      </c>
      <c r="E109" s="186">
        <v>7</v>
      </c>
      <c r="F109" s="186">
        <v>7</v>
      </c>
      <c r="G109" s="150"/>
      <c r="H109" s="188"/>
      <c r="I109" s="150">
        <f>SUM(B109:H109)</f>
        <v>35</v>
      </c>
      <c r="J109" s="177" t="s">
        <v>10</v>
      </c>
    </row>
    <row r="110" spans="1:10" ht="12.75" x14ac:dyDescent="0.2">
      <c r="A110" s="4780"/>
      <c r="B110" s="4823" t="s">
        <v>10</v>
      </c>
      <c r="C110" s="4823" t="s">
        <v>10</v>
      </c>
      <c r="D110" s="4823" t="s">
        <v>10</v>
      </c>
      <c r="E110" s="4823" t="s">
        <v>10</v>
      </c>
      <c r="F110" s="4823" t="s">
        <v>10</v>
      </c>
      <c r="G110" s="4654"/>
      <c r="H110" s="4822"/>
      <c r="I110" s="4657"/>
      <c r="J110" s="4784"/>
    </row>
    <row r="111" spans="1:10" ht="12.75" x14ac:dyDescent="0.2">
      <c r="A111" s="29" t="s">
        <v>974</v>
      </c>
      <c r="B111" s="38" t="s">
        <v>990</v>
      </c>
      <c r="C111" s="38" t="s">
        <v>990</v>
      </c>
      <c r="D111" s="38" t="s">
        <v>990</v>
      </c>
      <c r="E111" s="38" t="s">
        <v>990</v>
      </c>
      <c r="F111" s="38" t="s">
        <v>990</v>
      </c>
      <c r="G111" s="509"/>
      <c r="H111" s="35"/>
      <c r="I111" s="501"/>
      <c r="J111" s="30"/>
    </row>
    <row r="112" spans="1:10" ht="12.75" x14ac:dyDescent="0.2">
      <c r="A112" s="168" t="s">
        <v>10</v>
      </c>
      <c r="B112" s="187">
        <v>7.5</v>
      </c>
      <c r="C112" s="187">
        <v>7.5</v>
      </c>
      <c r="D112" s="187">
        <v>7.5</v>
      </c>
      <c r="E112" s="187">
        <v>7.5</v>
      </c>
      <c r="F112" s="187">
        <v>7.5</v>
      </c>
      <c r="G112" s="150"/>
      <c r="H112" s="188"/>
      <c r="I112" s="157">
        <f>SUM(B112:H112)</f>
        <v>37.5</v>
      </c>
      <c r="J112" s="191" t="s">
        <v>10</v>
      </c>
    </row>
    <row r="113" spans="1:10" ht="12.75" x14ac:dyDescent="0.2">
      <c r="A113" s="4780"/>
      <c r="B113" s="4828" t="s">
        <v>10</v>
      </c>
      <c r="C113" s="4829" t="s">
        <v>10</v>
      </c>
      <c r="D113" s="4829" t="s">
        <v>10</v>
      </c>
      <c r="E113" s="4829" t="s">
        <v>10</v>
      </c>
      <c r="F113" s="4829" t="s">
        <v>10</v>
      </c>
      <c r="G113" s="4654"/>
      <c r="H113" s="4822"/>
      <c r="I113" s="4830"/>
      <c r="J113" s="4784"/>
    </row>
    <row r="114" spans="1:10" ht="12.75" x14ac:dyDescent="0.2">
      <c r="A114" s="29" t="s">
        <v>974</v>
      </c>
      <c r="B114" s="39" t="s">
        <v>991</v>
      </c>
      <c r="C114" s="39" t="s">
        <v>991</v>
      </c>
      <c r="D114" s="39" t="s">
        <v>991</v>
      </c>
      <c r="E114" s="39" t="s">
        <v>991</v>
      </c>
      <c r="F114" s="39" t="s">
        <v>991</v>
      </c>
      <c r="G114" s="509"/>
      <c r="H114" s="35"/>
      <c r="I114" s="513"/>
      <c r="J114" s="30"/>
    </row>
    <row r="115" spans="1:10" ht="12.75" x14ac:dyDescent="0.2">
      <c r="A115" s="164" t="s">
        <v>10</v>
      </c>
      <c r="B115" s="190">
        <v>8</v>
      </c>
      <c r="C115" s="190">
        <v>8</v>
      </c>
      <c r="D115" s="190">
        <v>8</v>
      </c>
      <c r="E115" s="190">
        <v>8</v>
      </c>
      <c r="F115" s="190">
        <v>8</v>
      </c>
      <c r="G115" s="150"/>
      <c r="H115" s="150"/>
      <c r="I115" s="189">
        <f>SUM(B115:H115)</f>
        <v>40</v>
      </c>
      <c r="J115" s="177" t="s">
        <v>888</v>
      </c>
    </row>
    <row r="116" spans="1:10" x14ac:dyDescent="0.2">
      <c r="A116" s="24" t="s">
        <v>749</v>
      </c>
      <c r="B116" s="40">
        <f t="shared" ref="B116:I116" si="2">SUM(B73,B76,B79,B82,B85,B88,B91,B94,B97,B100,B103,B106,B109,B112,B115)</f>
        <v>75.75</v>
      </c>
      <c r="C116" s="40">
        <f t="shared" si="2"/>
        <v>75.75</v>
      </c>
      <c r="D116" s="40">
        <f t="shared" si="2"/>
        <v>75.75</v>
      </c>
      <c r="E116" s="40">
        <f t="shared" si="2"/>
        <v>75.75</v>
      </c>
      <c r="F116" s="40">
        <f t="shared" si="2"/>
        <v>75.25</v>
      </c>
      <c r="G116" s="40">
        <f t="shared" si="2"/>
        <v>68.5</v>
      </c>
      <c r="H116" s="40">
        <f t="shared" si="2"/>
        <v>71.5</v>
      </c>
      <c r="I116" s="40">
        <f t="shared" si="2"/>
        <v>518.25</v>
      </c>
      <c r="J116" s="26"/>
    </row>
    <row r="117" spans="1:10" ht="12.75" x14ac:dyDescent="0.2">
      <c r="A117" s="5"/>
      <c r="B117" s="5"/>
      <c r="C117" s="5"/>
      <c r="D117" s="5"/>
      <c r="E117" s="5"/>
      <c r="F117" s="5"/>
      <c r="G117" s="4739" t="s">
        <v>851</v>
      </c>
      <c r="H117" s="4739" t="s">
        <v>852</v>
      </c>
      <c r="I117" s="4739" t="s">
        <v>853</v>
      </c>
    </row>
    <row r="118" spans="1:10" ht="12.75" x14ac:dyDescent="0.2">
      <c r="A118" s="37"/>
      <c r="B118" s="37"/>
      <c r="C118" s="37"/>
      <c r="D118" s="37"/>
      <c r="E118" s="37"/>
      <c r="F118" s="5"/>
      <c r="G118" s="4713">
        <f>I116</f>
        <v>518.25</v>
      </c>
      <c r="H118" s="4740">
        <f>SUM(G118*13/3)</f>
        <v>2245.75</v>
      </c>
      <c r="I118" s="4713">
        <f>SUM(H118*12)</f>
        <v>26949</v>
      </c>
    </row>
    <row r="119" spans="1:10" x14ac:dyDescent="0.2">
      <c r="A119" s="5"/>
      <c r="B119" s="5"/>
      <c r="C119" s="5"/>
      <c r="D119" s="5"/>
      <c r="E119" s="5"/>
      <c r="F119" s="5"/>
      <c r="G119" s="5"/>
      <c r="H119" s="23"/>
      <c r="I119" s="5"/>
    </row>
    <row r="120" spans="1:10" x14ac:dyDescent="0.2">
      <c r="A120" s="5"/>
      <c r="B120" s="5"/>
      <c r="C120" s="5"/>
      <c r="D120" s="5"/>
      <c r="E120" s="5"/>
      <c r="F120" s="5"/>
      <c r="G120" s="5"/>
      <c r="H120" s="23"/>
      <c r="I120" s="5"/>
    </row>
    <row r="121" spans="1:10" x14ac:dyDescent="0.2">
      <c r="A121" s="5"/>
      <c r="B121" s="5"/>
      <c r="C121" s="5"/>
      <c r="D121" s="5" t="s">
        <v>992</v>
      </c>
      <c r="E121" s="5"/>
      <c r="F121" s="5"/>
      <c r="G121" s="5"/>
      <c r="H121" s="23"/>
      <c r="I121" s="5"/>
    </row>
    <row r="122" spans="1:10" ht="12.75" x14ac:dyDescent="0.2">
      <c r="A122" s="4889"/>
      <c r="B122" s="4772" t="s">
        <v>10</v>
      </c>
      <c r="C122" s="4772" t="s">
        <v>10</v>
      </c>
      <c r="D122" s="4772" t="s">
        <v>10</v>
      </c>
      <c r="E122" s="4772" t="s">
        <v>10</v>
      </c>
      <c r="F122" s="4772" t="s">
        <v>10</v>
      </c>
      <c r="G122" s="4890" t="s">
        <v>10</v>
      </c>
      <c r="H122" s="4891" t="s">
        <v>10</v>
      </c>
      <c r="I122" s="5"/>
    </row>
    <row r="123" spans="1:10" ht="12.75" x14ac:dyDescent="0.2">
      <c r="A123" s="164" t="s">
        <v>10</v>
      </c>
      <c r="B123" s="175">
        <v>8.25</v>
      </c>
      <c r="C123" s="175">
        <v>8.25</v>
      </c>
      <c r="D123" s="175">
        <v>8.25</v>
      </c>
      <c r="E123" s="175">
        <v>8.25</v>
      </c>
      <c r="F123" s="175">
        <v>8.25</v>
      </c>
      <c r="G123" s="4892">
        <v>12.25</v>
      </c>
      <c r="H123" s="4893">
        <v>12.25</v>
      </c>
      <c r="I123" s="5"/>
    </row>
    <row r="124" spans="1:10" x14ac:dyDescent="0.2">
      <c r="A124" s="4889"/>
      <c r="B124" s="4660" t="s">
        <v>534</v>
      </c>
      <c r="C124" s="4660" t="s">
        <v>534</v>
      </c>
      <c r="D124" s="4660" t="s">
        <v>534</v>
      </c>
      <c r="E124" s="4660" t="s">
        <v>534</v>
      </c>
      <c r="F124" s="4660" t="s">
        <v>534</v>
      </c>
      <c r="G124" s="4661"/>
      <c r="H124" s="4894"/>
      <c r="I124" s="5"/>
    </row>
    <row r="125" spans="1:10" ht="12.75" x14ac:dyDescent="0.2">
      <c r="A125" s="164" t="s">
        <v>10</v>
      </c>
      <c r="B125" s="4664"/>
      <c r="C125" s="4664"/>
      <c r="D125" s="4664"/>
      <c r="E125" s="4664"/>
      <c r="F125" s="4664"/>
      <c r="G125" s="4721"/>
      <c r="H125" s="4895"/>
      <c r="I125" s="5"/>
    </row>
    <row r="126" spans="1:10" ht="12.75" x14ac:dyDescent="0.2">
      <c r="A126" s="4889"/>
      <c r="B126" s="4799" t="s">
        <v>10</v>
      </c>
      <c r="C126" s="4799" t="s">
        <v>10</v>
      </c>
      <c r="D126" s="4799" t="s">
        <v>10</v>
      </c>
      <c r="E126" s="4799" t="s">
        <v>10</v>
      </c>
      <c r="F126" s="4799" t="s">
        <v>10</v>
      </c>
      <c r="G126" s="4796" t="s">
        <v>10</v>
      </c>
      <c r="H126" s="4797" t="s">
        <v>10</v>
      </c>
      <c r="I126" s="5"/>
    </row>
    <row r="127" spans="1:10" ht="12.75" x14ac:dyDescent="0.2">
      <c r="A127" s="164" t="s">
        <v>10</v>
      </c>
      <c r="B127" s="184">
        <v>7</v>
      </c>
      <c r="C127" s="184">
        <v>7</v>
      </c>
      <c r="D127" s="184">
        <v>7</v>
      </c>
      <c r="E127" s="184">
        <v>7</v>
      </c>
      <c r="F127" s="184">
        <v>6.5</v>
      </c>
      <c r="G127" s="182">
        <v>12</v>
      </c>
      <c r="H127" s="183">
        <v>12</v>
      </c>
      <c r="I127" s="5"/>
    </row>
    <row r="128" spans="1:10" x14ac:dyDescent="0.2">
      <c r="A128" s="4889"/>
      <c r="B128" s="4660" t="s">
        <v>534</v>
      </c>
      <c r="C128" s="4660" t="s">
        <v>534</v>
      </c>
      <c r="D128" s="4660" t="s">
        <v>534</v>
      </c>
      <c r="E128" s="4660" t="s">
        <v>534</v>
      </c>
      <c r="F128" s="4660" t="s">
        <v>534</v>
      </c>
      <c r="G128" s="4661"/>
      <c r="H128" s="4894"/>
      <c r="I128" s="5"/>
    </row>
    <row r="129" spans="1:9" ht="12.75" x14ac:dyDescent="0.2">
      <c r="A129" s="164" t="s">
        <v>10</v>
      </c>
      <c r="B129" s="4664"/>
      <c r="C129" s="4664"/>
      <c r="D129" s="4664"/>
      <c r="E129" s="4664"/>
      <c r="F129" s="4664"/>
      <c r="G129" s="4721"/>
      <c r="H129" s="4895"/>
      <c r="I129" s="5"/>
    </row>
    <row r="130" spans="1:9" ht="12.75" x14ac:dyDescent="0.2">
      <c r="A130" s="4889"/>
      <c r="B130" s="4821" t="s">
        <v>10</v>
      </c>
      <c r="C130" s="4821" t="s">
        <v>10</v>
      </c>
      <c r="D130" s="4821" t="s">
        <v>10</v>
      </c>
      <c r="E130" s="4821" t="s">
        <v>10</v>
      </c>
      <c r="F130" s="4821" t="s">
        <v>10</v>
      </c>
      <c r="G130" s="4648"/>
      <c r="H130" s="4896"/>
      <c r="I130" s="5"/>
    </row>
    <row r="131" spans="1:9" ht="12.75" x14ac:dyDescent="0.2">
      <c r="A131" s="164" t="s">
        <v>10</v>
      </c>
      <c r="B131" s="186">
        <v>7</v>
      </c>
      <c r="C131" s="186">
        <v>7</v>
      </c>
      <c r="D131" s="186">
        <v>7</v>
      </c>
      <c r="E131" s="186">
        <v>7</v>
      </c>
      <c r="F131" s="186">
        <v>7</v>
      </c>
      <c r="G131" s="4664"/>
      <c r="H131" s="4897"/>
      <c r="I131" s="5"/>
    </row>
    <row r="132" spans="1:9" ht="12.75" x14ac:dyDescent="0.2">
      <c r="A132" s="4889"/>
      <c r="B132" s="4781" t="s">
        <v>10</v>
      </c>
      <c r="C132" s="4781" t="s">
        <v>10</v>
      </c>
      <c r="D132" s="4781" t="s">
        <v>10</v>
      </c>
      <c r="E132" s="4781" t="s">
        <v>10</v>
      </c>
      <c r="F132" s="4781" t="s">
        <v>10</v>
      </c>
      <c r="G132" s="4782" t="s">
        <v>10</v>
      </c>
      <c r="H132" s="4783" t="s">
        <v>10</v>
      </c>
      <c r="I132" s="5"/>
    </row>
    <row r="133" spans="1:9" ht="12.75" x14ac:dyDescent="0.2">
      <c r="A133" s="164" t="s">
        <v>10</v>
      </c>
      <c r="B133" s="162">
        <v>7</v>
      </c>
      <c r="C133" s="162">
        <v>7</v>
      </c>
      <c r="D133" s="162">
        <v>7</v>
      </c>
      <c r="E133" s="162">
        <v>7</v>
      </c>
      <c r="F133" s="162">
        <v>7</v>
      </c>
      <c r="G133" s="178">
        <v>11</v>
      </c>
      <c r="H133" s="179">
        <v>11</v>
      </c>
      <c r="I133" s="5"/>
    </row>
    <row r="134" spans="1:9" x14ac:dyDescent="0.2">
      <c r="A134" s="4889"/>
      <c r="B134" s="4660" t="s">
        <v>534</v>
      </c>
      <c r="C134" s="4660" t="s">
        <v>534</v>
      </c>
      <c r="D134" s="4660" t="s">
        <v>534</v>
      </c>
      <c r="E134" s="4660" t="s">
        <v>534</v>
      </c>
      <c r="F134" s="4660" t="s">
        <v>534</v>
      </c>
      <c r="G134" s="4669"/>
      <c r="H134" s="4583"/>
      <c r="I134" s="5"/>
    </row>
    <row r="135" spans="1:9" ht="12.75" x14ac:dyDescent="0.2">
      <c r="A135" s="164" t="s">
        <v>10</v>
      </c>
      <c r="B135" s="4664"/>
      <c r="C135" s="4664"/>
      <c r="D135" s="4664"/>
      <c r="E135" s="4664"/>
      <c r="F135" s="4664"/>
      <c r="G135" s="4674"/>
      <c r="H135" s="4605"/>
      <c r="I135" s="5"/>
    </row>
    <row r="136" spans="1:9" ht="12.75" x14ac:dyDescent="0.2">
      <c r="A136" s="4889"/>
      <c r="B136" s="4802" t="s">
        <v>10</v>
      </c>
      <c r="C136" s="4802" t="s">
        <v>10</v>
      </c>
      <c r="D136" s="4802" t="s">
        <v>10</v>
      </c>
      <c r="E136" s="4802" t="s">
        <v>10</v>
      </c>
      <c r="F136" s="4802" t="s">
        <v>10</v>
      </c>
      <c r="G136" s="4796" t="s">
        <v>10</v>
      </c>
      <c r="H136" s="4797" t="s">
        <v>10</v>
      </c>
      <c r="I136" s="5"/>
    </row>
    <row r="137" spans="1:9" ht="12.75" x14ac:dyDescent="0.2">
      <c r="A137" s="164" t="s">
        <v>10</v>
      </c>
      <c r="B137" s="485">
        <v>7</v>
      </c>
      <c r="C137" s="485">
        <v>7</v>
      </c>
      <c r="D137" s="485">
        <v>7</v>
      </c>
      <c r="E137" s="485">
        <v>7</v>
      </c>
      <c r="F137" s="485">
        <v>7</v>
      </c>
      <c r="G137" s="486">
        <v>9</v>
      </c>
      <c r="H137" s="183">
        <v>12</v>
      </c>
      <c r="I137" s="5"/>
    </row>
    <row r="138" spans="1:9" x14ac:dyDescent="0.2">
      <c r="A138" s="4889"/>
      <c r="B138" s="4660" t="s">
        <v>534</v>
      </c>
      <c r="C138" s="4660" t="s">
        <v>534</v>
      </c>
      <c r="D138" s="4660" t="s">
        <v>534</v>
      </c>
      <c r="E138" s="4660" t="s">
        <v>534</v>
      </c>
      <c r="F138" s="4660" t="s">
        <v>534</v>
      </c>
      <c r="G138" s="4669"/>
      <c r="H138" s="4583"/>
      <c r="I138" s="5"/>
    </row>
    <row r="139" spans="1:9" ht="12.75" x14ac:dyDescent="0.2">
      <c r="A139" s="15" t="s">
        <v>10</v>
      </c>
      <c r="B139" s="4664"/>
      <c r="C139" s="4664"/>
      <c r="D139" s="4664"/>
      <c r="E139" s="4664"/>
      <c r="F139" s="4664"/>
      <c r="G139" s="4674"/>
      <c r="H139" s="4605"/>
      <c r="I139" s="5"/>
    </row>
    <row r="140" spans="1:9" ht="12.75" x14ac:dyDescent="0.2">
      <c r="A140" s="4889"/>
      <c r="B140" s="4823" t="s">
        <v>10</v>
      </c>
      <c r="C140" s="4823" t="s">
        <v>10</v>
      </c>
      <c r="D140" s="4823" t="s">
        <v>10</v>
      </c>
      <c r="E140" s="4823" t="s">
        <v>10</v>
      </c>
      <c r="F140" s="4823" t="s">
        <v>10</v>
      </c>
      <c r="G140" s="4648"/>
      <c r="H140" s="4896"/>
      <c r="I140" s="5"/>
    </row>
    <row r="141" spans="1:9" ht="12.75" x14ac:dyDescent="0.2">
      <c r="A141" s="168" t="s">
        <v>10</v>
      </c>
      <c r="B141" s="187">
        <v>7.5</v>
      </c>
      <c r="C141" s="187">
        <v>7.5</v>
      </c>
      <c r="D141" s="187">
        <v>7.5</v>
      </c>
      <c r="E141" s="187">
        <v>7.5</v>
      </c>
      <c r="F141" s="187">
        <v>7.5</v>
      </c>
      <c r="G141" s="4664"/>
      <c r="H141" s="4897"/>
      <c r="I141" s="5"/>
    </row>
    <row r="142" spans="1:9" ht="12.75" x14ac:dyDescent="0.2">
      <c r="A142" s="4889"/>
      <c r="B142" s="4789" t="s">
        <v>10</v>
      </c>
      <c r="C142" s="4789" t="s">
        <v>10</v>
      </c>
      <c r="D142" s="4789" t="s">
        <v>10</v>
      </c>
      <c r="E142" s="4789" t="s">
        <v>10</v>
      </c>
      <c r="F142" s="4789" t="s">
        <v>10</v>
      </c>
      <c r="G142" s="4783" t="s">
        <v>10</v>
      </c>
      <c r="H142" s="4783" t="s">
        <v>10</v>
      </c>
      <c r="I142" s="5"/>
    </row>
    <row r="143" spans="1:9" ht="12.75" x14ac:dyDescent="0.2">
      <c r="A143" s="164" t="s">
        <v>10</v>
      </c>
      <c r="B143" s="180">
        <v>8</v>
      </c>
      <c r="C143" s="180">
        <v>8</v>
      </c>
      <c r="D143" s="180">
        <v>8</v>
      </c>
      <c r="E143" s="180">
        <v>8</v>
      </c>
      <c r="F143" s="180">
        <v>8</v>
      </c>
      <c r="G143" s="178">
        <v>12</v>
      </c>
      <c r="H143" s="178">
        <v>12</v>
      </c>
      <c r="I143" s="5"/>
    </row>
    <row r="144" spans="1:9" ht="12.75" x14ac:dyDescent="0.2">
      <c r="A144" s="4898"/>
      <c r="B144" s="4660" t="s">
        <v>534</v>
      </c>
      <c r="C144" s="4660" t="s">
        <v>534</v>
      </c>
      <c r="D144" s="4660" t="s">
        <v>534</v>
      </c>
      <c r="E144" s="4660" t="s">
        <v>534</v>
      </c>
      <c r="F144" s="4660" t="s">
        <v>534</v>
      </c>
      <c r="G144" s="4796" t="s">
        <v>10</v>
      </c>
      <c r="H144" s="4797" t="s">
        <v>10</v>
      </c>
      <c r="I144" s="5"/>
    </row>
    <row r="145" spans="1:10" ht="12.75" x14ac:dyDescent="0.2">
      <c r="A145" s="164" t="s">
        <v>10</v>
      </c>
      <c r="B145" s="4664"/>
      <c r="C145" s="4664"/>
      <c r="D145" s="4664"/>
      <c r="E145" s="4664"/>
      <c r="F145" s="4664"/>
      <c r="G145" s="182">
        <v>12.25</v>
      </c>
      <c r="H145" s="183">
        <v>12.25</v>
      </c>
      <c r="I145" s="5"/>
    </row>
    <row r="146" spans="1:10" ht="12.75" x14ac:dyDescent="0.2">
      <c r="A146" s="4889"/>
      <c r="B146" s="487" t="s">
        <v>10</v>
      </c>
      <c r="C146" s="487" t="s">
        <v>10</v>
      </c>
      <c r="D146" s="487" t="s">
        <v>10</v>
      </c>
      <c r="E146" s="487" t="s">
        <v>10</v>
      </c>
      <c r="F146" s="487" t="s">
        <v>10</v>
      </c>
      <c r="G146" s="4654"/>
      <c r="H146" s="4822"/>
      <c r="I146" s="5"/>
    </row>
    <row r="147" spans="1:10" ht="12.75" x14ac:dyDescent="0.2">
      <c r="A147" s="164" t="s">
        <v>10</v>
      </c>
      <c r="B147" s="488">
        <v>8</v>
      </c>
      <c r="C147" s="488">
        <v>8</v>
      </c>
      <c r="D147" s="488">
        <v>8</v>
      </c>
      <c r="E147" s="488">
        <v>8</v>
      </c>
      <c r="F147" s="488">
        <v>8</v>
      </c>
      <c r="G147" s="150"/>
      <c r="H147" s="188"/>
      <c r="I147" s="5"/>
    </row>
    <row r="148" spans="1:10" x14ac:dyDescent="0.2">
      <c r="A148" s="4889" t="s">
        <v>0</v>
      </c>
      <c r="B148" s="4816" t="s">
        <v>10</v>
      </c>
      <c r="C148" s="4816" t="s">
        <v>10</v>
      </c>
      <c r="D148" s="4816" t="s">
        <v>10</v>
      </c>
      <c r="E148" s="4816" t="s">
        <v>10</v>
      </c>
      <c r="F148" s="4816" t="s">
        <v>10</v>
      </c>
      <c r="G148" s="4672"/>
      <c r="H148" s="4583"/>
      <c r="I148" s="5"/>
    </row>
    <row r="149" spans="1:10" ht="12.75" x14ac:dyDescent="0.2">
      <c r="A149" s="20" t="s">
        <v>10</v>
      </c>
      <c r="B149" s="192">
        <v>8</v>
      </c>
      <c r="C149" s="192">
        <v>8</v>
      </c>
      <c r="D149" s="192">
        <v>8</v>
      </c>
      <c r="E149" s="192">
        <v>8</v>
      </c>
      <c r="F149" s="192">
        <v>8</v>
      </c>
      <c r="G149" s="4674"/>
      <c r="H149" s="4605"/>
      <c r="I149" s="5"/>
    </row>
    <row r="150" spans="1:10" ht="12.75" x14ac:dyDescent="0.2">
      <c r="A150" s="4889"/>
      <c r="B150" s="4828" t="s">
        <v>10</v>
      </c>
      <c r="C150" s="4829" t="s">
        <v>10</v>
      </c>
      <c r="D150" s="4829" t="s">
        <v>10</v>
      </c>
      <c r="E150" s="4829" t="s">
        <v>10</v>
      </c>
      <c r="F150" s="4829" t="s">
        <v>10</v>
      </c>
      <c r="G150" s="4648"/>
      <c r="H150" s="4896"/>
      <c r="I150" s="5"/>
    </row>
    <row r="151" spans="1:10" ht="12.75" x14ac:dyDescent="0.2">
      <c r="A151" s="164" t="s">
        <v>10</v>
      </c>
      <c r="B151" s="190">
        <v>8</v>
      </c>
      <c r="C151" s="190">
        <v>8</v>
      </c>
      <c r="D151" s="190">
        <v>8</v>
      </c>
      <c r="E151" s="190">
        <v>8</v>
      </c>
      <c r="F151" s="190">
        <v>8</v>
      </c>
      <c r="G151" s="4664"/>
      <c r="H151" s="4897"/>
      <c r="I151" s="5"/>
    </row>
    <row r="152" spans="1:10" x14ac:dyDescent="0.2">
      <c r="A152" s="5"/>
      <c r="B152" s="5"/>
      <c r="C152" s="5"/>
      <c r="D152" s="5"/>
      <c r="E152" s="5"/>
      <c r="F152" s="5"/>
      <c r="G152" s="5"/>
      <c r="H152" s="23"/>
      <c r="I152" s="5"/>
    </row>
    <row r="153" spans="1:10" x14ac:dyDescent="0.2">
      <c r="A153" s="5"/>
      <c r="B153" s="5"/>
      <c r="C153" s="5"/>
      <c r="D153" s="5"/>
      <c r="E153" s="5"/>
      <c r="F153" s="5"/>
      <c r="G153" s="5"/>
      <c r="H153" s="23"/>
      <c r="I153" s="5"/>
    </row>
    <row r="154" spans="1:10" ht="12.75" x14ac:dyDescent="0.2">
      <c r="A154" s="1" t="s">
        <v>890</v>
      </c>
      <c r="B154" s="5"/>
      <c r="C154" s="5"/>
      <c r="D154" s="5"/>
      <c r="E154" s="5"/>
      <c r="F154" s="5"/>
    </row>
    <row r="155" spans="1:10" ht="12.75" x14ac:dyDescent="0.2">
      <c r="A155" s="4653" t="s">
        <v>891</v>
      </c>
      <c r="B155" s="4654" t="s">
        <v>17</v>
      </c>
      <c r="C155" s="4655" t="s">
        <v>18</v>
      </c>
      <c r="D155" s="4655" t="s">
        <v>19</v>
      </c>
      <c r="E155" s="4655" t="s">
        <v>20</v>
      </c>
      <c r="F155" s="4655" t="s">
        <v>21</v>
      </c>
      <c r="G155" s="4655" t="s">
        <v>22</v>
      </c>
      <c r="H155" s="4656" t="s">
        <v>23</v>
      </c>
      <c r="I155" s="4657" t="s">
        <v>234</v>
      </c>
      <c r="J155" s="4658" t="s">
        <v>126</v>
      </c>
    </row>
    <row r="156" spans="1:10" ht="12.75" x14ac:dyDescent="0.2">
      <c r="A156" s="4659" t="s">
        <v>0</v>
      </c>
      <c r="B156" s="4648" t="s">
        <v>10</v>
      </c>
      <c r="C156" s="4648" t="s">
        <v>10</v>
      </c>
      <c r="D156" s="4648" t="s">
        <v>10</v>
      </c>
      <c r="E156" s="4648" t="s">
        <v>10</v>
      </c>
      <c r="F156" s="4648" t="s">
        <v>10</v>
      </c>
      <c r="G156" s="4649"/>
      <c r="H156" s="4649"/>
      <c r="I156" s="4660"/>
      <c r="J156" s="4662"/>
    </row>
    <row r="157" spans="1:10" x14ac:dyDescent="0.2">
      <c r="A157" s="4876" t="s">
        <v>819</v>
      </c>
      <c r="B157" s="4713">
        <v>7.75</v>
      </c>
      <c r="C157" s="4713">
        <v>7.75</v>
      </c>
      <c r="D157" s="4713">
        <v>7.75</v>
      </c>
      <c r="E157" s="4713">
        <v>7.75</v>
      </c>
      <c r="F157" s="4713">
        <v>6</v>
      </c>
      <c r="G157" s="4737"/>
      <c r="H157" s="4737"/>
      <c r="I157" s="4713">
        <f>SUM(B157:H157)</f>
        <v>37</v>
      </c>
      <c r="J157" s="4877"/>
    </row>
    <row r="158" spans="1:10" ht="12.75" x14ac:dyDescent="0.2">
      <c r="A158" s="4899"/>
      <c r="B158" s="4888" t="s">
        <v>993</v>
      </c>
      <c r="C158" s="4888" t="s">
        <v>993</v>
      </c>
      <c r="D158" s="4888" t="s">
        <v>993</v>
      </c>
      <c r="E158" s="4888" t="s">
        <v>993</v>
      </c>
      <c r="F158" s="4888" t="s">
        <v>994</v>
      </c>
      <c r="G158" s="4838"/>
      <c r="H158" s="4838"/>
      <c r="I158" s="4716"/>
      <c r="J158" s="4839"/>
    </row>
    <row r="159" spans="1:10" ht="12.75" x14ac:dyDescent="0.2">
      <c r="A159" s="4505" t="s">
        <v>846</v>
      </c>
      <c r="B159" s="4648" t="s">
        <v>17</v>
      </c>
      <c r="C159" s="4649" t="s">
        <v>18</v>
      </c>
      <c r="D159" s="4649" t="s">
        <v>19</v>
      </c>
      <c r="E159" s="4649" t="s">
        <v>20</v>
      </c>
      <c r="F159" s="4649" t="s">
        <v>21</v>
      </c>
      <c r="G159" s="4649" t="s">
        <v>22</v>
      </c>
      <c r="H159" s="4649" t="s">
        <v>23</v>
      </c>
      <c r="I159" s="4669" t="s">
        <v>234</v>
      </c>
      <c r="J159" s="4652" t="s">
        <v>126</v>
      </c>
    </row>
    <row r="160" spans="1:10" ht="12.75" x14ac:dyDescent="0.2">
      <c r="A160" s="4876" t="s">
        <v>0</v>
      </c>
      <c r="B160" s="4900" t="s">
        <v>10</v>
      </c>
      <c r="C160" s="4900" t="s">
        <v>10</v>
      </c>
      <c r="D160" s="4900" t="s">
        <v>10</v>
      </c>
      <c r="E160" s="4900" t="s">
        <v>10</v>
      </c>
      <c r="F160" s="4900" t="s">
        <v>10</v>
      </c>
      <c r="G160" s="4737"/>
      <c r="H160" s="4737"/>
      <c r="I160" s="4713"/>
      <c r="J160" s="4877"/>
    </row>
    <row r="161" spans="1:10" ht="12.75" x14ac:dyDescent="0.2">
      <c r="A161" s="4713" t="s">
        <v>898</v>
      </c>
      <c r="B161" s="4900" t="s">
        <v>962</v>
      </c>
      <c r="C161" s="4900" t="s">
        <v>962</v>
      </c>
      <c r="D161" s="4900" t="s">
        <v>962</v>
      </c>
      <c r="E161" s="4900" t="s">
        <v>962</v>
      </c>
      <c r="F161" s="4900" t="s">
        <v>963</v>
      </c>
      <c r="G161" s="4737"/>
      <c r="H161" s="4737"/>
      <c r="I161" s="4713"/>
      <c r="J161" s="4877"/>
    </row>
    <row r="162" spans="1:10" x14ac:dyDescent="0.2">
      <c r="A162" s="474"/>
      <c r="B162" s="474">
        <v>7.75</v>
      </c>
      <c r="C162" s="474">
        <v>7.75</v>
      </c>
      <c r="D162" s="474">
        <v>7.75</v>
      </c>
      <c r="E162" s="474">
        <v>7.75</v>
      </c>
      <c r="F162" s="474">
        <v>6</v>
      </c>
      <c r="G162" s="392"/>
      <c r="H162" s="17"/>
      <c r="I162" s="476">
        <f>SUM(B162:H162)</f>
        <v>37</v>
      </c>
      <c r="J162" s="471"/>
    </row>
    <row r="163" spans="1:10" x14ac:dyDescent="0.2">
      <c r="A163" s="4901" t="s">
        <v>749</v>
      </c>
      <c r="B163" s="4902">
        <f>SUM(B157,B162)</f>
        <v>15.5</v>
      </c>
      <c r="C163" s="4902">
        <f>SUM(C157,C162)</f>
        <v>15.5</v>
      </c>
      <c r="D163" s="4902">
        <f>SUM(D157,D162)</f>
        <v>15.5</v>
      </c>
      <c r="E163" s="4902">
        <f>SUM(E157,E162)</f>
        <v>15.5</v>
      </c>
      <c r="F163" s="4902">
        <f>SUM(F157,F162)</f>
        <v>12</v>
      </c>
      <c r="G163" s="4681"/>
      <c r="H163" s="4903"/>
      <c r="I163" s="4904">
        <f>SUM(B163:H163)</f>
        <v>74</v>
      </c>
      <c r="J163" s="4905"/>
    </row>
    <row r="164" spans="1:10" ht="12.75" x14ac:dyDescent="0.2">
      <c r="A164" s="37"/>
      <c r="B164" s="5"/>
      <c r="C164" s="5"/>
      <c r="D164" s="5"/>
      <c r="E164" s="5"/>
      <c r="F164" s="18"/>
      <c r="G164" s="4739" t="s">
        <v>851</v>
      </c>
      <c r="H164" s="4739" t="s">
        <v>852</v>
      </c>
      <c r="I164" s="4739" t="s">
        <v>853</v>
      </c>
      <c r="J164" s="6"/>
    </row>
    <row r="165" spans="1:10" ht="12.75" x14ac:dyDescent="0.2">
      <c r="A165" s="37"/>
      <c r="B165" s="5"/>
      <c r="C165" s="5"/>
      <c r="D165" s="5"/>
      <c r="E165" s="5"/>
      <c r="F165" s="18"/>
      <c r="G165" s="4713">
        <f>SUM(I163)</f>
        <v>74</v>
      </c>
      <c r="H165" s="4740">
        <f>SUM(G165*13/3)</f>
        <v>320.66666666666669</v>
      </c>
      <c r="I165" s="4713">
        <f>SUM(H165*12)</f>
        <v>3848</v>
      </c>
      <c r="J165" s="6"/>
    </row>
    <row r="166" spans="1:10" ht="12.75" x14ac:dyDescent="0.2">
      <c r="A166" s="1" t="s">
        <v>899</v>
      </c>
      <c r="B166" s="5"/>
      <c r="C166" s="5"/>
      <c r="D166" s="5"/>
      <c r="E166" s="5"/>
      <c r="F166" s="5"/>
    </row>
    <row r="167" spans="1:10" ht="12.75" x14ac:dyDescent="0.2">
      <c r="A167" s="4505" t="s">
        <v>900</v>
      </c>
      <c r="B167" s="4648" t="s">
        <v>17</v>
      </c>
      <c r="C167" s="4649" t="s">
        <v>18</v>
      </c>
      <c r="D167" s="4649" t="s">
        <v>19</v>
      </c>
      <c r="E167" s="4649" t="s">
        <v>20</v>
      </c>
      <c r="F167" s="4649" t="s">
        <v>21</v>
      </c>
      <c r="G167" s="4649" t="s">
        <v>22</v>
      </c>
      <c r="H167" s="4649" t="s">
        <v>23</v>
      </c>
      <c r="I167" s="4669" t="s">
        <v>234</v>
      </c>
      <c r="J167" s="4652" t="s">
        <v>126</v>
      </c>
    </row>
    <row r="168" spans="1:10" x14ac:dyDescent="0.2">
      <c r="A168" s="4876" t="s">
        <v>0</v>
      </c>
      <c r="B168" s="4713" t="s">
        <v>901</v>
      </c>
      <c r="C168" s="4713" t="s">
        <v>901</v>
      </c>
      <c r="D168" s="4713" t="s">
        <v>901</v>
      </c>
      <c r="E168" s="4713" t="s">
        <v>901</v>
      </c>
      <c r="F168" s="4713" t="s">
        <v>902</v>
      </c>
      <c r="G168" s="4737"/>
      <c r="H168" s="4737"/>
      <c r="I168" s="4713"/>
      <c r="J168" s="4877"/>
    </row>
    <row r="169" spans="1:10" x14ac:dyDescent="0.2">
      <c r="A169" s="4876" t="s">
        <v>821</v>
      </c>
      <c r="B169" s="4713">
        <v>8</v>
      </c>
      <c r="C169" s="4713">
        <v>8</v>
      </c>
      <c r="D169" s="4713">
        <v>8</v>
      </c>
      <c r="E169" s="4713">
        <v>8</v>
      </c>
      <c r="F169" s="4713">
        <v>5</v>
      </c>
      <c r="G169" s="4737"/>
      <c r="H169" s="4737"/>
      <c r="I169" s="4713">
        <f>SUM(B169:H169)</f>
        <v>37</v>
      </c>
      <c r="J169" s="4877"/>
    </row>
    <row r="170" spans="1:10" ht="12.75" x14ac:dyDescent="0.2">
      <c r="A170" s="4663"/>
      <c r="B170" s="4873" t="s">
        <v>995</v>
      </c>
      <c r="C170" s="4873" t="s">
        <v>995</v>
      </c>
      <c r="D170" s="4873" t="s">
        <v>995</v>
      </c>
      <c r="E170" s="4873" t="s">
        <v>995</v>
      </c>
      <c r="F170" s="4873" t="s">
        <v>996</v>
      </c>
      <c r="G170" s="4874"/>
      <c r="H170" s="4874"/>
      <c r="I170" s="4664"/>
      <c r="J170" s="4723"/>
    </row>
    <row r="171" spans="1:10" ht="12.75" x14ac:dyDescent="0.2">
      <c r="A171" s="37"/>
      <c r="B171" s="5"/>
      <c r="C171" s="5"/>
      <c r="D171" s="5"/>
      <c r="E171" s="5"/>
      <c r="F171" s="18"/>
      <c r="G171" s="497" t="s">
        <v>851</v>
      </c>
      <c r="H171" s="497" t="s">
        <v>852</v>
      </c>
      <c r="I171" s="497" t="s">
        <v>853</v>
      </c>
      <c r="J171" s="6"/>
    </row>
    <row r="172" spans="1:10" ht="12.75" x14ac:dyDescent="0.2">
      <c r="A172" s="37"/>
      <c r="B172" s="5"/>
      <c r="C172" s="5"/>
      <c r="D172" s="5"/>
      <c r="E172" s="5"/>
      <c r="F172" s="18"/>
      <c r="G172" s="4713">
        <f>I169</f>
        <v>37</v>
      </c>
      <c r="H172" s="4740">
        <f>SUM(G172*13/3)</f>
        <v>160.33333333333334</v>
      </c>
      <c r="I172" s="4713">
        <f>SUM(H172*12)</f>
        <v>1924</v>
      </c>
      <c r="J172" s="6"/>
    </row>
    <row r="173" spans="1:10" ht="12.75" x14ac:dyDescent="0.2">
      <c r="A173" s="37"/>
      <c r="B173" s="5"/>
      <c r="C173" s="5"/>
      <c r="D173" s="5"/>
      <c r="E173" s="5"/>
      <c r="F173" s="18"/>
      <c r="G173" s="5"/>
      <c r="H173" s="23"/>
      <c r="I173" s="5"/>
      <c r="J173" s="6"/>
    </row>
    <row r="174" spans="1:10" ht="12.75" x14ac:dyDescent="0.2">
      <c r="A174" s="37"/>
      <c r="B174" s="5"/>
      <c r="C174" s="5"/>
      <c r="D174" s="5"/>
      <c r="E174" s="5"/>
      <c r="F174" s="18"/>
      <c r="G174" s="5"/>
      <c r="H174" s="23"/>
      <c r="I174" s="5"/>
      <c r="J174" s="6"/>
    </row>
    <row r="175" spans="1:10" ht="12.75" x14ac:dyDescent="0.2">
      <c r="A175" s="37"/>
      <c r="B175" s="5"/>
      <c r="C175" s="5"/>
      <c r="D175" s="5"/>
      <c r="E175" s="5"/>
      <c r="F175" s="18"/>
      <c r="G175" s="5"/>
      <c r="H175" s="23"/>
      <c r="I175" s="5"/>
      <c r="J175" s="6"/>
    </row>
    <row r="176" spans="1:10" ht="12.75" x14ac:dyDescent="0.2">
      <c r="A176" s="37"/>
      <c r="B176" s="5"/>
      <c r="C176" s="5"/>
      <c r="D176" s="5"/>
      <c r="E176" s="5"/>
      <c r="F176" s="18"/>
      <c r="G176" s="5"/>
      <c r="H176" s="23"/>
      <c r="I176" s="5"/>
      <c r="J176" s="6"/>
    </row>
    <row r="177" spans="1:10" ht="12.75" x14ac:dyDescent="0.2">
      <c r="A177" s="37"/>
      <c r="B177" s="5"/>
      <c r="C177" s="5"/>
      <c r="D177" s="5"/>
      <c r="E177" s="5"/>
      <c r="F177" s="18"/>
      <c r="G177" s="5"/>
      <c r="H177" s="23"/>
      <c r="I177" s="5"/>
      <c r="J177" s="6"/>
    </row>
    <row r="178" spans="1:10" ht="12.75" x14ac:dyDescent="0.2">
      <c r="A178" s="37"/>
      <c r="B178" s="5"/>
      <c r="C178" s="5"/>
      <c r="D178" s="5"/>
      <c r="E178" s="5"/>
      <c r="F178" s="18"/>
      <c r="G178" s="5"/>
      <c r="H178" s="23"/>
      <c r="I178" s="5"/>
      <c r="J178" s="6"/>
    </row>
    <row r="179" spans="1:10" ht="12.75" x14ac:dyDescent="0.2">
      <c r="A179" s="37"/>
      <c r="B179" s="5"/>
      <c r="C179" s="5"/>
      <c r="D179" s="5"/>
      <c r="E179" s="5"/>
      <c r="F179" s="18"/>
      <c r="G179" s="5"/>
      <c r="H179" s="23"/>
      <c r="I179" s="5"/>
      <c r="J179" s="6"/>
    </row>
    <row r="180" spans="1:10" x14ac:dyDescent="0.2">
      <c r="A180" s="5"/>
      <c r="B180" s="5"/>
      <c r="C180" s="5"/>
      <c r="D180" s="5"/>
      <c r="E180" s="5"/>
      <c r="F180" s="5"/>
      <c r="G180" s="5"/>
      <c r="H180" s="23"/>
      <c r="I180" s="5"/>
      <c r="J180" s="6"/>
    </row>
    <row r="181" spans="1:10" ht="12.75" x14ac:dyDescent="0.2">
      <c r="A181" s="1" t="s">
        <v>997</v>
      </c>
      <c r="B181" s="5"/>
      <c r="C181" s="5"/>
      <c r="D181" s="5"/>
      <c r="E181" s="5"/>
      <c r="F181" s="5"/>
    </row>
    <row r="182" spans="1:10" ht="12.75" x14ac:dyDescent="0.2">
      <c r="A182" s="4653" t="s">
        <v>825</v>
      </c>
      <c r="B182" s="4654" t="s">
        <v>17</v>
      </c>
      <c r="C182" s="4655" t="s">
        <v>18</v>
      </c>
      <c r="D182" s="4655" t="s">
        <v>19</v>
      </c>
      <c r="E182" s="4655" t="s">
        <v>20</v>
      </c>
      <c r="F182" s="4655" t="s">
        <v>21</v>
      </c>
      <c r="G182" s="4655" t="s">
        <v>22</v>
      </c>
      <c r="H182" s="4656" t="s">
        <v>23</v>
      </c>
      <c r="I182" s="4657" t="s">
        <v>234</v>
      </c>
      <c r="J182" s="4658" t="s">
        <v>126</v>
      </c>
    </row>
    <row r="183" spans="1:10" ht="12.75" x14ac:dyDescent="0.2">
      <c r="A183" s="4659" t="s">
        <v>790</v>
      </c>
      <c r="B183" s="4660" t="s">
        <v>907</v>
      </c>
      <c r="C183" s="4660" t="s">
        <v>907</v>
      </c>
      <c r="D183" s="4660" t="s">
        <v>907</v>
      </c>
      <c r="E183" s="4660" t="s">
        <v>907</v>
      </c>
      <c r="F183" s="4906" t="s">
        <v>10</v>
      </c>
      <c r="G183" s="4649"/>
      <c r="H183" s="4649"/>
      <c r="I183" s="4660"/>
      <c r="J183" s="4662" t="s">
        <v>0</v>
      </c>
    </row>
    <row r="184" spans="1:10" ht="12.75" x14ac:dyDescent="0.2">
      <c r="A184" s="4735"/>
      <c r="B184" s="4713">
        <v>8</v>
      </c>
      <c r="C184" s="4713">
        <v>8</v>
      </c>
      <c r="D184" s="4713">
        <v>8</v>
      </c>
      <c r="E184" s="4713">
        <v>8</v>
      </c>
      <c r="F184" s="4907">
        <v>7</v>
      </c>
      <c r="G184" s="4737"/>
      <c r="H184" s="4737"/>
      <c r="I184" s="4713">
        <f>SUM(B184:H184)</f>
        <v>39</v>
      </c>
      <c r="J184" s="4877"/>
    </row>
    <row r="185" spans="1:10" ht="12.75" x14ac:dyDescent="0.2">
      <c r="A185" s="4836"/>
      <c r="B185" s="4888" t="s">
        <v>998</v>
      </c>
      <c r="C185" s="4888" t="s">
        <v>998</v>
      </c>
      <c r="D185" s="4888" t="s">
        <v>998</v>
      </c>
      <c r="E185" s="4888" t="s">
        <v>998</v>
      </c>
      <c r="F185" s="4908" t="s">
        <v>999</v>
      </c>
      <c r="G185" s="4838"/>
      <c r="H185" s="4838"/>
      <c r="I185" s="4716"/>
      <c r="J185" s="4839"/>
    </row>
    <row r="186" spans="1:10" x14ac:dyDescent="0.2">
      <c r="A186" s="4659" t="s">
        <v>794</v>
      </c>
      <c r="B186" s="4660" t="s">
        <v>910</v>
      </c>
      <c r="C186" s="4660" t="s">
        <v>910</v>
      </c>
      <c r="D186" s="4660" t="s">
        <v>910</v>
      </c>
      <c r="E186" s="4660" t="s">
        <v>910</v>
      </c>
      <c r="F186" s="4697" t="s">
        <v>911</v>
      </c>
      <c r="G186" s="4649"/>
      <c r="H186" s="4649"/>
      <c r="I186" s="4660"/>
      <c r="J186" s="4662"/>
    </row>
    <row r="187" spans="1:10" ht="12.75" x14ac:dyDescent="0.2">
      <c r="A187" s="4735"/>
      <c r="B187" s="4713">
        <v>6.5</v>
      </c>
      <c r="C187" s="4713">
        <v>6.5</v>
      </c>
      <c r="D187" s="4713">
        <v>6.5</v>
      </c>
      <c r="E187" s="4713">
        <v>6.5</v>
      </c>
      <c r="F187" s="4909">
        <v>6.25</v>
      </c>
      <c r="G187" s="4737"/>
      <c r="H187" s="4737"/>
      <c r="I187" s="4713">
        <f>SUM(B187:H187)</f>
        <v>32.25</v>
      </c>
      <c r="J187" s="4877"/>
    </row>
    <row r="188" spans="1:10" ht="12.75" x14ac:dyDescent="0.2">
      <c r="A188" s="4841"/>
      <c r="B188" s="4873" t="s">
        <v>1000</v>
      </c>
      <c r="C188" s="4873" t="s">
        <v>1000</v>
      </c>
      <c r="D188" s="4873" t="s">
        <v>1000</v>
      </c>
      <c r="E188" s="4873" t="s">
        <v>1000</v>
      </c>
      <c r="F188" s="4910" t="s">
        <v>1001</v>
      </c>
      <c r="G188" s="4874"/>
      <c r="H188" s="4874"/>
      <c r="I188" s="4664"/>
      <c r="J188" s="4723"/>
    </row>
    <row r="189" spans="1:10" x14ac:dyDescent="0.2">
      <c r="A189" s="24" t="s">
        <v>749</v>
      </c>
      <c r="B189" s="24">
        <f t="shared" ref="B189:I189" si="3">SUM(B184,B187)</f>
        <v>14.5</v>
      </c>
      <c r="C189" s="24">
        <f t="shared" si="3"/>
        <v>14.5</v>
      </c>
      <c r="D189" s="24">
        <f t="shared" si="3"/>
        <v>14.5</v>
      </c>
      <c r="E189" s="24">
        <f t="shared" si="3"/>
        <v>14.5</v>
      </c>
      <c r="F189" s="24">
        <f t="shared" si="3"/>
        <v>13.25</v>
      </c>
      <c r="G189" s="24">
        <f t="shared" si="3"/>
        <v>0</v>
      </c>
      <c r="H189" s="24">
        <f t="shared" si="3"/>
        <v>0</v>
      </c>
      <c r="I189" s="24">
        <f t="shared" si="3"/>
        <v>71.25</v>
      </c>
      <c r="J189" s="26"/>
    </row>
    <row r="190" spans="1:10" ht="12.75" x14ac:dyDescent="0.2">
      <c r="A190" s="5"/>
      <c r="B190" s="5"/>
      <c r="C190" s="5"/>
      <c r="D190" s="5"/>
      <c r="E190" s="5"/>
      <c r="F190" s="5"/>
      <c r="G190" s="4739" t="s">
        <v>851</v>
      </c>
      <c r="H190" s="4739" t="s">
        <v>852</v>
      </c>
      <c r="I190" s="4739" t="s">
        <v>853</v>
      </c>
    </row>
    <row r="191" spans="1:10" x14ac:dyDescent="0.2">
      <c r="A191" s="5"/>
      <c r="B191" s="5"/>
      <c r="C191" s="5"/>
      <c r="D191" s="5"/>
      <c r="E191" s="5"/>
      <c r="F191" s="5"/>
      <c r="G191" s="4713">
        <f>I189</f>
        <v>71.25</v>
      </c>
      <c r="H191" s="4740">
        <f>SUM(G191*13/3)</f>
        <v>308.75</v>
      </c>
      <c r="I191" s="4713">
        <f>SUM(H191*12)</f>
        <v>3705</v>
      </c>
    </row>
    <row r="192" spans="1:10" x14ac:dyDescent="0.2">
      <c r="A192" s="5"/>
      <c r="B192" s="5"/>
      <c r="C192" s="5"/>
      <c r="D192" s="5"/>
      <c r="E192" s="5"/>
      <c r="F192" s="5"/>
      <c r="G192" s="5"/>
      <c r="H192" s="23"/>
      <c r="I192" s="5"/>
    </row>
    <row r="193" spans="1:10" ht="12.75" x14ac:dyDescent="0.2">
      <c r="A193" s="1" t="s">
        <v>806</v>
      </c>
      <c r="B193" s="5"/>
      <c r="C193" s="5"/>
      <c r="D193" s="5"/>
      <c r="E193" s="5"/>
      <c r="F193" s="5"/>
    </row>
    <row r="194" spans="1:10" ht="12.75" x14ac:dyDescent="0.2">
      <c r="A194" s="4653" t="s">
        <v>807</v>
      </c>
      <c r="B194" s="4654" t="s">
        <v>17</v>
      </c>
      <c r="C194" s="4655" t="s">
        <v>18</v>
      </c>
      <c r="D194" s="4655" t="s">
        <v>19</v>
      </c>
      <c r="E194" s="4655" t="s">
        <v>20</v>
      </c>
      <c r="F194" s="4655" t="s">
        <v>21</v>
      </c>
      <c r="G194" s="4655" t="s">
        <v>22</v>
      </c>
      <c r="H194" s="4656" t="s">
        <v>23</v>
      </c>
      <c r="I194" s="4657" t="s">
        <v>234</v>
      </c>
      <c r="J194" s="4658" t="s">
        <v>126</v>
      </c>
    </row>
    <row r="195" spans="1:10" x14ac:dyDescent="0.2">
      <c r="A195" s="4659" t="s">
        <v>808</v>
      </c>
      <c r="B195" s="4660" t="s">
        <v>792</v>
      </c>
      <c r="C195" s="4660" t="s">
        <v>792</v>
      </c>
      <c r="D195" s="4660" t="s">
        <v>792</v>
      </c>
      <c r="E195" s="4660" t="s">
        <v>792</v>
      </c>
      <c r="F195" s="4660" t="s">
        <v>780</v>
      </c>
      <c r="G195" s="4649"/>
      <c r="H195" s="4649"/>
      <c r="I195" s="4660"/>
      <c r="J195" s="4662"/>
    </row>
    <row r="196" spans="1:10" ht="12.75" x14ac:dyDescent="0.2">
      <c r="A196" s="4735"/>
      <c r="B196" s="4713">
        <v>7.5</v>
      </c>
      <c r="C196" s="4713">
        <v>7.5</v>
      </c>
      <c r="D196" s="4713">
        <v>7.5</v>
      </c>
      <c r="E196" s="4713">
        <v>7.5</v>
      </c>
      <c r="F196" s="4736">
        <v>7</v>
      </c>
      <c r="G196" s="4737"/>
      <c r="H196" s="4737"/>
      <c r="I196" s="4713">
        <f>SUM(B196:H196)</f>
        <v>37</v>
      </c>
      <c r="J196" s="4877"/>
    </row>
    <row r="197" spans="1:10" ht="12.75" x14ac:dyDescent="0.2">
      <c r="A197" s="4836"/>
      <c r="B197" s="4888" t="s">
        <v>1002</v>
      </c>
      <c r="C197" s="4888" t="s">
        <v>1002</v>
      </c>
      <c r="D197" s="4888" t="s">
        <v>1002</v>
      </c>
      <c r="E197" s="4888" t="s">
        <v>1002</v>
      </c>
      <c r="F197" s="4888" t="s">
        <v>1003</v>
      </c>
      <c r="G197" s="4838"/>
      <c r="H197" s="4838"/>
      <c r="I197" s="4716"/>
      <c r="J197" s="4839"/>
    </row>
    <row r="198" spans="1:10" x14ac:dyDescent="0.2">
      <c r="A198" s="4659" t="s">
        <v>809</v>
      </c>
      <c r="B198" s="4660" t="s">
        <v>919</v>
      </c>
      <c r="C198" s="4660" t="s">
        <v>919</v>
      </c>
      <c r="D198" s="4660" t="s">
        <v>919</v>
      </c>
      <c r="E198" s="4660" t="s">
        <v>919</v>
      </c>
      <c r="F198" s="4660" t="s">
        <v>920</v>
      </c>
      <c r="G198" s="4649"/>
      <c r="H198" s="4649"/>
      <c r="I198" s="4660"/>
      <c r="J198" s="4662"/>
    </row>
    <row r="199" spans="1:10" ht="12.75" x14ac:dyDescent="0.2">
      <c r="A199" s="4735"/>
      <c r="B199" s="4713">
        <v>7</v>
      </c>
      <c r="C199" s="4713">
        <v>7</v>
      </c>
      <c r="D199" s="4713">
        <v>7</v>
      </c>
      <c r="E199" s="4713">
        <v>7</v>
      </c>
      <c r="F199" s="4736">
        <v>6</v>
      </c>
      <c r="G199" s="4737"/>
      <c r="H199" s="4737"/>
      <c r="I199" s="4713">
        <f>SUM(B199:H199)</f>
        <v>34</v>
      </c>
      <c r="J199" s="4877"/>
    </row>
    <row r="200" spans="1:10" ht="12.75" x14ac:dyDescent="0.2">
      <c r="A200" s="4836"/>
      <c r="B200" s="4888" t="s">
        <v>1004</v>
      </c>
      <c r="C200" s="4888" t="s">
        <v>1004</v>
      </c>
      <c r="D200" s="4888" t="s">
        <v>1004</v>
      </c>
      <c r="E200" s="4888" t="s">
        <v>1004</v>
      </c>
      <c r="F200" s="4888" t="s">
        <v>1005</v>
      </c>
      <c r="G200" s="4838"/>
      <c r="H200" s="4838"/>
      <c r="I200" s="4716"/>
      <c r="J200" s="4839"/>
    </row>
    <row r="201" spans="1:10" x14ac:dyDescent="0.2">
      <c r="A201" s="4659" t="s">
        <v>811</v>
      </c>
      <c r="B201" s="4660" t="s">
        <v>812</v>
      </c>
      <c r="C201" s="4660" t="s">
        <v>812</v>
      </c>
      <c r="D201" s="4660" t="s">
        <v>812</v>
      </c>
      <c r="E201" s="4660" t="s">
        <v>812</v>
      </c>
      <c r="F201" s="4660" t="s">
        <v>813</v>
      </c>
      <c r="G201" s="4660"/>
      <c r="H201" s="4660"/>
      <c r="I201" s="4660"/>
      <c r="J201" s="4662"/>
    </row>
    <row r="202" spans="1:10" x14ac:dyDescent="0.2">
      <c r="A202" s="4876"/>
      <c r="B202" s="4713" t="s">
        <v>922</v>
      </c>
      <c r="C202" s="4713" t="s">
        <v>922</v>
      </c>
      <c r="D202" s="4713" t="s">
        <v>922</v>
      </c>
      <c r="E202" s="4713" t="s">
        <v>922</v>
      </c>
      <c r="F202" s="4713" t="s">
        <v>922</v>
      </c>
      <c r="G202" s="4736"/>
      <c r="H202" s="4736"/>
      <c r="I202" s="4713">
        <f>SUM(B202:H202)</f>
        <v>0</v>
      </c>
      <c r="J202" s="4877"/>
    </row>
    <row r="203" spans="1:10" ht="12.75" x14ac:dyDescent="0.2">
      <c r="A203" s="4663"/>
      <c r="B203" s="4873" t="s">
        <v>1006</v>
      </c>
      <c r="C203" s="4873" t="s">
        <v>1006</v>
      </c>
      <c r="D203" s="4873" t="s">
        <v>1006</v>
      </c>
      <c r="E203" s="4873" t="s">
        <v>1006</v>
      </c>
      <c r="F203" s="4873" t="s">
        <v>1007</v>
      </c>
      <c r="G203" s="4721"/>
      <c r="H203" s="4721"/>
      <c r="I203" s="4664"/>
      <c r="J203" s="4723"/>
    </row>
    <row r="204" spans="1:10" x14ac:dyDescent="0.2">
      <c r="A204" s="24" t="s">
        <v>749</v>
      </c>
      <c r="B204" s="24">
        <f t="shared" ref="B204:I204" si="4">SUM(B196,B199,B202)</f>
        <v>14.5</v>
      </c>
      <c r="C204" s="24">
        <f t="shared" si="4"/>
        <v>14.5</v>
      </c>
      <c r="D204" s="24">
        <f t="shared" si="4"/>
        <v>14.5</v>
      </c>
      <c r="E204" s="24">
        <f t="shared" si="4"/>
        <v>14.5</v>
      </c>
      <c r="F204" s="24">
        <f t="shared" si="4"/>
        <v>13</v>
      </c>
      <c r="G204" s="24">
        <f t="shared" si="4"/>
        <v>0</v>
      </c>
      <c r="H204" s="24">
        <f t="shared" si="4"/>
        <v>0</v>
      </c>
      <c r="I204" s="41">
        <f t="shared" si="4"/>
        <v>71</v>
      </c>
      <c r="J204" s="28"/>
    </row>
    <row r="205" spans="1:10" ht="12.75" x14ac:dyDescent="0.2">
      <c r="A205" s="5"/>
      <c r="B205" s="5"/>
      <c r="C205" s="5"/>
      <c r="D205" s="5"/>
      <c r="E205" s="5"/>
      <c r="F205" s="18"/>
      <c r="G205" s="4739" t="s">
        <v>851</v>
      </c>
      <c r="H205" s="4739" t="s">
        <v>852</v>
      </c>
      <c r="I205" s="4739" t="s">
        <v>853</v>
      </c>
      <c r="J205" s="6"/>
    </row>
    <row r="206" spans="1:10" x14ac:dyDescent="0.2">
      <c r="A206" s="5"/>
      <c r="B206" s="5"/>
      <c r="C206" s="5"/>
      <c r="D206" s="5"/>
      <c r="E206" s="5"/>
      <c r="F206" s="5"/>
      <c r="G206" s="4713">
        <f>I204</f>
        <v>71</v>
      </c>
      <c r="H206" s="4740">
        <f>SUM(G206*13/3)</f>
        <v>307.66666666666669</v>
      </c>
      <c r="I206" s="4713">
        <f>SUM(H206*12)</f>
        <v>3692</v>
      </c>
      <c r="J206" s="6"/>
    </row>
    <row r="207" spans="1:10" x14ac:dyDescent="0.2">
      <c r="A207" s="5"/>
      <c r="B207" s="5"/>
      <c r="C207" s="5"/>
      <c r="D207" s="5"/>
      <c r="E207" s="5"/>
      <c r="F207" s="5"/>
      <c r="G207" s="5"/>
      <c r="H207" s="23"/>
      <c r="I207" s="5"/>
      <c r="J207" s="6"/>
    </row>
    <row r="208" spans="1:10" x14ac:dyDescent="0.2">
      <c r="A208" s="5"/>
      <c r="B208" s="5"/>
      <c r="C208" s="5"/>
      <c r="D208" s="5"/>
      <c r="E208" s="5"/>
      <c r="F208" s="5"/>
      <c r="G208" s="5"/>
      <c r="H208" s="23"/>
      <c r="I208" s="5"/>
      <c r="J208" s="6"/>
    </row>
    <row r="209" spans="1:10" x14ac:dyDescent="0.2">
      <c r="A209" s="5"/>
      <c r="B209" s="5"/>
      <c r="C209" s="5"/>
      <c r="D209" s="5"/>
      <c r="E209" s="5"/>
      <c r="F209" s="5"/>
      <c r="G209" s="5"/>
      <c r="H209" s="23"/>
      <c r="I209" s="5"/>
      <c r="J209" s="6"/>
    </row>
    <row r="210" spans="1:10" x14ac:dyDescent="0.2">
      <c r="A210" s="5"/>
      <c r="B210" s="5"/>
      <c r="C210" s="5"/>
      <c r="D210" s="5"/>
      <c r="E210" s="5"/>
      <c r="F210" s="5"/>
      <c r="G210" s="5"/>
      <c r="H210" s="23"/>
      <c r="I210" s="5"/>
      <c r="J210" s="6"/>
    </row>
    <row r="211" spans="1:10" x14ac:dyDescent="0.2">
      <c r="A211" s="5"/>
      <c r="B211" s="5"/>
      <c r="C211" s="5"/>
      <c r="D211" s="5"/>
      <c r="E211" s="5"/>
      <c r="F211" s="5"/>
      <c r="G211" s="5"/>
      <c r="H211" s="23"/>
      <c r="I211" s="5"/>
      <c r="J211" s="6"/>
    </row>
    <row r="212" spans="1:10" x14ac:dyDescent="0.2">
      <c r="A212" s="5"/>
      <c r="B212" s="5"/>
      <c r="C212" s="5"/>
      <c r="D212" s="5"/>
      <c r="E212" s="5"/>
      <c r="F212" s="5"/>
      <c r="G212" s="5"/>
      <c r="H212" s="23"/>
      <c r="I212" s="5"/>
      <c r="J212" s="6"/>
    </row>
    <row r="213" spans="1:10" x14ac:dyDescent="0.2">
      <c r="A213" s="5"/>
      <c r="B213" s="5"/>
      <c r="C213" s="5"/>
      <c r="D213" s="5"/>
      <c r="E213" s="5"/>
      <c r="F213" s="5"/>
      <c r="G213" s="5"/>
      <c r="H213" s="23"/>
      <c r="I213" s="5"/>
      <c r="J213" s="6"/>
    </row>
    <row r="214" spans="1:10" x14ac:dyDescent="0.2">
      <c r="A214" s="5"/>
      <c r="B214" s="5"/>
      <c r="C214" s="5"/>
      <c r="D214" s="5"/>
      <c r="E214" s="5"/>
      <c r="F214" s="5"/>
      <c r="G214" s="5"/>
      <c r="H214" s="23"/>
      <c r="I214" s="5"/>
      <c r="J214" s="6"/>
    </row>
    <row r="215" spans="1:10" x14ac:dyDescent="0.2">
      <c r="A215" s="5"/>
      <c r="B215" s="5"/>
      <c r="C215" s="5"/>
      <c r="D215" s="5"/>
      <c r="E215" s="5"/>
      <c r="F215" s="5"/>
      <c r="G215" s="5"/>
      <c r="H215" s="23"/>
      <c r="I215" s="5"/>
      <c r="J215" s="6"/>
    </row>
    <row r="216" spans="1:10" x14ac:dyDescent="0.2">
      <c r="A216" s="5"/>
      <c r="B216" s="5"/>
      <c r="C216" s="5"/>
      <c r="D216" s="5"/>
      <c r="E216" s="5"/>
      <c r="F216" s="5"/>
      <c r="G216" s="5"/>
      <c r="H216" s="23"/>
      <c r="I216" s="5"/>
      <c r="J216" s="6"/>
    </row>
    <row r="217" spans="1:10" x14ac:dyDescent="0.2">
      <c r="A217" s="5"/>
      <c r="B217" s="5"/>
      <c r="C217" s="5"/>
      <c r="D217" s="5"/>
      <c r="E217" s="5"/>
      <c r="F217" s="5"/>
      <c r="G217" s="5"/>
      <c r="H217" s="23"/>
      <c r="I217" s="5"/>
      <c r="J217" s="6"/>
    </row>
    <row r="218" spans="1:10" ht="12.75" x14ac:dyDescent="0.2">
      <c r="A218" s="42" t="s">
        <v>925</v>
      </c>
      <c r="B218" s="5"/>
      <c r="C218" s="5"/>
      <c r="D218" s="5"/>
      <c r="E218" s="5"/>
      <c r="F218" s="18"/>
      <c r="G218" s="18"/>
      <c r="H218" s="18"/>
      <c r="I218" s="5"/>
      <c r="J218" s="6"/>
    </row>
    <row r="219" spans="1:10" ht="12.75" x14ac:dyDescent="0.2">
      <c r="A219" s="4653" t="s">
        <v>828</v>
      </c>
      <c r="B219" s="4654" t="s">
        <v>17</v>
      </c>
      <c r="C219" s="4655" t="s">
        <v>18</v>
      </c>
      <c r="D219" s="4655" t="s">
        <v>19</v>
      </c>
      <c r="E219" s="4655" t="s">
        <v>20</v>
      </c>
      <c r="F219" s="4655" t="s">
        <v>21</v>
      </c>
      <c r="G219" s="4655" t="s">
        <v>22</v>
      </c>
      <c r="H219" s="4656" t="s">
        <v>23</v>
      </c>
      <c r="I219" s="4657" t="s">
        <v>234</v>
      </c>
      <c r="J219" s="4658" t="s">
        <v>126</v>
      </c>
    </row>
    <row r="220" spans="1:10" ht="12.75" x14ac:dyDescent="0.2">
      <c r="A220" s="4659" t="s">
        <v>0</v>
      </c>
      <c r="B220" s="4660" t="s">
        <v>342</v>
      </c>
      <c r="C220" s="4660" t="s">
        <v>342</v>
      </c>
      <c r="D220" s="4660" t="s">
        <v>342</v>
      </c>
      <c r="E220" s="4660" t="s">
        <v>342</v>
      </c>
      <c r="F220" s="4661" t="s">
        <v>343</v>
      </c>
      <c r="G220" s="4648"/>
      <c r="H220" s="4648" t="s">
        <v>0</v>
      </c>
      <c r="I220" s="4669"/>
      <c r="J220" s="4662" t="s">
        <v>0</v>
      </c>
    </row>
    <row r="221" spans="1:10" ht="12.75" x14ac:dyDescent="0.2">
      <c r="A221" s="4911">
        <v>1</v>
      </c>
      <c r="B221" s="4713">
        <v>7.75</v>
      </c>
      <c r="C221" s="4713">
        <v>7.75</v>
      </c>
      <c r="D221" s="4713">
        <v>7.75</v>
      </c>
      <c r="E221" s="4713">
        <v>7.75</v>
      </c>
      <c r="F221" s="4736">
        <v>6</v>
      </c>
      <c r="G221" s="4713"/>
      <c r="H221" s="4713" t="s">
        <v>0</v>
      </c>
      <c r="I221" s="4713">
        <f>SUM(B221:H221)</f>
        <v>37</v>
      </c>
      <c r="J221" s="4877"/>
    </row>
    <row r="222" spans="1:10" ht="12.75" x14ac:dyDescent="0.2">
      <c r="A222" s="4912"/>
      <c r="B222" s="4888" t="s">
        <v>1008</v>
      </c>
      <c r="C222" s="4888" t="s">
        <v>1008</v>
      </c>
      <c r="D222" s="4888" t="s">
        <v>1008</v>
      </c>
      <c r="E222" s="4888" t="s">
        <v>1008</v>
      </c>
      <c r="F222" s="4888" t="s">
        <v>1009</v>
      </c>
      <c r="G222" s="4888"/>
      <c r="H222" s="4888" t="s">
        <v>0</v>
      </c>
      <c r="I222" s="4716"/>
      <c r="J222" s="4839"/>
    </row>
    <row r="223" spans="1:10" x14ac:dyDescent="0.2">
      <c r="A223" s="4659" t="s">
        <v>0</v>
      </c>
      <c r="B223" s="4660" t="s">
        <v>342</v>
      </c>
      <c r="C223" s="4660" t="s">
        <v>342</v>
      </c>
      <c r="D223" s="4660" t="s">
        <v>342</v>
      </c>
      <c r="E223" s="4660" t="s">
        <v>342</v>
      </c>
      <c r="F223" s="4661" t="s">
        <v>343</v>
      </c>
      <c r="G223" s="4660"/>
      <c r="H223" s="4661"/>
      <c r="I223" s="4669"/>
      <c r="J223" s="4662"/>
    </row>
    <row r="224" spans="1:10" ht="12.75" x14ac:dyDescent="0.2">
      <c r="A224" s="4911">
        <v>2</v>
      </c>
      <c r="B224" s="4713">
        <v>7.75</v>
      </c>
      <c r="C224" s="4713">
        <v>7.75</v>
      </c>
      <c r="D224" s="4713">
        <v>7.75</v>
      </c>
      <c r="E224" s="4713">
        <v>7.75</v>
      </c>
      <c r="F224" s="4736">
        <v>6</v>
      </c>
      <c r="G224" s="4736"/>
      <c r="H224" s="4736"/>
      <c r="I224" s="4713">
        <f>SUM(B224:H224)</f>
        <v>37</v>
      </c>
      <c r="J224" s="4877"/>
    </row>
    <row r="225" spans="1:10" ht="12.75" x14ac:dyDescent="0.2">
      <c r="A225" s="4912"/>
      <c r="B225" s="4888" t="s">
        <v>1008</v>
      </c>
      <c r="C225" s="4888" t="s">
        <v>1008</v>
      </c>
      <c r="D225" s="4888" t="s">
        <v>1008</v>
      </c>
      <c r="E225" s="4888" t="s">
        <v>1008</v>
      </c>
      <c r="F225" s="4888" t="s">
        <v>1009</v>
      </c>
      <c r="G225" s="4838"/>
      <c r="H225" s="4837"/>
      <c r="I225" s="4716"/>
      <c r="J225" s="4839"/>
    </row>
    <row r="226" spans="1:10" x14ac:dyDescent="0.2">
      <c r="A226" s="4659"/>
      <c r="B226" s="4660" t="s">
        <v>342</v>
      </c>
      <c r="C226" s="4660" t="s">
        <v>342</v>
      </c>
      <c r="D226" s="4660" t="s">
        <v>342</v>
      </c>
      <c r="E226" s="4660" t="s">
        <v>342</v>
      </c>
      <c r="F226" s="4661" t="s">
        <v>343</v>
      </c>
      <c r="G226" s="4660"/>
      <c r="H226" s="4661"/>
      <c r="I226" s="4669"/>
      <c r="J226" s="4662"/>
    </row>
    <row r="227" spans="1:10" ht="12.75" x14ac:dyDescent="0.2">
      <c r="A227" s="4911">
        <v>3</v>
      </c>
      <c r="B227" s="4713">
        <v>7.75</v>
      </c>
      <c r="C227" s="4713">
        <v>7.75</v>
      </c>
      <c r="D227" s="4713">
        <v>7.75</v>
      </c>
      <c r="E227" s="4713">
        <v>7.75</v>
      </c>
      <c r="F227" s="4736">
        <v>6</v>
      </c>
      <c r="G227" s="4713"/>
      <c r="H227" s="4736"/>
      <c r="I227" s="4713">
        <f>SUM(B227:H227)</f>
        <v>37</v>
      </c>
      <c r="J227" s="4877"/>
    </row>
    <row r="228" spans="1:10" ht="12.75" x14ac:dyDescent="0.2">
      <c r="A228" s="4912"/>
      <c r="B228" s="4888" t="s">
        <v>1008</v>
      </c>
      <c r="C228" s="4888" t="s">
        <v>1008</v>
      </c>
      <c r="D228" s="4888" t="s">
        <v>1008</v>
      </c>
      <c r="E228" s="4888" t="s">
        <v>1008</v>
      </c>
      <c r="F228" s="4888" t="s">
        <v>1009</v>
      </c>
      <c r="G228" s="4716"/>
      <c r="H228" s="4837"/>
      <c r="I228" s="4716"/>
      <c r="J228" s="4839"/>
    </row>
    <row r="229" spans="1:10" x14ac:dyDescent="0.2">
      <c r="A229" s="4889"/>
      <c r="B229" s="4660" t="s">
        <v>342</v>
      </c>
      <c r="C229" s="4660" t="s">
        <v>342</v>
      </c>
      <c r="D229" s="4660" t="s">
        <v>342</v>
      </c>
      <c r="E229" s="4660" t="s">
        <v>342</v>
      </c>
      <c r="F229" s="4661" t="s">
        <v>343</v>
      </c>
      <c r="G229" s="4661"/>
      <c r="H229" s="4661"/>
      <c r="I229" s="4669"/>
      <c r="J229" s="4662"/>
    </row>
    <row r="230" spans="1:10" ht="12.75" x14ac:dyDescent="0.2">
      <c r="A230" s="4911">
        <v>4</v>
      </c>
      <c r="B230" s="4713">
        <v>7.75</v>
      </c>
      <c r="C230" s="4713">
        <v>7.75</v>
      </c>
      <c r="D230" s="4713">
        <v>7.75</v>
      </c>
      <c r="E230" s="4713">
        <v>7.75</v>
      </c>
      <c r="F230" s="4736">
        <v>6</v>
      </c>
      <c r="G230" s="4736"/>
      <c r="H230" s="4736"/>
      <c r="I230" s="4713">
        <f>SUM(B230:H230)</f>
        <v>37</v>
      </c>
      <c r="J230" s="4877"/>
    </row>
    <row r="231" spans="1:10" ht="12.75" x14ac:dyDescent="0.2">
      <c r="A231" s="4912"/>
      <c r="B231" s="4888" t="s">
        <v>1008</v>
      </c>
      <c r="C231" s="4888" t="s">
        <v>1008</v>
      </c>
      <c r="D231" s="4888" t="s">
        <v>1008</v>
      </c>
      <c r="E231" s="4888" t="s">
        <v>1008</v>
      </c>
      <c r="F231" s="4888" t="s">
        <v>1009</v>
      </c>
      <c r="G231" s="4837"/>
      <c r="H231" s="4837"/>
      <c r="I231" s="4716"/>
      <c r="J231" s="4839"/>
    </row>
    <row r="232" spans="1:10" x14ac:dyDescent="0.2">
      <c r="A232" s="4659"/>
      <c r="B232" s="4660" t="s">
        <v>342</v>
      </c>
      <c r="C232" s="4660" t="s">
        <v>342</v>
      </c>
      <c r="D232" s="4660" t="s">
        <v>342</v>
      </c>
      <c r="E232" s="4660" t="s">
        <v>342</v>
      </c>
      <c r="F232" s="4661" t="s">
        <v>343</v>
      </c>
      <c r="G232" s="4661"/>
      <c r="H232" s="4661"/>
      <c r="I232" s="4669"/>
      <c r="J232" s="4662"/>
    </row>
    <row r="233" spans="1:10" ht="12.75" x14ac:dyDescent="0.2">
      <c r="A233" s="4911">
        <v>5</v>
      </c>
      <c r="B233" s="4713">
        <v>7.75</v>
      </c>
      <c r="C233" s="4713">
        <v>7.75</v>
      </c>
      <c r="D233" s="4713">
        <v>7.75</v>
      </c>
      <c r="E233" s="4713">
        <v>7.75</v>
      </c>
      <c r="F233" s="4736">
        <v>6</v>
      </c>
      <c r="G233" s="4736"/>
      <c r="H233" s="4736"/>
      <c r="I233" s="4713">
        <f>SUM(B233:H233)</f>
        <v>37</v>
      </c>
      <c r="J233" s="4877"/>
    </row>
    <row r="234" spans="1:10" ht="12.75" x14ac:dyDescent="0.2">
      <c r="A234" s="4843"/>
      <c r="B234" s="4873" t="s">
        <v>1008</v>
      </c>
      <c r="C234" s="4873" t="s">
        <v>1008</v>
      </c>
      <c r="D234" s="4873" t="s">
        <v>1008</v>
      </c>
      <c r="E234" s="4873" t="s">
        <v>1008</v>
      </c>
      <c r="F234" s="4873" t="s">
        <v>1009</v>
      </c>
      <c r="G234" s="4721"/>
      <c r="H234" s="4721"/>
      <c r="I234" s="4664"/>
      <c r="J234" s="4723"/>
    </row>
    <row r="235" spans="1:10" x14ac:dyDescent="0.2">
      <c r="A235" s="4659"/>
      <c r="B235" s="4660" t="s">
        <v>342</v>
      </c>
      <c r="C235" s="4660" t="s">
        <v>342</v>
      </c>
      <c r="D235" s="4660" t="s">
        <v>342</v>
      </c>
      <c r="E235" s="4660" t="s">
        <v>342</v>
      </c>
      <c r="F235" s="4661" t="s">
        <v>343</v>
      </c>
      <c r="G235" s="4661"/>
      <c r="H235" s="4661"/>
      <c r="I235" s="4669"/>
      <c r="J235" s="4662"/>
    </row>
    <row r="236" spans="1:10" ht="12.75" x14ac:dyDescent="0.2">
      <c r="A236" s="4911">
        <v>6</v>
      </c>
      <c r="B236" s="4713">
        <v>7.75</v>
      </c>
      <c r="C236" s="4713">
        <v>7.75</v>
      </c>
      <c r="D236" s="4713">
        <v>7.75</v>
      </c>
      <c r="E236" s="4713">
        <v>7.75</v>
      </c>
      <c r="F236" s="4736">
        <v>6</v>
      </c>
      <c r="G236" s="4736"/>
      <c r="H236" s="4736"/>
      <c r="I236" s="4713">
        <f>SUM(B236:H236)</f>
        <v>37</v>
      </c>
      <c r="J236" s="4877"/>
    </row>
    <row r="237" spans="1:10" ht="12.75" x14ac:dyDescent="0.2">
      <c r="A237" s="4843"/>
      <c r="B237" s="4873" t="s">
        <v>1008</v>
      </c>
      <c r="C237" s="4873" t="s">
        <v>1008</v>
      </c>
      <c r="D237" s="4873" t="s">
        <v>1008</v>
      </c>
      <c r="E237" s="4873" t="s">
        <v>1008</v>
      </c>
      <c r="F237" s="4873" t="s">
        <v>1009</v>
      </c>
      <c r="G237" s="4721"/>
      <c r="H237" s="4721"/>
      <c r="I237" s="4664"/>
      <c r="J237" s="4723"/>
    </row>
    <row r="238" spans="1:10" x14ac:dyDescent="0.2">
      <c r="A238" s="24" t="s">
        <v>749</v>
      </c>
      <c r="B238" s="24">
        <f t="shared" ref="B238:H238" si="5">SUM(B221,B224,B227,B230,B233,B236)</f>
        <v>46.5</v>
      </c>
      <c r="C238" s="24">
        <f t="shared" si="5"/>
        <v>46.5</v>
      </c>
      <c r="D238" s="24">
        <f t="shared" si="5"/>
        <v>46.5</v>
      </c>
      <c r="E238" s="24">
        <f t="shared" si="5"/>
        <v>46.5</v>
      </c>
      <c r="F238" s="24">
        <f t="shared" si="5"/>
        <v>36</v>
      </c>
      <c r="G238" s="24">
        <f t="shared" si="5"/>
        <v>0</v>
      </c>
      <c r="H238" s="24">
        <f t="shared" si="5"/>
        <v>0</v>
      </c>
      <c r="I238" s="41">
        <f>SUM(I221,I224,I227,I230,I236)</f>
        <v>185</v>
      </c>
      <c r="J238" s="28"/>
    </row>
    <row r="239" spans="1:10" ht="12.75" x14ac:dyDescent="0.2">
      <c r="A239" s="42"/>
      <c r="B239" s="5"/>
      <c r="C239" s="5"/>
      <c r="D239" s="5"/>
      <c r="E239" s="5"/>
      <c r="F239" s="18"/>
      <c r="G239" s="4739" t="s">
        <v>851</v>
      </c>
      <c r="H239" s="4739" t="s">
        <v>852</v>
      </c>
      <c r="I239" s="4739" t="s">
        <v>853</v>
      </c>
      <c r="J239" s="6"/>
    </row>
    <row r="240" spans="1:10" ht="12.75" x14ac:dyDescent="0.2">
      <c r="A240" s="42"/>
      <c r="B240" s="5"/>
      <c r="C240" s="5"/>
      <c r="D240" s="5"/>
      <c r="E240" s="5"/>
      <c r="F240" s="18"/>
      <c r="G240" s="4713">
        <f>I238</f>
        <v>185</v>
      </c>
      <c r="H240" s="4740">
        <f>SUM(G240*13/3)</f>
        <v>801.66666666666663</v>
      </c>
      <c r="I240" s="4713">
        <f>SUM(H240*12)</f>
        <v>9620</v>
      </c>
      <c r="J240" s="6"/>
    </row>
    <row r="241" spans="1:10" ht="12.75" x14ac:dyDescent="0.2">
      <c r="A241" s="42"/>
      <c r="B241" s="5"/>
      <c r="C241" s="5"/>
      <c r="D241" s="5"/>
      <c r="E241" s="5"/>
      <c r="F241" s="18"/>
      <c r="G241" s="5"/>
      <c r="H241" s="23"/>
      <c r="I241" s="5"/>
      <c r="J241" s="6"/>
    </row>
    <row r="242" spans="1:10" x14ac:dyDescent="0.2">
      <c r="A242" t="s">
        <v>1010</v>
      </c>
      <c r="B242" s="5"/>
      <c r="C242" s="5"/>
      <c r="D242" s="5"/>
      <c r="E242" s="5"/>
      <c r="F242" s="18"/>
      <c r="G242" s="18"/>
      <c r="H242" s="18"/>
      <c r="I242" s="5"/>
      <c r="J242" s="6"/>
    </row>
    <row r="243" spans="1:10" ht="12.75" x14ac:dyDescent="0.2">
      <c r="A243" s="4913" t="s">
        <v>1011</v>
      </c>
      <c r="B243" s="4654" t="s">
        <v>17</v>
      </c>
      <c r="C243" s="4655" t="s">
        <v>18</v>
      </c>
      <c r="D243" s="4655" t="s">
        <v>19</v>
      </c>
      <c r="E243" s="4655" t="s">
        <v>20</v>
      </c>
      <c r="F243" s="4655" t="s">
        <v>21</v>
      </c>
      <c r="G243" s="4655" t="s">
        <v>22</v>
      </c>
      <c r="H243" s="4656" t="s">
        <v>23</v>
      </c>
      <c r="I243" s="4657" t="s">
        <v>234</v>
      </c>
      <c r="J243" s="4658" t="s">
        <v>126</v>
      </c>
    </row>
    <row r="244" spans="1:10" x14ac:dyDescent="0.2">
      <c r="A244" s="4914" t="s">
        <v>83</v>
      </c>
      <c r="B244" s="4672" t="s">
        <v>1012</v>
      </c>
      <c r="C244" s="4755" t="s">
        <v>1013</v>
      </c>
      <c r="D244" s="4672" t="s">
        <v>1012</v>
      </c>
      <c r="E244" s="4672" t="s">
        <v>1012</v>
      </c>
      <c r="F244" s="4669" t="s">
        <v>1014</v>
      </c>
      <c r="G244" s="4755"/>
      <c r="H244" s="4672"/>
      <c r="I244" s="4669"/>
      <c r="J244" s="4662" t="s">
        <v>0</v>
      </c>
    </row>
    <row r="245" spans="1:10" x14ac:dyDescent="0.2">
      <c r="A245" s="4915" t="s">
        <v>0</v>
      </c>
      <c r="B245" s="4916" t="s">
        <v>1015</v>
      </c>
      <c r="C245" s="4916" t="s">
        <v>1015</v>
      </c>
      <c r="D245" s="4916" t="s">
        <v>1015</v>
      </c>
      <c r="E245" s="4916" t="s">
        <v>1015</v>
      </c>
      <c r="F245" s="4916" t="s">
        <v>1016</v>
      </c>
      <c r="G245" s="4886"/>
      <c r="H245" s="4728"/>
      <c r="I245" s="4916"/>
      <c r="J245" s="4877"/>
    </row>
    <row r="246" spans="1:10" x14ac:dyDescent="0.2">
      <c r="A246" s="4917"/>
      <c r="B246" s="4918">
        <v>7.5</v>
      </c>
      <c r="C246" s="4918">
        <v>7.5</v>
      </c>
      <c r="D246" s="4918">
        <v>7.5</v>
      </c>
      <c r="E246" s="4918">
        <v>7.5</v>
      </c>
      <c r="F246" s="4918">
        <v>7</v>
      </c>
      <c r="G246" s="4919"/>
      <c r="H246" s="4674"/>
      <c r="I246" s="4918"/>
      <c r="J246" s="4920"/>
    </row>
    <row r="247" spans="1:10" x14ac:dyDescent="0.2">
      <c r="A247" s="24" t="s">
        <v>749</v>
      </c>
      <c r="B247" s="43">
        <f>B246</f>
        <v>7.5</v>
      </c>
      <c r="C247" s="43">
        <f>C246</f>
        <v>7.5</v>
      </c>
      <c r="D247" s="43">
        <f>D246</f>
        <v>7.5</v>
      </c>
      <c r="E247" s="43">
        <f>E246</f>
        <v>7.5</v>
      </c>
      <c r="F247" s="43">
        <f>F246</f>
        <v>7</v>
      </c>
      <c r="G247" s="24">
        <f>SUM(G230,G236,G239,G242,G245)</f>
        <v>0</v>
      </c>
      <c r="H247" s="24">
        <f>SUM(H230,H236,H239,H242,H245)</f>
        <v>0</v>
      </c>
      <c r="I247" s="44">
        <v>37</v>
      </c>
      <c r="J247" s="28"/>
    </row>
    <row r="248" spans="1:10" ht="12.75" x14ac:dyDescent="0.2">
      <c r="A248" s="42"/>
      <c r="B248" s="5"/>
      <c r="C248" s="5"/>
      <c r="D248" s="5"/>
      <c r="E248" s="5"/>
      <c r="F248" s="18"/>
      <c r="G248" s="4739" t="s">
        <v>851</v>
      </c>
      <c r="H248" s="4739" t="s">
        <v>852</v>
      </c>
      <c r="I248" s="4739" t="s">
        <v>853</v>
      </c>
      <c r="J248" s="6"/>
    </row>
    <row r="249" spans="1:10" ht="12.75" x14ac:dyDescent="0.2">
      <c r="A249" s="42"/>
      <c r="B249" s="5"/>
      <c r="C249" s="5"/>
      <c r="D249" s="5"/>
      <c r="E249" s="5"/>
      <c r="F249" s="18"/>
      <c r="G249" s="4713">
        <f>I247</f>
        <v>37</v>
      </c>
      <c r="H249" s="4740">
        <f>SUM(G249*13/3)</f>
        <v>160.33333333333334</v>
      </c>
      <c r="I249" s="4713">
        <f>SUM(H249*12)</f>
        <v>1924</v>
      </c>
      <c r="J249" s="6"/>
    </row>
    <row r="250" spans="1:10" ht="12.75" x14ac:dyDescent="0.2">
      <c r="A250" s="42"/>
      <c r="B250" s="5"/>
      <c r="C250" s="5"/>
      <c r="D250" s="5"/>
      <c r="E250" s="5"/>
      <c r="F250" s="18"/>
      <c r="G250" s="18"/>
      <c r="H250" s="18"/>
      <c r="I250" s="5"/>
      <c r="J250" s="6"/>
    </row>
    <row r="251" spans="1:10" ht="12.75" x14ac:dyDescent="0.2">
      <c r="A251" s="42"/>
      <c r="B251" s="5"/>
      <c r="C251" s="5"/>
      <c r="D251" s="5"/>
      <c r="E251" s="5"/>
      <c r="F251" s="18"/>
      <c r="G251" s="18"/>
      <c r="H251" s="18"/>
      <c r="I251" s="5"/>
      <c r="J251" s="6"/>
    </row>
    <row r="252" spans="1:10" ht="12.75" x14ac:dyDescent="0.2">
      <c r="A252" s="42"/>
      <c r="B252" s="5"/>
      <c r="C252" s="5"/>
      <c r="D252" s="5"/>
      <c r="E252" s="5"/>
      <c r="F252" s="18"/>
      <c r="G252" s="18"/>
      <c r="H252" s="18"/>
      <c r="I252" s="5"/>
      <c r="J252" s="6"/>
    </row>
    <row r="253" spans="1:10" ht="12.75" x14ac:dyDescent="0.2">
      <c r="A253" s="42"/>
      <c r="B253" s="5"/>
      <c r="C253" s="5"/>
      <c r="D253" s="5"/>
      <c r="E253" s="5"/>
      <c r="F253" s="18"/>
      <c r="G253" s="18"/>
      <c r="H253" s="18"/>
      <c r="I253" s="5"/>
      <c r="J253" s="6"/>
    </row>
    <row r="254" spans="1:10" ht="12.75" x14ac:dyDescent="0.2">
      <c r="A254" s="42" t="s">
        <v>1017</v>
      </c>
      <c r="B254" s="5"/>
      <c r="C254" s="5"/>
      <c r="D254" s="5"/>
      <c r="E254" s="5"/>
      <c r="F254" s="18"/>
      <c r="G254" s="18"/>
      <c r="H254" s="18"/>
      <c r="I254" s="5"/>
      <c r="J254" s="6"/>
    </row>
    <row r="255" spans="1:10" ht="12.75" x14ac:dyDescent="0.2">
      <c r="A255" s="4765" t="s">
        <v>1018</v>
      </c>
      <c r="B255" s="4654" t="s">
        <v>17</v>
      </c>
      <c r="C255" s="4655" t="s">
        <v>18</v>
      </c>
      <c r="D255" s="4655" t="s">
        <v>19</v>
      </c>
      <c r="E255" s="4655" t="s">
        <v>20</v>
      </c>
      <c r="F255" s="4655" t="s">
        <v>21</v>
      </c>
      <c r="G255" s="4655" t="s">
        <v>22</v>
      </c>
      <c r="H255" s="4656" t="s">
        <v>23</v>
      </c>
      <c r="I255" s="4657" t="s">
        <v>234</v>
      </c>
      <c r="J255" s="4658" t="s">
        <v>126</v>
      </c>
    </row>
    <row r="256" spans="1:10" x14ac:dyDescent="0.2">
      <c r="A256" s="4659" t="s">
        <v>0</v>
      </c>
      <c r="B256" s="4649" t="s">
        <v>10</v>
      </c>
      <c r="C256" s="4649" t="s">
        <v>10</v>
      </c>
      <c r="D256" s="4649" t="s">
        <v>10</v>
      </c>
      <c r="E256" s="4649" t="s">
        <v>10</v>
      </c>
      <c r="F256" s="4649" t="s">
        <v>10</v>
      </c>
      <c r="G256" s="4649"/>
      <c r="H256" s="4649"/>
      <c r="I256" s="4651"/>
      <c r="J256" s="4662"/>
    </row>
    <row r="257" spans="1:10" ht="12.75" x14ac:dyDescent="0.2">
      <c r="A257" s="4911" t="s">
        <v>1019</v>
      </c>
      <c r="B257" s="4736">
        <v>8.5</v>
      </c>
      <c r="C257" s="4736">
        <v>8.5</v>
      </c>
      <c r="D257" s="4736">
        <v>8.5</v>
      </c>
      <c r="E257" s="4736">
        <v>8.5</v>
      </c>
      <c r="F257" s="4736">
        <v>8.5</v>
      </c>
      <c r="G257" s="4736"/>
      <c r="H257" s="4736"/>
      <c r="I257" s="4713">
        <f>SUM(B257:H257)</f>
        <v>42.5</v>
      </c>
      <c r="J257" s="4877"/>
    </row>
    <row r="258" spans="1:10" ht="12.75" x14ac:dyDescent="0.2">
      <c r="A258" s="4912"/>
      <c r="B258" s="509" t="s">
        <v>1020</v>
      </c>
      <c r="C258" s="509" t="s">
        <v>1020</v>
      </c>
      <c r="D258" s="509" t="s">
        <v>1020</v>
      </c>
      <c r="E258" s="509" t="s">
        <v>1020</v>
      </c>
      <c r="F258" s="509" t="s">
        <v>1020</v>
      </c>
      <c r="G258" s="509"/>
      <c r="H258" s="509"/>
      <c r="I258" s="474"/>
      <c r="J258" s="471"/>
    </row>
    <row r="259" spans="1:10" x14ac:dyDescent="0.2">
      <c r="A259" s="4659" t="s">
        <v>0</v>
      </c>
      <c r="B259" s="4649" t="s">
        <v>10</v>
      </c>
      <c r="C259" s="4649" t="s">
        <v>10</v>
      </c>
      <c r="D259" s="4649" t="s">
        <v>10</v>
      </c>
      <c r="E259" s="4649" t="s">
        <v>10</v>
      </c>
      <c r="F259" s="4649" t="s">
        <v>10</v>
      </c>
      <c r="G259" s="4649" t="s">
        <v>10</v>
      </c>
      <c r="H259" s="4649" t="s">
        <v>10</v>
      </c>
      <c r="I259" s="4651"/>
      <c r="J259" s="4662" t="s">
        <v>1021</v>
      </c>
    </row>
    <row r="260" spans="1:10" ht="12.75" x14ac:dyDescent="0.2">
      <c r="A260" s="4911" t="s">
        <v>1022</v>
      </c>
      <c r="B260" s="4713">
        <v>7</v>
      </c>
      <c r="C260" s="4713">
        <v>7</v>
      </c>
      <c r="D260" s="4713">
        <v>7</v>
      </c>
      <c r="E260" s="4713">
        <v>7</v>
      </c>
      <c r="F260" s="4713">
        <v>7</v>
      </c>
      <c r="G260" s="4736">
        <v>12</v>
      </c>
      <c r="H260" s="4736">
        <v>12</v>
      </c>
      <c r="I260" s="4713">
        <f>SUM(B260:H260)</f>
        <v>59</v>
      </c>
      <c r="J260" s="4877" t="s">
        <v>1023</v>
      </c>
    </row>
    <row r="261" spans="1:10" ht="12.75" x14ac:dyDescent="0.2">
      <c r="A261" s="4912"/>
      <c r="B261" s="509" t="s">
        <v>1024</v>
      </c>
      <c r="C261" s="509" t="s">
        <v>1024</v>
      </c>
      <c r="D261" s="509" t="s">
        <v>1024</v>
      </c>
      <c r="E261" s="509" t="s">
        <v>1024</v>
      </c>
      <c r="F261" s="509" t="s">
        <v>1024</v>
      </c>
      <c r="G261" s="509" t="s">
        <v>1025</v>
      </c>
      <c r="H261" s="509" t="s">
        <v>1025</v>
      </c>
      <c r="I261" s="474"/>
      <c r="J261" s="471"/>
    </row>
    <row r="262" spans="1:10" x14ac:dyDescent="0.2">
      <c r="A262" s="4659"/>
      <c r="B262" s="4660" t="s">
        <v>244</v>
      </c>
      <c r="C262" s="4660" t="s">
        <v>244</v>
      </c>
      <c r="D262" s="4660" t="s">
        <v>244</v>
      </c>
      <c r="E262" s="4660" t="s">
        <v>244</v>
      </c>
      <c r="F262" s="4660" t="s">
        <v>244</v>
      </c>
      <c r="G262" s="4661"/>
      <c r="H262" s="4661"/>
      <c r="I262" s="4651"/>
      <c r="J262" s="4662"/>
    </row>
    <row r="263" spans="1:10" ht="12.75" x14ac:dyDescent="0.2">
      <c r="A263" s="4911" t="s">
        <v>1026</v>
      </c>
      <c r="B263" s="4713"/>
      <c r="C263" s="4713"/>
      <c r="D263" s="4713"/>
      <c r="E263" s="4713"/>
      <c r="F263" s="4713"/>
      <c r="G263" s="4736"/>
      <c r="H263" s="4736"/>
      <c r="I263" s="4713">
        <f>SUM(B263:H263)</f>
        <v>0</v>
      </c>
      <c r="J263" s="4877"/>
    </row>
    <row r="264" spans="1:10" ht="12.75" x14ac:dyDescent="0.2">
      <c r="A264" s="4912"/>
      <c r="B264" s="196" t="s">
        <v>1027</v>
      </c>
      <c r="C264" s="196" t="s">
        <v>1027</v>
      </c>
      <c r="D264" s="196" t="s">
        <v>1027</v>
      </c>
      <c r="E264" s="196" t="s">
        <v>1027</v>
      </c>
      <c r="F264" s="196" t="s">
        <v>1027</v>
      </c>
      <c r="G264" s="474"/>
      <c r="H264" s="475"/>
      <c r="I264" s="474"/>
      <c r="J264" s="471"/>
    </row>
    <row r="265" spans="1:10" x14ac:dyDescent="0.2">
      <c r="A265" s="4889"/>
      <c r="B265" s="4649" t="s">
        <v>10</v>
      </c>
      <c r="C265" s="4649" t="s">
        <v>10</v>
      </c>
      <c r="D265" s="4649" t="s">
        <v>10</v>
      </c>
      <c r="E265" s="4649" t="s">
        <v>10</v>
      </c>
      <c r="F265" s="4649" t="s">
        <v>10</v>
      </c>
      <c r="G265" s="4661"/>
      <c r="H265" s="4661"/>
      <c r="I265" s="4651"/>
      <c r="J265" s="4662" t="s">
        <v>0</v>
      </c>
    </row>
    <row r="266" spans="1:10" ht="12.75" x14ac:dyDescent="0.2">
      <c r="A266" s="4911" t="s">
        <v>1028</v>
      </c>
      <c r="B266" s="4713">
        <v>7.75</v>
      </c>
      <c r="C266" s="4713">
        <v>7.75</v>
      </c>
      <c r="D266" s="4713">
        <v>7.75</v>
      </c>
      <c r="E266" s="4713">
        <v>7.75</v>
      </c>
      <c r="F266" s="4713">
        <v>7.75</v>
      </c>
      <c r="G266" s="4736"/>
      <c r="H266" s="4736"/>
      <c r="I266" s="4713">
        <f>SUM(B266:H266)</f>
        <v>38.75</v>
      </c>
      <c r="J266" s="4877"/>
    </row>
    <row r="267" spans="1:10" ht="12.75" x14ac:dyDescent="0.2">
      <c r="A267" s="4912"/>
      <c r="B267" s="509" t="s">
        <v>1029</v>
      </c>
      <c r="C267" s="509" t="s">
        <v>1029</v>
      </c>
      <c r="D267" s="509" t="s">
        <v>1029</v>
      </c>
      <c r="E267" s="509" t="s">
        <v>1029</v>
      </c>
      <c r="F267" s="509" t="s">
        <v>1029</v>
      </c>
      <c r="G267" s="475"/>
      <c r="H267" s="475"/>
      <c r="I267" s="474"/>
      <c r="J267" s="471"/>
    </row>
    <row r="268" spans="1:10" x14ac:dyDescent="0.2">
      <c r="A268" s="4659"/>
      <c r="B268" s="4660"/>
      <c r="C268" s="4660"/>
      <c r="D268" s="4660"/>
      <c r="E268" s="4660"/>
      <c r="F268" s="4660"/>
      <c r="G268" s="4660"/>
      <c r="H268" s="4660"/>
      <c r="I268" s="4651"/>
      <c r="J268" s="4662" t="s">
        <v>0</v>
      </c>
    </row>
    <row r="269" spans="1:10" ht="12.75" x14ac:dyDescent="0.2">
      <c r="A269" s="4911" t="s">
        <v>1030</v>
      </c>
      <c r="B269" s="4713"/>
      <c r="C269" s="4713"/>
      <c r="D269" s="4713"/>
      <c r="E269" s="4713"/>
      <c r="F269" s="4713"/>
      <c r="G269" s="4736"/>
      <c r="H269" s="4736"/>
      <c r="I269" s="4713">
        <f>SUM(B269:H269)</f>
        <v>0</v>
      </c>
      <c r="J269" s="4877" t="s">
        <v>0</v>
      </c>
    </row>
    <row r="270" spans="1:10" ht="12.75" x14ac:dyDescent="0.2">
      <c r="A270" s="4843"/>
      <c r="B270" s="509" t="s">
        <v>1031</v>
      </c>
      <c r="C270" s="509" t="s">
        <v>1031</v>
      </c>
      <c r="D270" s="509" t="s">
        <v>1031</v>
      </c>
      <c r="E270" s="509" t="s">
        <v>1031</v>
      </c>
      <c r="F270" s="509" t="s">
        <v>1031</v>
      </c>
      <c r="G270" s="392"/>
      <c r="H270" s="392"/>
      <c r="I270" s="150"/>
      <c r="J270" s="158"/>
    </row>
    <row r="271" spans="1:10" ht="12.75" x14ac:dyDescent="0.2">
      <c r="A271" s="45"/>
      <c r="B271" s="4660"/>
      <c r="C271" s="4660"/>
      <c r="D271" s="4660"/>
      <c r="E271" s="4660"/>
      <c r="F271" s="4660"/>
      <c r="G271" s="4660"/>
      <c r="H271" s="4660"/>
      <c r="I271" s="4651"/>
      <c r="J271" s="4662" t="s">
        <v>0</v>
      </c>
    </row>
    <row r="272" spans="1:10" ht="12.75" x14ac:dyDescent="0.2">
      <c r="A272" s="45" t="s">
        <v>1032</v>
      </c>
      <c r="B272" s="4713"/>
      <c r="C272" s="4713"/>
      <c r="D272" s="4713"/>
      <c r="E272" s="4713"/>
      <c r="F272" s="4713"/>
      <c r="G272" s="4736"/>
      <c r="H272" s="4736"/>
      <c r="I272" s="4713">
        <f>SUM(B272:H272)</f>
        <v>0</v>
      </c>
      <c r="J272" s="4877"/>
    </row>
    <row r="273" spans="1:10" ht="12.75" x14ac:dyDescent="0.2">
      <c r="A273" s="45"/>
      <c r="B273" s="196"/>
      <c r="C273" s="196"/>
      <c r="D273" s="196"/>
      <c r="E273" s="196"/>
      <c r="F273" s="196"/>
      <c r="G273" s="392"/>
      <c r="H273" s="392"/>
      <c r="I273" s="474"/>
      <c r="J273" s="471"/>
    </row>
    <row r="274" spans="1:10" x14ac:dyDescent="0.2">
      <c r="A274" s="4659"/>
      <c r="B274" s="4660"/>
      <c r="C274" s="4660"/>
      <c r="D274" s="4660"/>
      <c r="E274" s="4660"/>
      <c r="F274" s="4660"/>
      <c r="G274" s="4661"/>
      <c r="H274" s="4661"/>
      <c r="I274" s="4651"/>
      <c r="J274" s="4662"/>
    </row>
    <row r="275" spans="1:10" ht="12.75" x14ac:dyDescent="0.2">
      <c r="A275" s="4911" t="s">
        <v>1033</v>
      </c>
      <c r="B275" s="4713"/>
      <c r="C275" s="4713"/>
      <c r="D275" s="4713"/>
      <c r="E275" s="4713"/>
      <c r="F275" s="4713"/>
      <c r="G275" s="4736"/>
      <c r="H275" s="4736"/>
      <c r="I275" s="4713">
        <f>SUM(B275:H275)</f>
        <v>0</v>
      </c>
      <c r="J275" s="4877"/>
    </row>
    <row r="276" spans="1:10" ht="12.75" x14ac:dyDescent="0.2">
      <c r="A276" s="4843"/>
      <c r="B276" s="196"/>
      <c r="C276" s="196"/>
      <c r="D276" s="196"/>
      <c r="E276" s="196"/>
      <c r="F276" s="196"/>
      <c r="G276" s="151"/>
      <c r="H276" s="151"/>
      <c r="I276" s="150"/>
      <c r="J276" s="158"/>
    </row>
    <row r="277" spans="1:10" x14ac:dyDescent="0.2">
      <c r="A277" s="24" t="s">
        <v>749</v>
      </c>
      <c r="B277" s="24">
        <f t="shared" ref="B277:I277" si="6">SUM(B257,B260,B263,B266,B269,B272,B275)</f>
        <v>23.25</v>
      </c>
      <c r="C277" s="24">
        <f t="shared" si="6"/>
        <v>23.25</v>
      </c>
      <c r="D277" s="24">
        <f t="shared" si="6"/>
        <v>23.25</v>
      </c>
      <c r="E277" s="24">
        <f t="shared" si="6"/>
        <v>23.25</v>
      </c>
      <c r="F277" s="24">
        <f t="shared" si="6"/>
        <v>23.25</v>
      </c>
      <c r="G277" s="24">
        <f t="shared" si="6"/>
        <v>12</v>
      </c>
      <c r="H277" s="24">
        <f t="shared" si="6"/>
        <v>12</v>
      </c>
      <c r="I277" s="24">
        <f t="shared" si="6"/>
        <v>140.25</v>
      </c>
      <c r="J277" s="28"/>
    </row>
    <row r="278" spans="1:10" ht="12.75" x14ac:dyDescent="0.2">
      <c r="A278" s="42"/>
      <c r="B278" s="5"/>
      <c r="C278" s="5"/>
      <c r="D278" s="5"/>
      <c r="E278" s="5"/>
      <c r="F278" s="18"/>
      <c r="G278" s="4739" t="s">
        <v>851</v>
      </c>
      <c r="H278" s="4739" t="s">
        <v>852</v>
      </c>
      <c r="I278" s="4739" t="s">
        <v>853</v>
      </c>
      <c r="J278" s="6"/>
    </row>
    <row r="279" spans="1:10" ht="12.75" x14ac:dyDescent="0.2">
      <c r="A279" s="42"/>
      <c r="B279" s="5"/>
      <c r="C279" s="5"/>
      <c r="D279" s="5"/>
      <c r="E279" s="5"/>
      <c r="F279" s="18"/>
      <c r="G279" s="4713">
        <f>I277</f>
        <v>140.25</v>
      </c>
      <c r="H279" s="4740">
        <f>SUM(G279*13/3)</f>
        <v>607.75</v>
      </c>
      <c r="I279" s="4713">
        <f>SUM(H279*12)</f>
        <v>7293</v>
      </c>
      <c r="J279" s="6"/>
    </row>
    <row r="280" spans="1:10" x14ac:dyDescent="0.2">
      <c r="A280" s="5"/>
      <c r="B280" s="5"/>
      <c r="C280" s="5"/>
      <c r="D280" s="5"/>
      <c r="E280" s="5"/>
      <c r="F280" s="18"/>
      <c r="G280" s="18"/>
      <c r="H280" s="18"/>
      <c r="I280" s="5"/>
      <c r="J280" s="6"/>
    </row>
    <row r="281" spans="1:10" x14ac:dyDescent="0.2">
      <c r="A281" s="5"/>
      <c r="B281" s="5"/>
      <c r="C281" s="5"/>
      <c r="D281" s="5"/>
      <c r="E281" s="5"/>
      <c r="F281" s="18"/>
      <c r="G281" s="18"/>
      <c r="H281" s="18"/>
      <c r="I281" s="5"/>
      <c r="J281" s="6"/>
    </row>
    <row r="282" spans="1:10" x14ac:dyDescent="0.2">
      <c r="A282" s="5"/>
      <c r="B282" s="5"/>
      <c r="C282" s="5"/>
      <c r="D282" s="5"/>
      <c r="E282" s="5"/>
      <c r="F282" s="18"/>
      <c r="G282" s="18"/>
      <c r="H282" s="18"/>
      <c r="I282" s="5"/>
      <c r="J282" s="6"/>
    </row>
    <row r="283" spans="1:10" x14ac:dyDescent="0.2">
      <c r="A283" s="5"/>
      <c r="B283" s="5"/>
      <c r="C283" s="5"/>
      <c r="D283" s="5"/>
      <c r="E283" s="5"/>
      <c r="F283" s="18"/>
      <c r="G283" s="18"/>
      <c r="H283" s="18"/>
      <c r="I283" s="5"/>
      <c r="J283" s="6"/>
    </row>
    <row r="284" spans="1:10" ht="12.75" x14ac:dyDescent="0.2">
      <c r="A284" s="5"/>
      <c r="B284" s="37"/>
      <c r="C284" s="37"/>
      <c r="D284" s="37"/>
      <c r="E284" s="37"/>
      <c r="F284" s="37"/>
      <c r="G284" s="18"/>
      <c r="H284" s="18"/>
      <c r="I284" s="5"/>
      <c r="J284" s="6"/>
    </row>
    <row r="285" spans="1:10" x14ac:dyDescent="0.2">
      <c r="A285" s="5"/>
      <c r="B285" s="5"/>
      <c r="C285" s="5"/>
      <c r="D285" s="5"/>
      <c r="E285" s="5"/>
      <c r="F285" s="18"/>
      <c r="G285" s="18"/>
      <c r="H285" s="18"/>
      <c r="I285" s="5"/>
      <c r="J285" s="6"/>
    </row>
    <row r="286" spans="1:10" ht="12.75" x14ac:dyDescent="0.2">
      <c r="A286" s="4861"/>
      <c r="B286" s="4725" t="s">
        <v>17</v>
      </c>
      <c r="C286" s="4681" t="s">
        <v>18</v>
      </c>
      <c r="D286" s="4681" t="s">
        <v>19</v>
      </c>
      <c r="E286" s="4681" t="s">
        <v>20</v>
      </c>
      <c r="F286" s="4681" t="s">
        <v>21</v>
      </c>
      <c r="G286" s="4681" t="s">
        <v>22</v>
      </c>
      <c r="H286" s="4726" t="s">
        <v>23</v>
      </c>
      <c r="I286" s="4727" t="s">
        <v>837</v>
      </c>
      <c r="J286" s="6"/>
    </row>
    <row r="287" spans="1:10" x14ac:dyDescent="0.2">
      <c r="A287" s="4747" t="s">
        <v>838</v>
      </c>
      <c r="B287" s="493">
        <f t="shared" ref="B287:I287" si="7">SUM(B4,B11,B53,B65,B116,B163,B169,B189,B204,B238,B247,B277)</f>
        <v>276</v>
      </c>
      <c r="C287" s="493">
        <f t="shared" si="7"/>
        <v>276</v>
      </c>
      <c r="D287" s="493">
        <f t="shared" si="7"/>
        <v>276</v>
      </c>
      <c r="E287" s="493">
        <f t="shared" si="7"/>
        <v>276</v>
      </c>
      <c r="F287" s="493">
        <f t="shared" si="7"/>
        <v>246.5</v>
      </c>
      <c r="G287" s="493">
        <f t="shared" si="7"/>
        <v>105</v>
      </c>
      <c r="H287" s="493">
        <f t="shared" si="7"/>
        <v>108</v>
      </c>
      <c r="I287" s="493">
        <f t="shared" si="7"/>
        <v>1526.5</v>
      </c>
      <c r="J287" s="6"/>
    </row>
    <row r="288" spans="1:10" x14ac:dyDescent="0.2">
      <c r="A288" s="4757" t="s">
        <v>840</v>
      </c>
      <c r="B288" s="150">
        <f t="shared" ref="B288:I288" si="8">SUM(B287*52)</f>
        <v>14352</v>
      </c>
      <c r="C288" s="150">
        <f t="shared" si="8"/>
        <v>14352</v>
      </c>
      <c r="D288" s="150">
        <f t="shared" si="8"/>
        <v>14352</v>
      </c>
      <c r="E288" s="150">
        <f t="shared" si="8"/>
        <v>14352</v>
      </c>
      <c r="F288" s="150">
        <f t="shared" si="8"/>
        <v>12818</v>
      </c>
      <c r="G288" s="150">
        <f t="shared" si="8"/>
        <v>5460</v>
      </c>
      <c r="H288" s="150">
        <f t="shared" si="8"/>
        <v>5616</v>
      </c>
      <c r="I288" s="150">
        <f t="shared" si="8"/>
        <v>79378</v>
      </c>
      <c r="J288" s="6"/>
    </row>
    <row r="289" spans="1:10" x14ac:dyDescent="0.2">
      <c r="J289" s="6"/>
    </row>
    <row r="290" spans="1:10" x14ac:dyDescent="0.2">
      <c r="J290" s="18" t="s">
        <v>0</v>
      </c>
    </row>
    <row r="291" spans="1:10" x14ac:dyDescent="0.2">
      <c r="A291" s="4862" t="s">
        <v>947</v>
      </c>
      <c r="B291" s="4669"/>
      <c r="C291" s="4669"/>
      <c r="D291" s="4669"/>
      <c r="E291" s="4660">
        <v>56</v>
      </c>
      <c r="F291" s="4669"/>
      <c r="G291" s="4669"/>
      <c r="H291" s="4651"/>
      <c r="I291" s="4863">
        <f>SUM(E291)*26</f>
        <v>1456</v>
      </c>
      <c r="J291" s="5" t="s">
        <v>0</v>
      </c>
    </row>
    <row r="292" spans="1:10" x14ac:dyDescent="0.2">
      <c r="A292" s="4864" t="s">
        <v>948</v>
      </c>
      <c r="B292" s="4731"/>
      <c r="C292" s="4731"/>
      <c r="D292" s="4731"/>
      <c r="E292" s="4731"/>
      <c r="F292" s="4731"/>
      <c r="G292" s="4731"/>
      <c r="H292" s="4731"/>
      <c r="I292" s="4865">
        <f>SUM(I291*2)</f>
        <v>2912</v>
      </c>
    </row>
    <row r="293" spans="1:10" x14ac:dyDescent="0.2">
      <c r="A293" s="4747" t="s">
        <v>843</v>
      </c>
      <c r="B293" s="4728"/>
      <c r="C293" s="4729"/>
      <c r="D293" s="4731"/>
      <c r="E293" s="4731"/>
      <c r="F293" s="4731"/>
      <c r="G293" s="4731"/>
      <c r="H293" s="4731"/>
      <c r="I293" s="4865">
        <f>48*12</f>
        <v>576</v>
      </c>
    </row>
    <row r="294" spans="1:10" x14ac:dyDescent="0.2">
      <c r="A294" s="4866" t="s">
        <v>837</v>
      </c>
      <c r="B294" s="4675"/>
      <c r="C294" s="4675"/>
      <c r="D294" s="4675"/>
      <c r="E294" s="4675"/>
      <c r="F294" s="4675"/>
      <c r="G294" s="4675"/>
      <c r="H294" s="4675"/>
      <c r="I294" s="4867">
        <f>SUM(I291:I293)</f>
        <v>4944</v>
      </c>
    </row>
    <row r="295" spans="1:10" x14ac:dyDescent="0.2">
      <c r="I295" s="21"/>
    </row>
    <row r="296" spans="1:10" x14ac:dyDescent="0.2">
      <c r="I296" s="21"/>
    </row>
    <row r="297" spans="1:10" x14ac:dyDescent="0.2">
      <c r="A297" s="4732" t="s">
        <v>844</v>
      </c>
      <c r="B297" s="4732"/>
      <c r="C297" s="4732"/>
      <c r="D297" s="4732"/>
      <c r="E297" s="4732"/>
      <c r="F297" s="4732"/>
      <c r="G297" s="4732"/>
      <c r="H297" s="4732"/>
      <c r="I297" s="4734">
        <f>SUM(I288+I294)</f>
        <v>84322</v>
      </c>
      <c r="J297" t="s">
        <v>1034</v>
      </c>
    </row>
  </sheetData>
  <sheetProtection algorithmName="SHA-512" hashValue="p6jM0rs/68ENE/Y0+RtR068yD1tbZlVBmJ2jdJuq2s/LrHgJswcW0uyiuq5TEFVTlWQYLgT/XDwMMatuUMeBCw==" saltValue="xzuDPA27wnFbDgMzr3Y1/A==" spinCount="100000" sheet="1" objects="1" scenarios="1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34"/>
  <dimension ref="A1:N20"/>
  <sheetViews>
    <sheetView topLeftCell="A6" workbookViewId="0">
      <selection activeCell="G20" sqref="G20"/>
    </sheetView>
  </sheetViews>
  <sheetFormatPr defaultRowHeight="12" x14ac:dyDescent="0.2"/>
  <cols>
    <col min="1" max="1" width="26.5703125" customWidth="1"/>
    <col min="2" max="14" width="19.42578125" customWidth="1"/>
  </cols>
  <sheetData>
    <row r="1" spans="1:14" ht="18" x14ac:dyDescent="0.25">
      <c r="A1" s="264" t="s">
        <v>1035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</row>
    <row r="2" spans="1:14" ht="48" customHeight="1" x14ac:dyDescent="0.2">
      <c r="A2" s="4921"/>
      <c r="B2" s="4922" t="s">
        <v>1036</v>
      </c>
      <c r="C2" s="4922" t="s">
        <v>1037</v>
      </c>
      <c r="D2" s="4923" t="s">
        <v>1038</v>
      </c>
      <c r="E2" s="4923" t="s">
        <v>1039</v>
      </c>
      <c r="F2" s="4921"/>
      <c r="G2" s="4924" t="s">
        <v>1040</v>
      </c>
      <c r="H2" s="4924"/>
      <c r="I2" s="4925"/>
      <c r="J2" s="4921"/>
      <c r="K2" s="4924" t="s">
        <v>1041</v>
      </c>
      <c r="L2" s="4924"/>
      <c r="M2" s="4925"/>
      <c r="N2" s="4925" t="s">
        <v>126</v>
      </c>
    </row>
    <row r="3" spans="1:14" ht="48" customHeight="1" x14ac:dyDescent="0.2">
      <c r="A3" s="76"/>
      <c r="B3" s="77" t="s">
        <v>0</v>
      </c>
      <c r="C3" s="77"/>
      <c r="D3" s="78"/>
      <c r="E3" s="78"/>
      <c r="F3" s="79" t="s">
        <v>1042</v>
      </c>
      <c r="G3" s="80" t="s">
        <v>1043</v>
      </c>
      <c r="H3" s="80" t="s">
        <v>1044</v>
      </c>
      <c r="I3" s="81" t="s">
        <v>1045</v>
      </c>
      <c r="J3" s="79" t="s">
        <v>1042</v>
      </c>
      <c r="K3" s="80" t="s">
        <v>1043</v>
      </c>
      <c r="L3" s="80" t="s">
        <v>1044</v>
      </c>
      <c r="M3" s="81" t="s">
        <v>1045</v>
      </c>
      <c r="N3" s="82"/>
    </row>
    <row r="4" spans="1:14" ht="48" customHeight="1" x14ac:dyDescent="0.2">
      <c r="A4" s="4926" t="s">
        <v>1046</v>
      </c>
      <c r="B4" s="4927" t="s">
        <v>1047</v>
      </c>
      <c r="C4" s="4928" t="s">
        <v>1048</v>
      </c>
      <c r="D4" s="4929" t="s">
        <v>1049</v>
      </c>
      <c r="E4" s="4930" t="s">
        <v>663</v>
      </c>
      <c r="F4" s="4931"/>
      <c r="G4" s="4932"/>
      <c r="H4" s="4933"/>
      <c r="I4" s="4933"/>
      <c r="J4" s="4931"/>
      <c r="K4" s="4933"/>
      <c r="L4" s="4933"/>
      <c r="M4" s="4934"/>
      <c r="N4" s="4935"/>
    </row>
    <row r="5" spans="1:14" ht="48" customHeight="1" x14ac:dyDescent="0.2">
      <c r="A5" s="83"/>
      <c r="B5" s="83"/>
      <c r="C5" s="83"/>
      <c r="D5" s="83"/>
      <c r="E5" s="83"/>
      <c r="F5" s="84"/>
      <c r="G5" s="84"/>
      <c r="H5" s="84"/>
      <c r="I5" s="84"/>
      <c r="J5" s="84"/>
      <c r="K5" s="84"/>
      <c r="L5" s="84"/>
      <c r="M5" s="84"/>
      <c r="N5" s="83"/>
    </row>
    <row r="6" spans="1:14" ht="48" customHeight="1" x14ac:dyDescent="0.2">
      <c r="A6" s="4921"/>
      <c r="B6" s="4922" t="s">
        <v>1050</v>
      </c>
      <c r="C6" s="4922" t="s">
        <v>1037</v>
      </c>
      <c r="D6" s="4923" t="s">
        <v>1038</v>
      </c>
      <c r="E6" s="4923" t="s">
        <v>1039</v>
      </c>
      <c r="F6" s="4936"/>
      <c r="G6" s="4937" t="s">
        <v>1040</v>
      </c>
      <c r="H6" s="4937"/>
      <c r="I6" s="4938"/>
      <c r="J6" s="4936"/>
      <c r="K6" s="4937" t="s">
        <v>1041</v>
      </c>
      <c r="L6" s="4937"/>
      <c r="M6" s="4938"/>
      <c r="N6" s="4925" t="s">
        <v>126</v>
      </c>
    </row>
    <row r="7" spans="1:14" ht="48" customHeight="1" x14ac:dyDescent="0.2">
      <c r="A7" s="76"/>
      <c r="B7" s="77" t="s">
        <v>0</v>
      </c>
      <c r="C7" s="77"/>
      <c r="D7" s="78"/>
      <c r="E7" s="78"/>
      <c r="F7" s="79" t="s">
        <v>1042</v>
      </c>
      <c r="G7" s="80" t="s">
        <v>1043</v>
      </c>
      <c r="H7" s="80" t="s">
        <v>1044</v>
      </c>
      <c r="I7" s="81" t="s">
        <v>1045</v>
      </c>
      <c r="J7" s="79" t="s">
        <v>1042</v>
      </c>
      <c r="K7" s="80" t="s">
        <v>1043</v>
      </c>
      <c r="L7" s="80" t="s">
        <v>1044</v>
      </c>
      <c r="M7" s="81" t="s">
        <v>1045</v>
      </c>
      <c r="N7" s="82"/>
    </row>
    <row r="8" spans="1:14" ht="48" customHeight="1" x14ac:dyDescent="0.2">
      <c r="A8" s="85" t="s">
        <v>1051</v>
      </c>
      <c r="B8" s="4927" t="s">
        <v>1052</v>
      </c>
      <c r="C8" s="4928" t="s">
        <v>1053</v>
      </c>
      <c r="D8" s="4939" t="s">
        <v>1054</v>
      </c>
      <c r="E8" s="4940" t="s">
        <v>1055</v>
      </c>
      <c r="F8" s="4941">
        <v>0</v>
      </c>
      <c r="G8" s="4942">
        <v>0</v>
      </c>
      <c r="H8" s="4942">
        <v>0</v>
      </c>
      <c r="I8" s="4943">
        <v>0</v>
      </c>
      <c r="J8" s="4941">
        <v>0</v>
      </c>
      <c r="K8" s="4942">
        <v>0</v>
      </c>
      <c r="L8" s="4942">
        <v>0</v>
      </c>
      <c r="M8" s="4943"/>
      <c r="N8" s="4944"/>
    </row>
    <row r="9" spans="1:14" ht="48" customHeight="1" x14ac:dyDescent="0.2">
      <c r="A9" s="85" t="s">
        <v>658</v>
      </c>
      <c r="B9" s="489" t="s">
        <v>1056</v>
      </c>
      <c r="C9" s="4945" t="s">
        <v>1057</v>
      </c>
      <c r="D9" s="4946" t="s">
        <v>1058</v>
      </c>
      <c r="E9" s="4940" t="s">
        <v>1055</v>
      </c>
      <c r="F9" s="4941" t="s">
        <v>0</v>
      </c>
      <c r="G9" s="4942"/>
      <c r="H9" s="4942">
        <v>4</v>
      </c>
      <c r="I9" s="4943"/>
      <c r="J9" s="4941">
        <v>0</v>
      </c>
      <c r="K9" s="4942">
        <v>0</v>
      </c>
      <c r="L9" s="4942" t="s">
        <v>0</v>
      </c>
      <c r="M9" s="4943"/>
      <c r="N9" s="4947"/>
    </row>
    <row r="10" spans="1:14" ht="48" customHeight="1" x14ac:dyDescent="0.2">
      <c r="A10" s="86" t="s">
        <v>1059</v>
      </c>
      <c r="B10" s="4927" t="s">
        <v>1052</v>
      </c>
      <c r="C10" s="4928" t="s">
        <v>1053</v>
      </c>
      <c r="D10" s="4939" t="s">
        <v>1054</v>
      </c>
      <c r="E10" s="4940" t="s">
        <v>1060</v>
      </c>
      <c r="F10" s="4941">
        <v>0</v>
      </c>
      <c r="G10" s="4942">
        <v>0</v>
      </c>
      <c r="H10" s="4942">
        <v>0</v>
      </c>
      <c r="I10" s="4943">
        <v>0</v>
      </c>
      <c r="J10" s="4941">
        <v>0</v>
      </c>
      <c r="K10" s="4942">
        <v>0</v>
      </c>
      <c r="L10" s="4942">
        <v>0</v>
      </c>
      <c r="M10" s="4943"/>
      <c r="N10" s="4944"/>
    </row>
    <row r="11" spans="1:14" ht="48" customHeight="1" x14ac:dyDescent="0.2">
      <c r="A11" s="86" t="s">
        <v>1061</v>
      </c>
      <c r="B11" s="489" t="s">
        <v>1056</v>
      </c>
      <c r="C11" s="4945" t="s">
        <v>1057</v>
      </c>
      <c r="D11" s="4946" t="s">
        <v>1058</v>
      </c>
      <c r="E11" s="4940" t="s">
        <v>1062</v>
      </c>
      <c r="F11" s="4941" t="s">
        <v>0</v>
      </c>
      <c r="G11" s="4942"/>
      <c r="H11" s="4942">
        <v>4</v>
      </c>
      <c r="I11" s="4943"/>
      <c r="J11" s="4941">
        <v>0</v>
      </c>
      <c r="K11" s="4942">
        <v>0</v>
      </c>
      <c r="L11" s="4942">
        <v>0</v>
      </c>
      <c r="M11" s="4943"/>
      <c r="N11" s="4947"/>
    </row>
    <row r="12" spans="1:14" ht="48" customHeight="1" x14ac:dyDescent="0.2">
      <c r="A12" s="87" t="s">
        <v>1063</v>
      </c>
      <c r="B12" s="4927" t="s">
        <v>1052</v>
      </c>
      <c r="C12" s="4928" t="s">
        <v>1053</v>
      </c>
      <c r="D12" s="4939" t="s">
        <v>1054</v>
      </c>
      <c r="E12" s="4940" t="s">
        <v>1064</v>
      </c>
      <c r="F12" s="4941">
        <v>0</v>
      </c>
      <c r="G12" s="4942">
        <v>0</v>
      </c>
      <c r="H12" s="4942">
        <v>0</v>
      </c>
      <c r="I12" s="4943">
        <v>0</v>
      </c>
      <c r="J12" s="4941">
        <v>0</v>
      </c>
      <c r="K12" s="4942">
        <v>0</v>
      </c>
      <c r="L12" s="4942">
        <v>0</v>
      </c>
      <c r="M12" s="4943"/>
      <c r="N12" s="4944"/>
    </row>
    <row r="13" spans="1:14" ht="48" customHeight="1" x14ac:dyDescent="0.2">
      <c r="A13" s="87" t="s">
        <v>370</v>
      </c>
      <c r="B13" s="489" t="s">
        <v>1056</v>
      </c>
      <c r="C13" s="4945" t="s">
        <v>1057</v>
      </c>
      <c r="D13" s="4946" t="s">
        <v>1058</v>
      </c>
      <c r="E13" s="4940" t="s">
        <v>1064</v>
      </c>
      <c r="F13" s="4941" t="s">
        <v>0</v>
      </c>
      <c r="G13" s="4942"/>
      <c r="H13" s="4942">
        <v>4</v>
      </c>
      <c r="I13" s="4943"/>
      <c r="J13" s="4941">
        <v>0</v>
      </c>
      <c r="K13" s="4942">
        <v>0</v>
      </c>
      <c r="L13" s="4942">
        <v>0</v>
      </c>
      <c r="M13" s="4943"/>
      <c r="N13" s="4947"/>
    </row>
    <row r="14" spans="1:14" ht="48" customHeight="1" x14ac:dyDescent="0.2">
      <c r="A14" s="88" t="s">
        <v>1065</v>
      </c>
      <c r="B14" s="4927" t="s">
        <v>1052</v>
      </c>
      <c r="C14" s="4928" t="s">
        <v>1053</v>
      </c>
      <c r="D14" s="4939" t="s">
        <v>1054</v>
      </c>
      <c r="E14" s="4940" t="s">
        <v>1064</v>
      </c>
      <c r="F14" s="4941">
        <v>0</v>
      </c>
      <c r="G14" s="4942">
        <v>0</v>
      </c>
      <c r="H14" s="4942">
        <v>0</v>
      </c>
      <c r="I14" s="4943">
        <v>0</v>
      </c>
      <c r="J14" s="4941">
        <v>0</v>
      </c>
      <c r="K14" s="4942">
        <v>0</v>
      </c>
      <c r="L14" s="4942">
        <v>0</v>
      </c>
      <c r="M14" s="4943"/>
      <c r="N14" s="4944"/>
    </row>
    <row r="15" spans="1:14" ht="48" customHeight="1" x14ac:dyDescent="0.2">
      <c r="A15" s="197" t="s">
        <v>1066</v>
      </c>
      <c r="B15" s="171" t="s">
        <v>1056</v>
      </c>
      <c r="C15" s="4948" t="s">
        <v>1057</v>
      </c>
      <c r="D15" s="4949" t="s">
        <v>1058</v>
      </c>
      <c r="E15" s="4950" t="s">
        <v>1064</v>
      </c>
      <c r="F15" s="4951" t="s">
        <v>0</v>
      </c>
      <c r="G15" s="4952"/>
      <c r="H15" s="4952">
        <v>4</v>
      </c>
      <c r="I15" s="4953"/>
      <c r="J15" s="4951">
        <v>0</v>
      </c>
      <c r="K15" s="4952">
        <v>0</v>
      </c>
      <c r="L15" s="4952">
        <v>0</v>
      </c>
      <c r="M15" s="4953"/>
      <c r="N15" s="4954"/>
    </row>
    <row r="16" spans="1:14" ht="48" customHeight="1" x14ac:dyDescent="0.2">
      <c r="A16" s="89"/>
      <c r="B16" s="4927" t="s">
        <v>1052</v>
      </c>
      <c r="C16" s="4928" t="s">
        <v>1053</v>
      </c>
      <c r="D16" s="4939" t="s">
        <v>1054</v>
      </c>
      <c r="E16" s="4940" t="s">
        <v>1067</v>
      </c>
      <c r="F16" s="4941">
        <v>0</v>
      </c>
      <c r="G16" s="4942">
        <v>0</v>
      </c>
      <c r="H16" s="4942">
        <v>0</v>
      </c>
      <c r="I16" s="4943">
        <v>0</v>
      </c>
      <c r="J16" s="4955"/>
      <c r="K16" s="4956"/>
      <c r="L16" s="4956"/>
      <c r="M16" s="4957"/>
      <c r="N16" s="4958"/>
    </row>
    <row r="17" spans="1:14" ht="48" customHeight="1" x14ac:dyDescent="0.2">
      <c r="A17" s="198" t="s">
        <v>588</v>
      </c>
      <c r="B17" s="171" t="s">
        <v>1056</v>
      </c>
      <c r="C17" s="4948" t="s">
        <v>1057</v>
      </c>
      <c r="D17" s="4949" t="s">
        <v>1058</v>
      </c>
      <c r="E17" s="4950" t="s">
        <v>1067</v>
      </c>
      <c r="F17" s="4959"/>
      <c r="G17" s="4960"/>
      <c r="H17" s="4952">
        <v>4</v>
      </c>
      <c r="I17" s="4961"/>
      <c r="J17" s="4959"/>
      <c r="K17" s="4960"/>
      <c r="L17" s="4960"/>
      <c r="M17" s="4961"/>
      <c r="N17" s="4962"/>
    </row>
    <row r="18" spans="1:14" ht="12.75" x14ac:dyDescent="0.2">
      <c r="A18" s="83"/>
      <c r="B18" s="83"/>
      <c r="C18" s="83"/>
      <c r="D18" s="83"/>
      <c r="E18" s="83"/>
      <c r="F18" s="84"/>
      <c r="G18" s="84"/>
      <c r="H18" s="84"/>
      <c r="I18" s="84"/>
      <c r="J18" s="84"/>
      <c r="K18" s="84"/>
      <c r="L18" s="84"/>
      <c r="M18" s="84"/>
      <c r="N18" s="83"/>
    </row>
    <row r="19" spans="1:14" ht="12.75" x14ac:dyDescent="0.2">
      <c r="A19" s="83"/>
      <c r="B19" s="83"/>
      <c r="C19" s="83"/>
      <c r="D19" s="83"/>
      <c r="E19" s="83"/>
      <c r="F19" s="84"/>
      <c r="G19" s="84"/>
      <c r="H19" s="84"/>
      <c r="I19" s="84"/>
      <c r="J19" s="84"/>
      <c r="K19" s="84"/>
      <c r="L19" s="84"/>
      <c r="M19" s="84"/>
      <c r="N19" s="83"/>
    </row>
    <row r="20" spans="1:14" ht="18" x14ac:dyDescent="0.25">
      <c r="A20" s="83"/>
      <c r="B20" s="83"/>
      <c r="C20" s="90"/>
      <c r="D20" s="83"/>
      <c r="E20" s="83"/>
      <c r="F20" s="84"/>
      <c r="G20" s="84"/>
      <c r="H20" s="84"/>
      <c r="I20" s="84"/>
      <c r="J20" s="84"/>
      <c r="K20" s="84"/>
      <c r="L20" s="84"/>
      <c r="M20" s="84"/>
      <c r="N20" s="8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35"/>
  <dimension ref="A1:A3"/>
  <sheetViews>
    <sheetView workbookViewId="0"/>
  </sheetViews>
  <sheetFormatPr defaultRowHeight="12" x14ac:dyDescent="0.2"/>
  <sheetData>
    <row r="1" spans="1:1" x14ac:dyDescent="0.2">
      <c r="A1" s="122" t="s">
        <v>1068</v>
      </c>
    </row>
    <row r="2" spans="1:1" x14ac:dyDescent="0.2">
      <c r="A2" s="122" t="s">
        <v>1069</v>
      </c>
    </row>
    <row r="3" spans="1:1" x14ac:dyDescent="0.2">
      <c r="A3" s="122" t="s">
        <v>1070</v>
      </c>
    </row>
  </sheetData>
  <pageMargins left="0.7" right="0.7" top="0.75" bottom="0.75" header="0.3" footer="0.3"/>
</worksheet>
</file>

<file path=customUI/customUI.xml><?xml version="1.0" encoding="utf-8"?>
<!--RibbonX Visual Designer 1.94 for Microsoft Excel 12.0. XML Code produced on 2015-03-05-->
<customUI xmlns="http://schemas.microsoft.com/office/2006/01/customui">
  <ribbon>
    <tabs>
      <tab id="Tab1" insertBeforeMso="TabInsert" label="Vagtplan">
        <group id="Group1" label="Group1">
          <button idMso="FileSendAsAttachment" label="Email"/>
          <button idMso="FilePrint" label="Udskriv"/>
          <gallery idMso="ViewFreezePanesGallery" label="Frys"/>
        </group>
        <group idMso="GroupStyles"/>
        <group idMso="GroupComments"/>
        <group idMso="GroupMacros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4556FA7B362AE4B8446F9CC073D5A4F" ma:contentTypeVersion="21" ma:contentTypeDescription="Opret et nyt dokument." ma:contentTypeScope="" ma:versionID="467063b90718cd49dd408c835f38b229">
  <xsd:schema xmlns:xsd="http://www.w3.org/2001/XMLSchema" xmlns:xs="http://www.w3.org/2001/XMLSchema" xmlns:p="http://schemas.microsoft.com/office/2006/metadata/properties" xmlns:ns2="0f03729d-1f1c-4b43-bedd-870f9fd028b5" xmlns:ns3="45c24c4d-4de2-4a11-996b-ad1b02b5a53f" targetNamespace="http://schemas.microsoft.com/office/2006/metadata/properties" ma:root="true" ma:fieldsID="24f4f2b8d74e706168bd3cd90971a12c" ns2:_="" ns3:_="">
    <xsd:import namespace="0f03729d-1f1c-4b43-bedd-870f9fd028b5"/>
    <xsd:import namespace="45c24c4d-4de2-4a11-996b-ad1b02b5a5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dato" minOccurs="0"/>
                <xsd:element ref="ns2:Note" minOccurs="0"/>
                <xsd:element ref="ns2:MediaLengthInSeconds" minOccurs="0"/>
                <xsd:element ref="ns2:lcf76f155ced4ddcb4097134ff3c332f" minOccurs="0"/>
                <xsd:element ref="ns2:eDoc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3729d-1f1c-4b43-bedd-870f9fd02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o" ma:index="20" nillable="true" ma:displayName="dato" ma:format="DateTime" ma:internalName="dato" ma:readOnly="false">
      <xsd:simpleType>
        <xsd:restriction base="dms:DateTime"/>
      </xsd:simpleType>
    </xsd:element>
    <xsd:element name="Note" ma:index="21" nillable="true" ma:displayName="Note" ma:description="Ekstra noter" ma:format="Dropdown" ma:internalName="Not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Billedmærker" ma:readOnly="false" ma:fieldId="{5cf76f15-5ced-4ddc-b409-7134ff3c332f}" ma:taxonomyMulti="true" ma:sspId="e6a412d2-aea5-45d9-add9-4615ec1865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eDoc" ma:index="25" nillable="true" ma:displayName="eDoc" ma:internalName="eDoc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24c4d-4de2-4a11-996b-ad1b02b5a5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5c24c4d-4de2-4a11-996b-ad1b02b5a53f">
      <UserInfo>
        <DisplayName>Bo Volfing Jacobsen</DisplayName>
        <AccountId>51</AccountId>
        <AccountType/>
      </UserInfo>
      <UserInfo>
        <DisplayName>Erik Skyggebjerg Andersen</DisplayName>
        <AccountId>52</AccountId>
        <AccountType/>
      </UserInfo>
      <UserInfo>
        <DisplayName>Steen Hertin-Sandkær</DisplayName>
        <AccountId>53</AccountId>
        <AccountType/>
      </UserInfo>
      <UserInfo>
        <DisplayName>Michael Bo Pedersen</DisplayName>
        <AccountId>54</AccountId>
        <AccountType/>
      </UserInfo>
      <UserInfo>
        <DisplayName>Rasmus Sørensen</DisplayName>
        <AccountId>55</AccountId>
        <AccountType/>
      </UserInfo>
      <UserInfo>
        <DisplayName>Dennis Rise</DisplayName>
        <AccountId>56</AccountId>
        <AccountType/>
      </UserInfo>
      <UserInfo>
        <DisplayName>Kim Holm Aabroe</DisplayName>
        <AccountId>38</AccountId>
        <AccountType/>
      </UserInfo>
      <UserInfo>
        <DisplayName>Flemming Nielsen</DisplayName>
        <AccountId>130</AccountId>
        <AccountType/>
      </UserInfo>
      <UserInfo>
        <DisplayName>Flemming Erik Dam</DisplayName>
        <AccountId>133</AccountId>
        <AccountType/>
      </UserInfo>
      <UserInfo>
        <DisplayName>Thomas Holm</DisplayName>
        <AccountId>26</AccountId>
        <AccountType/>
      </UserInfo>
      <UserInfo>
        <DisplayName>Nikolaj Langtin Pamhede</DisplayName>
        <AccountId>69</AccountId>
        <AccountType/>
      </UserInfo>
      <UserInfo>
        <DisplayName>Anders Villadsen</DisplayName>
        <AccountId>79</AccountId>
        <AccountType/>
      </UserInfo>
      <UserInfo>
        <DisplayName>Marianne Rasmussen</DisplayName>
        <AccountId>40</AccountId>
        <AccountType/>
      </UserInfo>
      <UserInfo>
        <DisplayName>Mathias Søndergaard</DisplayName>
        <AccountId>33</AccountId>
        <AccountType/>
      </UserInfo>
      <UserInfo>
        <DisplayName>Martin Svanebjerg Larsen</DisplayName>
        <AccountId>792</AccountId>
        <AccountType/>
      </UserInfo>
      <UserInfo>
        <DisplayName>Kim BT. Pedersen</DisplayName>
        <AccountId>24</AccountId>
        <AccountType/>
      </UserInfo>
      <UserInfo>
        <DisplayName>Nick Lorentzen</DisplayName>
        <AccountId>112</AccountId>
        <AccountType/>
      </UserInfo>
      <UserInfo>
        <DisplayName>Oliver Voss</DisplayName>
        <AccountId>886</AccountId>
        <AccountType/>
      </UserInfo>
      <UserInfo>
        <DisplayName>Michael Riis-Jensen</DisplayName>
        <AccountId>197</AccountId>
        <AccountType/>
      </UserInfo>
      <UserInfo>
        <DisplayName>Henrik Wolffbrandt Hansen</DisplayName>
        <AccountId>418</AccountId>
        <AccountType/>
      </UserInfo>
      <UserInfo>
        <DisplayName>Henriette Dedichen</DisplayName>
        <AccountId>113</AccountId>
        <AccountType/>
      </UserInfo>
      <UserInfo>
        <DisplayName>Jesper Larsen</DisplayName>
        <AccountId>110</AccountId>
        <AccountType/>
      </UserInfo>
      <UserInfo>
        <DisplayName>Lars Crone</DisplayName>
        <AccountId>969</AccountId>
        <AccountType/>
      </UserInfo>
    </SharedWithUsers>
    <dato xmlns="0f03729d-1f1c-4b43-bedd-870f9fd028b5">2020-12-25T23:00:00+00:00</dato>
    <Note xmlns="0f03729d-1f1c-4b43-bedd-870f9fd028b5" xsi:nil="true"/>
    <lcf76f155ced4ddcb4097134ff3c332f xmlns="0f03729d-1f1c-4b43-bedd-870f9fd028b5">
      <Terms xmlns="http://schemas.microsoft.com/office/infopath/2007/PartnerControls"/>
    </lcf76f155ced4ddcb4097134ff3c332f>
    <eDoc xmlns="0f03729d-1f1c-4b43-bedd-870f9fd028b5" xsi:nil="true"/>
  </documentManagement>
</p:properties>
</file>

<file path=customXml/itemProps1.xml><?xml version="1.0" encoding="utf-8"?>
<ds:datastoreItem xmlns:ds="http://schemas.openxmlformats.org/officeDocument/2006/customXml" ds:itemID="{F574A16D-7D0F-432C-80FF-48A6AFFF8F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7156BA-7DB3-4B26-A243-ED578B424565}"/>
</file>

<file path=customXml/itemProps3.xml><?xml version="1.0" encoding="utf-8"?>
<ds:datastoreItem xmlns:ds="http://schemas.openxmlformats.org/officeDocument/2006/customXml" ds:itemID="{7BCA86D9-54B4-4348-9CE7-64F24673B21E}">
  <ds:schemaRefs>
    <ds:schemaRef ds:uri="http://schemas.microsoft.com/office/2006/documentManagement/types"/>
    <ds:schemaRef ds:uri="http://schemas.microsoft.com/office/infopath/2007/PartnerControls"/>
    <ds:schemaRef ds:uri="0f03729d-1f1c-4b43-bedd-870f9fd028b5"/>
    <ds:schemaRef ds:uri="http://purl.org/dc/elements/1.1/"/>
    <ds:schemaRef ds:uri="http://schemas.microsoft.com/office/2006/metadata/properties"/>
    <ds:schemaRef ds:uri="45c24c4d-4de2-4a11-996b-ad1b02b5a53f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22</vt:i4>
      </vt:variant>
      <vt:variant>
        <vt:lpstr>Navngivne områder</vt:lpstr>
      </vt:variant>
      <vt:variant>
        <vt:i4>1</vt:i4>
      </vt:variant>
    </vt:vector>
  </HeadingPairs>
  <TitlesOfParts>
    <vt:vector size="23" baseType="lpstr">
      <vt:lpstr>Ark8</vt:lpstr>
      <vt:lpstr>Ark9</vt:lpstr>
      <vt:lpstr>Ark4</vt:lpstr>
      <vt:lpstr>Maj 2024</vt:lpstr>
      <vt:lpstr>Juni 2024</vt:lpstr>
      <vt:lpstr>Juli 2024</vt:lpstr>
      <vt:lpstr>August 2024</vt:lpstr>
      <vt:lpstr>September 2024</vt:lpstr>
      <vt:lpstr>Oktober 2024</vt:lpstr>
      <vt:lpstr>November 2024</vt:lpstr>
      <vt:lpstr>December 2024</vt:lpstr>
      <vt:lpstr>Januar 2025</vt:lpstr>
      <vt:lpstr>Februar 2025</vt:lpstr>
      <vt:lpstr>Marts 2025</vt:lpstr>
      <vt:lpstr>April 2025</vt:lpstr>
      <vt:lpstr>Prisliste 2024(kostægte)</vt:lpstr>
      <vt:lpstr>Prisliste 2024</vt:lpstr>
      <vt:lpstr>GRUSMUS 2024</vt:lpstr>
      <vt:lpstr>Nøgler GL</vt:lpstr>
      <vt:lpstr>Nøgler januar 2000</vt:lpstr>
      <vt:lpstr>Nøgler m. lønkode</vt:lpstr>
      <vt:lpstr>Balanced 2010</vt:lpstr>
      <vt:lpstr>NormTid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Henriette Dedichen</cp:lastModifiedBy>
  <cp:revision>11</cp:revision>
  <dcterms:created xsi:type="dcterms:W3CDTF">2000-02-23T09:56:36Z</dcterms:created>
  <dcterms:modified xsi:type="dcterms:W3CDTF">2025-12-08T09:16:12Z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0x01010024556FA7B362AE4B8446F9CC073D5A4F</vt:lpwstr>
  </property>
  <property fmtid="{D5CDD505-2E9C-101B-9397-08002B2CF9AE}" pid="12" name="Order">
    <vt:r8>100</vt:r8>
  </property>
  <property fmtid="{D5CDD505-2E9C-101B-9397-08002B2CF9AE}" pid="13" name="SharedWithUsers">
    <vt:lpwstr>51;#Bo Volfing Jacobsen;#52;#Erik Skyggebjerg Andersen;#53;#Steen Hertin;#54;#Michael Bo Pedersen;#55;#Rasmus Sørensen;#56;#Dennis Rise;#38;#Kim Holm Aabroe;#130;#Flemming Nielsen;#133;#Flemming Dam</vt:lpwstr>
  </property>
  <property fmtid="{D5CDD505-2E9C-101B-9397-08002B2CF9AE}" pid="14" name="Sensitivity">
    <vt:lpwstr/>
  </property>
  <property fmtid="{D5CDD505-2E9C-101B-9397-08002B2CF9AE}" pid="15" name="j2c2601e249f4d2993f2fcc4fe83f7c1">
    <vt:lpwstr/>
  </property>
  <property fmtid="{D5CDD505-2E9C-101B-9397-08002B2CF9AE}" pid="16" name="TaxCatchAll">
    <vt:lpwstr/>
  </property>
  <property fmtid="{D5CDD505-2E9C-101B-9397-08002B2CF9AE}" pid="17" name="AuthorIds_UIVersion_55808">
    <vt:lpwstr>64</vt:lpwstr>
  </property>
  <property fmtid="{D5CDD505-2E9C-101B-9397-08002B2CF9AE}" pid="18" name="CloudStatistics_StoryID">
    <vt:lpwstr>a4b12edf-297e-42b2-ba9a-01191d323809</vt:lpwstr>
  </property>
  <property fmtid="{D5CDD505-2E9C-101B-9397-08002B2CF9AE}" pid="19" name="MediaServiceImageTags">
    <vt:lpwstr/>
  </property>
</Properties>
</file>